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Future 2016 - 10% of Summary" sheetId="2" r:id="rId6"/>
    <sheet state="visible" name="Future 2017 - 20% of Summary" sheetId="3" r:id="rId7"/>
    <sheet state="visible" name="Future 2020 - 50% of Summary" sheetId="4" r:id="rId8"/>
    <sheet state="visible" name="Product Info" sheetId="5" r:id="rId9"/>
    <sheet state="visible" name="Carrier Rates" sheetId="6" r:id="rId10"/>
    <sheet state="visible" name="Historical Orders" sheetId="7" r:id="rId11"/>
    <sheet state="visible" name="Future Orders" sheetId="8" r:id="rId12"/>
    <sheet state="visible" name="Orders Charts" sheetId="9" r:id="rId13"/>
    <sheet state="visible" name="Historical Shipments" sheetId="10" r:id="rId14"/>
  </sheets>
  <definedNames/>
  <calcPr/>
</workbook>
</file>

<file path=xl/sharedStrings.xml><?xml version="1.0" encoding="utf-8"?>
<sst xmlns="http://schemas.openxmlformats.org/spreadsheetml/2006/main" count="1371" uniqueCount="171">
  <si>
    <t>Weekly Carrier X</t>
  </si>
  <si>
    <t>Yearly Carrier X</t>
  </si>
  <si>
    <t>Hammer Cost Per Unit</t>
  </si>
  <si>
    <t>Hammer Product Cost</t>
  </si>
  <si>
    <t>Transportation  Cost Store 1</t>
  </si>
  <si>
    <t>Total Cost</t>
  </si>
  <si>
    <t>Transportation  Cost Store 2</t>
  </si>
  <si>
    <t>Total</t>
  </si>
  <si>
    <t>Supplier A</t>
  </si>
  <si>
    <t>Supplier B</t>
  </si>
  <si>
    <t>Diff</t>
  </si>
  <si>
    <t>Weekly Carrier Y</t>
  </si>
  <si>
    <t>Yearly Carrier Y</t>
  </si>
  <si>
    <t>Total Dif</t>
  </si>
  <si>
    <t>Product Id</t>
  </si>
  <si>
    <t>Product Desc</t>
  </si>
  <si>
    <t>Package Qty</t>
  </si>
  <si>
    <t>Weight</t>
  </si>
  <si>
    <t>Weight Unit of Measure</t>
  </si>
  <si>
    <t>Wrench</t>
  </si>
  <si>
    <t>LB</t>
  </si>
  <si>
    <t>Saw</t>
  </si>
  <si>
    <t>Drill</t>
  </si>
  <si>
    <t>Hammer</t>
  </si>
  <si>
    <t>Current Shipping Rates</t>
  </si>
  <si>
    <t>Current Shipping Store 1</t>
  </si>
  <si>
    <t>Current Shipping Store 2</t>
  </si>
  <si>
    <t>Total:</t>
  </si>
  <si>
    <t>Quantity</t>
  </si>
  <si>
    <t>Supplier A Store 1</t>
  </si>
  <si>
    <t>Supplier B Store 1</t>
  </si>
  <si>
    <t>Cost</t>
  </si>
  <si>
    <t>Carrier X Cost</t>
  </si>
  <si>
    <t>Carrier Y Cost</t>
  </si>
  <si>
    <t>Difference:</t>
  </si>
  <si>
    <t>Supplier A Store 2</t>
  </si>
  <si>
    <t>Supplier B Store 2</t>
  </si>
  <si>
    <t>Proposed Shipping Rates</t>
  </si>
  <si>
    <t>Proposed Shipping Store 1</t>
  </si>
  <si>
    <t>Proposed Shipping Store 2</t>
  </si>
  <si>
    <t>Carrier</t>
  </si>
  <si>
    <t>Supplier</t>
  </si>
  <si>
    <t>Str Nbr</t>
  </si>
  <si>
    <t>Curent Yearly Cost</t>
  </si>
  <si>
    <t>X</t>
  </si>
  <si>
    <t>A</t>
  </si>
  <si>
    <t>B</t>
  </si>
  <si>
    <t>Y</t>
  </si>
  <si>
    <t>Carrier X</t>
  </si>
  <si>
    <t>Carrier Y</t>
  </si>
  <si>
    <t>Yearly Shipments for Supplier A Store 1</t>
  </si>
  <si>
    <t>Yearly Shipments for Supplier A Store 2</t>
  </si>
  <si>
    <t>Yearly Shipments for Supplier B Store 1</t>
  </si>
  <si>
    <t>Yearly Shipments for Supplier B Store 2</t>
  </si>
  <si>
    <t>Yearly Shipments Weight for Supplier A Store 1</t>
  </si>
  <si>
    <t>Yearly Shipments Weight for Supplier A Store 2</t>
  </si>
  <si>
    <t>Yearly Shipments Weight for Supplier B Store 1</t>
  </si>
  <si>
    <t>Yearly Shipments Weight for Supplier B Store 2</t>
  </si>
  <si>
    <t>Carrier X Yearly Cost</t>
  </si>
  <si>
    <t>Carrier Y Yearly Cost</t>
  </si>
  <si>
    <t>Order Dt</t>
  </si>
  <si>
    <t>Order Qty</t>
  </si>
  <si>
    <t>Product Weight</t>
  </si>
  <si>
    <t>Order Weight</t>
  </si>
  <si>
    <t>Product 1, Store 1, Supplier A</t>
  </si>
  <si>
    <t>Product 1, Store 1, Supplier A, Weight</t>
  </si>
  <si>
    <t>Product 1, Store 1, Supplier B</t>
  </si>
  <si>
    <t>Product 1, Store 1, Supplier B, Weight</t>
  </si>
  <si>
    <t>Product 1, Store 2, Supplier A</t>
  </si>
  <si>
    <t>Product 1, Store 2, Supplier A, Weight</t>
  </si>
  <si>
    <t>Product 1, Store 2, Supplier B</t>
  </si>
  <si>
    <t>Product 1, Store 2, Supplier B, Weight</t>
  </si>
  <si>
    <t>Product 2, Store 1, Supplier A</t>
  </si>
  <si>
    <t>Product 2, Store 1, Supplier A, Weight</t>
  </si>
  <si>
    <t>Product 2, Store 1, Supplier B</t>
  </si>
  <si>
    <t>Product 2, Store 1, Supplier B, Weight</t>
  </si>
  <si>
    <t>Product 2, Store 2, Supplier A</t>
  </si>
  <si>
    <t>Product 2, Store 2, Supplier A, Weight</t>
  </si>
  <si>
    <t>Product 2, Store 2, Supplier B</t>
  </si>
  <si>
    <t>Product 2, Store 2, Supplier B, Weight</t>
  </si>
  <si>
    <t>Product 3, Store 1, Supplier A</t>
  </si>
  <si>
    <t>Product 3, Store 1, Supplier A, Weight</t>
  </si>
  <si>
    <t>Product 3, Store 1, Supplier B</t>
  </si>
  <si>
    <t>Product 3, Store 1, Supplier B, Weight</t>
  </si>
  <si>
    <t>Product 3, Store 2, Supplier A</t>
  </si>
  <si>
    <t>Product 3, Store 2, Supplier A, Weight</t>
  </si>
  <si>
    <t>Product 3, Store 2, Supplier B</t>
  </si>
  <si>
    <t>Product 3, Store 2, Supplier B, Weight</t>
  </si>
  <si>
    <t>Product 4, Store 1, Supplier A</t>
  </si>
  <si>
    <t>Product 4, Store 1, Supplier A, Weight</t>
  </si>
  <si>
    <t>Product 4, Store 1, Supplier B</t>
  </si>
  <si>
    <t>Product 4, Store 1, Supplier B, Weight</t>
  </si>
  <si>
    <t>Product 4, Store 2, Supplier A</t>
  </si>
  <si>
    <t>Product 4, Store 2, Supplier A, Weight</t>
  </si>
  <si>
    <t>Product 4, Store 2, Supplier B</t>
  </si>
  <si>
    <t>Product 4, Store 2, Supplier B, Weight</t>
  </si>
  <si>
    <t>Total Weight Store 1 Supplier A</t>
  </si>
  <si>
    <t>Total Weight Store 1 Supplier B</t>
  </si>
  <si>
    <t>Total Weight Store 2 Supplier A</t>
  </si>
  <si>
    <t>Total Weight Store 2 Supplier A2</t>
  </si>
  <si>
    <t>Order Date</t>
  </si>
  <si>
    <t>Split 1</t>
  </si>
  <si>
    <t>Quantity Total per week</t>
  </si>
  <si>
    <t>Quantity Total per week Store 1</t>
  </si>
  <si>
    <t>Quantity Total per week Store 2</t>
  </si>
  <si>
    <t>Quantity Total per week Supplier A</t>
  </si>
  <si>
    <t>Quantity Total per week Supplier B</t>
  </si>
  <si>
    <t>Split 2</t>
  </si>
  <si>
    <t>Weight Total per week</t>
  </si>
  <si>
    <t>Weight Total per week Store 1</t>
  </si>
  <si>
    <t>Weight Total per week Store 2</t>
  </si>
  <si>
    <t>Split 3</t>
  </si>
  <si>
    <t>Weight Total per week Store 1 Product 1 Supplier A</t>
  </si>
  <si>
    <t>Weight Total per week Store 1 Product 2 Supplier A</t>
  </si>
  <si>
    <t>Weight Total per week Store 1 Product 3 Supplier A</t>
  </si>
  <si>
    <t>Weight Total per week Store 1 Supplier A</t>
  </si>
  <si>
    <t>Split 4</t>
  </si>
  <si>
    <t>Weight Total per week Store 1 Product 1 Supplier B</t>
  </si>
  <si>
    <t>Weight Total per week Store 1 Product 2 Supplier B</t>
  </si>
  <si>
    <t>Weight Total per week Store 1 Product 3 Supplier B</t>
  </si>
  <si>
    <t>Weight Total per week Store 1 Supplier B</t>
  </si>
  <si>
    <t>Split 5</t>
  </si>
  <si>
    <t>Weight Total per week Store 2 Product 1 Supplier A</t>
  </si>
  <si>
    <t>Weight Total per week Store 2 Product 2 Supplier A</t>
  </si>
  <si>
    <t>Weight Total per week Store 2 Product 3 Supplier A</t>
  </si>
  <si>
    <t>Weight Total per week Store 2 Supplier A</t>
  </si>
  <si>
    <t>Split 6</t>
  </si>
  <si>
    <t>Weight Total per week Store 2 Product 1 Supplier B</t>
  </si>
  <si>
    <t>Weight Total per week Store 2 Product 2 Supplier B</t>
  </si>
  <si>
    <t>Weight Total per week Store 2 Product 3 Supplier B</t>
  </si>
  <si>
    <t>Weight Total per week Store 2 Supplier B</t>
  </si>
  <si>
    <t>Split 7</t>
  </si>
  <si>
    <t>Store 1 per week</t>
  </si>
  <si>
    <t>Store 2 per Week</t>
  </si>
  <si>
    <t>Supplier A per week</t>
  </si>
  <si>
    <t>Supplier B per week</t>
  </si>
  <si>
    <t>Product ID 1 per week</t>
  </si>
  <si>
    <t>Product ID 2 per week</t>
  </si>
  <si>
    <t>Product ID 3 per week</t>
  </si>
  <si>
    <t>Split 8</t>
  </si>
  <si>
    <t>Future Quantity</t>
  </si>
  <si>
    <t xml:space="preserve"> N</t>
  </si>
  <si>
    <t>Weight Total per week Store 1 Product 4 Supplier A</t>
  </si>
  <si>
    <t>Weight Total per week Store 1 Product 4 Supplier B</t>
  </si>
  <si>
    <t>Weight Total per week Store 2 Product 4 Supplier A</t>
  </si>
  <si>
    <t>Weight Total per week Store 2 Product 4 Supplier B</t>
  </si>
  <si>
    <t>Store 1 Shipping Merged below 44,000</t>
  </si>
  <si>
    <t>Store 2 Shipping Merged below 44,000</t>
  </si>
  <si>
    <t>Store 1 Shipping with Hammers Merged below 44,000</t>
  </si>
  <si>
    <t>Store 2 Shipping with Hammers Merged below 44,000</t>
  </si>
  <si>
    <t>Split 9</t>
  </si>
  <si>
    <t>Sum of Weight Total per week Store 1</t>
  </si>
  <si>
    <t>Sum of Weight Total per week Store 2</t>
  </si>
  <si>
    <t>Sum of Weight Total per week Store 1 Supplier A</t>
  </si>
  <si>
    <t>Sum of Weight Total per week Store 1 Supplier B</t>
  </si>
  <si>
    <t>Sum of Weight Total per week Store 2 Supplier A</t>
  </si>
  <si>
    <t>Sum of Weight Total per week Store 2 Supplier B</t>
  </si>
  <si>
    <t>Sum of Store 1 Shipping Merged below 44,000</t>
  </si>
  <si>
    <t>Sum of Store 2 Shipping Merged below 44,000</t>
  </si>
  <si>
    <t>Sum of Store 1 Shipping with Hammers Merged below 44,000</t>
  </si>
  <si>
    <t>Sum of Store 2 Shipping with Hammers Merged below 44,000</t>
  </si>
  <si>
    <t>Shipment Date</t>
  </si>
  <si>
    <t>Weekly Weight</t>
  </si>
  <si>
    <t>Weekly Weight Supplier A Store 1</t>
  </si>
  <si>
    <t>Weekly Weight Supplier A Store 2</t>
  </si>
  <si>
    <t>Weekly Weight Supplier B Store 1</t>
  </si>
  <si>
    <t>Weekly Weight Supplier B Store 2</t>
  </si>
  <si>
    <t>Column3</t>
  </si>
  <si>
    <t>Weekly Total Supplier A</t>
  </si>
  <si>
    <t>Weekly Total Supplier B</t>
  </si>
  <si>
    <t>Column32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</si>
</sst>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&quot;$&quot;* #,##0_);_(&quot;$&quot;* \(#,##0\);_(&quot;$&quot;* &quot;-&quot;??_);_(@_)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(* #,##0.0_);_(* \(#,##0.0\);_(* &quot;-&quot;??_);_(@_)"/>
    <numFmt numFmtId="168" formatCode="_(* #,##0.00_);_(* \(#,##0.00\);_(* &quot;-&quot;??_);_(@_)"/>
    <numFmt numFmtId="169" formatCode="_(* #,##0.0_);_(* \(#,##0.0\);_(* &quot;-&quot;?_);_(@_)"/>
    <numFmt numFmtId="170" formatCode="_(* #,##0_);_(* \(#,##0\);_(* &quot;-&quot;?_);_(@_)"/>
    <numFmt numFmtId="171" formatCode="0.0"/>
  </numFmts>
  <fonts count="21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/>
    <font>
      <b/>
      <sz val="11.0"/>
      <color theme="1"/>
      <name val="Calibri"/>
    </font>
    <font>
      <b/>
      <sz val="12.0"/>
      <color theme="0"/>
      <name val="Calibri"/>
    </font>
    <font>
      <sz val="11.0"/>
      <color rgb="FF000000"/>
      <name val="Calibri"/>
    </font>
    <font>
      <b/>
      <sz val="26.0"/>
      <color theme="1"/>
      <name val="Calibri"/>
    </font>
    <font>
      <b/>
      <sz val="20.0"/>
      <color theme="1"/>
      <name val="Calibri"/>
    </font>
    <font>
      <sz val="16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color theme="1"/>
      <name val="Calibri"/>
      <scheme val="minor"/>
    </font>
    <font>
      <b/>
      <sz val="11.0"/>
      <color rgb="FF0C0C0C"/>
      <name val="Calibri"/>
    </font>
    <font>
      <sz val="11.0"/>
      <color rgb="FFFAD0B8"/>
      <name val="Calibri"/>
    </font>
    <font>
      <b/>
      <sz val="12.0"/>
      <color rgb="FFFFFFFF"/>
      <name val="Calibri"/>
    </font>
    <font>
      <b/>
      <sz val="12.0"/>
      <color rgb="FFFAD0B8"/>
      <name val="Calibri"/>
    </font>
    <font>
      <b/>
      <sz val="11.0"/>
      <color rgb="FFFBE4D5"/>
      <name val="Calibri"/>
    </font>
    <font>
      <b/>
      <sz val="12.0"/>
      <color rgb="FFFFCC99"/>
      <name val="Calibri"/>
    </font>
    <font>
      <b/>
      <sz val="14.0"/>
      <color rgb="FFFBE4D5"/>
      <name val="Calibri"/>
    </font>
    <font>
      <sz val="11.0"/>
      <color rgb="FFFFCC99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theme="5"/>
        <bgColor theme="5"/>
      </patternFill>
    </fill>
    <fill>
      <patternFill patternType="solid">
        <fgColor rgb="FFF7CAAC"/>
        <bgColor rgb="FFF7CAAC"/>
      </patternFill>
    </fill>
  </fills>
  <borders count="74">
    <border/>
    <border>
      <left style="medium">
        <color rgb="FF833C0B"/>
      </left>
      <top style="medium">
        <color rgb="FF833C0B"/>
      </top>
    </border>
    <border>
      <top style="medium">
        <color rgb="FF833C0B"/>
      </top>
    </border>
    <border>
      <top style="medium">
        <color rgb="FF833C0B"/>
      </top>
      <bottom style="thin">
        <color rgb="FF000000"/>
      </bottom>
    </border>
    <border>
      <right style="medium">
        <color rgb="FF833C0B"/>
      </right>
      <top style="medium">
        <color rgb="FF833C0B"/>
      </top>
    </border>
    <border>
      <left style="medium">
        <color rgb="FF833C0B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medium">
        <color rgb="FF833C0B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833C0B"/>
      </left>
      <right style="medium">
        <color rgb="FF833C0B"/>
      </right>
      <top style="medium">
        <color rgb="FF833C0B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833C0B"/>
      </left>
      <right style="medium">
        <color rgb="FF833C0B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833C0B"/>
      </left>
      <right style="medium">
        <color rgb="FF833C0B"/>
      </right>
      <top style="thin">
        <color rgb="FF000000"/>
      </top>
      <bottom style="medium">
        <color rgb="FF833C0B"/>
      </bottom>
    </border>
    <border>
      <left style="thin">
        <color rgb="FF000000"/>
      </left>
      <bottom style="thin">
        <color rgb="FF000000"/>
      </bottom>
    </border>
    <border>
      <left style="medium">
        <color rgb="FF833C0B"/>
      </left>
      <right style="medium">
        <color rgb="FF833C0B"/>
      </right>
      <top/>
      <bottom style="medium">
        <color rgb="FF833C0B"/>
      </bottom>
    </border>
    <border>
      <bottom style="thin">
        <color rgb="FF000000"/>
      </bottom>
    </border>
    <border>
      <left style="medium">
        <color rgb="FF833C0B"/>
      </left>
      <bottom style="medium">
        <color rgb="FF833C0B"/>
      </bottom>
    </border>
    <border>
      <bottom style="medium">
        <color rgb="FF833C0B"/>
      </bottom>
    </border>
    <border>
      <right style="medium">
        <color rgb="FF833C0B"/>
      </right>
      <bottom style="medium">
        <color rgb="FF833C0B"/>
      </bottom>
    </border>
    <border>
      <left style="thin">
        <color rgb="FFF4B083"/>
      </left>
      <right/>
      <top style="thin">
        <color rgb="FFF4B083"/>
      </top>
      <bottom style="thin">
        <color rgb="FFF4B083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833C0B"/>
      </left>
      <top style="medium">
        <color rgb="FF833C0B"/>
      </top>
      <bottom style="medium">
        <color rgb="FF833C0B"/>
      </bottom>
    </border>
    <border>
      <top style="medium">
        <color rgb="FF833C0B"/>
      </top>
      <bottom style="medium">
        <color rgb="FF833C0B"/>
      </bottom>
    </border>
    <border>
      <right style="medium">
        <color rgb="FF833C0B"/>
      </right>
      <top style="medium">
        <color rgb="FF833C0B"/>
      </top>
      <bottom style="medium">
        <color rgb="FF833C0B"/>
      </bottom>
    </border>
    <border>
      <left style="medium">
        <color rgb="FF833C0B"/>
      </left>
      <bottom style="medium">
        <color rgb="FF000000"/>
      </bottom>
    </border>
    <border>
      <bottom style="medium">
        <color rgb="FF000000"/>
      </bottom>
    </border>
    <border>
      <right style="medium">
        <color rgb="FF833C0B"/>
      </right>
      <bottom style="medium">
        <color rgb="FF000000"/>
      </bottom>
    </border>
    <border>
      <left style="medium">
        <color rgb="FF833C0B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833C0B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833C0B"/>
      </right>
    </border>
    <border>
      <left style="medium">
        <color rgb="FF833C0B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theme="1"/>
      </left>
      <right style="medium">
        <color theme="1"/>
      </right>
      <top style="medium">
        <color theme="1"/>
      </top>
    </border>
    <border>
      <left style="medium">
        <color rgb="FF000000"/>
      </left>
      <bottom style="medium">
        <color rgb="FF000000"/>
      </bottom>
    </border>
    <border>
      <left style="medium">
        <color theme="1"/>
      </left>
      <right style="medium">
        <color theme="1"/>
      </right>
      <top style="thick">
        <color theme="1"/>
      </top>
      <bottom style="medium">
        <color theme="1"/>
      </bottom>
    </border>
    <border>
      <left style="medium">
        <color rgb="FF833C0B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833C0B"/>
      </left>
      <top style="thin">
        <color rgb="FF000000"/>
      </top>
      <bottom style="medium">
        <color rgb="FF000000"/>
      </bottom>
    </border>
    <border>
      <left style="medium">
        <color theme="1"/>
      </left>
      <right style="medium">
        <color theme="1"/>
      </right>
      <top style="medium">
        <color theme="1"/>
      </top>
      <bottom style="thick">
        <color theme="1"/>
      </bottom>
    </border>
    <border>
      <left style="medium">
        <color theme="1"/>
      </left>
      <top style="medium">
        <color theme="1"/>
      </top>
    </border>
    <border>
      <top style="medium">
        <color theme="1"/>
      </top>
    </border>
    <border>
      <right style="medium">
        <color theme="1"/>
      </right>
      <top style="medium">
        <color theme="1"/>
      </top>
    </border>
    <border>
      <left style="medium">
        <color theme="1"/>
      </left>
    </border>
    <border>
      <right style="medium">
        <color theme="1"/>
      </right>
    </border>
    <border>
      <left style="medium">
        <color theme="1"/>
      </left>
      <bottom style="medium">
        <color theme="1"/>
      </bottom>
    </border>
    <border>
      <bottom style="medium">
        <color theme="1"/>
      </bottom>
    </border>
    <border>
      <right style="medium">
        <color theme="1"/>
      </right>
      <bottom style="medium">
        <color theme="1"/>
      </bottom>
    </border>
    <border>
      <left style="medium">
        <color theme="1"/>
      </left>
      <top style="medium">
        <color theme="1"/>
      </top>
      <bottom style="medium">
        <color theme="1"/>
      </bottom>
    </border>
    <border>
      <top style="medium">
        <color theme="1"/>
      </top>
      <bottom style="medium">
        <color theme="1"/>
      </bottom>
    </border>
    <border>
      <right style="medium">
        <color theme="1"/>
      </right>
      <top style="medium">
        <color theme="1"/>
      </top>
      <bottom style="medium">
        <color theme="1"/>
      </bottom>
    </border>
    <border>
      <right style="medium">
        <color rgb="FF833C0B"/>
      </right>
      <top style="medium">
        <color rgb="FF000000"/>
      </top>
    </border>
    <border>
      <left style="thin">
        <color rgb="FF000000"/>
      </left>
      <right style="medium">
        <color rgb="FF833C0B"/>
      </right>
      <top style="medium">
        <color rgb="FF000000"/>
      </top>
    </border>
    <border>
      <right style="medium">
        <color theme="1"/>
      </right>
      <top style="medium">
        <color rgb="FF000000"/>
      </top>
    </border>
    <border>
      <left style="medium">
        <color rgb="FF833C0B"/>
      </left>
      <right style="medium">
        <color rgb="FF833C0B"/>
      </right>
      <top style="medium">
        <color rgb="FF833C0B"/>
      </top>
      <bottom style="thick">
        <color rgb="FF833C0B"/>
      </bottom>
    </border>
    <border>
      <left style="medium">
        <color rgb="FF833C0B"/>
      </left>
      <right style="medium">
        <color rgb="FF833C0B"/>
      </right>
      <top style="thick">
        <color rgb="FF833C0B"/>
      </top>
      <bottom style="medium">
        <color rgb="FF833C0B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F4B083"/>
      </left>
      <right style="thin">
        <color rgb="FFF4B083"/>
      </right>
      <top style="thin">
        <color rgb="FFF4B083"/>
      </top>
      <bottom style="thin">
        <color rgb="FFF4B083"/>
      </bottom>
    </border>
    <border>
      <left/>
      <right/>
      <top style="double">
        <color theme="5"/>
      </top>
      <bottom style="thin">
        <color rgb="FFF4B083"/>
      </bottom>
    </border>
    <border>
      <left style="thick">
        <color rgb="FF833C0B"/>
      </left>
      <right style="thick">
        <color rgb="FF833C0B"/>
      </right>
      <top style="thick">
        <color rgb="FF833C0B"/>
      </top>
      <bottom style="thick">
        <color rgb="FF833C0B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0" fontId="1" numFmtId="0" xfId="0" applyBorder="1" applyFont="1"/>
    <xf borderId="2" fillId="0" fontId="1" numFmtId="0" xfId="0" applyBorder="1" applyFont="1"/>
    <xf borderId="3" fillId="0" fontId="2" numFmtId="0" xfId="0" applyAlignment="1" applyBorder="1" applyFont="1">
      <alignment horizontal="center"/>
    </xf>
    <xf borderId="3" fillId="0" fontId="3" numFmtId="0" xfId="0" applyBorder="1" applyFont="1"/>
    <xf borderId="2" fillId="0" fontId="2" numFmtId="0" xfId="0" applyAlignment="1" applyBorder="1" applyFont="1">
      <alignment horizontal="center"/>
    </xf>
    <xf borderId="2" fillId="0" fontId="1" numFmtId="164" xfId="0" applyBorder="1" applyFont="1" applyNumberFormat="1"/>
    <xf borderId="4" fillId="0" fontId="1" numFmtId="164" xfId="0" applyBorder="1" applyFont="1" applyNumberFormat="1"/>
    <xf borderId="4" fillId="0" fontId="1" numFmtId="0" xfId="0" applyBorder="1" applyFont="1"/>
    <xf borderId="5" fillId="0" fontId="1" numFmtId="0" xfId="0" applyBorder="1" applyFont="1"/>
    <xf borderId="6" fillId="2" fontId="4" numFmtId="0" xfId="0" applyAlignment="1" applyBorder="1" applyFill="1" applyFont="1">
      <alignment horizontal="center" shrinkToFit="0" wrapText="1"/>
    </xf>
    <xf borderId="6" fillId="2" fontId="4" numFmtId="165" xfId="0" applyAlignment="1" applyBorder="1" applyFont="1" applyNumberFormat="1">
      <alignment horizontal="center" shrinkToFit="0" wrapText="1"/>
    </xf>
    <xf borderId="7" fillId="2" fontId="4" numFmtId="165" xfId="0" applyAlignment="1" applyBorder="1" applyFont="1" applyNumberFormat="1">
      <alignment horizontal="center" shrinkToFit="0" wrapText="1"/>
    </xf>
    <xf borderId="8" fillId="0" fontId="1" numFmtId="164" xfId="0" applyBorder="1" applyFont="1" applyNumberFormat="1"/>
    <xf borderId="8" fillId="0" fontId="1" numFmtId="0" xfId="0" applyBorder="1" applyFont="1"/>
    <xf borderId="6" fillId="0" fontId="1" numFmtId="0" xfId="0" applyBorder="1" applyFont="1"/>
    <xf borderId="6" fillId="0" fontId="1" numFmtId="166" xfId="0" applyBorder="1" applyFont="1" applyNumberFormat="1"/>
    <xf borderId="6" fillId="0" fontId="1" numFmtId="164" xfId="0" applyBorder="1" applyFont="1" applyNumberFormat="1"/>
    <xf borderId="9" fillId="0" fontId="1" numFmtId="164" xfId="0" applyBorder="1" applyFont="1" applyNumberFormat="1"/>
    <xf borderId="10" fillId="0" fontId="1" numFmtId="164" xfId="0" applyBorder="1" applyFont="1" applyNumberFormat="1"/>
    <xf borderId="11" fillId="0" fontId="1" numFmtId="0" xfId="0" applyBorder="1" applyFont="1"/>
    <xf borderId="11" fillId="0" fontId="1" numFmtId="166" xfId="0" applyBorder="1" applyFont="1" applyNumberFormat="1"/>
    <xf borderId="11" fillId="0" fontId="1" numFmtId="164" xfId="0" applyBorder="1" applyFont="1" applyNumberFormat="1"/>
    <xf borderId="12" fillId="0" fontId="1" numFmtId="164" xfId="0" applyBorder="1" applyFont="1" applyNumberFormat="1"/>
    <xf borderId="13" fillId="0" fontId="1" numFmtId="164" xfId="0" applyBorder="1" applyFont="1" applyNumberFormat="1"/>
    <xf borderId="14" fillId="0" fontId="1" numFmtId="0" xfId="0" applyBorder="1" applyFont="1"/>
    <xf borderId="14" fillId="0" fontId="1" numFmtId="166" xfId="0" applyBorder="1" applyFont="1" applyNumberFormat="1"/>
    <xf borderId="15" fillId="3" fontId="1" numFmtId="164" xfId="0" applyBorder="1" applyFill="1" applyFont="1" applyNumberFormat="1"/>
    <xf borderId="14" fillId="0" fontId="1" numFmtId="164" xfId="0" applyBorder="1" applyFont="1" applyNumberFormat="1"/>
    <xf borderId="16" fillId="0" fontId="1" numFmtId="164" xfId="0" applyBorder="1" applyFont="1" applyNumberFormat="1"/>
    <xf borderId="17" fillId="3" fontId="1" numFmtId="164" xfId="0" applyBorder="1" applyFont="1" applyNumberFormat="1"/>
    <xf borderId="18" fillId="0" fontId="2" numFmtId="0" xfId="0" applyAlignment="1" applyBorder="1" applyFont="1">
      <alignment horizontal="center"/>
    </xf>
    <xf borderId="18" fillId="0" fontId="3" numFmtId="0" xfId="0" applyBorder="1" applyFont="1"/>
    <xf borderId="0" fillId="0" fontId="2" numFmtId="0" xfId="0" applyAlignment="1" applyFont="1">
      <alignment horizontal="center"/>
    </xf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1" fillId="0" fontId="1" numFmtId="164" xfId="0" applyBorder="1" applyFont="1" applyNumberFormat="1"/>
    <xf borderId="21" fillId="0" fontId="1" numFmtId="0" xfId="0" applyBorder="1" applyFont="1"/>
    <xf borderId="0" fillId="0" fontId="1" numFmtId="0" xfId="0" applyAlignment="1" applyFont="1">
      <alignment shrinkToFit="0" wrapText="1"/>
    </xf>
    <xf borderId="22" fillId="4" fontId="5" numFmtId="0" xfId="0" applyAlignment="1" applyBorder="1" applyFill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167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24" fillId="0" fontId="6" numFmtId="0" xfId="0" applyAlignment="1" applyBorder="1" applyFont="1">
      <alignment horizontal="center" shrinkToFit="0" vertical="center" wrapText="1"/>
    </xf>
    <xf borderId="25" fillId="0" fontId="6" numFmtId="0" xfId="0" applyAlignment="1" applyBorder="1" applyFont="1">
      <alignment horizontal="center" shrinkToFit="0" vertical="center" wrapText="1"/>
    </xf>
    <xf borderId="25" fillId="0" fontId="6" numFmtId="167" xfId="0" applyAlignment="1" applyBorder="1" applyFont="1" applyNumberFormat="1">
      <alignment horizontal="center" shrinkToFit="0" vertical="center" wrapText="1"/>
    </xf>
    <xf borderId="26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167" xfId="0" applyAlignment="1" applyFont="1" applyNumberFormat="1">
      <alignment horizontal="center" shrinkToFit="0" vertical="center" wrapText="1"/>
    </xf>
    <xf borderId="27" fillId="0" fontId="7" numFmtId="0" xfId="0" applyAlignment="1" applyBorder="1" applyFont="1">
      <alignment horizontal="center"/>
    </xf>
    <xf borderId="28" fillId="0" fontId="3" numFmtId="0" xfId="0" applyBorder="1" applyFont="1"/>
    <xf borderId="29" fillId="0" fontId="3" numFmtId="0" xfId="0" applyBorder="1" applyFont="1"/>
    <xf borderId="0" fillId="0" fontId="1" numFmtId="0" xfId="0" applyFont="1"/>
    <xf borderId="1" fillId="0" fontId="8" numFmtId="0" xfId="0" applyAlignment="1" applyBorder="1" applyFont="1">
      <alignment horizontal="center" vertical="center"/>
    </xf>
    <xf borderId="2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8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0" fontId="9" numFmtId="0" xfId="0" applyAlignment="1" applyBorder="1" applyFont="1">
      <alignment horizontal="center"/>
    </xf>
    <xf borderId="34" fillId="0" fontId="3" numFmtId="0" xfId="0" applyBorder="1" applyFont="1"/>
    <xf borderId="35" fillId="0" fontId="3" numFmtId="0" xfId="0" applyBorder="1" applyFont="1"/>
    <xf borderId="36" fillId="0" fontId="1" numFmtId="0" xfId="0" applyAlignment="1" applyBorder="1" applyFont="1">
      <alignment horizontal="center" vertical="center"/>
    </xf>
    <xf borderId="37" fillId="0" fontId="10" numFmtId="0" xfId="0" applyAlignment="1" applyBorder="1" applyFont="1">
      <alignment horizontal="center" vertical="center"/>
    </xf>
    <xf borderId="38" fillId="0" fontId="1" numFmtId="0" xfId="0" applyBorder="1" applyFont="1"/>
    <xf borderId="39" fillId="0" fontId="1" numFmtId="168" xfId="0" applyBorder="1" applyFont="1" applyNumberFormat="1"/>
    <xf borderId="40" fillId="0" fontId="1" numFmtId="168" xfId="0" applyBorder="1" applyFont="1" applyNumberFormat="1"/>
    <xf borderId="41" fillId="0" fontId="1" numFmtId="168" xfId="0" applyBorder="1" applyFont="1" applyNumberFormat="1"/>
    <xf borderId="42" fillId="0" fontId="1" numFmtId="168" xfId="0" applyBorder="1" applyFont="1" applyNumberFormat="1"/>
    <xf borderId="31" fillId="0" fontId="1" numFmtId="168" xfId="0" applyBorder="1" applyFont="1" applyNumberFormat="1"/>
    <xf borderId="43" fillId="0" fontId="1" numFmtId="168" xfId="0" applyBorder="1" applyFont="1" applyNumberFormat="1"/>
    <xf borderId="19" fillId="0" fontId="10" numFmtId="0" xfId="0" applyBorder="1" applyFont="1"/>
    <xf borderId="20" fillId="0" fontId="1" numFmtId="166" xfId="0" applyBorder="1" applyFont="1" applyNumberFormat="1"/>
    <xf borderId="17" fillId="3" fontId="2" numFmtId="166" xfId="0" applyBorder="1" applyFont="1" applyNumberFormat="1"/>
    <xf borderId="0" fillId="0" fontId="1" numFmtId="167" xfId="0" applyFont="1" applyNumberFormat="1"/>
    <xf borderId="0" fillId="0" fontId="1" numFmtId="0" xfId="0" applyAlignment="1" applyFont="1">
      <alignment horizontal="center" vertical="center"/>
    </xf>
    <xf borderId="44" fillId="0" fontId="1" numFmtId="0" xfId="0" applyBorder="1" applyFont="1"/>
    <xf borderId="45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46" fillId="0" fontId="1" numFmtId="0" xfId="0" applyAlignment="1" applyBorder="1" applyFont="1">
      <alignment horizontal="center" vertical="center"/>
    </xf>
    <xf borderId="39" fillId="0" fontId="1" numFmtId="166" xfId="0" applyAlignment="1" applyBorder="1" applyFont="1" applyNumberFormat="1">
      <alignment horizontal="center" vertical="center"/>
    </xf>
    <xf borderId="40" fillId="0" fontId="3" numFmtId="0" xfId="0" applyBorder="1" applyFont="1"/>
    <xf borderId="40" fillId="0" fontId="1" numFmtId="166" xfId="0" applyBorder="1" applyFont="1" applyNumberFormat="1"/>
    <xf borderId="41" fillId="0" fontId="1" numFmtId="166" xfId="0" applyBorder="1" applyFont="1" applyNumberFormat="1"/>
    <xf borderId="47" fillId="0" fontId="1" numFmtId="0" xfId="0" applyBorder="1" applyFont="1"/>
    <xf borderId="42" fillId="0" fontId="1" numFmtId="166" xfId="0" applyBorder="1" applyFont="1" applyNumberFormat="1"/>
    <xf borderId="31" fillId="0" fontId="1" numFmtId="166" xfId="0" applyBorder="1" applyFont="1" applyNumberFormat="1"/>
    <xf borderId="43" fillId="0" fontId="1" numFmtId="166" xfId="0" applyBorder="1" applyFont="1" applyNumberFormat="1"/>
    <xf borderId="48" fillId="0" fontId="1" numFmtId="166" xfId="0" applyBorder="1" applyFont="1" applyNumberFormat="1"/>
    <xf borderId="20" fillId="0" fontId="1" numFmtId="167" xfId="0" applyBorder="1" applyFont="1" applyNumberFormat="1"/>
    <xf borderId="2" fillId="0" fontId="7" numFmtId="0" xfId="0" applyAlignment="1" applyBorder="1" applyFont="1">
      <alignment horizontal="center"/>
    </xf>
    <xf borderId="49" fillId="0" fontId="8" numFmtId="0" xfId="0" applyAlignment="1" applyBorder="1" applyFont="1">
      <alignment horizontal="center" vertical="center"/>
    </xf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55" fillId="0" fontId="3" numFmtId="0" xfId="0" applyBorder="1" applyFont="1"/>
    <xf borderId="56" fillId="0" fontId="3" numFmtId="0" xfId="0" applyBorder="1" applyFont="1"/>
    <xf borderId="57" fillId="0" fontId="9" numFmtId="0" xfId="0" applyAlignment="1" applyBorder="1" applyFont="1">
      <alignment horizontal="center"/>
    </xf>
    <xf borderId="58" fillId="0" fontId="3" numFmtId="0" xfId="0" applyBorder="1" applyFont="1"/>
    <xf borderId="59" fillId="0" fontId="3" numFmtId="0" xfId="0" applyBorder="1" applyFont="1"/>
    <xf borderId="37" fillId="0" fontId="1" numFmtId="0" xfId="0" applyAlignment="1" applyBorder="1" applyFont="1">
      <alignment horizontal="center" vertical="center"/>
    </xf>
    <xf borderId="60" fillId="0" fontId="1" numFmtId="168" xfId="0" applyBorder="1" applyFont="1" applyNumberFormat="1"/>
    <xf borderId="32" fillId="0" fontId="1" numFmtId="168" xfId="0" applyBorder="1" applyFont="1" applyNumberFormat="1"/>
    <xf borderId="17" fillId="3" fontId="2" numFmtId="168" xfId="0" applyBorder="1" applyFont="1" applyNumberFormat="1"/>
    <xf borderId="61" fillId="0" fontId="1" numFmtId="0" xfId="0" applyAlignment="1" applyBorder="1" applyFont="1">
      <alignment horizontal="center" vertical="center"/>
    </xf>
    <xf borderId="57" fillId="0" fontId="8" numFmtId="0" xfId="0" applyAlignment="1" applyBorder="1" applyFont="1">
      <alignment horizontal="center" vertical="center"/>
    </xf>
    <xf borderId="58" fillId="0" fontId="9" numFmtId="0" xfId="0" applyAlignment="1" applyBorder="1" applyFont="1">
      <alignment horizontal="center"/>
    </xf>
    <xf borderId="59" fillId="0" fontId="9" numFmtId="0" xfId="0" applyAlignment="1" applyBorder="1" applyFont="1">
      <alignment horizontal="center"/>
    </xf>
    <xf borderId="60" fillId="0" fontId="1" numFmtId="166" xfId="0" applyBorder="1" applyFont="1" applyNumberFormat="1"/>
    <xf borderId="39" fillId="0" fontId="1" numFmtId="166" xfId="0" applyBorder="1" applyFont="1" applyNumberFormat="1"/>
    <xf borderId="40" fillId="0" fontId="1" numFmtId="166" xfId="0" applyAlignment="1" applyBorder="1" applyFont="1" applyNumberFormat="1">
      <alignment horizontal="center"/>
    </xf>
    <xf borderId="62" fillId="0" fontId="3" numFmtId="0" xfId="0" applyBorder="1" applyFont="1"/>
    <xf borderId="5" fillId="0" fontId="10" numFmtId="0" xfId="0" applyBorder="1" applyFont="1"/>
    <xf borderId="0" fillId="0" fontId="1" numFmtId="166" xfId="0" applyFont="1" applyNumberFormat="1"/>
    <xf borderId="63" fillId="0" fontId="11" numFmtId="166" xfId="0" applyBorder="1" applyFont="1" applyNumberFormat="1"/>
    <xf borderId="64" fillId="3" fontId="2" numFmtId="166" xfId="0" applyBorder="1" applyFont="1" applyNumberFormat="1"/>
    <xf borderId="39" fillId="0" fontId="1" numFmtId="166" xfId="0" applyAlignment="1" applyBorder="1" applyFont="1" applyNumberFormat="1">
      <alignment horizontal="center"/>
    </xf>
    <xf borderId="23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9" fillId="0" fontId="1" numFmtId="164" xfId="0" applyBorder="1" applyFont="1" applyNumberFormat="1"/>
    <xf borderId="9" fillId="0" fontId="1" numFmtId="166" xfId="0" applyBorder="1" applyFont="1" applyNumberFormat="1"/>
    <xf borderId="0" fillId="0" fontId="1" numFmtId="0" xfId="0" applyAlignment="1" applyFont="1">
      <alignment horizontal="center" shrinkToFit="0" wrapText="1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0" fontId="1" numFmtId="166" xfId="0" applyBorder="1" applyFont="1" applyNumberFormat="1"/>
    <xf borderId="39" fillId="0" fontId="11" numFmtId="0" xfId="0" applyAlignment="1" applyBorder="1" applyFont="1">
      <alignment horizontal="center" shrinkToFit="0" vertical="center" wrapText="1"/>
    </xf>
    <xf borderId="40" fillId="0" fontId="11" numFmtId="0" xfId="0" applyAlignment="1" applyBorder="1" applyFont="1">
      <alignment horizontal="center" shrinkToFit="0" vertical="center" wrapText="1"/>
    </xf>
    <xf borderId="65" fillId="0" fontId="3" numFmtId="0" xfId="0" applyBorder="1" applyFont="1"/>
    <xf borderId="66" fillId="0" fontId="1" numFmtId="0" xfId="0" applyAlignment="1" applyBorder="1" applyFont="1">
      <alignment horizontal="center" shrinkToFit="0" wrapText="1"/>
    </xf>
    <xf borderId="46" fillId="0" fontId="1" numFmtId="0" xfId="0" applyAlignment="1" applyBorder="1" applyFont="1">
      <alignment horizontal="center" shrinkToFit="0" wrapText="1"/>
    </xf>
    <xf borderId="66" fillId="0" fontId="3" numFmtId="0" xfId="0" applyBorder="1" applyFont="1"/>
    <xf borderId="46" fillId="0" fontId="3" numFmtId="0" xfId="0" applyBorder="1" applyFont="1"/>
    <xf borderId="67" fillId="0" fontId="1" numFmtId="0" xfId="0" applyBorder="1" applyFont="1"/>
    <xf borderId="68" fillId="0" fontId="1" numFmtId="0" xfId="0" applyBorder="1" applyFont="1"/>
    <xf borderId="68" fillId="0" fontId="1" numFmtId="168" xfId="0" applyBorder="1" applyFont="1" applyNumberFormat="1"/>
    <xf borderId="69" fillId="0" fontId="1" numFmtId="168" xfId="0" applyBorder="1" applyFont="1" applyNumberFormat="1"/>
    <xf borderId="0" fillId="0" fontId="12" numFmtId="0" xfId="0" applyFont="1"/>
    <xf borderId="70" fillId="2" fontId="13" numFmtId="165" xfId="0" applyAlignment="1" applyBorder="1" applyFont="1" applyNumberFormat="1">
      <alignment horizontal="center" shrinkToFit="0" wrapText="1"/>
    </xf>
    <xf borderId="0" fillId="0" fontId="6" numFmtId="169" xfId="0" applyAlignment="1" applyFont="1" applyNumberFormat="1">
      <alignment horizontal="right" shrinkToFit="0" wrapText="1"/>
    </xf>
    <xf borderId="71" fillId="5" fontId="1" numFmtId="14" xfId="0" applyAlignment="1" applyBorder="1" applyFill="1" applyFont="1" applyNumberFormat="1">
      <alignment horizontal="center" vertical="center"/>
    </xf>
    <xf borderId="70" fillId="5" fontId="14" numFmtId="0" xfId="0" applyAlignment="1" applyBorder="1" applyFont="1">
      <alignment vertical="center"/>
    </xf>
    <xf borderId="0" fillId="0" fontId="15" numFmtId="0" xfId="0" applyAlignment="1" applyFont="1">
      <alignment horizontal="center" shrinkToFit="0" vertical="center" wrapText="1"/>
    </xf>
    <xf borderId="70" fillId="5" fontId="16" numFmtId="0" xfId="0" applyAlignment="1" applyBorder="1" applyFont="1">
      <alignment horizontal="center" shrinkToFit="0" vertical="center" wrapText="1"/>
    </xf>
    <xf borderId="0" fillId="0" fontId="15" numFmtId="165" xfId="0" applyAlignment="1" applyFont="1" applyNumberFormat="1">
      <alignment horizontal="center" shrinkToFit="0" vertical="center" wrapText="1"/>
    </xf>
    <xf borderId="0" fillId="0" fontId="6" numFmtId="14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center" shrinkToFit="0" vertical="center" wrapText="1"/>
    </xf>
    <xf borderId="0" fillId="0" fontId="6" numFmtId="165" xfId="0" applyAlignment="1" applyFont="1" applyNumberFormat="1">
      <alignment horizontal="right" shrinkToFit="0" wrapText="1"/>
    </xf>
    <xf borderId="0" fillId="0" fontId="6" numFmtId="0" xfId="0" applyAlignment="1" applyFont="1">
      <alignment horizontal="center" shrinkToFit="0" vertical="center" wrapText="1"/>
    </xf>
    <xf borderId="0" fillId="0" fontId="1" numFmtId="167" xfId="0" applyFont="1" applyNumberFormat="1"/>
    <xf borderId="0" fillId="0" fontId="1" numFmtId="170" xfId="0" applyFont="1" applyNumberFormat="1"/>
    <xf borderId="0" fillId="0" fontId="6" numFmtId="169" xfId="0" applyAlignment="1" applyFont="1" applyNumberFormat="1">
      <alignment horizontal="right"/>
    </xf>
    <xf borderId="0" fillId="0" fontId="1" numFmtId="169" xfId="0" applyFont="1" applyNumberFormat="1"/>
    <xf borderId="0" fillId="0" fontId="6" numFmtId="170" xfId="0" applyAlignment="1" applyFont="1" applyNumberFormat="1">
      <alignment horizontal="right"/>
    </xf>
    <xf borderId="0" fillId="0" fontId="6" numFmtId="169" xfId="0" applyAlignment="1" applyFont="1" applyNumberFormat="1">
      <alignment horizontal="right" shrinkToFit="0" wrapText="1"/>
    </xf>
    <xf borderId="70" fillId="4" fontId="17" numFmtId="14" xfId="0" applyBorder="1" applyFont="1" applyNumberFormat="1"/>
    <xf borderId="70" fillId="5" fontId="1" numFmtId="14" xfId="0" applyBorder="1" applyFont="1" applyNumberFormat="1"/>
    <xf borderId="0" fillId="0" fontId="1" numFmtId="1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70" fillId="5" fontId="1" numFmtId="165" xfId="0" applyBorder="1" applyFont="1" applyNumberFormat="1"/>
    <xf borderId="0" fillId="0" fontId="1" numFmtId="167" xfId="0" applyAlignment="1" applyFont="1" applyNumberFormat="1">
      <alignment horizontal="center" vertical="center"/>
    </xf>
    <xf borderId="70" fillId="5" fontId="1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70" fillId="5" fontId="1" numFmtId="14" xfId="0" applyAlignment="1" applyBorder="1" applyFont="1" applyNumberFormat="1">
      <alignment horizontal="center" vertical="center"/>
    </xf>
    <xf borderId="0" fillId="0" fontId="6" numFmtId="170" xfId="0" applyAlignment="1" applyFont="1" applyNumberFormat="1">
      <alignment horizontal="right" shrinkToFit="0" wrapText="1"/>
    </xf>
    <xf borderId="0" fillId="0" fontId="1" numFmtId="165" xfId="0" applyFont="1" applyNumberFormat="1"/>
    <xf borderId="72" fillId="3" fontId="10" numFmtId="165" xfId="0" applyAlignment="1" applyBorder="1" applyFont="1" applyNumberFormat="1">
      <alignment horizontal="center" vertical="center"/>
    </xf>
    <xf borderId="73" fillId="4" fontId="19" numFmtId="0" xfId="0" applyAlignment="1" applyBorder="1" applyFont="1">
      <alignment horizontal="center" vertical="center"/>
    </xf>
    <xf borderId="70" fillId="3" fontId="11" numFmtId="165" xfId="0" applyAlignment="1" applyBorder="1" applyFont="1" applyNumberFormat="1">
      <alignment horizontal="center" vertical="center"/>
    </xf>
    <xf borderId="70" fillId="5" fontId="11" numFmtId="0" xfId="0" applyBorder="1" applyFont="1"/>
    <xf borderId="70" fillId="3" fontId="11" numFmtId="167" xfId="0" applyAlignment="1" applyBorder="1" applyFont="1" applyNumberFormat="1">
      <alignment horizontal="center" vertical="center"/>
    </xf>
    <xf borderId="70" fillId="3" fontId="11" numFmtId="1" xfId="0" applyAlignment="1" applyBorder="1" applyFont="1" applyNumberFormat="1">
      <alignment horizontal="center" shrinkToFit="0" vertical="center" wrapText="1"/>
    </xf>
    <xf borderId="0" fillId="0" fontId="1" numFmtId="165" xfId="0" applyAlignment="1" applyFont="1" applyNumberFormat="1">
      <alignment shrinkToFit="0" wrapText="1"/>
    </xf>
    <xf borderId="0" fillId="0" fontId="6" numFmtId="0" xfId="0" applyAlignment="1" applyFont="1">
      <alignment horizontal="left" shrinkToFit="0" vertical="top" wrapText="1"/>
    </xf>
    <xf borderId="0" fillId="0" fontId="6" numFmtId="167" xfId="0" applyAlignment="1" applyFont="1" applyNumberFormat="1">
      <alignment horizontal="right" shrinkToFit="0" wrapText="1"/>
    </xf>
    <xf borderId="0" fillId="0" fontId="6" numFmtId="167" xfId="0" applyAlignment="1" applyFont="1" applyNumberFormat="1">
      <alignment horizontal="right"/>
    </xf>
    <xf borderId="0" fillId="0" fontId="1" numFmtId="14" xfId="0" applyFont="1" applyNumberFormat="1"/>
    <xf borderId="22" fillId="4" fontId="15" numFmtId="0" xfId="0" applyAlignment="1" applyBorder="1" applyFon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70" fillId="5" fontId="20" numFmtId="0" xfId="0" applyAlignment="1" applyBorder="1" applyFont="1">
      <alignment vertical="center"/>
    </xf>
    <xf borderId="22" fillId="4" fontId="5" numFmtId="0" xfId="0" applyAlignment="1" applyBorder="1" applyFont="1">
      <alignment horizontal="center" shrinkToFit="0" vertical="center" wrapText="1"/>
    </xf>
    <xf borderId="70" fillId="5" fontId="20" numFmtId="0" xfId="0" applyAlignment="1" applyBorder="1" applyFont="1">
      <alignment vertical="center"/>
    </xf>
    <xf borderId="0" fillId="0" fontId="4" numFmtId="0" xfId="0" applyAlignment="1" applyFont="1">
      <alignment horizontal="center"/>
    </xf>
    <xf borderId="0" fillId="0" fontId="1" numFmtId="14" xfId="0" applyAlignment="1" applyFont="1" applyNumberFormat="1">
      <alignment horizontal="left" vertical="top"/>
    </xf>
    <xf borderId="0" fillId="0" fontId="1" numFmtId="0" xfId="0" applyAlignment="1" applyFont="1">
      <alignment horizontal="center" vertical="center"/>
    </xf>
    <xf borderId="0" fillId="0" fontId="1" numFmtId="167" xfId="0" applyAlignment="1" applyFont="1" applyNumberFormat="1">
      <alignment horizontal="right"/>
    </xf>
    <xf borderId="0" fillId="0" fontId="1" numFmtId="167" xfId="0" applyAlignment="1" applyFont="1" applyNumberFormat="1">
      <alignment horizontal="right"/>
    </xf>
    <xf borderId="0" fillId="0" fontId="1" numFmtId="14" xfId="0" applyFont="1" applyNumberFormat="1"/>
    <xf borderId="0" fillId="0" fontId="1" numFmtId="171" xfId="0" applyFont="1" applyNumberFormat="1"/>
    <xf borderId="0" fillId="0" fontId="1" numFmtId="165" xfId="0" applyFont="1" applyNumberFormat="1"/>
    <xf borderId="72" fillId="3" fontId="10" numFmtId="167" xfId="0" applyAlignment="1" applyBorder="1" applyFont="1" applyNumberFormat="1">
      <alignment horizontal="center" vertical="center"/>
    </xf>
    <xf borderId="72" fillId="3" fontId="10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</dxfs>
  <tableStyles count="8">
    <tableStyle count="3" pivot="0" name="Product Info-style">
      <tableStyleElement dxfId="1" type="headerRow"/>
      <tableStyleElement dxfId="2" type="firstRowStripe"/>
      <tableStyleElement dxfId="3" type="secondRowStripe"/>
    </tableStyle>
    <tableStyle count="3" pivot="0" name="Carrier Rates-style">
      <tableStyleElement dxfId="1" type="headerRow"/>
      <tableStyleElement dxfId="2" type="firstRowStripe"/>
      <tableStyleElement dxfId="3" type="secondRowStripe"/>
    </tableStyle>
    <tableStyle count="4" pivot="0" name="Historical Orders-style">
      <tableStyleElement dxfId="1" type="headerRow"/>
      <tableStyleElement dxfId="2" type="firstRowStripe"/>
      <tableStyleElement dxfId="3" type="secondRowStripe"/>
      <tableStyleElement dxfId="3" type="totalRow"/>
    </tableStyle>
    <tableStyle count="4" pivot="0" name="Historical Orders-style 2">
      <tableStyleElement dxfId="4" type="headerRow"/>
      <tableStyleElement dxfId="5" type="firstRowStripe"/>
      <tableStyleElement dxfId="3" type="secondRowStripe"/>
      <tableStyleElement dxfId="3" type="totalRow"/>
    </tableStyle>
    <tableStyle count="4" pivot="0" name="Future Orders-style">
      <tableStyleElement dxfId="1" type="headerRow"/>
      <tableStyleElement dxfId="2" type="firstRowStripe"/>
      <tableStyleElement dxfId="3" type="secondRowStripe"/>
      <tableStyleElement dxfId="3" type="totalRow"/>
    </tableStyle>
    <tableStyle count="4" pivot="0" name="Future Orders-style 2">
      <tableStyleElement dxfId="4" type="headerRow"/>
      <tableStyleElement dxfId="5" type="firstRowStripe"/>
      <tableStyleElement dxfId="3" type="secondRowStripe"/>
      <tableStyleElement dxfId="3" type="totalRow"/>
    </tableStyle>
    <tableStyle count="3" pivot="0" name="Historical Shipments-style">
      <tableStyleElement dxfId="1" type="headerRow"/>
      <tableStyleElement dxfId="2" type="firstRowStripe"/>
      <tableStyleElement dxfId="3" type="secondRowStripe"/>
    </tableStyle>
    <tableStyle count="4" pivot="0" name="Historical Shipments-style 2">
      <tableStyleElement dxfId="4" type="headerRow"/>
      <tableStyleElement dxfId="5" type="firstRowStripe"/>
      <tableStyleElement dxfId="3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Current Historical Orders</a:t>
            </a:r>
          </a:p>
        </c:rich>
      </c:tx>
      <c:overlay val="0"/>
    </c:title>
    <c:plotArea>
      <c:layout>
        <c:manualLayout>
          <c:xMode val="edge"/>
          <c:yMode val="edge"/>
          <c:x val="0.14380036847249153"/>
          <c:y val="0.2911837715200854"/>
          <c:w val="0.5973473635637131"/>
          <c:h val="0.6051948837807378"/>
        </c:manualLayout>
      </c:layout>
      <c:barChart>
        <c:barDir val="col"/>
        <c:ser>
          <c:idx val="0"/>
          <c:order val="0"/>
          <c:tx>
            <c:v>Sum of Weight Total per week Store 1 Supplier 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Charts'!$A$20</c:f>
            </c:strRef>
          </c:cat>
          <c:val>
            <c:numRef>
              <c:f>'Orders Charts'!$A$20</c:f>
              <c:numCache/>
            </c:numRef>
          </c:val>
        </c:ser>
        <c:ser>
          <c:idx val="1"/>
          <c:order val="1"/>
          <c:tx>
            <c:v>Sum of Weight Total per week Store 1 Supplier B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Charts'!$A$20</c:f>
            </c:strRef>
          </c:cat>
          <c:val>
            <c:numRef>
              <c:f>'Orders Charts'!$B$20</c:f>
              <c:numCache/>
            </c:numRef>
          </c:val>
        </c:ser>
        <c:ser>
          <c:idx val="2"/>
          <c:order val="2"/>
          <c:tx>
            <c:v>Sum of Weight Total per week Store 2 Supplier A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Charts'!$A$20</c:f>
            </c:strRef>
          </c:cat>
          <c:val>
            <c:numRef>
              <c:f>'Orders Charts'!$C$20</c:f>
              <c:numCache/>
            </c:numRef>
          </c:val>
        </c:ser>
        <c:ser>
          <c:idx val="3"/>
          <c:order val="3"/>
          <c:tx>
            <c:v>Sum of Weight Total per week Store 2 Supplier B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Charts'!$A$20</c:f>
            </c:strRef>
          </c:cat>
          <c:val>
            <c:numRef>
              <c:f>'Orders Charts'!$D$20</c:f>
              <c:numCache/>
            </c:numRef>
          </c:val>
        </c:ser>
        <c:axId val="148549579"/>
        <c:axId val="1157700575"/>
      </c:barChart>
      <c:catAx>
        <c:axId val="148549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57700575"/>
      </c:catAx>
      <c:valAx>
        <c:axId val="1157700575"/>
        <c:scaling>
          <c:orientation val="minMax"/>
          <c:min val="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8549579"/>
      </c:valAx>
    </c:plotArea>
    <c:legend>
      <c:legendPos val="r"/>
      <c:layout>
        <c:manualLayout>
          <c:xMode val="edge"/>
          <c:yMode val="edge"/>
          <c:x val="0.7500995804713387"/>
          <c:y val="0.26381702672293633"/>
        </c:manualLayout>
      </c:layout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Future Orders Each Store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Sum of Weight Total per week Store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Charts'!$A$35</c:f>
            </c:strRef>
          </c:cat>
          <c:val>
            <c:numRef>
              <c:f>'Orders Charts'!$A$35</c:f>
              <c:numCache/>
            </c:numRef>
          </c:val>
        </c:ser>
        <c:ser>
          <c:idx val="1"/>
          <c:order val="1"/>
          <c:tx>
            <c:v>Sum of Weight Total per week Store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Charts'!$A$35</c:f>
            </c:strRef>
          </c:cat>
          <c:val>
            <c:numRef>
              <c:f>'Orders Charts'!$B$35</c:f>
              <c:numCache/>
            </c:numRef>
          </c:val>
        </c:ser>
        <c:axId val="1037588750"/>
        <c:axId val="1907681187"/>
      </c:barChart>
      <c:catAx>
        <c:axId val="1037588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907681187"/>
      </c:catAx>
      <c:valAx>
        <c:axId val="1907681187"/>
        <c:scaling>
          <c:orientation val="minMax"/>
          <c:min val="1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03758875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Future Historical Order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Sum of Weight Total per week Store 1 Supplier 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Charts'!$A$53</c:f>
            </c:strRef>
          </c:cat>
          <c:val>
            <c:numRef>
              <c:f>'Orders Charts'!$A$53</c:f>
              <c:numCache/>
            </c:numRef>
          </c:val>
        </c:ser>
        <c:ser>
          <c:idx val="1"/>
          <c:order val="1"/>
          <c:tx>
            <c:v>Sum of Weight Total per week Store 1 Supplier B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Charts'!$A$53</c:f>
            </c:strRef>
          </c:cat>
          <c:val>
            <c:numRef>
              <c:f>'Orders Charts'!$B$53</c:f>
              <c:numCache/>
            </c:numRef>
          </c:val>
        </c:ser>
        <c:ser>
          <c:idx val="2"/>
          <c:order val="2"/>
          <c:tx>
            <c:v>Sum of Weight Total per week Store 2 Supplier A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Charts'!$A$53</c:f>
            </c:strRef>
          </c:cat>
          <c:val>
            <c:numRef>
              <c:f>'Orders Charts'!$C$53</c:f>
              <c:numCache/>
            </c:numRef>
          </c:val>
        </c:ser>
        <c:ser>
          <c:idx val="3"/>
          <c:order val="3"/>
          <c:tx>
            <c:v>Sum of Weight Total per week Store 2 Supplier B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Charts'!$A$53</c:f>
            </c:strRef>
          </c:cat>
          <c:val>
            <c:numRef>
              <c:f>'Orders Charts'!$D$53</c:f>
              <c:numCache/>
            </c:numRef>
          </c:val>
        </c:ser>
        <c:axId val="693801014"/>
        <c:axId val="909269585"/>
      </c:barChart>
      <c:catAx>
        <c:axId val="693801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09269585"/>
      </c:catAx>
      <c:valAx>
        <c:axId val="909269585"/>
        <c:scaling>
          <c:orientation val="minMax"/>
          <c:min val="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69380101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Current Orders Each Store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Sum of Weight Total per week Store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Charts'!$A$2</c:f>
            </c:strRef>
          </c:cat>
          <c:val>
            <c:numRef>
              <c:f>'Orders Charts'!$A$2</c:f>
              <c:numCache/>
            </c:numRef>
          </c:val>
        </c:ser>
        <c:ser>
          <c:idx val="1"/>
          <c:order val="1"/>
          <c:tx>
            <c:v>Sum of Weight Total per week Store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Charts'!$A$2</c:f>
            </c:strRef>
          </c:cat>
          <c:val>
            <c:numRef>
              <c:f>'Orders Charts'!$B$2</c:f>
              <c:numCache/>
            </c:numRef>
          </c:val>
        </c:ser>
        <c:axId val="2041263288"/>
        <c:axId val="78778176"/>
      </c:barChart>
      <c:catAx>
        <c:axId val="2041263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78778176"/>
      </c:catAx>
      <c:valAx>
        <c:axId val="78778176"/>
        <c:scaling>
          <c:orientation val="minMax"/>
          <c:min val="1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04126328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Future Orders with and without Hammer's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Sum of Store 1 Shipping Merged below 44,000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Charts'!$A$70</c:f>
            </c:strRef>
          </c:cat>
          <c:val>
            <c:numRef>
              <c:f>'Orders Charts'!$A$70</c:f>
              <c:numCache/>
            </c:numRef>
          </c:val>
        </c:ser>
        <c:ser>
          <c:idx val="1"/>
          <c:order val="1"/>
          <c:tx>
            <c:v>Sum of Store 2 Shipping Merged below 44,000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Charts'!$A$70</c:f>
            </c:strRef>
          </c:cat>
          <c:val>
            <c:numRef>
              <c:f>'Orders Charts'!$B$70</c:f>
              <c:numCache/>
            </c:numRef>
          </c:val>
        </c:ser>
        <c:ser>
          <c:idx val="2"/>
          <c:order val="2"/>
          <c:tx>
            <c:v>Sum of Store 1 Shipping with Hammers Merged below 44,000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Charts'!$A$70</c:f>
            </c:strRef>
          </c:cat>
          <c:val>
            <c:numRef>
              <c:f>'Orders Charts'!$C$70</c:f>
              <c:numCache/>
            </c:numRef>
          </c:val>
        </c:ser>
        <c:ser>
          <c:idx val="3"/>
          <c:order val="3"/>
          <c:tx>
            <c:v>Sum of Store 2 Shipping with Hammers Merged below 44,000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'Orders Charts'!$A$70</c:f>
            </c:strRef>
          </c:cat>
          <c:val>
            <c:numRef>
              <c:f>'Orders Charts'!$D$70</c:f>
              <c:numCache/>
            </c:numRef>
          </c:val>
        </c:ser>
        <c:axId val="1191444567"/>
        <c:axId val="22210172"/>
      </c:barChart>
      <c:catAx>
        <c:axId val="1191444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2210172"/>
      </c:catAx>
      <c:valAx>
        <c:axId val="22210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9144456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16</xdr:row>
      <xdr:rowOff>0</xdr:rowOff>
    </xdr:from>
    <xdr:ext cx="8877300" cy="3533775"/>
    <xdr:sp>
      <xdr:nvSpPr>
        <xdr:cNvPr id="3" name="Shape 3"/>
        <xdr:cNvSpPr txBox="1"/>
      </xdr:nvSpPr>
      <xdr:spPr>
        <a:xfrm>
          <a:off x="907350" y="2017875"/>
          <a:ext cx="8877300" cy="35242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Carrier Optimization Insight: Evaluating Transport Y for Supplier B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Based on current order volumes and historical sales trends, initial analysis suggests that assigning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Supplier B to Transport Y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offers a favorable financial outcome when considering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only production and transportation costs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This pairing appears to maximize cost efficiency under existing conditions.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However, a deeper look into our current transportation structure reveals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unrealized cost-saving opportunities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Specifically, while Transport Y may seem optimal at first glance, our inability to trace historical carrier usage limits our ability to validate this assumption. The absence of carrier-specific shipment data in our historical records introduces uncertainty, making it difficult to quantify past performance or cost impact accurately.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 address this, I recommend:</a:t>
          </a:r>
          <a:endParaRPr sz="1400"/>
        </a:p>
        <a:p>
          <a:pPr indent="-171450" lvl="0" marL="171450" rtl="0" algn="l">
            <a:spcBef>
              <a:spcPts val="0"/>
            </a:spcBef>
            <a:spcAft>
              <a:spcPts val="0"/>
            </a:spcAft>
            <a:buSzPts val="1100"/>
            <a:buFont typeface="Arial"/>
            <a:buChar char="•"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Leveraging available weight capacity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 existing carrier loads (e.g., Carrier X) to absorb Supplier B’s hammer shipments during the first year.</a:t>
          </a:r>
          <a:endParaRPr sz="1400"/>
        </a:p>
        <a:p>
          <a:pPr indent="-171450" lvl="0" marL="171450" rtl="0" algn="l">
            <a:spcBef>
              <a:spcPts val="0"/>
            </a:spcBef>
            <a:spcAft>
              <a:spcPts val="0"/>
            </a:spcAft>
            <a:buSzPts val="1100"/>
            <a:buFont typeface="Arial"/>
            <a:buChar char="•"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Initiating a data capture process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to track carrier-specific shipment details going forward.</a:t>
          </a:r>
          <a:endParaRPr sz="1400"/>
        </a:p>
        <a:p>
          <a:pPr indent="-171450" lvl="0" marL="171450" rtl="0" algn="l">
            <a:spcBef>
              <a:spcPts val="0"/>
            </a:spcBef>
            <a:spcAft>
              <a:spcPts val="0"/>
            </a:spcAft>
            <a:buSzPts val="1100"/>
            <a:buFont typeface="Arial"/>
            <a:buChar char="•"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Analyzing historical sales data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for similar SKUs to forecast demand and refine carrier selection.</a:t>
          </a:r>
          <a:endParaRPr sz="1400"/>
        </a:p>
        <a:p>
          <a:pPr indent="-101600" lvl="0" marL="17145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This approach allows us to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minimize upfront transportation costs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while building a data foundation for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more informed, performance-based carrier decisions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 subsequent years.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15</xdr:row>
      <xdr:rowOff>104775</xdr:rowOff>
    </xdr:from>
    <xdr:ext cx="8181975" cy="3733800"/>
    <xdr:sp>
      <xdr:nvSpPr>
        <xdr:cNvPr id="4" name="Shape 4"/>
        <xdr:cNvSpPr txBox="1"/>
      </xdr:nvSpPr>
      <xdr:spPr>
        <a:xfrm>
          <a:off x="1255013" y="1917863"/>
          <a:ext cx="8181975" cy="37242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Year-Over-Year Carrier Cost Projection: Evaluating Transport Y vs. Carrier X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Based on projected production and transportation metrics for the upcoming fiscal year,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Transport Y continues to present a cost advantage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for Supplier B when evaluated strictly on production and freight costs. This makes it a viable short-term solution for managing logistics spend.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However, a comparative analysis of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shipping cost trajectories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reveals that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Carrier X’s cost structure becomes increasingly favorable by Year 3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suggesting a potential shift in economic advantage over time. This trend highlights the importance of incorporating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multi-year cost modeling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into our carrier selection strategy.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 key limitation in our current analysis is the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lack of historical carrier-specific shipment data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which restricts our ability to validate assumptions with precision. Without visibility into which carriers were used for past shipments, we are relying on inferred patterns rather than confirmed data.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 strengthen future decision-making, I recommend:</a:t>
          </a:r>
          <a:endParaRPr sz="1400"/>
        </a:p>
        <a:p>
          <a:pPr indent="-171450" lvl="0" marL="171450" rtl="0" algn="l">
            <a:spcBef>
              <a:spcPts val="0"/>
            </a:spcBef>
            <a:spcAft>
              <a:spcPts val="0"/>
            </a:spcAft>
            <a:buSzPts val="1100"/>
            <a:buFont typeface="Arial"/>
            <a:buChar char="•"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Implementing carrier-level tracking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 our order management system to capture shipment history.</a:t>
          </a:r>
          <a:endParaRPr sz="1400"/>
        </a:p>
        <a:p>
          <a:pPr indent="-171450" lvl="0" marL="171450" rtl="0" algn="l">
            <a:spcBef>
              <a:spcPts val="0"/>
            </a:spcBef>
            <a:spcAft>
              <a:spcPts val="0"/>
            </a:spcAft>
            <a:buSzPts val="1100"/>
            <a:buFont typeface="Arial"/>
            <a:buChar char="•"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Developing a multi-year cost simulation model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to forecast carrier performance under varying production and demand scenarios.</a:t>
          </a:r>
          <a:endParaRPr sz="1400"/>
        </a:p>
        <a:p>
          <a:pPr indent="-171450" lvl="0" marL="171450" rtl="0" algn="l">
            <a:spcBef>
              <a:spcPts val="0"/>
            </a:spcBef>
            <a:spcAft>
              <a:spcPts val="0"/>
            </a:spcAft>
            <a:buSzPts val="1100"/>
            <a:buFont typeface="Arial"/>
            <a:buChar char="•"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Reassessing carrier allocation annually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using updated sales and cost data to ensure alignment with evolving market conditions.</a:t>
          </a:r>
          <a:endParaRPr sz="1400"/>
        </a:p>
        <a:p>
          <a:pPr indent="-101600" lvl="0" marL="17145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This approach balances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short-term cost savings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with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long-term strategic flexibility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ensuring we remain responsive to both financial and operational shifts in our supply chain.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16</xdr:row>
      <xdr:rowOff>66675</xdr:rowOff>
    </xdr:from>
    <xdr:ext cx="7353300" cy="1800225"/>
    <xdr:sp>
      <xdr:nvSpPr>
        <xdr:cNvPr id="5" name="Shape 5"/>
        <xdr:cNvSpPr txBox="1"/>
      </xdr:nvSpPr>
      <xdr:spPr>
        <a:xfrm>
          <a:off x="1674113" y="2879888"/>
          <a:ext cx="7343775" cy="18002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Year 3 Performance Confirmation &amp; Strategic Carrier Outlook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Year 3 results aligned with projections—rising production and shipping costs with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Carrier Y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have reduced product profitability. In contrast,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Carrier X delivered a 20% cost improvement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over Year 1, reinforcing its viability as a more efficient logistics partner.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Early transition to Carrier X before Year 3 could have yielded stronger outcomes. As we approach Year 5, we must evaluate whether continuing with Carrier Y will reverse the trend or if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 strategic shift to Carrier X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offers a more sustainable, long-term solution.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16</xdr:row>
      <xdr:rowOff>76200</xdr:rowOff>
    </xdr:from>
    <xdr:ext cx="8715375" cy="2209800"/>
    <xdr:sp>
      <xdr:nvSpPr>
        <xdr:cNvPr id="6" name="Shape 6"/>
        <xdr:cNvSpPr txBox="1"/>
      </xdr:nvSpPr>
      <xdr:spPr>
        <a:xfrm>
          <a:off x="988313" y="2679863"/>
          <a:ext cx="8715375" cy="22002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Year 5 Carrier Strategy Recommendation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Year 5 projections indicate that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Carrier Y may again be a viable option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due to increased weight requirements. However, this shift could conflict with courier expectations, particularly if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contractual load commitments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are in place. Careful consideration is advised.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 balance cost and operational efficiency, I recommend a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split-shipment strategy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Supplier B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ships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Hammers and Drills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via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Carrier X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leveraging historical order data that suggests the combined load will remain under the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44,000 lb limit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Supplier 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handles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Wrenches and Saws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using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Carrier Y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allowing for a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flexible rate structure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maximizing throughput.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This approach aligns with our Year 1 optimization goals and offers a scalable path forward while mitigating risk and maintaining carrier relationships.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209550</xdr:colOff>
      <xdr:row>73</xdr:row>
      <xdr:rowOff>152400</xdr:rowOff>
    </xdr:from>
    <xdr:ext cx="11287125" cy="2752725"/>
    <xdr:sp>
      <xdr:nvSpPr>
        <xdr:cNvPr id="7" name="Shape 7"/>
        <xdr:cNvSpPr txBox="1"/>
      </xdr:nvSpPr>
      <xdr:spPr>
        <a:xfrm>
          <a:off x="0" y="2408400"/>
          <a:ext cx="10692000" cy="27432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Proposal: Strategic Carrier Allocation for Hammer Product Launch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To optimize transportation efficiency and cost-effectiveness during the initial rollout of the new Hammer product, I recommend assigning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Supplier B's shipments to Carrier X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for the first year. This recommendation is based on an analysis of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available weight capacity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within Carrier X’s existing load structure, which presents an opportunity to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leverage unused capacity without incurring additional freight costs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By utilizing this excess capacity, we can streamline logistics and reduce incremental shipping expenses during the product’s introductory phase. Once we accumulate sufficient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sales and distribution data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we will be better positioned to evaluate long-term carrier performance and determine the most suitable logistics partner for sustained fulfillment.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To further strengthen this proposal, I suggest conducting a review of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historical sales data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for similar product categories to forecast demand and refine our carrier strategy. This data-driven approach will ensure that our logistics decisions align with actual market performance and support scalable growth.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20</xdr:row>
      <xdr:rowOff>9525</xdr:rowOff>
    </xdr:from>
    <xdr:ext cx="11906250" cy="23526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35</xdr:row>
      <xdr:rowOff>47625</xdr:rowOff>
    </xdr:from>
    <xdr:ext cx="11915775" cy="2876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95250</xdr:colOff>
      <xdr:row>53</xdr:row>
      <xdr:rowOff>0</xdr:rowOff>
    </xdr:from>
    <xdr:ext cx="11906250" cy="28765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19050</xdr:colOff>
      <xdr:row>2</xdr:row>
      <xdr:rowOff>9525</xdr:rowOff>
    </xdr:from>
    <xdr:ext cx="12687300" cy="28765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66675</xdr:colOff>
      <xdr:row>70</xdr:row>
      <xdr:rowOff>9525</xdr:rowOff>
    </xdr:from>
    <xdr:ext cx="11925300" cy="28765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F5" displayName="Table_1" name="Table_1" id="1">
  <tableColumns count="5">
    <tableColumn name="Product Id" id="1"/>
    <tableColumn name="Product Desc" id="2"/>
    <tableColumn name="Package Qty" id="3"/>
    <tableColumn name="Weight" id="4"/>
    <tableColumn name="Weight Unit of Measure" id="5"/>
  </tableColumns>
  <tableStyleInfo name="Product Info-style" showColumnStripes="0" showFirstColumn="1" showLastColumn="1" showRowStripes="1"/>
</table>
</file>

<file path=xl/tables/table2.xml><?xml version="1.0" encoding="utf-8"?>
<table xmlns="http://schemas.openxmlformats.org/spreadsheetml/2006/main" ref="A1:D9" displayName="Table_2" name="Table_2" id="2">
  <tableColumns count="4">
    <tableColumn name="Carrier" id="1"/>
    <tableColumn name="Supplier" id="2"/>
    <tableColumn name="Str Nbr" id="3"/>
    <tableColumn name="Cost" id="4"/>
  </tableColumns>
  <tableStyleInfo name="Carrier Rates-style" showColumnStripes="0" showFirstColumn="1" showLastColumn="1" showRowStripes="1"/>
</table>
</file>

<file path=xl/tables/table3.xml><?xml version="1.0" encoding="utf-8"?>
<table xmlns="http://schemas.openxmlformats.org/spreadsheetml/2006/main" totalsRowCount="1" ref="A1:AQ314" displayName="Table_3" name="Table_3" id="3">
  <tableColumns count="43">
    <tableColumn totalsRowLabel="Total" name="Order Dt" id="1"/>
    <tableColumn name="Str Nbr" id="2"/>
    <tableColumn name="Supplier" id="3"/>
    <tableColumn name="Product Id" id="4"/>
    <tableColumn totalsRowFunction="custom" name="Order Qty" id="5"/>
    <tableColumn totalsRowFunction="custom" name="Product Weight" id="6"/>
    <tableColumn totalsRowFunction="custom" name="Order Weight" id="7"/>
    <tableColumn totalsRowFunction="custom" name="Product 1, Store 1, Supplier A" id="8"/>
    <tableColumn totalsRowFunction="custom" name="Product 1, Store 1, Supplier A, Weight" id="9"/>
    <tableColumn totalsRowFunction="custom" name="Product 1, Store 1, Supplier B" id="10"/>
    <tableColumn totalsRowFunction="custom" name="Product 1, Store 1, Supplier B, Weight" id="11"/>
    <tableColumn totalsRowFunction="custom" name="Product 1, Store 2, Supplier A" id="12"/>
    <tableColumn totalsRowFunction="custom" name="Product 1, Store 2, Supplier A, Weight" id="13"/>
    <tableColumn totalsRowFunction="custom" name="Product 1, Store 2, Supplier B" id="14"/>
    <tableColumn totalsRowFunction="custom" name="Product 1, Store 2, Supplier B, Weight" id="15"/>
    <tableColumn totalsRowFunction="custom" name="Product 2, Store 1, Supplier A" id="16"/>
    <tableColumn totalsRowFunction="custom" name="Product 2, Store 1, Supplier A, Weight" id="17"/>
    <tableColumn totalsRowFunction="custom" name="Product 2, Store 1, Supplier B" id="18"/>
    <tableColumn totalsRowFunction="custom" name="Product 2, Store 1, Supplier B, Weight" id="19"/>
    <tableColumn totalsRowFunction="custom" name="Product 2, Store 2, Supplier A" id="20"/>
    <tableColumn totalsRowFunction="custom" name="Product 2, Store 2, Supplier A, Weight" id="21"/>
    <tableColumn totalsRowFunction="custom" name="Product 2, Store 2, Supplier B" id="22"/>
    <tableColumn totalsRowFunction="custom" name="Product 2, Store 2, Supplier B, Weight" id="23"/>
    <tableColumn totalsRowFunction="custom" name="Product 3, Store 1, Supplier A" id="24"/>
    <tableColumn totalsRowFunction="custom" name="Product 3, Store 1, Supplier A, Weight" id="25"/>
    <tableColumn totalsRowFunction="custom" name="Product 3, Store 1, Supplier B" id="26"/>
    <tableColumn totalsRowFunction="custom" name="Product 3, Store 1, Supplier B, Weight" id="27"/>
    <tableColumn totalsRowFunction="custom" name="Product 3, Store 2, Supplier A" id="28"/>
    <tableColumn totalsRowFunction="custom" name="Product 3, Store 2, Supplier A, Weight" id="29"/>
    <tableColumn totalsRowFunction="custom" name="Product 3, Store 2, Supplier B" id="30"/>
    <tableColumn totalsRowFunction="custom" name="Product 3, Store 2, Supplier B, Weight" id="31"/>
    <tableColumn totalsRowFunction="custom" name="Product 4, Store 1, Supplier A" id="32"/>
    <tableColumn totalsRowFunction="custom" name="Product 4, Store 1, Supplier A, Weight" id="33"/>
    <tableColumn totalsRowFunction="custom" name="Product 4, Store 1, Supplier B" id="34"/>
    <tableColumn totalsRowFunction="custom" name="Product 4, Store 1, Supplier B, Weight" id="35"/>
    <tableColumn totalsRowFunction="custom" name="Product 4, Store 2, Supplier A" id="36"/>
    <tableColumn totalsRowFunction="custom" name="Product 4, Store 2, Supplier A, Weight" id="37"/>
    <tableColumn totalsRowFunction="custom" name="Product 4, Store 2, Supplier B" id="38"/>
    <tableColumn name="Product 4, Store 2, Supplier B, Weight" id="39"/>
    <tableColumn name="Total Weight Store 1 Supplier A" id="40"/>
    <tableColumn name="Total Weight Store 1 Supplier B" id="41"/>
    <tableColumn name="Total Weight Store 2 Supplier A" id="42"/>
    <tableColumn totalsRowFunction="custom" name="Total Weight Store 2 Supplier A2" id="43"/>
  </tableColumns>
  <tableStyleInfo name="Historical Orders-style" showColumnStripes="0" showFirstColumn="1" showLastColumn="1" showRowStripes="1"/>
</table>
</file>

<file path=xl/tables/table4.xml><?xml version="1.0" encoding="utf-8"?>
<table xmlns="http://schemas.openxmlformats.org/spreadsheetml/2006/main" totalsRowCount="1" ref="AV1:CH54" displayName="Table_4" name="Table_4" id="4">
  <tableColumns count="39">
    <tableColumn totalsRowLabel="Total" name="Order Date" id="1"/>
    <tableColumn totalsRowFunction="custom" name="Quantity Total per week" id="2"/>
    <tableColumn totalsRowFunction="custom" name="Quantity Total per week Store 1" id="3"/>
    <tableColumn totalsRowFunction="custom" name="Quantity Total per week Store 2" id="4"/>
    <tableColumn totalsRowFunction="custom" name="Quantity Total per week Supplier A" id="5"/>
    <tableColumn totalsRowFunction="custom" name="Quantity Total per week Supplier B" id="6"/>
    <tableColumn name="Split 2" id="7"/>
    <tableColumn totalsRowFunction="custom" name="Weight Total per week" id="8"/>
    <tableColumn totalsRowFunction="custom" name="Weight Total per week Store 1" id="9"/>
    <tableColumn totalsRowFunction="custom" name="Weight Total per week Store 2" id="10"/>
    <tableColumn name="Split 3" id="11"/>
    <tableColumn totalsRowFunction="custom" name="Weight Total per week Store 1 Product 1 Supplier A" id="12"/>
    <tableColumn totalsRowFunction="custom" name="Weight Total per week Store 1 Product 2 Supplier A" id="13"/>
    <tableColumn totalsRowFunction="custom" name="Weight Total per week Store 1 Product 3 Supplier A" id="14"/>
    <tableColumn totalsRowFunction="custom" name="Weight Total per week Store 1 Supplier A" id="15"/>
    <tableColumn name="Split 4" id="16"/>
    <tableColumn totalsRowFunction="custom" name="Weight Total per week Store 1 Product 1 Supplier B" id="17"/>
    <tableColumn totalsRowFunction="custom" name="Weight Total per week Store 1 Product 2 Supplier B" id="18"/>
    <tableColumn totalsRowFunction="custom" name="Weight Total per week Store 1 Product 3 Supplier B" id="19"/>
    <tableColumn totalsRowFunction="custom" name="Weight Total per week Store 1 Supplier B" id="20"/>
    <tableColumn name="Split 5" id="21"/>
    <tableColumn totalsRowFunction="custom" name="Weight Total per week Store 2 Product 1 Supplier A" id="22"/>
    <tableColumn totalsRowFunction="custom" name="Weight Total per week Store 2 Product 2 Supplier A" id="23"/>
    <tableColumn totalsRowFunction="custom" name="Weight Total per week Store 2 Product 3 Supplier A" id="24"/>
    <tableColumn totalsRowFunction="custom" name="Weight Total per week Store 2 Supplier A" id="25"/>
    <tableColumn name="Split 6" id="26"/>
    <tableColumn totalsRowFunction="custom" name="Weight Total per week Store 2 Product 1 Supplier B" id="27"/>
    <tableColumn totalsRowFunction="custom" name="Weight Total per week Store 2 Product 2 Supplier B" id="28"/>
    <tableColumn totalsRowFunction="custom" name="Weight Total per week Store 2 Product 3 Supplier B" id="29"/>
    <tableColumn totalsRowFunction="custom" name="Weight Total per week Store 2 Supplier B" id="30"/>
    <tableColumn name="Split 7" id="31"/>
    <tableColumn totalsRowFunction="custom" name="Store 1 per week" id="32"/>
    <tableColumn totalsRowFunction="custom" name="Store 2 per Week" id="33"/>
    <tableColumn totalsRowFunction="custom" name="Supplier A per week" id="34"/>
    <tableColumn totalsRowFunction="custom" name="Supplier B per week" id="35"/>
    <tableColumn totalsRowFunction="custom" name="Product ID 1 per week" id="36"/>
    <tableColumn totalsRowFunction="custom" name="Product ID 2 per week" id="37"/>
    <tableColumn totalsRowFunction="custom" name="Product ID 3 per week" id="38"/>
    <tableColumn name="Split 8" id="39"/>
  </tableColumns>
  <tableStyleInfo name="Historical Orders-style 2" showColumnStripes="0" showFirstColumn="1" showLastColumn="1" showRowStripes="1"/>
</table>
</file>

<file path=xl/tables/table5.xml><?xml version="1.0" encoding="utf-8"?>
<table xmlns="http://schemas.openxmlformats.org/spreadsheetml/2006/main" totalsRowCount="1" ref="A1:AS314" displayName="Table_5" name="Table_5" id="5">
  <tableColumns count="45">
    <tableColumn totalsRowLabel="Total" name="Order Dt" id="1"/>
    <tableColumn name="Str Nbr" id="2"/>
    <tableColumn name="Supplier" id="3"/>
    <tableColumn name="Product Id" id="4"/>
    <tableColumn totalsRowFunction="custom" name="Order Qty" id="5"/>
    <tableColumn name="Future Quantity" id="6"/>
    <tableColumn totalsRowFunction="custom" name="Product Weight" id="7"/>
    <tableColumn totalsRowFunction="custom" name="Order Weight" id="8"/>
    <tableColumn name=" N" id="9"/>
    <tableColumn totalsRowFunction="custom" name="Product 1, Store 1, Supplier A" id="10"/>
    <tableColumn totalsRowFunction="custom" name="Product 1, Store 1, Supplier A, Weight" id="11"/>
    <tableColumn totalsRowFunction="custom" name="Product 1, Store 1, Supplier B" id="12"/>
    <tableColumn totalsRowFunction="custom" name="Product 1, Store 1, Supplier B, Weight" id="13"/>
    <tableColumn totalsRowFunction="custom" name="Product 1, Store 2, Supplier A" id="14"/>
    <tableColumn totalsRowFunction="custom" name="Product 1, Store 2, Supplier A, Weight" id="15"/>
    <tableColumn totalsRowFunction="custom" name="Product 1, Store 2, Supplier B" id="16"/>
    <tableColumn totalsRowFunction="custom" name="Product 1, Store 2, Supplier B, Weight" id="17"/>
    <tableColumn totalsRowFunction="custom" name="Product 2, Store 1, Supplier A" id="18"/>
    <tableColumn totalsRowFunction="custom" name="Product 2, Store 1, Supplier A, Weight" id="19"/>
    <tableColumn totalsRowFunction="custom" name="Product 2, Store 1, Supplier B" id="20"/>
    <tableColumn totalsRowFunction="custom" name="Product 2, Store 1, Supplier B, Weight" id="21"/>
    <tableColumn totalsRowFunction="custom" name="Product 2, Store 2, Supplier A" id="22"/>
    <tableColumn totalsRowFunction="custom" name="Product 2, Store 2, Supplier A, Weight" id="23"/>
    <tableColumn totalsRowFunction="custom" name="Product 2, Store 2, Supplier B" id="24"/>
    <tableColumn totalsRowFunction="custom" name="Product 2, Store 2, Supplier B, Weight" id="25"/>
    <tableColumn totalsRowFunction="custom" name="Product 3, Store 1, Supplier A" id="26"/>
    <tableColumn totalsRowFunction="custom" name="Product 3, Store 1, Supplier A, Weight" id="27"/>
    <tableColumn totalsRowFunction="custom" name="Product 3, Store 1, Supplier B" id="28"/>
    <tableColumn totalsRowFunction="custom" name="Product 3, Store 1, Supplier B, Weight" id="29"/>
    <tableColumn totalsRowFunction="custom" name="Product 3, Store 2, Supplier A" id="30"/>
    <tableColumn totalsRowFunction="custom" name="Product 3, Store 2, Supplier A, Weight" id="31"/>
    <tableColumn totalsRowFunction="custom" name="Product 3, Store 2, Supplier B" id="32"/>
    <tableColumn totalsRowFunction="custom" name="Product 3, Store 2, Supplier B, Weight" id="33"/>
    <tableColumn totalsRowFunction="custom" name="Product 4, Store 1, Supplier A" id="34"/>
    <tableColumn totalsRowFunction="custom" name="Product 4, Store 1, Supplier A, Weight" id="35"/>
    <tableColumn totalsRowFunction="custom" name="Product 4, Store 1, Supplier B" id="36"/>
    <tableColumn totalsRowFunction="custom" name="Product 4, Store 1, Supplier B, Weight" id="37"/>
    <tableColumn totalsRowFunction="custom" name="Product 4, Store 2, Supplier A" id="38"/>
    <tableColumn totalsRowFunction="custom" name="Product 4, Store 2, Supplier A, Weight" id="39"/>
    <tableColumn totalsRowFunction="custom" name="Product 4, Store 2, Supplier B" id="40"/>
    <tableColumn name="Product 4, Store 2, Supplier B, Weight" id="41"/>
    <tableColumn name="Total Weight Store 1 Supplier A" id="42"/>
    <tableColumn name="Total Weight Store 1 Supplier B" id="43"/>
    <tableColumn name="Total Weight Store 2 Supplier A" id="44"/>
    <tableColumn totalsRowFunction="custom" name="Total Weight Store 2 Supplier A2" id="45"/>
  </tableColumns>
  <tableStyleInfo name="Future Orders-style" showColumnStripes="0" showFirstColumn="1" showLastColumn="1" showRowStripes="1"/>
</table>
</file>

<file path=xl/tables/table6.xml><?xml version="1.0" encoding="utf-8"?>
<table xmlns="http://schemas.openxmlformats.org/spreadsheetml/2006/main" totalsRowCount="1" ref="AX1:CS54" displayName="Table_6" name="Table_6" id="6">
  <tableColumns count="48">
    <tableColumn totalsRowLabel="Total" name="Order Date" id="1"/>
    <tableColumn totalsRowFunction="custom" name="Quantity Total per week" id="2"/>
    <tableColumn totalsRowFunction="custom" name="Quantity Total per week Store 1" id="3"/>
    <tableColumn totalsRowFunction="custom" name="Quantity Total per week Store 2" id="4"/>
    <tableColumn totalsRowFunction="custom" name="Quantity Total per week Supplier A" id="5"/>
    <tableColumn totalsRowFunction="custom" name="Quantity Total per week Supplier B" id="6"/>
    <tableColumn name="Split 2" id="7"/>
    <tableColumn totalsRowFunction="custom" name="Weight Total per week" id="8"/>
    <tableColumn totalsRowFunction="custom" name="Weight Total per week Store 1" id="9"/>
    <tableColumn totalsRowFunction="custom" name="Weight Total per week Store 2" id="10"/>
    <tableColumn name="Split 3" id="11"/>
    <tableColumn totalsRowFunction="custom" name="Weight Total per week Store 1 Product 1 Supplier A" id="12"/>
    <tableColumn totalsRowFunction="custom" name="Weight Total per week Store 1 Product 2 Supplier A" id="13"/>
    <tableColumn totalsRowFunction="custom" name="Weight Total per week Store 1 Product 3 Supplier A" id="14"/>
    <tableColumn totalsRowFunction="custom" name="Weight Total per week Store 1 Product 4 Supplier A" id="15"/>
    <tableColumn totalsRowFunction="custom" name="Weight Total per week Store 1 Supplier A" id="16"/>
    <tableColumn name="Split 4" id="17"/>
    <tableColumn totalsRowFunction="custom" name="Weight Total per week Store 1 Product 1 Supplier B" id="18"/>
    <tableColumn totalsRowFunction="custom" name="Weight Total per week Store 1 Product 2 Supplier B" id="19"/>
    <tableColumn totalsRowFunction="custom" name="Weight Total per week Store 1 Product 3 Supplier B" id="20"/>
    <tableColumn totalsRowFunction="custom" name="Weight Total per week Store 1 Product 4 Supplier B" id="21"/>
    <tableColumn totalsRowFunction="custom" name="Weight Total per week Store 1 Supplier B" id="22"/>
    <tableColumn name="Split 5" id="23"/>
    <tableColumn totalsRowFunction="custom" name="Weight Total per week Store 2 Product 1 Supplier A" id="24"/>
    <tableColumn totalsRowFunction="custom" name="Weight Total per week Store 2 Product 2 Supplier A" id="25"/>
    <tableColumn totalsRowFunction="custom" name="Weight Total per week Store 2 Product 3 Supplier A" id="26"/>
    <tableColumn totalsRowFunction="custom" name="Weight Total per week Store 2 Product 4 Supplier A" id="27"/>
    <tableColumn totalsRowFunction="custom" name="Weight Total per week Store 2 Supplier A" id="28"/>
    <tableColumn name="Split 6" id="29"/>
    <tableColumn totalsRowFunction="custom" name="Weight Total per week Store 2 Product 1 Supplier B" id="30"/>
    <tableColumn totalsRowFunction="custom" name="Weight Total per week Store 2 Product 2 Supplier B" id="31"/>
    <tableColumn totalsRowFunction="custom" name="Weight Total per week Store 2 Product 3 Supplier B" id="32"/>
    <tableColumn totalsRowFunction="custom" name="Weight Total per week Store 2 Product 4 Supplier B" id="33"/>
    <tableColumn totalsRowFunction="custom" name="Weight Total per week Store 2 Supplier B" id="34"/>
    <tableColumn name="Split 7" id="35"/>
    <tableColumn name="Store 1 Shipping Merged below 44,000" id="36"/>
    <tableColumn name="Store 2 Shipping Merged below 44,000" id="37"/>
    <tableColumn name="Store 1 Shipping with Hammers Merged below 44,000" id="38"/>
    <tableColumn name="Store 2 Shipping with Hammers Merged below 44,000" id="39"/>
    <tableColumn name="Split 8" id="40"/>
    <tableColumn name="Store 1 per week" id="41"/>
    <tableColumn totalsRowFunction="custom" name="Store 2 per Week" id="42"/>
    <tableColumn totalsRowFunction="custom" name="Supplier A per week" id="43"/>
    <tableColumn totalsRowFunction="custom" name="Supplier B per week" id="44"/>
    <tableColumn totalsRowFunction="custom" name="Product ID 1 per week" id="45"/>
    <tableColumn totalsRowFunction="custom" name="Product ID 2 per week" id="46"/>
    <tableColumn totalsRowFunction="custom" name="Product ID 3 per week" id="47"/>
    <tableColumn name="Split 9" id="48"/>
  </tableColumns>
  <tableStyleInfo name="Future Orders-style 2" showColumnStripes="0" showFirstColumn="1" showLastColumn="1" showRowStripes="1"/>
</table>
</file>

<file path=xl/tables/table7.xml><?xml version="1.0" encoding="utf-8"?>
<table xmlns="http://schemas.openxmlformats.org/spreadsheetml/2006/main" ref="A1:D209" displayName="Table_7" name="Table_7" id="7">
  <tableColumns count="4">
    <tableColumn name="Shipment Date" id="1"/>
    <tableColumn name="Str Nbr" id="2"/>
    <tableColumn name="Supplier" id="3"/>
    <tableColumn name="Weight" id="4"/>
  </tableColumns>
  <tableStyleInfo name="Historical Shipments-style" showColumnStripes="0" showFirstColumn="1" showLastColumn="1" showRowStripes="1"/>
</table>
</file>

<file path=xl/tables/table8.xml><?xml version="1.0" encoding="utf-8"?>
<table xmlns="http://schemas.openxmlformats.org/spreadsheetml/2006/main" totalsRowCount="1" ref="I1:V54" displayName="Table_8" name="Table_8" id="8">
  <tableColumns count="14">
    <tableColumn totalsRowLabel="Total" name="Shipment Date" id="1"/>
    <tableColumn totalsRowFunction="custom" name="Weekly Weight" id="2"/>
    <tableColumn totalsRowFunction="custom" name="Weekly Weight Supplier A Store 1" id="3"/>
    <tableColumn totalsRowFunction="custom" name="Weekly Weight Supplier A Store 2" id="4"/>
    <tableColumn totalsRowFunction="custom" name="Weekly Weight Supplier B Store 1" id="5"/>
    <tableColumn totalsRowFunction="custom" name="Weekly Weight Supplier B Store 2" id="6"/>
    <tableColumn name="Column3" id="7"/>
    <tableColumn totalsRowFunction="custom" name="Weekly Total Supplier A" id="8"/>
    <tableColumn totalsRowFunction="custom" name="Weekly Total Supplier B" id="9"/>
    <tableColumn name="Column32" id="10"/>
    <tableColumn totalsRowFunction="custom" name="Store 1 per week" id="11"/>
    <tableColumn totalsRowFunction="custom" name="Store 2 per Week" id="12"/>
    <tableColumn totalsRowFunction="custom" name="Supplier A per week" id="13"/>
    <tableColumn totalsRowFunction="custom" name="Supplier B per week" id="14"/>
  </tableColumns>
  <tableStyleInfo name="Historical Shipment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0"/>
    <col customWidth="1" min="3" max="3" width="10.14"/>
    <col customWidth="1" min="4" max="9" width="13.57"/>
    <col customWidth="1" min="10" max="10" width="13.71"/>
    <col customWidth="1" min="11" max="12" width="5.57"/>
    <col customWidth="1" min="13" max="20" width="13.71"/>
    <col customWidth="1" min="21" max="21" width="5.71"/>
    <col customWidth="1" min="22" max="26" width="13.71"/>
  </cols>
  <sheetData>
    <row r="1">
      <c r="H1" s="1"/>
    </row>
    <row r="2">
      <c r="B2" s="2"/>
      <c r="C2" s="3"/>
      <c r="D2" s="4" t="s">
        <v>0</v>
      </c>
      <c r="E2" s="5"/>
      <c r="F2" s="5"/>
      <c r="G2" s="5"/>
      <c r="H2" s="5"/>
      <c r="I2" s="6"/>
      <c r="J2" s="7"/>
      <c r="K2" s="8"/>
      <c r="L2" s="2"/>
      <c r="M2" s="3"/>
      <c r="N2" s="4" t="s">
        <v>1</v>
      </c>
      <c r="O2" s="5"/>
      <c r="P2" s="5"/>
      <c r="Q2" s="5"/>
      <c r="R2" s="5"/>
      <c r="S2" s="3"/>
      <c r="T2" s="3"/>
      <c r="U2" s="9"/>
    </row>
    <row r="3">
      <c r="B3" s="10"/>
      <c r="D3" s="11" t="s">
        <v>2</v>
      </c>
      <c r="E3" s="11" t="s">
        <v>3</v>
      </c>
      <c r="F3" s="11" t="s">
        <v>4</v>
      </c>
      <c r="G3" s="12" t="s">
        <v>5</v>
      </c>
      <c r="H3" s="11" t="s">
        <v>6</v>
      </c>
      <c r="I3" s="12" t="s">
        <v>5</v>
      </c>
      <c r="J3" s="13" t="s">
        <v>7</v>
      </c>
      <c r="K3" s="14"/>
      <c r="L3" s="10"/>
      <c r="N3" s="11" t="s">
        <v>2</v>
      </c>
      <c r="O3" s="11" t="s">
        <v>3</v>
      </c>
      <c r="P3" s="11" t="s">
        <v>4</v>
      </c>
      <c r="Q3" s="12" t="s">
        <v>5</v>
      </c>
      <c r="R3" s="11" t="s">
        <v>6</v>
      </c>
      <c r="S3" s="12" t="s">
        <v>5</v>
      </c>
      <c r="T3" s="13" t="s">
        <v>7</v>
      </c>
      <c r="U3" s="15"/>
    </row>
    <row r="4">
      <c r="B4" s="10"/>
      <c r="C4" s="16" t="s">
        <v>8</v>
      </c>
      <c r="D4" s="17">
        <v>0.8</v>
      </c>
      <c r="E4" s="18">
        <f>(('Historical Orders'!$BG8) + ('Historical Orders'!$BQ8)) * (Summary!D4)</f>
        <v>12837.44</v>
      </c>
      <c r="F4" s="18">
        <f>'Carrier Rates'!D2</f>
        <v>2540</v>
      </c>
      <c r="G4" s="18">
        <f t="shared" ref="G4:G5" si="1">E4+F4</f>
        <v>15377.44</v>
      </c>
      <c r="H4" s="18">
        <f>'Carrier Rates'!D3</f>
        <v>1640</v>
      </c>
      <c r="I4" s="19">
        <f t="shared" ref="I4:I5" si="2">E4+H4</f>
        <v>14477.44</v>
      </c>
      <c r="J4" s="20">
        <f t="shared" ref="J4:J5" si="3">G4+I4</f>
        <v>29854.88</v>
      </c>
      <c r="K4" s="14"/>
      <c r="L4" s="10"/>
      <c r="M4" s="16" t="s">
        <v>8</v>
      </c>
      <c r="N4" s="17">
        <v>0.8</v>
      </c>
      <c r="O4" s="18">
        <f>(('Historical Orders'!$BG$54) + ('Historical Orders'!$BQ$54)) * (Summary!N4)</f>
        <v>722770.4</v>
      </c>
      <c r="P4" s="18">
        <f>'Carrier Rates'!A16</f>
        <v>132080</v>
      </c>
      <c r="Q4" s="18">
        <f t="shared" ref="Q4:Q5" si="4">O4+P4</f>
        <v>854850.4</v>
      </c>
      <c r="R4" s="18">
        <f>'Carrier Rates'!B16</f>
        <v>85280</v>
      </c>
      <c r="S4" s="19">
        <f t="shared" ref="S4:S5" si="5">O4+R4</f>
        <v>808050.4</v>
      </c>
      <c r="T4" s="20">
        <f t="shared" ref="T4:T5" si="6">Q4+S4</f>
        <v>1662900.8</v>
      </c>
      <c r="U4" s="15"/>
    </row>
    <row r="5">
      <c r="B5" s="10"/>
      <c r="C5" s="21" t="s">
        <v>9</v>
      </c>
      <c r="D5" s="22">
        <v>0.82</v>
      </c>
      <c r="E5" s="23">
        <f>(('Historical Orders'!$BG8) + ('Historical Orders'!$BQ8)) * (Summary!D5)</f>
        <v>13158.376</v>
      </c>
      <c r="F5" s="23">
        <f>'Carrier Rates'!D4</f>
        <v>1200</v>
      </c>
      <c r="G5" s="23">
        <f t="shared" si="1"/>
        <v>14358.376</v>
      </c>
      <c r="H5" s="23">
        <f>'Carrier Rates'!D5</f>
        <v>1200</v>
      </c>
      <c r="I5" s="24">
        <f t="shared" si="2"/>
        <v>14358.376</v>
      </c>
      <c r="J5" s="25">
        <f t="shared" si="3"/>
        <v>28716.752</v>
      </c>
      <c r="K5" s="14"/>
      <c r="L5" s="10"/>
      <c r="M5" s="21" t="s">
        <v>9</v>
      </c>
      <c r="N5" s="22">
        <v>0.82</v>
      </c>
      <c r="O5" s="23">
        <f>(('Historical Orders'!$BG$54) + ('Historical Orders'!$BQ$54)) * (Summary!N5)</f>
        <v>740839.66</v>
      </c>
      <c r="P5" s="23">
        <f>'Carrier Rates'!C16</f>
        <v>62400</v>
      </c>
      <c r="Q5" s="23">
        <f t="shared" si="4"/>
        <v>803239.66</v>
      </c>
      <c r="R5" s="23">
        <f>'Carrier Rates'!D16</f>
        <v>62400</v>
      </c>
      <c r="S5" s="24">
        <f t="shared" si="5"/>
        <v>803239.66</v>
      </c>
      <c r="T5" s="25">
        <f t="shared" si="6"/>
        <v>1606479.32</v>
      </c>
      <c r="U5" s="15"/>
    </row>
    <row r="6">
      <c r="B6" s="10"/>
      <c r="C6" s="26" t="s">
        <v>10</v>
      </c>
      <c r="D6" s="27">
        <f t="shared" ref="D6:J6" si="7">D4-D5</f>
        <v>-0.02</v>
      </c>
      <c r="E6" s="27">
        <f t="shared" si="7"/>
        <v>-320.936</v>
      </c>
      <c r="F6" s="27">
        <f t="shared" si="7"/>
        <v>1340</v>
      </c>
      <c r="G6" s="18">
        <f t="shared" si="7"/>
        <v>1019.064</v>
      </c>
      <c r="H6" s="18">
        <f t="shared" si="7"/>
        <v>440</v>
      </c>
      <c r="I6" s="19">
        <f t="shared" si="7"/>
        <v>119.064</v>
      </c>
      <c r="J6" s="28">
        <f t="shared" si="7"/>
        <v>1138.128</v>
      </c>
      <c r="K6" s="14"/>
      <c r="L6" s="10"/>
      <c r="M6" s="26" t="s">
        <v>10</v>
      </c>
      <c r="N6" s="27">
        <f t="shared" ref="N6:T6" si="8">N4-N5</f>
        <v>-0.02</v>
      </c>
      <c r="O6" s="27">
        <f t="shared" si="8"/>
        <v>-18069.26</v>
      </c>
      <c r="P6" s="27">
        <f t="shared" si="8"/>
        <v>69680</v>
      </c>
      <c r="Q6" s="29">
        <f t="shared" si="8"/>
        <v>51610.74</v>
      </c>
      <c r="R6" s="29">
        <f t="shared" si="8"/>
        <v>22880</v>
      </c>
      <c r="S6" s="30">
        <f t="shared" si="8"/>
        <v>4810.74</v>
      </c>
      <c r="T6" s="31">
        <f t="shared" si="8"/>
        <v>56421.48</v>
      </c>
      <c r="U6" s="15"/>
    </row>
    <row r="7">
      <c r="B7" s="10"/>
      <c r="J7" s="1"/>
      <c r="K7" s="14"/>
      <c r="L7" s="10"/>
      <c r="U7" s="15"/>
    </row>
    <row r="8">
      <c r="B8" s="10"/>
      <c r="J8" s="1"/>
      <c r="K8" s="14"/>
      <c r="L8" s="10"/>
      <c r="U8" s="15"/>
    </row>
    <row r="9">
      <c r="B9" s="10"/>
      <c r="D9" s="32" t="s">
        <v>11</v>
      </c>
      <c r="E9" s="33"/>
      <c r="F9" s="33"/>
      <c r="G9" s="33"/>
      <c r="H9" s="33"/>
      <c r="I9" s="34"/>
      <c r="J9" s="1"/>
      <c r="K9" s="14"/>
      <c r="L9" s="10"/>
      <c r="N9" s="32" t="s">
        <v>12</v>
      </c>
      <c r="O9" s="33"/>
      <c r="P9" s="33"/>
      <c r="Q9" s="33"/>
      <c r="R9" s="33"/>
      <c r="U9" s="15"/>
    </row>
    <row r="10">
      <c r="B10" s="10"/>
      <c r="D10" s="11" t="s">
        <v>2</v>
      </c>
      <c r="E10" s="11" t="s">
        <v>3</v>
      </c>
      <c r="F10" s="11" t="s">
        <v>4</v>
      </c>
      <c r="G10" s="12" t="s">
        <v>5</v>
      </c>
      <c r="H10" s="11" t="s">
        <v>6</v>
      </c>
      <c r="I10" s="12" t="s">
        <v>5</v>
      </c>
      <c r="J10" s="13" t="s">
        <v>7</v>
      </c>
      <c r="K10" s="14"/>
      <c r="L10" s="10"/>
      <c r="N10" s="11" t="s">
        <v>2</v>
      </c>
      <c r="O10" s="11" t="s">
        <v>3</v>
      </c>
      <c r="P10" s="11" t="s">
        <v>4</v>
      </c>
      <c r="Q10" s="12" t="s">
        <v>5</v>
      </c>
      <c r="R10" s="11" t="s">
        <v>6</v>
      </c>
      <c r="S10" s="12" t="s">
        <v>5</v>
      </c>
      <c r="T10" s="13" t="s">
        <v>7</v>
      </c>
      <c r="U10" s="15"/>
    </row>
    <row r="11">
      <c r="B11" s="10"/>
      <c r="C11" s="16" t="s">
        <v>8</v>
      </c>
      <c r="D11" s="17">
        <v>0.8</v>
      </c>
      <c r="E11" s="18">
        <f>(('Historical Orders'!$BG8) + ('Historical Orders'!$BQ8)) * (Summary!D11)</f>
        <v>12837.44</v>
      </c>
      <c r="F11" s="18">
        <f>(('Historical Orders'!$BG8) + ('Historical Orders'!$BQ8)) * ('Carrier Rates'!D6)</f>
        <v>1925.616</v>
      </c>
      <c r="G11" s="18">
        <f t="shared" ref="G11:G12" si="9">E11+F11</f>
        <v>14763.056</v>
      </c>
      <c r="H11" s="18">
        <f>(('Historical Orders'!$BG8) + ('Historical Orders'!$BQ8)) * ('Carrier Rates'!D8)</f>
        <v>1123.276</v>
      </c>
      <c r="I11" s="19">
        <f t="shared" ref="I11:I12" si="10">E11+H11</f>
        <v>13960.716</v>
      </c>
      <c r="J11" s="20">
        <f t="shared" ref="J11:J12" si="11">G11+I11</f>
        <v>28723.772</v>
      </c>
      <c r="K11" s="14"/>
      <c r="L11" s="10"/>
      <c r="M11" s="16" t="s">
        <v>8</v>
      </c>
      <c r="N11" s="17">
        <v>0.8</v>
      </c>
      <c r="O11" s="18">
        <f>(('Historical Orders'!$BG$54) + ('Historical Orders'!$BQ$54)) * (Summary!N11)</f>
        <v>722770.4</v>
      </c>
      <c r="P11" s="18">
        <f>(('Historical Orders'!$BG$54) + ('Historical Orders'!$BQ$54)) * ('Carrier Rates'!D6)</f>
        <v>108415.56</v>
      </c>
      <c r="Q11" s="18">
        <f t="shared" ref="Q11:Q12" si="12">O11+P11</f>
        <v>831185.96</v>
      </c>
      <c r="R11" s="18">
        <f>(('Historical Orders'!$BG$54) + ('Historical Orders'!$BQ$54)) * ('Carrier Rates'!D8)</f>
        <v>63242.41</v>
      </c>
      <c r="S11" s="19">
        <f t="shared" ref="S11:S12" si="13">O11+R11</f>
        <v>786012.81</v>
      </c>
      <c r="T11" s="20">
        <f t="shared" ref="T11:T12" si="14">Q11+S11</f>
        <v>1617198.77</v>
      </c>
      <c r="U11" s="15"/>
    </row>
    <row r="12">
      <c r="B12" s="10"/>
      <c r="C12" s="21" t="s">
        <v>9</v>
      </c>
      <c r="D12" s="22">
        <v>0.82</v>
      </c>
      <c r="E12" s="23">
        <f>(('Historical Orders'!$BG8) + ('Historical Orders'!$BQ8)) * (Summary!D12)</f>
        <v>13158.376</v>
      </c>
      <c r="F12" s="23">
        <f>(('Historical Orders'!$BG9) + ('Historical Orders'!$BQ9)) * ('Carrier Rates'!D7)</f>
        <v>990.374</v>
      </c>
      <c r="G12" s="23">
        <f t="shared" si="9"/>
        <v>14148.75</v>
      </c>
      <c r="H12" s="23">
        <f>(('Historical Orders'!$BG9) + ('Historical Orders'!$BQ9)) * ('Carrier Rates'!D9)</f>
        <v>848.892</v>
      </c>
      <c r="I12" s="24">
        <f t="shared" si="10"/>
        <v>14007.268</v>
      </c>
      <c r="J12" s="25">
        <f t="shared" si="11"/>
        <v>28156.018</v>
      </c>
      <c r="K12" s="14"/>
      <c r="L12" s="10"/>
      <c r="M12" s="21" t="s">
        <v>9</v>
      </c>
      <c r="N12" s="17">
        <v>0.82</v>
      </c>
      <c r="O12" s="23">
        <f>(('Historical Orders'!$BG$54) + ('Historical Orders'!$BQ$54)) * (Summary!N12)</f>
        <v>740839.66</v>
      </c>
      <c r="P12" s="23">
        <f>(('Historical Orders'!$BG$54) + ('Historical Orders'!$BQ$54)) * ('Carrier Rates'!D7)</f>
        <v>63242.41</v>
      </c>
      <c r="Q12" s="23">
        <f t="shared" si="12"/>
        <v>804082.07</v>
      </c>
      <c r="R12" s="23">
        <f>(('Historical Orders'!$BG$54) + ('Historical Orders'!$BQ$54)) * ('Carrier Rates'!D9)</f>
        <v>54207.78</v>
      </c>
      <c r="S12" s="24">
        <f t="shared" si="13"/>
        <v>795047.44</v>
      </c>
      <c r="T12" s="25">
        <f t="shared" si="14"/>
        <v>1599129.51</v>
      </c>
      <c r="U12" s="15"/>
    </row>
    <row r="13">
      <c r="B13" s="10"/>
      <c r="C13" s="26" t="s">
        <v>10</v>
      </c>
      <c r="D13" s="27">
        <f t="shared" ref="D13:J13" si="15">D11-D12</f>
        <v>-0.02</v>
      </c>
      <c r="E13" s="27">
        <f t="shared" si="15"/>
        <v>-320.936</v>
      </c>
      <c r="F13" s="27">
        <f t="shared" si="15"/>
        <v>935.242</v>
      </c>
      <c r="G13" s="18">
        <f t="shared" si="15"/>
        <v>614.306</v>
      </c>
      <c r="H13" s="18">
        <f t="shared" si="15"/>
        <v>274.384</v>
      </c>
      <c r="I13" s="19">
        <f t="shared" si="15"/>
        <v>-46.552</v>
      </c>
      <c r="J13" s="28">
        <f t="shared" si="15"/>
        <v>567.754</v>
      </c>
      <c r="K13" s="14"/>
      <c r="L13" s="10"/>
      <c r="M13" s="26" t="s">
        <v>10</v>
      </c>
      <c r="N13" s="27">
        <f t="shared" ref="N13:T13" si="16">N11-N12</f>
        <v>-0.02</v>
      </c>
      <c r="O13" s="27">
        <f t="shared" si="16"/>
        <v>-18069.26</v>
      </c>
      <c r="P13" s="27">
        <f t="shared" si="16"/>
        <v>45173.15</v>
      </c>
      <c r="Q13" s="29">
        <f t="shared" si="16"/>
        <v>27103.89</v>
      </c>
      <c r="R13" s="29">
        <f t="shared" si="16"/>
        <v>9034.63</v>
      </c>
      <c r="S13" s="30">
        <f t="shared" si="16"/>
        <v>-9034.63</v>
      </c>
      <c r="T13" s="31">
        <f t="shared" si="16"/>
        <v>18069.26</v>
      </c>
      <c r="U13" s="15"/>
    </row>
    <row r="14">
      <c r="B14" s="35"/>
      <c r="C14" s="36"/>
      <c r="D14" s="36"/>
      <c r="E14" s="36"/>
      <c r="F14" s="36"/>
      <c r="G14" s="36"/>
      <c r="H14" s="36"/>
      <c r="I14" s="36"/>
      <c r="J14" s="37"/>
      <c r="K14" s="38"/>
      <c r="L14" s="35"/>
      <c r="M14" s="36"/>
      <c r="N14" s="36"/>
      <c r="O14" s="36"/>
      <c r="P14" s="36"/>
      <c r="Q14" s="36"/>
      <c r="R14" s="36"/>
      <c r="S14" s="36"/>
      <c r="T14" s="36"/>
      <c r="U14" s="39"/>
    </row>
    <row r="15" ht="15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2:H2"/>
    <mergeCell ref="N2:R2"/>
    <mergeCell ref="D9:H9"/>
    <mergeCell ref="N9:R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0"/>
    <col customWidth="1" min="3" max="3" width="10.14"/>
    <col customWidth="1" min="4" max="9" width="13.57"/>
    <col customWidth="1" min="10" max="10" width="13.71"/>
    <col customWidth="1" min="11" max="12" width="5.57"/>
    <col customWidth="1" min="13" max="20" width="13.71"/>
    <col customWidth="1" min="21" max="21" width="5.71"/>
    <col customWidth="1" min="22" max="26" width="13.71"/>
  </cols>
  <sheetData>
    <row r="1">
      <c r="H1" s="1"/>
    </row>
    <row r="2">
      <c r="B2" s="2"/>
      <c r="C2" s="3"/>
      <c r="D2" s="4" t="s">
        <v>0</v>
      </c>
      <c r="E2" s="5"/>
      <c r="F2" s="5"/>
      <c r="G2" s="5"/>
      <c r="H2" s="5"/>
      <c r="I2" s="6"/>
      <c r="J2" s="7"/>
      <c r="K2" s="8"/>
      <c r="L2" s="2"/>
      <c r="M2" s="3"/>
      <c r="N2" s="4" t="s">
        <v>1</v>
      </c>
      <c r="O2" s="5"/>
      <c r="P2" s="5"/>
      <c r="Q2" s="5"/>
      <c r="R2" s="5"/>
      <c r="S2" s="3"/>
      <c r="T2" s="3"/>
      <c r="U2" s="9"/>
    </row>
    <row r="3">
      <c r="B3" s="10"/>
      <c r="D3" s="11" t="s">
        <v>2</v>
      </c>
      <c r="E3" s="11" t="s">
        <v>3</v>
      </c>
      <c r="F3" s="11" t="s">
        <v>4</v>
      </c>
      <c r="G3" s="12" t="s">
        <v>5</v>
      </c>
      <c r="H3" s="11" t="s">
        <v>6</v>
      </c>
      <c r="I3" s="12" t="s">
        <v>5</v>
      </c>
      <c r="J3" s="13" t="s">
        <v>13</v>
      </c>
      <c r="K3" s="14"/>
      <c r="L3" s="10"/>
      <c r="N3" s="11" t="s">
        <v>2</v>
      </c>
      <c r="O3" s="11" t="s">
        <v>3</v>
      </c>
      <c r="P3" s="11" t="s">
        <v>4</v>
      </c>
      <c r="Q3" s="12" t="s">
        <v>5</v>
      </c>
      <c r="R3" s="11" t="s">
        <v>6</v>
      </c>
      <c r="S3" s="12" t="s">
        <v>5</v>
      </c>
      <c r="T3" s="13" t="s">
        <v>7</v>
      </c>
      <c r="U3" s="15"/>
    </row>
    <row r="4">
      <c r="B4" s="10"/>
      <c r="C4" s="16" t="s">
        <v>8</v>
      </c>
      <c r="D4" s="17">
        <v>0.8</v>
      </c>
      <c r="E4" s="18">
        <f>(('Future Orders'!$BI8) + ('Future Orders'!$BU8)) * ('Future 2016 - 10% of Summary'!D4)</f>
        <v>14121.184</v>
      </c>
      <c r="F4" s="18">
        <f>'Carrier Rates'!D2</f>
        <v>2540</v>
      </c>
      <c r="G4" s="18">
        <f t="shared" ref="G4:G5" si="1">E4+F4</f>
        <v>16661.184</v>
      </c>
      <c r="H4" s="18">
        <f>'Carrier Rates'!D3</f>
        <v>1640</v>
      </c>
      <c r="I4" s="19">
        <f t="shared" ref="I4:I5" si="2">E4+H4</f>
        <v>15761.184</v>
      </c>
      <c r="J4" s="20">
        <f t="shared" ref="J4:J5" si="3">G4+I4</f>
        <v>32422.368</v>
      </c>
      <c r="K4" s="14"/>
      <c r="L4" s="10"/>
      <c r="M4" s="16" t="s">
        <v>8</v>
      </c>
      <c r="N4" s="17">
        <v>0.8</v>
      </c>
      <c r="O4" s="18">
        <f>(('Future Orders'!$BI$54) + ('Future Orders'!$BU$54)) * ('Future 2016 - 10% of Summary'!N4)</f>
        <v>795047.44</v>
      </c>
      <c r="P4" s="18">
        <f>'Carrier Rates'!A16</f>
        <v>132080</v>
      </c>
      <c r="Q4" s="18">
        <f t="shared" ref="Q4:Q5" si="4">O4+P4</f>
        <v>927127.44</v>
      </c>
      <c r="R4" s="18">
        <f>'Carrier Rates'!B16</f>
        <v>85280</v>
      </c>
      <c r="S4" s="19">
        <f t="shared" ref="S4:S5" si="5">O4+R4</f>
        <v>880327.44</v>
      </c>
      <c r="T4" s="20">
        <f t="shared" ref="T4:T5" si="6">Q4+S4</f>
        <v>1807454.88</v>
      </c>
      <c r="U4" s="15"/>
    </row>
    <row r="5">
      <c r="B5" s="10"/>
      <c r="C5" s="21" t="s">
        <v>9</v>
      </c>
      <c r="D5" s="22">
        <v>0.82</v>
      </c>
      <c r="E5" s="23">
        <f>(('Future Orders'!$BI8) + ('Future Orders'!$BU8))*('Future 2016 - 10% of Summary'!D5)</f>
        <v>14474.2136</v>
      </c>
      <c r="F5" s="23">
        <f>'Carrier Rates'!D4</f>
        <v>1200</v>
      </c>
      <c r="G5" s="23">
        <f t="shared" si="1"/>
        <v>15674.2136</v>
      </c>
      <c r="H5" s="23">
        <f>'Carrier Rates'!D5</f>
        <v>1200</v>
      </c>
      <c r="I5" s="24">
        <f t="shared" si="2"/>
        <v>15674.2136</v>
      </c>
      <c r="J5" s="25">
        <f t="shared" si="3"/>
        <v>31348.4272</v>
      </c>
      <c r="K5" s="14"/>
      <c r="L5" s="10"/>
      <c r="M5" s="21" t="s">
        <v>9</v>
      </c>
      <c r="N5" s="22">
        <v>0.82</v>
      </c>
      <c r="O5" s="23">
        <f>(('Future Orders'!$BI$54) + ('Future Orders'!$BU$54)) * ('Future 2016 - 10% of Summary'!N5)</f>
        <v>814923.626</v>
      </c>
      <c r="P5" s="23">
        <f>'Carrier Rates'!C16</f>
        <v>62400</v>
      </c>
      <c r="Q5" s="23">
        <f t="shared" si="4"/>
        <v>877323.626</v>
      </c>
      <c r="R5" s="23">
        <f>'Carrier Rates'!D16</f>
        <v>62400</v>
      </c>
      <c r="S5" s="24">
        <f t="shared" si="5"/>
        <v>877323.626</v>
      </c>
      <c r="T5" s="25">
        <f t="shared" si="6"/>
        <v>1754647.252</v>
      </c>
      <c r="U5" s="15"/>
    </row>
    <row r="6">
      <c r="B6" s="10"/>
      <c r="C6" s="26" t="s">
        <v>10</v>
      </c>
      <c r="D6" s="27">
        <f t="shared" ref="D6:J6" si="7">D4-D5</f>
        <v>-0.02</v>
      </c>
      <c r="E6" s="27">
        <f t="shared" si="7"/>
        <v>-353.0296</v>
      </c>
      <c r="F6" s="27">
        <f t="shared" si="7"/>
        <v>1340</v>
      </c>
      <c r="G6" s="18">
        <f t="shared" si="7"/>
        <v>986.9704</v>
      </c>
      <c r="H6" s="18">
        <f t="shared" si="7"/>
        <v>440</v>
      </c>
      <c r="I6" s="19">
        <f t="shared" si="7"/>
        <v>86.9704</v>
      </c>
      <c r="J6" s="28">
        <f t="shared" si="7"/>
        <v>1073.9408</v>
      </c>
      <c r="K6" s="14"/>
      <c r="L6" s="10"/>
      <c r="M6" s="26" t="s">
        <v>10</v>
      </c>
      <c r="N6" s="27">
        <f t="shared" ref="N6:T6" si="8">N4-N5</f>
        <v>-0.02</v>
      </c>
      <c r="O6" s="27">
        <f t="shared" si="8"/>
        <v>-19876.186</v>
      </c>
      <c r="P6" s="27">
        <f t="shared" si="8"/>
        <v>69680</v>
      </c>
      <c r="Q6" s="29">
        <f t="shared" si="8"/>
        <v>49803.814</v>
      </c>
      <c r="R6" s="29">
        <f t="shared" si="8"/>
        <v>22880</v>
      </c>
      <c r="S6" s="30">
        <f t="shared" si="8"/>
        <v>3003.814</v>
      </c>
      <c r="T6" s="31">
        <f t="shared" si="8"/>
        <v>52807.628</v>
      </c>
      <c r="U6" s="15"/>
    </row>
    <row r="7">
      <c r="B7" s="10"/>
      <c r="J7" s="1"/>
      <c r="K7" s="14"/>
      <c r="L7" s="10"/>
      <c r="U7" s="15"/>
    </row>
    <row r="8">
      <c r="B8" s="10"/>
      <c r="J8" s="1"/>
      <c r="K8" s="14"/>
      <c r="L8" s="10"/>
      <c r="U8" s="15"/>
    </row>
    <row r="9">
      <c r="B9" s="10"/>
      <c r="D9" s="32" t="s">
        <v>11</v>
      </c>
      <c r="E9" s="33"/>
      <c r="F9" s="33"/>
      <c r="G9" s="33"/>
      <c r="H9" s="33"/>
      <c r="I9" s="34"/>
      <c r="J9" s="1"/>
      <c r="K9" s="14"/>
      <c r="L9" s="10"/>
      <c r="N9" s="32" t="s">
        <v>12</v>
      </c>
      <c r="O9" s="33"/>
      <c r="P9" s="33"/>
      <c r="Q9" s="33"/>
      <c r="R9" s="33"/>
      <c r="U9" s="15"/>
    </row>
    <row r="10">
      <c r="B10" s="10"/>
      <c r="D10" s="11" t="s">
        <v>2</v>
      </c>
      <c r="E10" s="11" t="s">
        <v>3</v>
      </c>
      <c r="F10" s="11" t="s">
        <v>4</v>
      </c>
      <c r="G10" s="12" t="s">
        <v>5</v>
      </c>
      <c r="H10" s="11" t="s">
        <v>6</v>
      </c>
      <c r="I10" s="12" t="s">
        <v>5</v>
      </c>
      <c r="J10" s="13" t="s">
        <v>13</v>
      </c>
      <c r="K10" s="14"/>
      <c r="L10" s="10"/>
      <c r="N10" s="11" t="s">
        <v>2</v>
      </c>
      <c r="O10" s="11" t="s">
        <v>3</v>
      </c>
      <c r="P10" s="11" t="s">
        <v>4</v>
      </c>
      <c r="Q10" s="12" t="s">
        <v>5</v>
      </c>
      <c r="R10" s="11" t="s">
        <v>6</v>
      </c>
      <c r="S10" s="12" t="s">
        <v>5</v>
      </c>
      <c r="T10" s="13" t="s">
        <v>7</v>
      </c>
      <c r="U10" s="15"/>
    </row>
    <row r="11">
      <c r="B11" s="10"/>
      <c r="C11" s="16" t="s">
        <v>8</v>
      </c>
      <c r="D11" s="17">
        <v>0.8</v>
      </c>
      <c r="E11" s="18">
        <f>(('Future Orders'!$BI8) + ('Future Orders'!$BU8))*('Future 2016 - 10% of Summary'!D11)</f>
        <v>14121.184</v>
      </c>
      <c r="F11" s="18">
        <f>(('Future Orders'!$BI8) + ('Future Orders'!$BU8)) * ('Carrier Rates'!D6)</f>
        <v>2118.1776</v>
      </c>
      <c r="G11" s="18">
        <f t="shared" ref="G11:G12" si="9">E11+F11</f>
        <v>16239.3616</v>
      </c>
      <c r="H11" s="18">
        <f>(('Future Orders'!$BI8) + ('Future Orders'!$BU8)) * ('Carrier Rates'!D8)</f>
        <v>1235.6036</v>
      </c>
      <c r="I11" s="19">
        <f t="shared" ref="I11:I12" si="10">E11+H11</f>
        <v>15356.7876</v>
      </c>
      <c r="J11" s="20">
        <f t="shared" ref="J11:J12" si="11">G11+I11</f>
        <v>31596.1492</v>
      </c>
      <c r="K11" s="14"/>
      <c r="L11" s="10"/>
      <c r="M11" s="16" t="s">
        <v>8</v>
      </c>
      <c r="N11" s="17">
        <v>0.8</v>
      </c>
      <c r="O11" s="18">
        <f>(('Future Orders'!$BI$54) + ('Future Orders'!$BU$54)) * ('Future 2016 - 10% of Summary'!N11)</f>
        <v>795047.44</v>
      </c>
      <c r="P11" s="18">
        <f>(('Future Orders'!$BI$54) + ('Future Orders'!$BU$54)) * ('Carrier Rates'!D6)</f>
        <v>119257.116</v>
      </c>
      <c r="Q11" s="18">
        <f t="shared" ref="Q11:Q12" si="12">O11+P11</f>
        <v>914304.556</v>
      </c>
      <c r="R11" s="18">
        <f>(('Future Orders'!$BI$54) + ('Future Orders'!$BU$54)) * ('Carrier Rates'!D8)</f>
        <v>69566.651</v>
      </c>
      <c r="S11" s="19">
        <f t="shared" ref="S11:S12" si="13">O11+R11</f>
        <v>864614.091</v>
      </c>
      <c r="T11" s="20">
        <f t="shared" ref="T11:T12" si="14">Q11+S11</f>
        <v>1778918.647</v>
      </c>
      <c r="U11" s="15"/>
    </row>
    <row r="12">
      <c r="B12" s="10"/>
      <c r="C12" s="21" t="s">
        <v>9</v>
      </c>
      <c r="D12" s="22">
        <v>0.82</v>
      </c>
      <c r="E12" s="23">
        <f>(('Future Orders'!$BI8) + ('Future Orders'!$BU8))*('Future 2016 - 10% of Summary'!D12)</f>
        <v>14474.2136</v>
      </c>
      <c r="F12" s="23">
        <f>(('Future Orders'!$BI9) + ('Future Orders'!$BU9)) * ('Carrier Rates'!D7)</f>
        <v>1089.4114</v>
      </c>
      <c r="G12" s="23">
        <f t="shared" si="9"/>
        <v>15563.625</v>
      </c>
      <c r="H12" s="23">
        <f>(('Future Orders'!$BI8) + ('Future Orders'!$BU8)) * ('Carrier Rates'!D9)</f>
        <v>1059.0888</v>
      </c>
      <c r="I12" s="24">
        <f t="shared" si="10"/>
        <v>15533.3024</v>
      </c>
      <c r="J12" s="25">
        <f t="shared" si="11"/>
        <v>31096.9274</v>
      </c>
      <c r="K12" s="14"/>
      <c r="L12" s="10"/>
      <c r="M12" s="21" t="s">
        <v>9</v>
      </c>
      <c r="N12" s="17">
        <v>0.82</v>
      </c>
      <c r="O12" s="23">
        <f>(('Future Orders'!$BI$54) + ('Future Orders'!$BU$54)) * ('Future 2016 - 10% of Summary'!N12)</f>
        <v>814923.626</v>
      </c>
      <c r="P12" s="23">
        <f>(('Future Orders'!$BI$54) + ('Future Orders'!$BU$54)) * ('Carrier Rates'!D7)</f>
        <v>69566.651</v>
      </c>
      <c r="Q12" s="23">
        <f t="shared" si="12"/>
        <v>884490.277</v>
      </c>
      <c r="R12" s="23">
        <f>(('Future Orders'!$BI$54) + ('Future Orders'!$BU$54)) * ('Carrier Rates'!D9)</f>
        <v>59628.558</v>
      </c>
      <c r="S12" s="24">
        <f t="shared" si="13"/>
        <v>874552.184</v>
      </c>
      <c r="T12" s="25">
        <f t="shared" si="14"/>
        <v>1759042.461</v>
      </c>
      <c r="U12" s="15"/>
    </row>
    <row r="13">
      <c r="B13" s="10"/>
      <c r="C13" s="26" t="s">
        <v>10</v>
      </c>
      <c r="D13" s="27">
        <f t="shared" ref="D13:J13" si="15">D11-D12</f>
        <v>-0.02</v>
      </c>
      <c r="E13" s="27">
        <f t="shared" si="15"/>
        <v>-353.0296</v>
      </c>
      <c r="F13" s="27">
        <f t="shared" si="15"/>
        <v>1028.7662</v>
      </c>
      <c r="G13" s="18">
        <f t="shared" si="15"/>
        <v>675.7366</v>
      </c>
      <c r="H13" s="18">
        <f t="shared" si="15"/>
        <v>176.5148</v>
      </c>
      <c r="I13" s="19">
        <f t="shared" si="15"/>
        <v>-176.5148</v>
      </c>
      <c r="J13" s="28">
        <f t="shared" si="15"/>
        <v>499.2218</v>
      </c>
      <c r="K13" s="14"/>
      <c r="L13" s="10"/>
      <c r="M13" s="26" t="s">
        <v>10</v>
      </c>
      <c r="N13" s="27">
        <f t="shared" ref="N13:T13" si="16">N11-N12</f>
        <v>-0.02</v>
      </c>
      <c r="O13" s="27">
        <f t="shared" si="16"/>
        <v>-19876.186</v>
      </c>
      <c r="P13" s="27">
        <f t="shared" si="16"/>
        <v>49690.465</v>
      </c>
      <c r="Q13" s="29">
        <f t="shared" si="16"/>
        <v>29814.279</v>
      </c>
      <c r="R13" s="29">
        <f t="shared" si="16"/>
        <v>9938.093</v>
      </c>
      <c r="S13" s="30">
        <f t="shared" si="16"/>
        <v>-9938.093</v>
      </c>
      <c r="T13" s="31">
        <f t="shared" si="16"/>
        <v>19876.186</v>
      </c>
      <c r="U13" s="15"/>
    </row>
    <row r="14">
      <c r="B14" s="35"/>
      <c r="C14" s="36"/>
      <c r="D14" s="36"/>
      <c r="E14" s="36"/>
      <c r="F14" s="36"/>
      <c r="G14" s="36"/>
      <c r="H14" s="36"/>
      <c r="I14" s="36"/>
      <c r="J14" s="37"/>
      <c r="K14" s="38"/>
      <c r="L14" s="35"/>
      <c r="M14" s="36"/>
      <c r="N14" s="36"/>
      <c r="O14" s="36"/>
      <c r="P14" s="36"/>
      <c r="Q14" s="36"/>
      <c r="R14" s="36"/>
      <c r="S14" s="36"/>
      <c r="T14" s="36"/>
      <c r="U14" s="39"/>
    </row>
    <row r="15" ht="15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2:H2"/>
    <mergeCell ref="N2:R2"/>
    <mergeCell ref="D9:H9"/>
    <mergeCell ref="N9:R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0"/>
    <col customWidth="1" min="3" max="3" width="10.14"/>
    <col customWidth="1" min="4" max="9" width="13.57"/>
    <col customWidth="1" min="10" max="10" width="13.71"/>
    <col customWidth="1" min="11" max="12" width="5.57"/>
    <col customWidth="1" min="13" max="20" width="13.71"/>
    <col customWidth="1" min="21" max="21" width="5.71"/>
    <col customWidth="1" min="22" max="26" width="13.71"/>
  </cols>
  <sheetData>
    <row r="1">
      <c r="H1" s="1"/>
    </row>
    <row r="2">
      <c r="B2" s="2"/>
      <c r="C2" s="3"/>
      <c r="D2" s="4" t="s">
        <v>0</v>
      </c>
      <c r="E2" s="5"/>
      <c r="F2" s="5"/>
      <c r="G2" s="5"/>
      <c r="H2" s="5"/>
      <c r="I2" s="6"/>
      <c r="J2" s="7"/>
      <c r="K2" s="8"/>
      <c r="L2" s="2"/>
      <c r="M2" s="3"/>
      <c r="N2" s="4" t="s">
        <v>1</v>
      </c>
      <c r="O2" s="5"/>
      <c r="P2" s="5"/>
      <c r="Q2" s="5"/>
      <c r="R2" s="5"/>
      <c r="S2" s="3"/>
      <c r="T2" s="3"/>
      <c r="U2" s="9"/>
    </row>
    <row r="3">
      <c r="B3" s="10"/>
      <c r="D3" s="11" t="s">
        <v>2</v>
      </c>
      <c r="E3" s="11" t="s">
        <v>3</v>
      </c>
      <c r="F3" s="11" t="s">
        <v>4</v>
      </c>
      <c r="G3" s="12" t="s">
        <v>5</v>
      </c>
      <c r="H3" s="11" t="s">
        <v>6</v>
      </c>
      <c r="I3" s="12" t="s">
        <v>5</v>
      </c>
      <c r="J3" s="13" t="s">
        <v>7</v>
      </c>
      <c r="K3" s="14"/>
      <c r="L3" s="10"/>
      <c r="N3" s="11" t="s">
        <v>2</v>
      </c>
      <c r="O3" s="11" t="s">
        <v>3</v>
      </c>
      <c r="P3" s="11" t="s">
        <v>4</v>
      </c>
      <c r="Q3" s="12" t="s">
        <v>5</v>
      </c>
      <c r="R3" s="11" t="s">
        <v>6</v>
      </c>
      <c r="S3" s="12" t="s">
        <v>5</v>
      </c>
      <c r="T3" s="13" t="s">
        <v>7</v>
      </c>
      <c r="U3" s="15"/>
    </row>
    <row r="4">
      <c r="B4" s="10"/>
      <c r="C4" s="16" t="s">
        <v>8</v>
      </c>
      <c r="D4" s="17">
        <v>0.8</v>
      </c>
      <c r="E4" s="18">
        <f>((('Future Orders'!$BI8) + ('Future Orders'!$BU8)) * 1.1) * ('Future 2017 - 20% of Summary'!D4)</f>
        <v>15533.3024</v>
      </c>
      <c r="F4" s="18">
        <f>'Carrier Rates'!D2</f>
        <v>2540</v>
      </c>
      <c r="G4" s="18">
        <f t="shared" ref="G4:G5" si="1">E4+F4</f>
        <v>18073.3024</v>
      </c>
      <c r="H4" s="18">
        <f>'Carrier Rates'!D3</f>
        <v>1640</v>
      </c>
      <c r="I4" s="19">
        <f t="shared" ref="I4:I5" si="2">E4+H4</f>
        <v>17173.3024</v>
      </c>
      <c r="J4" s="20">
        <f t="shared" ref="J4:J5" si="3">G4+I4</f>
        <v>35246.6048</v>
      </c>
      <c r="K4" s="14"/>
      <c r="L4" s="10"/>
      <c r="M4" s="16" t="s">
        <v>8</v>
      </c>
      <c r="N4" s="17">
        <v>0.8</v>
      </c>
      <c r="O4" s="18">
        <f>((('Future Orders'!$BI$54) + ('Future Orders'!$BU$54)) * 1.1) * ('Future 2017 - 20% of Summary'!N4)</f>
        <v>874552.184</v>
      </c>
      <c r="P4" s="18">
        <f>'Carrier Rates'!A16</f>
        <v>132080</v>
      </c>
      <c r="Q4" s="18">
        <f t="shared" ref="Q4:Q5" si="4">O4+P4</f>
        <v>1006632.184</v>
      </c>
      <c r="R4" s="18">
        <f>'Carrier Rates'!B16</f>
        <v>85280</v>
      </c>
      <c r="S4" s="19">
        <f t="shared" ref="S4:S5" si="5">O4+R4</f>
        <v>959832.184</v>
      </c>
      <c r="T4" s="20">
        <f t="shared" ref="T4:T5" si="6">Q4+S4</f>
        <v>1966464.368</v>
      </c>
      <c r="U4" s="15"/>
    </row>
    <row r="5">
      <c r="B5" s="10"/>
      <c r="C5" s="21" t="s">
        <v>9</v>
      </c>
      <c r="D5" s="22">
        <v>0.82</v>
      </c>
      <c r="E5" s="23">
        <f>((('Future Orders'!$BI8) + ('Future Orders'!$BU8)) * 1.1) * ('Future 2017 - 20% of Summary'!D5)</f>
        <v>15921.63496</v>
      </c>
      <c r="F5" s="23">
        <f>'Carrier Rates'!D4</f>
        <v>1200</v>
      </c>
      <c r="G5" s="23">
        <f t="shared" si="1"/>
        <v>17121.63496</v>
      </c>
      <c r="H5" s="23">
        <f>'Carrier Rates'!D5</f>
        <v>1200</v>
      </c>
      <c r="I5" s="24">
        <f t="shared" si="2"/>
        <v>17121.63496</v>
      </c>
      <c r="J5" s="25">
        <f t="shared" si="3"/>
        <v>34243.26992</v>
      </c>
      <c r="K5" s="14"/>
      <c r="L5" s="10"/>
      <c r="M5" s="21" t="s">
        <v>9</v>
      </c>
      <c r="N5" s="22">
        <v>0.82</v>
      </c>
      <c r="O5" s="23">
        <f>((('Future Orders'!$BI$54) + ('Future Orders'!$BU$54)) * 1.1) * ('Future 2017 - 20% of Summary'!N5)</f>
        <v>896415.9886</v>
      </c>
      <c r="P5" s="23">
        <f>'Carrier Rates'!C16</f>
        <v>62400</v>
      </c>
      <c r="Q5" s="23">
        <f t="shared" si="4"/>
        <v>958815.9886</v>
      </c>
      <c r="R5" s="23">
        <f>'Carrier Rates'!D16</f>
        <v>62400</v>
      </c>
      <c r="S5" s="24">
        <f t="shared" si="5"/>
        <v>958815.9886</v>
      </c>
      <c r="T5" s="25">
        <f t="shared" si="6"/>
        <v>1917631.977</v>
      </c>
      <c r="U5" s="15"/>
    </row>
    <row r="6">
      <c r="B6" s="10"/>
      <c r="C6" s="26" t="s">
        <v>10</v>
      </c>
      <c r="D6" s="27">
        <f t="shared" ref="D6:J6" si="7">D4-D5</f>
        <v>-0.02</v>
      </c>
      <c r="E6" s="27">
        <f t="shared" si="7"/>
        <v>-388.33256</v>
      </c>
      <c r="F6" s="27">
        <f t="shared" si="7"/>
        <v>1340</v>
      </c>
      <c r="G6" s="18">
        <f t="shared" si="7"/>
        <v>951.66744</v>
      </c>
      <c r="H6" s="18">
        <f t="shared" si="7"/>
        <v>440</v>
      </c>
      <c r="I6" s="19">
        <f t="shared" si="7"/>
        <v>51.66744</v>
      </c>
      <c r="J6" s="28">
        <f t="shared" si="7"/>
        <v>1003.33488</v>
      </c>
      <c r="K6" s="14"/>
      <c r="L6" s="10"/>
      <c r="M6" s="26" t="s">
        <v>10</v>
      </c>
      <c r="N6" s="27">
        <f t="shared" ref="N6:T6" si="8">N4-N5</f>
        <v>-0.02</v>
      </c>
      <c r="O6" s="27">
        <f t="shared" si="8"/>
        <v>-21863.8046</v>
      </c>
      <c r="P6" s="27">
        <f t="shared" si="8"/>
        <v>69680</v>
      </c>
      <c r="Q6" s="29">
        <f t="shared" si="8"/>
        <v>47816.1954</v>
      </c>
      <c r="R6" s="29">
        <f t="shared" si="8"/>
        <v>22880</v>
      </c>
      <c r="S6" s="30">
        <f t="shared" si="8"/>
        <v>1016.1954</v>
      </c>
      <c r="T6" s="31">
        <f t="shared" si="8"/>
        <v>48832.3908</v>
      </c>
      <c r="U6" s="15"/>
    </row>
    <row r="7">
      <c r="B7" s="10"/>
      <c r="J7" s="1"/>
      <c r="K7" s="14"/>
      <c r="L7" s="10"/>
      <c r="U7" s="15"/>
    </row>
    <row r="8">
      <c r="B8" s="10"/>
      <c r="J8" s="1"/>
      <c r="K8" s="14"/>
      <c r="L8" s="10"/>
      <c r="U8" s="15"/>
    </row>
    <row r="9">
      <c r="B9" s="10"/>
      <c r="D9" s="32" t="s">
        <v>11</v>
      </c>
      <c r="E9" s="33"/>
      <c r="F9" s="33"/>
      <c r="G9" s="33"/>
      <c r="H9" s="33"/>
      <c r="I9" s="34"/>
      <c r="J9" s="1"/>
      <c r="K9" s="14"/>
      <c r="L9" s="10"/>
      <c r="N9" s="32" t="s">
        <v>12</v>
      </c>
      <c r="O9" s="33"/>
      <c r="P9" s="33"/>
      <c r="Q9" s="33"/>
      <c r="R9" s="33"/>
      <c r="U9" s="15"/>
    </row>
    <row r="10">
      <c r="B10" s="10"/>
      <c r="D10" s="11" t="s">
        <v>2</v>
      </c>
      <c r="E10" s="11" t="s">
        <v>3</v>
      </c>
      <c r="F10" s="11" t="s">
        <v>4</v>
      </c>
      <c r="G10" s="12" t="s">
        <v>5</v>
      </c>
      <c r="H10" s="11" t="s">
        <v>6</v>
      </c>
      <c r="I10" s="12" t="s">
        <v>5</v>
      </c>
      <c r="J10" s="13" t="s">
        <v>7</v>
      </c>
      <c r="K10" s="14"/>
      <c r="L10" s="10"/>
      <c r="N10" s="11" t="s">
        <v>2</v>
      </c>
      <c r="O10" s="11" t="s">
        <v>3</v>
      </c>
      <c r="P10" s="11" t="s">
        <v>4</v>
      </c>
      <c r="Q10" s="12" t="s">
        <v>5</v>
      </c>
      <c r="R10" s="11" t="s">
        <v>6</v>
      </c>
      <c r="S10" s="12" t="s">
        <v>5</v>
      </c>
      <c r="T10" s="13" t="s">
        <v>7</v>
      </c>
      <c r="U10" s="15"/>
    </row>
    <row r="11">
      <c r="B11" s="10"/>
      <c r="C11" s="16" t="s">
        <v>8</v>
      </c>
      <c r="D11" s="17">
        <v>0.8</v>
      </c>
      <c r="E11" s="18">
        <f>((('Future Orders'!$BI8) + ('Future Orders'!$BU8)) * 1.1) * ('Future 2017 - 20% of Summary'!D11)</f>
        <v>15533.3024</v>
      </c>
      <c r="F11" s="18">
        <f>((('Future Orders'!$BI8) + ('Future Orders'!$BU8)) * 1.1) * ('Carrier Rates'!D6)</f>
        <v>2329.99536</v>
      </c>
      <c r="G11" s="18">
        <f t="shared" ref="G11:G12" si="9">E11+F11</f>
        <v>17863.29776</v>
      </c>
      <c r="H11" s="18">
        <f>((('Future Orders'!$BI8) + ('Future Orders'!$BU8)) * 1.1) * ('Carrier Rates'!D8)</f>
        <v>1359.16396</v>
      </c>
      <c r="I11" s="19">
        <f t="shared" ref="I11:I12" si="10">E11+H11</f>
        <v>16892.46636</v>
      </c>
      <c r="J11" s="20">
        <f t="shared" ref="J11:J12" si="11">G11+I11</f>
        <v>34755.76412</v>
      </c>
      <c r="K11" s="14"/>
      <c r="L11" s="10"/>
      <c r="M11" s="16" t="s">
        <v>8</v>
      </c>
      <c r="N11" s="17">
        <v>0.8</v>
      </c>
      <c r="O11" s="18">
        <f>((('Future Orders'!$BI$54) + ('Future Orders'!$BU$54)) * 1.1) * ('Future 2017 - 20% of Summary'!N11)</f>
        <v>874552.184</v>
      </c>
      <c r="P11" s="18">
        <f>((('Future Orders'!$BI$54) + ('Future Orders'!$BU$54)) * 1.1) * ('Carrier Rates'!D6)</f>
        <v>131182.8276</v>
      </c>
      <c r="Q11" s="18">
        <f t="shared" ref="Q11:Q12" si="12">O11+P11</f>
        <v>1005735.012</v>
      </c>
      <c r="R11" s="18">
        <f>((('Future Orders'!$BI$54) + ('Future Orders'!$BU$54))* 1.1) * ('Carrier Rates'!D8)</f>
        <v>76523.3161</v>
      </c>
      <c r="S11" s="19">
        <f t="shared" ref="S11:S12" si="13">O11+R11</f>
        <v>951075.5001</v>
      </c>
      <c r="T11" s="20">
        <f t="shared" ref="T11:T12" si="14">Q11+S11</f>
        <v>1956810.512</v>
      </c>
      <c r="U11" s="15"/>
    </row>
    <row r="12">
      <c r="B12" s="10"/>
      <c r="C12" s="21" t="s">
        <v>9</v>
      </c>
      <c r="D12" s="22">
        <v>0.82</v>
      </c>
      <c r="E12" s="23">
        <f>((('Future Orders'!$BI8) + ('Future Orders'!$BU8)) * 1.1) * ('Future 2017 - 20% of Summary'!D12)</f>
        <v>15921.63496</v>
      </c>
      <c r="F12" s="23">
        <f>((('Future Orders'!$BI8) + ('Future Orders'!$BU8)) * 1.1) * ('Carrier Rates'!D7)</f>
        <v>1359.16396</v>
      </c>
      <c r="G12" s="23">
        <f t="shared" si="9"/>
        <v>17280.79892</v>
      </c>
      <c r="H12" s="23">
        <f>((('Future Orders'!$BI8) + ('Future Orders'!$BU8)) * 1.1) * ('Carrier Rates'!D9)</f>
        <v>1164.99768</v>
      </c>
      <c r="I12" s="24">
        <f t="shared" si="10"/>
        <v>17086.63264</v>
      </c>
      <c r="J12" s="25">
        <f t="shared" si="11"/>
        <v>34367.43156</v>
      </c>
      <c r="K12" s="14"/>
      <c r="L12" s="10"/>
      <c r="M12" s="21" t="s">
        <v>9</v>
      </c>
      <c r="N12" s="17">
        <v>0.82</v>
      </c>
      <c r="O12" s="23">
        <f>((('Future Orders'!$BI$54) + ('Future Orders'!$BU$54)) * 1.1) * ('Future 2017 - 20% of Summary'!N12)</f>
        <v>896415.9886</v>
      </c>
      <c r="P12" s="23">
        <f>((('Future Orders'!$BI$54) + ('Future Orders'!$BU$54))* 1.1) * ('Carrier Rates'!D7)</f>
        <v>76523.3161</v>
      </c>
      <c r="Q12" s="23">
        <f t="shared" si="12"/>
        <v>972939.3047</v>
      </c>
      <c r="R12" s="23">
        <f>((('Future Orders'!$BI$54) + ('Future Orders'!$BU$54))* 1.1) * ('Carrier Rates'!D9)</f>
        <v>65591.4138</v>
      </c>
      <c r="S12" s="24">
        <f t="shared" si="13"/>
        <v>962007.4024</v>
      </c>
      <c r="T12" s="25">
        <f t="shared" si="14"/>
        <v>1934946.707</v>
      </c>
      <c r="U12" s="15"/>
    </row>
    <row r="13">
      <c r="B13" s="10"/>
      <c r="C13" s="26" t="s">
        <v>10</v>
      </c>
      <c r="D13" s="27">
        <f t="shared" ref="D13:J13" si="15">D11-D12</f>
        <v>-0.02</v>
      </c>
      <c r="E13" s="27">
        <f t="shared" si="15"/>
        <v>-388.33256</v>
      </c>
      <c r="F13" s="27">
        <f t="shared" si="15"/>
        <v>970.8314</v>
      </c>
      <c r="G13" s="18">
        <f t="shared" si="15"/>
        <v>582.49884</v>
      </c>
      <c r="H13" s="18">
        <f t="shared" si="15"/>
        <v>194.16628</v>
      </c>
      <c r="I13" s="19">
        <f t="shared" si="15"/>
        <v>-194.16628</v>
      </c>
      <c r="J13" s="28">
        <f t="shared" si="15"/>
        <v>388.33256</v>
      </c>
      <c r="K13" s="14"/>
      <c r="L13" s="10"/>
      <c r="M13" s="26" t="s">
        <v>10</v>
      </c>
      <c r="N13" s="27">
        <f t="shared" ref="N13:T13" si="16">N11-N12</f>
        <v>-0.02</v>
      </c>
      <c r="O13" s="27">
        <f t="shared" si="16"/>
        <v>-21863.8046</v>
      </c>
      <c r="P13" s="27">
        <f t="shared" si="16"/>
        <v>54659.5115</v>
      </c>
      <c r="Q13" s="29">
        <f t="shared" si="16"/>
        <v>32795.7069</v>
      </c>
      <c r="R13" s="29">
        <f t="shared" si="16"/>
        <v>10931.9023</v>
      </c>
      <c r="S13" s="30">
        <f t="shared" si="16"/>
        <v>-10931.9023</v>
      </c>
      <c r="T13" s="31">
        <f t="shared" si="16"/>
        <v>21863.8046</v>
      </c>
      <c r="U13" s="15"/>
    </row>
    <row r="14">
      <c r="B14" s="35"/>
      <c r="C14" s="36"/>
      <c r="D14" s="36"/>
      <c r="E14" s="36"/>
      <c r="F14" s="36"/>
      <c r="G14" s="36"/>
      <c r="H14" s="36"/>
      <c r="I14" s="36"/>
      <c r="J14" s="37"/>
      <c r="K14" s="38"/>
      <c r="L14" s="35"/>
      <c r="M14" s="36"/>
      <c r="N14" s="36"/>
      <c r="O14" s="36"/>
      <c r="P14" s="36"/>
      <c r="Q14" s="36"/>
      <c r="R14" s="36"/>
      <c r="S14" s="36"/>
      <c r="T14" s="36"/>
      <c r="U14" s="39"/>
    </row>
    <row r="15" ht="15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2:H2"/>
    <mergeCell ref="N2:R2"/>
    <mergeCell ref="D9:H9"/>
    <mergeCell ref="N9:R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0"/>
    <col customWidth="1" min="3" max="3" width="10.14"/>
    <col customWidth="1" min="4" max="9" width="13.57"/>
    <col customWidth="1" min="10" max="10" width="13.71"/>
    <col customWidth="1" min="11" max="12" width="5.57"/>
    <col customWidth="1" min="13" max="20" width="13.71"/>
    <col customWidth="1" min="21" max="21" width="5.71"/>
    <col customWidth="1" min="22" max="26" width="13.71"/>
  </cols>
  <sheetData>
    <row r="1">
      <c r="H1" s="1"/>
    </row>
    <row r="2">
      <c r="B2" s="2"/>
      <c r="C2" s="3"/>
      <c r="D2" s="4" t="s">
        <v>0</v>
      </c>
      <c r="E2" s="5"/>
      <c r="F2" s="5"/>
      <c r="G2" s="5"/>
      <c r="H2" s="5"/>
      <c r="I2" s="6"/>
      <c r="J2" s="7"/>
      <c r="K2" s="8"/>
      <c r="L2" s="2"/>
      <c r="M2" s="3"/>
      <c r="N2" s="4" t="s">
        <v>1</v>
      </c>
      <c r="O2" s="5"/>
      <c r="P2" s="5"/>
      <c r="Q2" s="5"/>
      <c r="R2" s="5"/>
      <c r="S2" s="3"/>
      <c r="T2" s="3"/>
      <c r="U2" s="9"/>
    </row>
    <row r="3">
      <c r="B3" s="10"/>
      <c r="D3" s="11" t="s">
        <v>2</v>
      </c>
      <c r="E3" s="11" t="s">
        <v>3</v>
      </c>
      <c r="F3" s="11" t="s">
        <v>4</v>
      </c>
      <c r="G3" s="12" t="s">
        <v>5</v>
      </c>
      <c r="H3" s="11" t="s">
        <v>6</v>
      </c>
      <c r="I3" s="12" t="s">
        <v>5</v>
      </c>
      <c r="J3" s="13" t="s">
        <v>7</v>
      </c>
      <c r="K3" s="14"/>
      <c r="L3" s="10"/>
      <c r="N3" s="11" t="s">
        <v>2</v>
      </c>
      <c r="O3" s="11" t="s">
        <v>3</v>
      </c>
      <c r="P3" s="11" t="s">
        <v>4</v>
      </c>
      <c r="Q3" s="12" t="s">
        <v>5</v>
      </c>
      <c r="R3" s="11" t="s">
        <v>6</v>
      </c>
      <c r="S3" s="12" t="s">
        <v>5</v>
      </c>
      <c r="T3" s="13" t="s">
        <v>7</v>
      </c>
      <c r="U3" s="15"/>
    </row>
    <row r="4">
      <c r="B4" s="10"/>
      <c r="C4" s="16" t="s">
        <v>8</v>
      </c>
      <c r="D4" s="17">
        <v>0.8</v>
      </c>
      <c r="E4" s="18">
        <f>((('Future Orders'!$BI8) + ('Future Orders'!$BU8)) * 1.4) * ('Future 2020 - 50% of Summary'!D4)</f>
        <v>19769.6576</v>
      </c>
      <c r="F4" s="18">
        <f>('Carrier Rates'!D2) * 2</f>
        <v>5080</v>
      </c>
      <c r="G4" s="18">
        <f t="shared" ref="G4:G5" si="1">E4+F4</f>
        <v>24849.6576</v>
      </c>
      <c r="H4" s="18">
        <f>('Carrier Rates'!D3) * 2</f>
        <v>3280</v>
      </c>
      <c r="I4" s="19">
        <f t="shared" ref="I4:I5" si="2">E4+H4</f>
        <v>23049.6576</v>
      </c>
      <c r="J4" s="20">
        <f t="shared" ref="J4:J5" si="3">G4+I4</f>
        <v>47899.3152</v>
      </c>
      <c r="K4" s="14"/>
      <c r="L4" s="10"/>
      <c r="M4" s="16" t="s">
        <v>8</v>
      </c>
      <c r="N4" s="17">
        <v>0.8</v>
      </c>
      <c r="O4" s="18">
        <f>((('Future Orders'!$BI$54) + ('Future Orders'!$BU$54)) * 1.4) * ('Future 2020 - 50% of Summary'!N4)</f>
        <v>1113066.416</v>
      </c>
      <c r="P4" s="18">
        <f>('Carrier Rates'!A16) * 2</f>
        <v>264160</v>
      </c>
      <c r="Q4" s="18">
        <f t="shared" ref="Q4:Q5" si="4">O4+P4</f>
        <v>1377226.416</v>
      </c>
      <c r="R4" s="18">
        <f>('Carrier Rates'!B16) * 2</f>
        <v>170560</v>
      </c>
      <c r="S4" s="19">
        <f t="shared" ref="S4:S5" si="5">O4+R4</f>
        <v>1283626.416</v>
      </c>
      <c r="T4" s="20">
        <f t="shared" ref="T4:T5" si="6">Q4+S4</f>
        <v>2660852.832</v>
      </c>
      <c r="U4" s="15"/>
    </row>
    <row r="5">
      <c r="B5" s="10"/>
      <c r="C5" s="21" t="s">
        <v>9</v>
      </c>
      <c r="D5" s="22">
        <v>0.82</v>
      </c>
      <c r="E5" s="23">
        <f>((('Future Orders'!$BI8) + ('Future Orders'!$BU8)) * 1.4) * ('Future 2020 - 50% of Summary'!D5)</f>
        <v>20263.89904</v>
      </c>
      <c r="F5" s="23">
        <f>('Carrier Rates'!D4) * 2</f>
        <v>2400</v>
      </c>
      <c r="G5" s="23">
        <f t="shared" si="1"/>
        <v>22663.89904</v>
      </c>
      <c r="H5" s="23">
        <f>('Carrier Rates'!D5) * 2</f>
        <v>2400</v>
      </c>
      <c r="I5" s="24">
        <f t="shared" si="2"/>
        <v>22663.89904</v>
      </c>
      <c r="J5" s="25">
        <f t="shared" si="3"/>
        <v>45327.79808</v>
      </c>
      <c r="K5" s="14"/>
      <c r="L5" s="10"/>
      <c r="M5" s="21" t="s">
        <v>9</v>
      </c>
      <c r="N5" s="22">
        <v>0.82</v>
      </c>
      <c r="O5" s="23">
        <f>((('Future Orders'!$BI$54) + ('Future Orders'!$BU$54)) * 1.4) * ('Future 2020 - 50% of Summary'!N5)</f>
        <v>1140893.076</v>
      </c>
      <c r="P5" s="23">
        <f>('Carrier Rates'!C16) * 2</f>
        <v>124800</v>
      </c>
      <c r="Q5" s="23">
        <f t="shared" si="4"/>
        <v>1265693.076</v>
      </c>
      <c r="R5" s="23">
        <f>('Carrier Rates'!D16) * 2</f>
        <v>124800</v>
      </c>
      <c r="S5" s="24">
        <f t="shared" si="5"/>
        <v>1265693.076</v>
      </c>
      <c r="T5" s="25">
        <f t="shared" si="6"/>
        <v>2531386.153</v>
      </c>
      <c r="U5" s="15"/>
    </row>
    <row r="6">
      <c r="B6" s="10"/>
      <c r="C6" s="26" t="s">
        <v>10</v>
      </c>
      <c r="D6" s="27">
        <f t="shared" ref="D6:J6" si="7">D4-D5</f>
        <v>-0.02</v>
      </c>
      <c r="E6" s="27">
        <f t="shared" si="7"/>
        <v>-494.24144</v>
      </c>
      <c r="F6" s="27">
        <f t="shared" si="7"/>
        <v>2680</v>
      </c>
      <c r="G6" s="18">
        <f t="shared" si="7"/>
        <v>2185.75856</v>
      </c>
      <c r="H6" s="18">
        <f t="shared" si="7"/>
        <v>880</v>
      </c>
      <c r="I6" s="19">
        <f t="shared" si="7"/>
        <v>385.75856</v>
      </c>
      <c r="J6" s="28">
        <f t="shared" si="7"/>
        <v>2571.51712</v>
      </c>
      <c r="K6" s="14"/>
      <c r="L6" s="10"/>
      <c r="M6" s="26" t="s">
        <v>10</v>
      </c>
      <c r="N6" s="27">
        <f t="shared" ref="N6:T6" si="8">N4-N5</f>
        <v>-0.02</v>
      </c>
      <c r="O6" s="27">
        <f t="shared" si="8"/>
        <v>-27826.6604</v>
      </c>
      <c r="P6" s="27">
        <f t="shared" si="8"/>
        <v>139360</v>
      </c>
      <c r="Q6" s="29">
        <f t="shared" si="8"/>
        <v>111533.3396</v>
      </c>
      <c r="R6" s="29">
        <f t="shared" si="8"/>
        <v>45760</v>
      </c>
      <c r="S6" s="30">
        <f t="shared" si="8"/>
        <v>17933.3396</v>
      </c>
      <c r="T6" s="31">
        <f t="shared" si="8"/>
        <v>129466.6792</v>
      </c>
      <c r="U6" s="15"/>
    </row>
    <row r="7">
      <c r="B7" s="10"/>
      <c r="J7" s="1"/>
      <c r="K7" s="14"/>
      <c r="L7" s="10"/>
      <c r="U7" s="15"/>
    </row>
    <row r="8">
      <c r="B8" s="10"/>
      <c r="J8" s="1"/>
      <c r="K8" s="14"/>
      <c r="L8" s="10"/>
      <c r="U8" s="15"/>
    </row>
    <row r="9">
      <c r="B9" s="10"/>
      <c r="D9" s="32" t="s">
        <v>11</v>
      </c>
      <c r="E9" s="33"/>
      <c r="F9" s="33"/>
      <c r="G9" s="33"/>
      <c r="H9" s="33"/>
      <c r="I9" s="34"/>
      <c r="J9" s="1"/>
      <c r="K9" s="14"/>
      <c r="L9" s="10"/>
      <c r="N9" s="32" t="s">
        <v>12</v>
      </c>
      <c r="O9" s="33"/>
      <c r="P9" s="33"/>
      <c r="Q9" s="33"/>
      <c r="R9" s="33"/>
      <c r="U9" s="15"/>
    </row>
    <row r="10">
      <c r="B10" s="10"/>
      <c r="D10" s="11" t="s">
        <v>2</v>
      </c>
      <c r="E10" s="11" t="s">
        <v>3</v>
      </c>
      <c r="F10" s="11" t="s">
        <v>4</v>
      </c>
      <c r="G10" s="12" t="s">
        <v>5</v>
      </c>
      <c r="H10" s="11" t="s">
        <v>6</v>
      </c>
      <c r="I10" s="12" t="s">
        <v>5</v>
      </c>
      <c r="J10" s="13" t="s">
        <v>7</v>
      </c>
      <c r="K10" s="14"/>
      <c r="L10" s="10"/>
      <c r="N10" s="11" t="s">
        <v>2</v>
      </c>
      <c r="O10" s="11" t="s">
        <v>3</v>
      </c>
      <c r="P10" s="11" t="s">
        <v>4</v>
      </c>
      <c r="Q10" s="12" t="s">
        <v>5</v>
      </c>
      <c r="R10" s="11" t="s">
        <v>6</v>
      </c>
      <c r="S10" s="12" t="s">
        <v>5</v>
      </c>
      <c r="T10" s="13" t="s">
        <v>7</v>
      </c>
      <c r="U10" s="15"/>
    </row>
    <row r="11">
      <c r="B11" s="10"/>
      <c r="C11" s="16" t="s">
        <v>8</v>
      </c>
      <c r="D11" s="17">
        <v>0.8</v>
      </c>
      <c r="E11" s="18">
        <f>((('Future Orders'!$BI8) + ('Future Orders'!$BU8)) * 1.4) * ('Future 2020 - 50% of Summary'!D11)</f>
        <v>19769.6576</v>
      </c>
      <c r="F11" s="18">
        <f>((('Future Orders'!$BI8) + ('Future Orders'!$BU8)) * 1.4) * ('Carrier Rates'!D6)</f>
        <v>2965.44864</v>
      </c>
      <c r="G11" s="18">
        <f t="shared" ref="G11:G12" si="9">E11+F11</f>
        <v>22735.10624</v>
      </c>
      <c r="H11" s="18">
        <f>((('Future Orders'!$BI8) + ('Future Orders'!$BU8)) * 1.4) * ('Carrier Rates'!D8)</f>
        <v>1729.84504</v>
      </c>
      <c r="I11" s="19">
        <f t="shared" ref="I11:I12" si="10">E11+H11</f>
        <v>21499.50264</v>
      </c>
      <c r="J11" s="20">
        <f t="shared" ref="J11:J12" si="11">G11+I11</f>
        <v>44234.60888</v>
      </c>
      <c r="K11" s="14"/>
      <c r="L11" s="10"/>
      <c r="M11" s="16" t="s">
        <v>8</v>
      </c>
      <c r="N11" s="17">
        <v>0.8</v>
      </c>
      <c r="O11" s="18">
        <f>((('Future Orders'!$BI$54) + ('Future Orders'!$BU$54)) * 1.4) * ('Future 2020 - 50% of Summary'!N11)</f>
        <v>1113066.416</v>
      </c>
      <c r="P11" s="18">
        <f>((('Future Orders'!$BI$54) + ('Future Orders'!$BU$54)) * 1.4) * ('Carrier Rates'!D6)</f>
        <v>166959.9624</v>
      </c>
      <c r="Q11" s="18">
        <f t="shared" ref="Q11:Q12" si="12">O11+P11</f>
        <v>1280026.378</v>
      </c>
      <c r="R11" s="18">
        <f>((('Future Orders'!$BI$54) + ('Future Orders'!$BU$54)) * 1.4) * ('Carrier Rates'!D8)</f>
        <v>97393.3114</v>
      </c>
      <c r="S11" s="19">
        <f t="shared" ref="S11:S12" si="13">O11+R11</f>
        <v>1210459.727</v>
      </c>
      <c r="T11" s="20">
        <f t="shared" ref="T11:T12" si="14">Q11+S11</f>
        <v>2490486.106</v>
      </c>
      <c r="U11" s="15"/>
    </row>
    <row r="12">
      <c r="B12" s="10"/>
      <c r="C12" s="21" t="s">
        <v>9</v>
      </c>
      <c r="D12" s="22">
        <v>0.82</v>
      </c>
      <c r="E12" s="23">
        <f>((('Future Orders'!$BI8) + ('Future Orders'!$BU8)) * 1.4) * ('Future 2020 - 50% of Summary'!D12)</f>
        <v>20263.89904</v>
      </c>
      <c r="F12" s="23">
        <f>((('Future Orders'!$BI8) + ('Future Orders'!$BU8)) * 1.4) * ('Carrier Rates'!D7)</f>
        <v>1729.84504</v>
      </c>
      <c r="G12" s="23">
        <f t="shared" si="9"/>
        <v>21993.74408</v>
      </c>
      <c r="H12" s="23">
        <f>((('Future Orders'!$BI8) + ('Future Orders'!$BU8)) * 1.4) * ('Carrier Rates'!D9)</f>
        <v>1482.72432</v>
      </c>
      <c r="I12" s="24">
        <f t="shared" si="10"/>
        <v>21746.62336</v>
      </c>
      <c r="J12" s="25">
        <f t="shared" si="11"/>
        <v>43740.36744</v>
      </c>
      <c r="K12" s="14"/>
      <c r="L12" s="10"/>
      <c r="M12" s="21" t="s">
        <v>9</v>
      </c>
      <c r="N12" s="17">
        <v>0.82</v>
      </c>
      <c r="O12" s="23">
        <f>((('Future Orders'!$BI$54) + ('Future Orders'!$BU$54)) * 1.4) * ('Future 2020 - 50% of Summary'!N12)</f>
        <v>1140893.076</v>
      </c>
      <c r="P12" s="23">
        <f>((('Future Orders'!$BI$54) + ('Future Orders'!$BU$54)) * 1.4) * ('Carrier Rates'!D7)</f>
        <v>97393.3114</v>
      </c>
      <c r="Q12" s="23">
        <f t="shared" si="12"/>
        <v>1238286.388</v>
      </c>
      <c r="R12" s="23">
        <f>((('Future Orders'!$BI$54) + ('Future Orders'!$BU$54)) * 1.4) * ('Carrier Rates'!D9)</f>
        <v>83479.9812</v>
      </c>
      <c r="S12" s="24">
        <f t="shared" si="13"/>
        <v>1224373.058</v>
      </c>
      <c r="T12" s="25">
        <f t="shared" si="14"/>
        <v>2462659.445</v>
      </c>
      <c r="U12" s="15"/>
    </row>
    <row r="13">
      <c r="B13" s="10"/>
      <c r="C13" s="26" t="s">
        <v>10</v>
      </c>
      <c r="D13" s="27">
        <f t="shared" ref="D13:J13" si="15">D11-D12</f>
        <v>-0.02</v>
      </c>
      <c r="E13" s="27">
        <f t="shared" si="15"/>
        <v>-494.24144</v>
      </c>
      <c r="F13" s="27">
        <f t="shared" si="15"/>
        <v>1235.6036</v>
      </c>
      <c r="G13" s="18">
        <f t="shared" si="15"/>
        <v>741.36216</v>
      </c>
      <c r="H13" s="18">
        <f t="shared" si="15"/>
        <v>247.12072</v>
      </c>
      <c r="I13" s="19">
        <f t="shared" si="15"/>
        <v>-247.12072</v>
      </c>
      <c r="J13" s="28">
        <f t="shared" si="15"/>
        <v>494.24144</v>
      </c>
      <c r="K13" s="14"/>
      <c r="L13" s="10"/>
      <c r="M13" s="26" t="s">
        <v>10</v>
      </c>
      <c r="N13" s="27">
        <f t="shared" ref="N13:T13" si="16">N11-N12</f>
        <v>-0.02</v>
      </c>
      <c r="O13" s="27">
        <f t="shared" si="16"/>
        <v>-27826.6604</v>
      </c>
      <c r="P13" s="27">
        <f t="shared" si="16"/>
        <v>69566.651</v>
      </c>
      <c r="Q13" s="29">
        <f t="shared" si="16"/>
        <v>41739.9906</v>
      </c>
      <c r="R13" s="29">
        <f t="shared" si="16"/>
        <v>13913.3302</v>
      </c>
      <c r="S13" s="30">
        <f t="shared" si="16"/>
        <v>-13913.3302</v>
      </c>
      <c r="T13" s="31">
        <f t="shared" si="16"/>
        <v>27826.6604</v>
      </c>
      <c r="U13" s="15"/>
    </row>
    <row r="14">
      <c r="B14" s="35"/>
      <c r="C14" s="36"/>
      <c r="D14" s="36"/>
      <c r="E14" s="36"/>
      <c r="F14" s="36"/>
      <c r="G14" s="36"/>
      <c r="H14" s="36"/>
      <c r="I14" s="36"/>
      <c r="J14" s="37"/>
      <c r="K14" s="38"/>
      <c r="L14" s="35"/>
      <c r="M14" s="36"/>
      <c r="N14" s="36"/>
      <c r="O14" s="36"/>
      <c r="P14" s="36"/>
      <c r="Q14" s="36"/>
      <c r="R14" s="36"/>
      <c r="S14" s="36"/>
      <c r="T14" s="36"/>
      <c r="U14" s="39"/>
    </row>
    <row r="15" ht="15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2:H2"/>
    <mergeCell ref="N2:R2"/>
    <mergeCell ref="D9:H9"/>
    <mergeCell ref="N9:R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6" width="15.86"/>
    <col customWidth="1" min="7" max="7" width="22.14"/>
    <col customWidth="1" min="8" max="8" width="19.57"/>
    <col customWidth="1" min="9" max="12" width="15.86"/>
    <col customWidth="1" min="13" max="13" width="22.14"/>
    <col customWidth="1" min="14" max="14" width="15.86"/>
    <col customWidth="1" min="15" max="15" width="19.57"/>
    <col customWidth="1" min="16" max="16" width="15.86"/>
    <col customWidth="1" min="17" max="26" width="9.14"/>
  </cols>
  <sheetData>
    <row r="1">
      <c r="A1" s="40"/>
      <c r="B1" s="41" t="s">
        <v>14</v>
      </c>
      <c r="C1" s="41" t="s">
        <v>15</v>
      </c>
      <c r="D1" s="41" t="s">
        <v>16</v>
      </c>
      <c r="E1" s="41" t="s">
        <v>17</v>
      </c>
      <c r="F1" s="41" t="s">
        <v>18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B2" s="42">
        <v>1.0</v>
      </c>
      <c r="C2" s="43" t="s">
        <v>19</v>
      </c>
      <c r="D2" s="43">
        <v>1.0</v>
      </c>
      <c r="E2" s="44">
        <v>2.2</v>
      </c>
      <c r="F2" s="45" t="s">
        <v>20</v>
      </c>
    </row>
    <row r="3">
      <c r="B3" s="42">
        <v>2.0</v>
      </c>
      <c r="C3" s="43" t="s">
        <v>21</v>
      </c>
      <c r="D3" s="43">
        <v>1.0</v>
      </c>
      <c r="E3" s="44">
        <v>1.2</v>
      </c>
      <c r="F3" s="45" t="s">
        <v>20</v>
      </c>
    </row>
    <row r="4">
      <c r="B4" s="42">
        <v>3.0</v>
      </c>
      <c r="C4" s="43" t="s">
        <v>22</v>
      </c>
      <c r="D4" s="43">
        <v>1.0</v>
      </c>
      <c r="E4" s="44">
        <v>8.3</v>
      </c>
      <c r="F4" s="45" t="s">
        <v>20</v>
      </c>
    </row>
    <row r="5">
      <c r="B5" s="46">
        <v>4.0</v>
      </c>
      <c r="C5" s="47" t="s">
        <v>23</v>
      </c>
      <c r="D5" s="47">
        <v>1.0</v>
      </c>
      <c r="E5" s="48">
        <v>2.0</v>
      </c>
      <c r="F5" s="49" t="s">
        <v>20</v>
      </c>
    </row>
    <row r="6">
      <c r="B6" s="50"/>
      <c r="C6" s="50"/>
      <c r="D6" s="50"/>
      <c r="E6" s="51"/>
      <c r="F6" s="50"/>
    </row>
    <row r="7">
      <c r="B7" s="2"/>
      <c r="C7" s="3"/>
      <c r="D7" s="3"/>
      <c r="E7" s="3"/>
      <c r="F7" s="52" t="s">
        <v>24</v>
      </c>
      <c r="G7" s="53"/>
      <c r="H7" s="53"/>
      <c r="I7" s="53"/>
      <c r="J7" s="54"/>
      <c r="K7" s="3"/>
      <c r="L7" s="3"/>
      <c r="M7" s="3"/>
      <c r="N7" s="9"/>
    </row>
    <row r="8">
      <c r="B8" s="10"/>
      <c r="F8" s="55"/>
      <c r="N8" s="15"/>
    </row>
    <row r="9" ht="14.25" customHeight="1">
      <c r="B9" s="10"/>
      <c r="C9" s="56" t="s">
        <v>25</v>
      </c>
      <c r="D9" s="57"/>
      <c r="E9" s="57"/>
      <c r="F9" s="57"/>
      <c r="G9" s="58"/>
      <c r="I9" s="56" t="s">
        <v>26</v>
      </c>
      <c r="J9" s="57"/>
      <c r="K9" s="57"/>
      <c r="L9" s="57"/>
      <c r="M9" s="58"/>
      <c r="N9" s="15"/>
    </row>
    <row r="10">
      <c r="B10" s="10"/>
      <c r="C10" s="59"/>
      <c r="G10" s="60"/>
      <c r="I10" s="59"/>
      <c r="M10" s="60"/>
      <c r="N10" s="15"/>
    </row>
    <row r="11">
      <c r="B11" s="10"/>
      <c r="C11" s="61"/>
      <c r="D11" s="62"/>
      <c r="E11" s="62"/>
      <c r="F11" s="62"/>
      <c r="G11" s="63"/>
      <c r="I11" s="61"/>
      <c r="J11" s="62"/>
      <c r="K11" s="62"/>
      <c r="L11" s="62"/>
      <c r="M11" s="63"/>
      <c r="N11" s="15"/>
    </row>
    <row r="12">
      <c r="B12" s="10"/>
      <c r="C12" s="64" t="s">
        <v>17</v>
      </c>
      <c r="D12" s="65"/>
      <c r="E12" s="65"/>
      <c r="F12" s="65"/>
      <c r="G12" s="66"/>
      <c r="I12" s="64" t="s">
        <v>17</v>
      </c>
      <c r="J12" s="65"/>
      <c r="K12" s="65"/>
      <c r="L12" s="65"/>
      <c r="M12" s="66"/>
      <c r="N12" s="15"/>
    </row>
    <row r="13">
      <c r="B13" s="10"/>
      <c r="C13" s="10"/>
      <c r="D13" s="67" t="str">
        <f>$C$2</f>
        <v>Wrench</v>
      </c>
      <c r="E13" s="67" t="str">
        <f>$C$3</f>
        <v>Saw</v>
      </c>
      <c r="F13" s="67" t="str">
        <f>$C$4</f>
        <v>Drill</v>
      </c>
      <c r="G13" s="68" t="s">
        <v>7</v>
      </c>
      <c r="I13" s="10"/>
      <c r="J13" s="67" t="str">
        <f>$C$2</f>
        <v>Wrench</v>
      </c>
      <c r="K13" s="67" t="str">
        <f>$C$3</f>
        <v>Saw</v>
      </c>
      <c r="L13" s="67" t="str">
        <f>$C$4</f>
        <v>Drill</v>
      </c>
      <c r="M13" s="68" t="s">
        <v>7</v>
      </c>
      <c r="N13" s="15"/>
    </row>
    <row r="14">
      <c r="B14" s="10"/>
      <c r="C14" s="69" t="s">
        <v>8</v>
      </c>
      <c r="D14" s="70">
        <f>SUM('Historical Orders'!$I$2:$I$313)</f>
        <v>516927.4</v>
      </c>
      <c r="E14" s="71">
        <f>SUM('Historical Orders'!$Q$2:$Q$313)</f>
        <v>354705.6</v>
      </c>
      <c r="F14" s="71">
        <f>SUM('Historical Orders'!$Y$2:$Y$313)</f>
        <v>0</v>
      </c>
      <c r="G14" s="72">
        <f t="shared" ref="G14:G15" si="1">SUM(D14:F14)</f>
        <v>871633</v>
      </c>
      <c r="I14" s="69" t="s">
        <v>8</v>
      </c>
      <c r="J14" s="70">
        <f>SUM('Historical Orders'!$M$2:$M$313)</f>
        <v>386535.6</v>
      </c>
      <c r="K14" s="71">
        <f>SUM('Historical Orders'!$U$2:$U$313)</f>
        <v>370653.6</v>
      </c>
      <c r="L14" s="71">
        <f>SUM('Historical Orders'!$AC$2:$AC$313)</f>
        <v>0</v>
      </c>
      <c r="M14" s="72">
        <f t="shared" ref="M14:M15" si="2">SUM(J14:L14)</f>
        <v>757189.2</v>
      </c>
      <c r="N14" s="15"/>
    </row>
    <row r="15">
      <c r="B15" s="10"/>
      <c r="C15" s="69" t="s">
        <v>9</v>
      </c>
      <c r="D15" s="73">
        <f>SUM('Historical Orders'!$K$2:$K$313)</f>
        <v>0</v>
      </c>
      <c r="E15" s="74">
        <f>SUM('Historical Orders'!$S$2:$S$313)</f>
        <v>0</v>
      </c>
      <c r="F15" s="74">
        <f>SUM('Historical Orders'!$AA$2:$AA$313)</f>
        <v>903977.9</v>
      </c>
      <c r="G15" s="75">
        <f t="shared" si="1"/>
        <v>903977.9</v>
      </c>
      <c r="I15" s="69" t="s">
        <v>9</v>
      </c>
      <c r="J15" s="73">
        <f>SUM('Historical Orders'!$O$2:$O$313)</f>
        <v>0</v>
      </c>
      <c r="K15" s="74">
        <f>SUM('Historical Orders'!$W$2:$W$313)</f>
        <v>0</v>
      </c>
      <c r="L15" s="74">
        <f>SUM('Historical Orders'!$AE$2:$AE$313)</f>
        <v>1126675.2</v>
      </c>
      <c r="M15" s="75">
        <f t="shared" si="2"/>
        <v>1126675.2</v>
      </c>
      <c r="N15" s="15"/>
    </row>
    <row r="16">
      <c r="B16" s="10"/>
      <c r="C16" s="76" t="s">
        <v>27</v>
      </c>
      <c r="D16" s="77"/>
      <c r="E16" s="77"/>
      <c r="F16" s="77"/>
      <c r="G16" s="78">
        <f>(G14+G15)</f>
        <v>1775610.9</v>
      </c>
      <c r="I16" s="76" t="s">
        <v>27</v>
      </c>
      <c r="J16" s="77"/>
      <c r="K16" s="77"/>
      <c r="L16" s="77"/>
      <c r="M16" s="78">
        <f>(M14+M15)</f>
        <v>1883864.4</v>
      </c>
      <c r="N16" s="15"/>
    </row>
    <row r="17">
      <c r="B17" s="10"/>
      <c r="C17" s="64" t="s">
        <v>28</v>
      </c>
      <c r="D17" s="65"/>
      <c r="E17" s="65"/>
      <c r="F17" s="65"/>
      <c r="G17" s="66"/>
      <c r="I17" s="64" t="s">
        <v>28</v>
      </c>
      <c r="J17" s="65"/>
      <c r="K17" s="65"/>
      <c r="L17" s="65"/>
      <c r="M17" s="66"/>
      <c r="N17" s="15"/>
    </row>
    <row r="18">
      <c r="B18" s="10"/>
      <c r="C18" s="10"/>
      <c r="D18" s="67" t="str">
        <f>$C$2</f>
        <v>Wrench</v>
      </c>
      <c r="E18" s="67" t="str">
        <f>$C$3</f>
        <v>Saw</v>
      </c>
      <c r="F18" s="67" t="str">
        <f>$C$4</f>
        <v>Drill</v>
      </c>
      <c r="G18" s="68" t="s">
        <v>7</v>
      </c>
      <c r="I18" s="10"/>
      <c r="J18" s="67" t="str">
        <f>$C$2</f>
        <v>Wrench</v>
      </c>
      <c r="K18" s="67" t="str">
        <f>$C$3</f>
        <v>Saw</v>
      </c>
      <c r="L18" s="67" t="str">
        <f>$C$4</f>
        <v>Drill</v>
      </c>
      <c r="M18" s="68" t="s">
        <v>7</v>
      </c>
      <c r="N18" s="15"/>
    </row>
    <row r="19">
      <c r="B19" s="10"/>
      <c r="C19" s="69" t="s">
        <v>8</v>
      </c>
      <c r="D19" s="70">
        <f>SUM('Historical Orders'!$H$2:$H$313)</f>
        <v>234967</v>
      </c>
      <c r="E19" s="71">
        <f>SUM('Historical Orders'!$L$2:$L$313)</f>
        <v>175698</v>
      </c>
      <c r="F19" s="71">
        <f>SUM('Historical Orders'!$AB$2:$AB$313)</f>
        <v>0</v>
      </c>
      <c r="G19" s="72">
        <f t="shared" ref="G19:G20" si="3">SUM(D19:F19)</f>
        <v>410665</v>
      </c>
      <c r="I19" s="69" t="s">
        <v>8</v>
      </c>
      <c r="J19" s="70">
        <f>SUM('Historical Orders'!$L$2:$L$313)</f>
        <v>175698</v>
      </c>
      <c r="K19" s="71">
        <f>SUM('Historical Orders'!$T$2:$T$313)</f>
        <v>308878</v>
      </c>
      <c r="L19" s="71">
        <f>SUM('Historical Orders'!$AB$2:$AB$313)</f>
        <v>0</v>
      </c>
      <c r="M19" s="72">
        <f t="shared" ref="M19:M20" si="4">SUM(J19:L19)</f>
        <v>484576</v>
      </c>
      <c r="N19" s="15"/>
    </row>
    <row r="20">
      <c r="B20" s="10"/>
      <c r="C20" s="69" t="s">
        <v>9</v>
      </c>
      <c r="D20" s="73">
        <f>SUM('Historical Orders'!$J$2:$J$313)</f>
        <v>0</v>
      </c>
      <c r="E20" s="74">
        <f>SUM('Historical Orders'!$R$2:$R$313)</f>
        <v>0</v>
      </c>
      <c r="F20" s="74">
        <f>SUM('Historical Orders'!$Z$2:$Z$313)</f>
        <v>108913</v>
      </c>
      <c r="G20" s="75">
        <f t="shared" si="3"/>
        <v>108913</v>
      </c>
      <c r="I20" s="69" t="s">
        <v>9</v>
      </c>
      <c r="J20" s="73">
        <f>SUM('Historical Orders'!$N$2:$N$313)</f>
        <v>0</v>
      </c>
      <c r="K20" s="74">
        <f>SUM('Historical Orders'!$V$2:$V$313)</f>
        <v>0</v>
      </c>
      <c r="L20" s="74">
        <f>SUM('Historical Orders'!$AD$2:$AD$313)</f>
        <v>135744</v>
      </c>
      <c r="M20" s="75">
        <f t="shared" si="4"/>
        <v>135744</v>
      </c>
      <c r="N20" s="15"/>
    </row>
    <row r="21" ht="15.75" customHeight="1">
      <c r="B21" s="10"/>
      <c r="C21" s="76" t="s">
        <v>27</v>
      </c>
      <c r="D21" s="77"/>
      <c r="E21" s="77"/>
      <c r="F21" s="77"/>
      <c r="G21" s="78">
        <f>(G19+G20)</f>
        <v>519578</v>
      </c>
      <c r="I21" s="76" t="s">
        <v>27</v>
      </c>
      <c r="J21" s="77"/>
      <c r="K21" s="77"/>
      <c r="L21" s="77"/>
      <c r="M21" s="78">
        <f>(M19+M20)</f>
        <v>620320</v>
      </c>
      <c r="N21" s="15"/>
    </row>
    <row r="22" ht="15.75" customHeight="1">
      <c r="B22" s="10"/>
      <c r="F22" s="79"/>
      <c r="N22" s="15"/>
    </row>
    <row r="23" ht="15.75" customHeight="1">
      <c r="B23" s="10"/>
      <c r="F23" s="79"/>
      <c r="N23" s="15"/>
    </row>
    <row r="24" ht="15.75" customHeight="1">
      <c r="B24" s="10"/>
      <c r="C24" s="56" t="s">
        <v>29</v>
      </c>
      <c r="D24" s="57"/>
      <c r="E24" s="57"/>
      <c r="F24" s="57"/>
      <c r="G24" s="58"/>
      <c r="H24" s="80"/>
      <c r="I24" s="56" t="s">
        <v>30</v>
      </c>
      <c r="J24" s="57"/>
      <c r="K24" s="57"/>
      <c r="L24" s="57"/>
      <c r="M24" s="58"/>
      <c r="N24" s="15"/>
    </row>
    <row r="25" ht="15.75" customHeight="1">
      <c r="B25" s="10"/>
      <c r="C25" s="64" t="s">
        <v>31</v>
      </c>
      <c r="D25" s="65"/>
      <c r="E25" s="65"/>
      <c r="F25" s="65"/>
      <c r="G25" s="66"/>
      <c r="I25" s="64" t="s">
        <v>17</v>
      </c>
      <c r="J25" s="65"/>
      <c r="K25" s="65"/>
      <c r="L25" s="65"/>
      <c r="M25" s="66"/>
      <c r="N25" s="15"/>
    </row>
    <row r="26" ht="15.75" customHeight="1">
      <c r="B26" s="10"/>
      <c r="C26" s="81"/>
      <c r="D26" s="82" t="str">
        <f>$C$2</f>
        <v>Wrench</v>
      </c>
      <c r="E26" s="82" t="str">
        <f>$C$3</f>
        <v>Saw</v>
      </c>
      <c r="F26" s="82" t="str">
        <f>$C$4</f>
        <v>Drill</v>
      </c>
      <c r="G26" s="68" t="s">
        <v>7</v>
      </c>
      <c r="I26" s="83"/>
      <c r="J26" s="84" t="str">
        <f>$C$2</f>
        <v>Wrench</v>
      </c>
      <c r="K26" s="82" t="str">
        <f>$C$3</f>
        <v>Saw</v>
      </c>
      <c r="L26" s="82" t="str">
        <f>$C$4</f>
        <v>Drill</v>
      </c>
      <c r="M26" s="68" t="s">
        <v>7</v>
      </c>
      <c r="N26" s="15"/>
    </row>
    <row r="27" ht="15.75" customHeight="1">
      <c r="B27" s="10"/>
      <c r="C27" s="69" t="s">
        <v>32</v>
      </c>
      <c r="D27" s="85">
        <f>'Carrier Rates'!A16</f>
        <v>132080</v>
      </c>
      <c r="E27" s="86"/>
      <c r="F27" s="87"/>
      <c r="G27" s="88">
        <f t="shared" ref="G27:G28" si="5">SUM(D27:F27)</f>
        <v>132080</v>
      </c>
      <c r="I27" s="69" t="s">
        <v>32</v>
      </c>
      <c r="J27" s="85"/>
      <c r="K27" s="86"/>
      <c r="L27" s="87">
        <f>'Carrier Rates'!C16</f>
        <v>62400</v>
      </c>
      <c r="M27" s="88">
        <f t="shared" ref="M27:M28" si="6">SUM(J27:L27)</f>
        <v>62400</v>
      </c>
      <c r="N27" s="15"/>
    </row>
    <row r="28" ht="15.75" customHeight="1">
      <c r="B28" s="10"/>
      <c r="C28" s="89" t="s">
        <v>33</v>
      </c>
      <c r="D28" s="90">
        <f>(D14)*('Carrier Rates'!$D$6)</f>
        <v>62031.288</v>
      </c>
      <c r="E28" s="91">
        <f>(E14)*('Carrier Rates'!$D$6)</f>
        <v>42564.672</v>
      </c>
      <c r="F28" s="91">
        <f>(F14)*('Carrier Rates'!$D$6)</f>
        <v>0</v>
      </c>
      <c r="G28" s="92">
        <f t="shared" si="5"/>
        <v>104595.96</v>
      </c>
      <c r="I28" s="89" t="s">
        <v>33</v>
      </c>
      <c r="J28" s="90">
        <f>(D15)*('Carrier Rates'!$D$8)</f>
        <v>0</v>
      </c>
      <c r="K28" s="91">
        <f>(E15)*('Carrier Rates'!$D$8)</f>
        <v>0</v>
      </c>
      <c r="L28" s="91">
        <f>(F15)*('Carrier Rates'!$D$8)</f>
        <v>63278.453</v>
      </c>
      <c r="M28" s="92">
        <f t="shared" si="6"/>
        <v>63278.453</v>
      </c>
      <c r="N28" s="15"/>
    </row>
    <row r="29" ht="15.75" customHeight="1">
      <c r="B29" s="10"/>
      <c r="C29" s="76" t="s">
        <v>34</v>
      </c>
      <c r="D29" s="77"/>
      <c r="E29" s="77"/>
      <c r="F29" s="77"/>
      <c r="G29" s="78">
        <f>(G27-G28)</f>
        <v>27484.04</v>
      </c>
      <c r="I29" s="76" t="s">
        <v>34</v>
      </c>
      <c r="J29" s="77"/>
      <c r="K29" s="77"/>
      <c r="L29" s="77"/>
      <c r="M29" s="78">
        <f>(M27-M28)</f>
        <v>-878.453</v>
      </c>
      <c r="N29" s="15"/>
    </row>
    <row r="30" ht="15.75" customHeight="1">
      <c r="B30" s="10"/>
      <c r="F30" s="79"/>
      <c r="N30" s="15"/>
    </row>
    <row r="31" ht="15.75" customHeight="1">
      <c r="B31" s="10"/>
      <c r="C31" s="56" t="s">
        <v>35</v>
      </c>
      <c r="D31" s="57"/>
      <c r="E31" s="57"/>
      <c r="F31" s="57"/>
      <c r="G31" s="58"/>
      <c r="H31" s="80"/>
      <c r="I31" s="56" t="s">
        <v>36</v>
      </c>
      <c r="J31" s="57"/>
      <c r="K31" s="57"/>
      <c r="L31" s="57"/>
      <c r="M31" s="58"/>
      <c r="N31" s="15"/>
    </row>
    <row r="32" ht="15.75" customHeight="1">
      <c r="B32" s="10"/>
      <c r="C32" s="64" t="s">
        <v>31</v>
      </c>
      <c r="D32" s="65"/>
      <c r="E32" s="65"/>
      <c r="F32" s="65"/>
      <c r="G32" s="66"/>
      <c r="I32" s="64" t="s">
        <v>17</v>
      </c>
      <c r="J32" s="65"/>
      <c r="K32" s="65"/>
      <c r="L32" s="65"/>
      <c r="M32" s="66"/>
      <c r="N32" s="15"/>
    </row>
    <row r="33" ht="15.75" customHeight="1">
      <c r="B33" s="10"/>
      <c r="C33" s="81"/>
      <c r="D33" s="84" t="str">
        <f>$C$2</f>
        <v>Wrench</v>
      </c>
      <c r="E33" s="82" t="str">
        <f>$C$3</f>
        <v>Saw</v>
      </c>
      <c r="F33" s="82" t="str">
        <f>$C$4</f>
        <v>Drill</v>
      </c>
      <c r="G33" s="68" t="s">
        <v>7</v>
      </c>
      <c r="I33" s="83"/>
      <c r="J33" s="84" t="str">
        <f>$C$2</f>
        <v>Wrench</v>
      </c>
      <c r="K33" s="82" t="str">
        <f>$C$3</f>
        <v>Saw</v>
      </c>
      <c r="L33" s="82" t="str">
        <f>$C$4</f>
        <v>Drill</v>
      </c>
      <c r="M33" s="68" t="s">
        <v>7</v>
      </c>
      <c r="N33" s="15"/>
    </row>
    <row r="34" ht="15.75" customHeight="1">
      <c r="B34" s="10"/>
      <c r="C34" s="69" t="s">
        <v>32</v>
      </c>
      <c r="D34" s="85">
        <f>'Carrier Rates'!B16</f>
        <v>85280</v>
      </c>
      <c r="E34" s="86"/>
      <c r="F34" s="87"/>
      <c r="G34" s="93">
        <f t="shared" ref="G34:G35" si="7">SUM(D34:F34)</f>
        <v>85280</v>
      </c>
      <c r="I34" s="69" t="s">
        <v>32</v>
      </c>
      <c r="J34" s="85"/>
      <c r="K34" s="86"/>
      <c r="L34" s="87">
        <f>'Carrier Rates'!D16</f>
        <v>62400</v>
      </c>
      <c r="M34" s="93">
        <f t="shared" ref="M34:M35" si="8">SUM(J34:L34)</f>
        <v>62400</v>
      </c>
      <c r="N34" s="15"/>
    </row>
    <row r="35" ht="15.75" customHeight="1">
      <c r="B35" s="10"/>
      <c r="C35" s="69" t="s">
        <v>33</v>
      </c>
      <c r="D35" s="90">
        <f>(J14)*('Carrier Rates'!$D$7)</f>
        <v>27057.492</v>
      </c>
      <c r="E35" s="91">
        <f>(K14)*('Carrier Rates'!$D$7)</f>
        <v>25945.752</v>
      </c>
      <c r="F35" s="91">
        <f>(L14)*('Carrier Rates'!$D$7)</f>
        <v>0</v>
      </c>
      <c r="G35" s="92">
        <f t="shared" si="7"/>
        <v>53003.244</v>
      </c>
      <c r="I35" s="69" t="s">
        <v>33</v>
      </c>
      <c r="J35" s="90">
        <f>(J15)*('Carrier Rates'!$D$9)</f>
        <v>0</v>
      </c>
      <c r="K35" s="91">
        <f>(K15)*('Carrier Rates'!$D$9)</f>
        <v>0</v>
      </c>
      <c r="L35" s="91">
        <f>(L15)*('Carrier Rates'!$D$9)</f>
        <v>67600.512</v>
      </c>
      <c r="M35" s="92">
        <f t="shared" si="8"/>
        <v>67600.512</v>
      </c>
      <c r="N35" s="15"/>
    </row>
    <row r="36" ht="15.75" customHeight="1">
      <c r="B36" s="10"/>
      <c r="C36" s="76" t="s">
        <v>34</v>
      </c>
      <c r="D36" s="36"/>
      <c r="E36" s="36"/>
      <c r="F36" s="94"/>
      <c r="G36" s="78">
        <f>(G34-G35)</f>
        <v>32276.756</v>
      </c>
      <c r="I36" s="76" t="s">
        <v>34</v>
      </c>
      <c r="J36" s="36"/>
      <c r="K36" s="36"/>
      <c r="L36" s="36"/>
      <c r="M36" s="78">
        <f>SUM(M34-M35)</f>
        <v>-5200.512</v>
      </c>
      <c r="N36" s="15"/>
    </row>
    <row r="37" ht="15.75" customHeight="1">
      <c r="B37" s="35"/>
      <c r="F37" s="79"/>
      <c r="N37" s="39"/>
    </row>
    <row r="38" ht="15.75" customHeight="1">
      <c r="C38" s="3"/>
      <c r="D38" s="3"/>
      <c r="E38" s="3"/>
      <c r="F38" s="95"/>
      <c r="G38" s="57"/>
      <c r="H38" s="57"/>
      <c r="I38" s="57"/>
      <c r="J38" s="57"/>
      <c r="K38" s="57"/>
      <c r="L38" s="57"/>
      <c r="M38" s="3"/>
    </row>
    <row r="39" ht="15.75" customHeight="1">
      <c r="E39" s="79"/>
    </row>
    <row r="40" ht="15.75" customHeight="1">
      <c r="B40" s="2"/>
      <c r="C40" s="3"/>
      <c r="D40" s="3"/>
      <c r="E40" s="3"/>
      <c r="F40" s="52" t="s">
        <v>37</v>
      </c>
      <c r="G40" s="53"/>
      <c r="H40" s="53"/>
      <c r="I40" s="53"/>
      <c r="J40" s="53"/>
      <c r="K40" s="53"/>
      <c r="L40" s="54"/>
      <c r="M40" s="3"/>
      <c r="N40" s="3"/>
      <c r="O40" s="3"/>
      <c r="P40" s="9"/>
    </row>
    <row r="41" ht="15.75" customHeight="1">
      <c r="B41" s="10"/>
      <c r="F41" s="55"/>
      <c r="P41" s="15"/>
    </row>
    <row r="42" ht="14.25" customHeight="1">
      <c r="B42" s="10"/>
      <c r="C42" s="96" t="s">
        <v>38</v>
      </c>
      <c r="D42" s="97"/>
      <c r="E42" s="97"/>
      <c r="F42" s="97"/>
      <c r="G42" s="97"/>
      <c r="H42" s="98"/>
      <c r="J42" s="96" t="s">
        <v>39</v>
      </c>
      <c r="K42" s="97"/>
      <c r="L42" s="97"/>
      <c r="M42" s="97"/>
      <c r="N42" s="97"/>
      <c r="O42" s="98"/>
      <c r="P42" s="15"/>
    </row>
    <row r="43" ht="14.25" customHeight="1">
      <c r="B43" s="10"/>
      <c r="C43" s="99"/>
      <c r="H43" s="100"/>
      <c r="J43" s="99"/>
      <c r="O43" s="100"/>
      <c r="P43" s="15"/>
    </row>
    <row r="44" ht="14.25" customHeight="1">
      <c r="B44" s="10"/>
      <c r="C44" s="101"/>
      <c r="D44" s="102"/>
      <c r="E44" s="102"/>
      <c r="F44" s="102"/>
      <c r="G44" s="102"/>
      <c r="H44" s="103"/>
      <c r="J44" s="101"/>
      <c r="K44" s="102"/>
      <c r="L44" s="102"/>
      <c r="M44" s="102"/>
      <c r="N44" s="102"/>
      <c r="O44" s="103"/>
      <c r="P44" s="15"/>
    </row>
    <row r="45" ht="15.75" customHeight="1">
      <c r="B45" s="10"/>
      <c r="C45" s="104" t="s">
        <v>17</v>
      </c>
      <c r="D45" s="105"/>
      <c r="E45" s="105"/>
      <c r="F45" s="105"/>
      <c r="G45" s="105"/>
      <c r="H45" s="106"/>
      <c r="J45" s="104" t="s">
        <v>17</v>
      </c>
      <c r="K45" s="105"/>
      <c r="L45" s="105"/>
      <c r="M45" s="105"/>
      <c r="N45" s="105"/>
      <c r="O45" s="106"/>
      <c r="P45" s="15"/>
    </row>
    <row r="46" ht="15.75" customHeight="1">
      <c r="B46" s="10"/>
      <c r="C46" s="10"/>
      <c r="D46" s="82" t="str">
        <f>$C$2</f>
        <v>Wrench</v>
      </c>
      <c r="E46" s="82" t="str">
        <f>$C$3</f>
        <v>Saw</v>
      </c>
      <c r="F46" s="82" t="str">
        <f>$C$4</f>
        <v>Drill</v>
      </c>
      <c r="G46" s="107" t="str">
        <f>$C$5</f>
        <v>Hammer</v>
      </c>
      <c r="H46" s="68" t="s">
        <v>7</v>
      </c>
      <c r="J46" s="10"/>
      <c r="K46" s="82" t="str">
        <f>$C$2</f>
        <v>Wrench</v>
      </c>
      <c r="L46" s="82" t="str">
        <f>$C$3</f>
        <v>Saw</v>
      </c>
      <c r="M46" s="82" t="str">
        <f>$C$4</f>
        <v>Drill</v>
      </c>
      <c r="N46" s="107" t="str">
        <f>$C$5</f>
        <v>Hammer</v>
      </c>
      <c r="O46" s="68" t="s">
        <v>7</v>
      </c>
      <c r="P46" s="15"/>
    </row>
    <row r="47" ht="15.75" customHeight="1">
      <c r="B47" s="10"/>
      <c r="C47" s="69" t="s">
        <v>8</v>
      </c>
      <c r="D47" s="70">
        <f>SUM('Future Orders'!$BI$54)</f>
        <v>568620.14</v>
      </c>
      <c r="E47" s="71">
        <f>SUM('Future Orders'!$BJ$54)</f>
        <v>390176.16</v>
      </c>
      <c r="F47" s="71">
        <f>SUM('Future Orders'!$BK$54)</f>
        <v>0</v>
      </c>
      <c r="G47" s="108">
        <f>SUM('Future Orders'!$BL$54)</f>
        <v>568620.14</v>
      </c>
      <c r="H47" s="72">
        <f t="shared" ref="H47:H48" si="9">SUM(D47:G47)</f>
        <v>1527416.44</v>
      </c>
      <c r="J47" s="69" t="s">
        <v>8</v>
      </c>
      <c r="K47" s="70">
        <f>SUM('Future Orders'!$BU$54)</f>
        <v>425189.16</v>
      </c>
      <c r="L47" s="71">
        <f>SUM('Future Orders'!$BV$54)</f>
        <v>407718.96</v>
      </c>
      <c r="M47" s="71">
        <f>SUM('Future Orders'!$BW$54)</f>
        <v>0</v>
      </c>
      <c r="N47" s="108">
        <f>SUM('Future Orders'!$BX$54)</f>
        <v>425189.16</v>
      </c>
      <c r="O47" s="72">
        <f t="shared" ref="O47:O48" si="10">SUM(K47:N47)</f>
        <v>1258097.28</v>
      </c>
      <c r="P47" s="15"/>
    </row>
    <row r="48" ht="15.75" customHeight="1">
      <c r="B48" s="10"/>
      <c r="C48" s="69" t="s">
        <v>9</v>
      </c>
      <c r="D48" s="73">
        <f>SUM('Future Orders'!$BO$54)</f>
        <v>0</v>
      </c>
      <c r="E48" s="74">
        <f>SUM('Future Orders'!$BP$54)</f>
        <v>0</v>
      </c>
      <c r="F48" s="74">
        <f>SUM('Future Orders'!$BQ$54)</f>
        <v>994375.69</v>
      </c>
      <c r="G48" s="109">
        <f>SUM('Future Orders'!$BR$54)</f>
        <v>0</v>
      </c>
      <c r="H48" s="75">
        <f t="shared" si="9"/>
        <v>994375.69</v>
      </c>
      <c r="J48" s="69" t="s">
        <v>9</v>
      </c>
      <c r="K48" s="73">
        <f>SUM('Future Orders'!$CA$54)</f>
        <v>0</v>
      </c>
      <c r="L48" s="74">
        <f>SUM('Future Orders'!$CB$54)</f>
        <v>0</v>
      </c>
      <c r="M48" s="74">
        <f>SUM('Future Orders'!$CC$54)</f>
        <v>1239342.72</v>
      </c>
      <c r="N48" s="109">
        <f>SUM('Future Orders'!$CD$54)</f>
        <v>0</v>
      </c>
      <c r="O48" s="75">
        <f t="shared" si="10"/>
        <v>1239342.72</v>
      </c>
      <c r="P48" s="15"/>
    </row>
    <row r="49" ht="15.75" customHeight="1">
      <c r="B49" s="10"/>
      <c r="C49" s="76" t="s">
        <v>27</v>
      </c>
      <c r="D49" s="77"/>
      <c r="E49" s="77"/>
      <c r="F49" s="77"/>
      <c r="G49" s="77"/>
      <c r="H49" s="110">
        <f>(H47+H48)</f>
        <v>2521792.13</v>
      </c>
      <c r="J49" s="76" t="s">
        <v>27</v>
      </c>
      <c r="K49" s="77"/>
      <c r="L49" s="77"/>
      <c r="M49" s="77"/>
      <c r="N49" s="77"/>
      <c r="O49" s="110">
        <f>(O47+O48)</f>
        <v>2497440</v>
      </c>
      <c r="P49" s="15"/>
    </row>
    <row r="50" ht="15.75" customHeight="1">
      <c r="B50" s="10"/>
      <c r="C50" s="64" t="s">
        <v>28</v>
      </c>
      <c r="D50" s="65"/>
      <c r="E50" s="65"/>
      <c r="F50" s="65"/>
      <c r="G50" s="66"/>
      <c r="H50" s="64"/>
      <c r="J50" s="64" t="s">
        <v>28</v>
      </c>
      <c r="K50" s="65"/>
      <c r="L50" s="65"/>
      <c r="M50" s="65"/>
      <c r="N50" s="65"/>
      <c r="O50" s="65"/>
      <c r="P50" s="15"/>
    </row>
    <row r="51" ht="15.75" customHeight="1">
      <c r="B51" s="10"/>
      <c r="C51" s="10"/>
      <c r="D51" s="67" t="str">
        <f>$C$2</f>
        <v>Wrench</v>
      </c>
      <c r="E51" s="67" t="str">
        <f>$C$3</f>
        <v>Saw</v>
      </c>
      <c r="F51" s="67" t="str">
        <f>$C$4</f>
        <v>Drill</v>
      </c>
      <c r="G51" s="111" t="str">
        <f>$C$5</f>
        <v>Hammer</v>
      </c>
      <c r="H51" s="68" t="s">
        <v>7</v>
      </c>
      <c r="J51" s="10"/>
      <c r="K51" s="67" t="str">
        <f>$C$2</f>
        <v>Wrench</v>
      </c>
      <c r="L51" s="67" t="str">
        <f>$C$3</f>
        <v>Saw</v>
      </c>
      <c r="M51" s="67" t="str">
        <f>$C$4</f>
        <v>Drill</v>
      </c>
      <c r="N51" s="111" t="str">
        <f>$C$5</f>
        <v>Hammer</v>
      </c>
      <c r="O51" s="68" t="s">
        <v>7</v>
      </c>
      <c r="P51" s="15"/>
    </row>
    <row r="52" ht="15.75" customHeight="1">
      <c r="B52" s="10"/>
      <c r="C52" s="69" t="s">
        <v>8</v>
      </c>
      <c r="D52" s="70">
        <f>SUM('Historical Orders'!$H$2:$H$313)</f>
        <v>234967</v>
      </c>
      <c r="E52" s="71">
        <f>SUM('Historical Orders'!$L$2:$L$313)</f>
        <v>175698</v>
      </c>
      <c r="F52" s="71">
        <f>SUM('Historical Orders'!$AB$2:$AB$313)</f>
        <v>0</v>
      </c>
      <c r="G52" s="108">
        <f>SUM('Historical Orders'!$H$2:$H$313)</f>
        <v>234967</v>
      </c>
      <c r="H52" s="72">
        <f t="shared" ref="H52:H53" si="11">SUM(D52:G52)</f>
        <v>645632</v>
      </c>
      <c r="J52" s="69" t="s">
        <v>8</v>
      </c>
      <c r="K52" s="70">
        <f>SUM('Historical Orders'!$L$2:$L$313)</f>
        <v>175698</v>
      </c>
      <c r="L52" s="71">
        <f>SUM('Historical Orders'!$T$2:$T$313)</f>
        <v>308878</v>
      </c>
      <c r="M52" s="71">
        <f>SUM('Historical Orders'!$AB$2:$AB$313)</f>
        <v>0</v>
      </c>
      <c r="N52" s="108">
        <f>SUM('Historical Orders'!$L$2:$L$313)</f>
        <v>175698</v>
      </c>
      <c r="O52" s="72">
        <f t="shared" ref="O52:O53" si="12">SUM(K52:N52)</f>
        <v>660274</v>
      </c>
      <c r="P52" s="15"/>
    </row>
    <row r="53" ht="15.75" customHeight="1">
      <c r="B53" s="10"/>
      <c r="C53" s="69" t="s">
        <v>9</v>
      </c>
      <c r="D53" s="73">
        <f>SUM('Historical Orders'!$J$2:$J$313)</f>
        <v>0</v>
      </c>
      <c r="E53" s="74">
        <f>SUM('Historical Orders'!$R$2:$R$313)</f>
        <v>0</v>
      </c>
      <c r="F53" s="74">
        <f>SUM('Historical Orders'!$Z$2:$Z$313)</f>
        <v>108913</v>
      </c>
      <c r="G53" s="109">
        <f>SUM('Historical Orders'!$AH$2:$AH$313)</f>
        <v>0</v>
      </c>
      <c r="H53" s="75">
        <f t="shared" si="11"/>
        <v>108913</v>
      </c>
      <c r="J53" s="69" t="s">
        <v>9</v>
      </c>
      <c r="K53" s="73">
        <f>SUM('Historical Orders'!$N$2:$N$313)</f>
        <v>0</v>
      </c>
      <c r="L53" s="74">
        <f>SUM('Historical Orders'!$V$2:$V$313)</f>
        <v>0</v>
      </c>
      <c r="M53" s="74">
        <f>SUM('Historical Orders'!$AD$2:$AD$313)</f>
        <v>135744</v>
      </c>
      <c r="N53" s="109">
        <f>SUM('Historical Orders'!$AL$2:$AL$313)</f>
        <v>0</v>
      </c>
      <c r="O53" s="75">
        <f t="shared" si="12"/>
        <v>135744</v>
      </c>
      <c r="P53" s="15"/>
    </row>
    <row r="54" ht="15.75" customHeight="1">
      <c r="B54" s="10"/>
      <c r="C54" s="76" t="s">
        <v>27</v>
      </c>
      <c r="D54" s="77"/>
      <c r="E54" s="77"/>
      <c r="F54" s="77"/>
      <c r="G54" s="77"/>
      <c r="H54" s="110">
        <f>(H52+H53)</f>
        <v>754545</v>
      </c>
      <c r="J54" s="76" t="s">
        <v>27</v>
      </c>
      <c r="K54" s="77"/>
      <c r="L54" s="77"/>
      <c r="M54" s="77"/>
      <c r="N54" s="77"/>
      <c r="O54" s="110">
        <f>(O52+O53)</f>
        <v>796018</v>
      </c>
      <c r="P54" s="15"/>
    </row>
    <row r="55" ht="15.75" customHeight="1">
      <c r="B55" s="10"/>
      <c r="F55" s="79"/>
      <c r="P55" s="15"/>
    </row>
    <row r="56" ht="15.75" customHeight="1">
      <c r="B56" s="10"/>
      <c r="C56" s="112" t="s">
        <v>29</v>
      </c>
      <c r="D56" s="105"/>
      <c r="E56" s="105"/>
      <c r="F56" s="105"/>
      <c r="G56" s="105"/>
      <c r="H56" s="106"/>
      <c r="J56" s="112" t="s">
        <v>30</v>
      </c>
      <c r="K56" s="105"/>
      <c r="L56" s="105"/>
      <c r="M56" s="105"/>
      <c r="N56" s="105"/>
      <c r="O56" s="106"/>
      <c r="P56" s="15"/>
    </row>
    <row r="57" ht="15.75" customHeight="1">
      <c r="B57" s="10"/>
      <c r="C57" s="104" t="s">
        <v>31</v>
      </c>
      <c r="D57" s="113"/>
      <c r="E57" s="113"/>
      <c r="F57" s="113"/>
      <c r="G57" s="113"/>
      <c r="H57" s="114"/>
      <c r="J57" s="104" t="s">
        <v>17</v>
      </c>
      <c r="K57" s="113"/>
      <c r="L57" s="113"/>
      <c r="M57" s="113"/>
      <c r="N57" s="113"/>
      <c r="O57" s="114"/>
      <c r="P57" s="15"/>
    </row>
    <row r="58" ht="15.75" customHeight="1">
      <c r="B58" s="10"/>
      <c r="C58" s="81"/>
      <c r="D58" s="82" t="str">
        <f>$C$2</f>
        <v>Wrench</v>
      </c>
      <c r="E58" s="82" t="str">
        <f>$C$3</f>
        <v>Saw</v>
      </c>
      <c r="F58" s="82" t="str">
        <f>$C$4</f>
        <v>Drill</v>
      </c>
      <c r="G58" s="107" t="str">
        <f>$C$5</f>
        <v>Hammer</v>
      </c>
      <c r="H58" s="68" t="s">
        <v>7</v>
      </c>
      <c r="J58" s="83"/>
      <c r="K58" s="84" t="str">
        <f>$C$2</f>
        <v>Wrench</v>
      </c>
      <c r="L58" s="82" t="str">
        <f>$C$3</f>
        <v>Saw</v>
      </c>
      <c r="M58" s="82" t="str">
        <f>$C$4</f>
        <v>Drill</v>
      </c>
      <c r="N58" s="107" t="str">
        <f>$C$5</f>
        <v>Hammer</v>
      </c>
      <c r="O58" s="68" t="s">
        <v>7</v>
      </c>
      <c r="P58" s="15"/>
    </row>
    <row r="59" ht="15.75" customHeight="1">
      <c r="B59" s="10"/>
      <c r="C59" s="69" t="s">
        <v>32</v>
      </c>
      <c r="D59" s="85">
        <f>'Carrier Rates'!A16</f>
        <v>132080</v>
      </c>
      <c r="E59" s="86"/>
      <c r="F59" s="87"/>
      <c r="G59" s="115"/>
      <c r="H59" s="72">
        <f t="shared" ref="H59:H60" si="13">SUM(D59:G59)</f>
        <v>132080</v>
      </c>
      <c r="J59" s="69" t="s">
        <v>32</v>
      </c>
      <c r="K59" s="116"/>
      <c r="L59" s="87"/>
      <c r="M59" s="117">
        <f>'Carrier Rates'!C16</f>
        <v>62400</v>
      </c>
      <c r="N59" s="118"/>
      <c r="O59" s="72">
        <f t="shared" ref="O59:O60" si="14">SUM(K59:N59)</f>
        <v>62400</v>
      </c>
      <c r="P59" s="15"/>
    </row>
    <row r="60" ht="15.75" customHeight="1">
      <c r="B60" s="10"/>
      <c r="C60" s="89" t="s">
        <v>33</v>
      </c>
      <c r="D60" s="90">
        <f>('Future Orders'!$BI$54)*('Carrier Rates'!$D$6)</f>
        <v>68234.4168</v>
      </c>
      <c r="E60" s="91">
        <f>('Future Orders'!$BJ$54)*('Carrier Rates'!$D$6)</f>
        <v>46821.1392</v>
      </c>
      <c r="F60" s="91">
        <f>('Future Orders'!$BK$54)*('Carrier Rates'!$D$6)</f>
        <v>0</v>
      </c>
      <c r="G60" s="91">
        <f>('Future Orders'!$BL$54)*('Carrier Rates'!$D$6)</f>
        <v>68234.4168</v>
      </c>
      <c r="H60" s="75">
        <f t="shared" si="13"/>
        <v>183289.9728</v>
      </c>
      <c r="J60" s="89" t="s">
        <v>33</v>
      </c>
      <c r="K60" s="90">
        <f>('Future Orders'!$BP$54) * ('Carrier Rates'!$D$8)</f>
        <v>0</v>
      </c>
      <c r="L60" s="91">
        <f>('Future Orders'!$BP$54) * ('Carrier Rates'!$D$8)</f>
        <v>0</v>
      </c>
      <c r="M60" s="91">
        <f>('Future Orders'!$BQ$54) * ('Carrier Rates'!$D$8)</f>
        <v>69606.2983</v>
      </c>
      <c r="N60" s="91">
        <f>('Future Orders'!$BR$54) * ('Carrier Rates'!$D$8)</f>
        <v>0</v>
      </c>
      <c r="O60" s="75">
        <f t="shared" si="14"/>
        <v>69606.2983</v>
      </c>
      <c r="P60" s="15"/>
    </row>
    <row r="61" ht="15.75" customHeight="1">
      <c r="B61" s="10"/>
      <c r="C61" s="119" t="s">
        <v>27</v>
      </c>
      <c r="D61" s="120"/>
      <c r="E61" s="120"/>
      <c r="F61" s="120"/>
      <c r="H61" s="121">
        <f>H59+H60</f>
        <v>315369.9728</v>
      </c>
      <c r="J61" s="119" t="s">
        <v>27</v>
      </c>
      <c r="K61" s="120"/>
      <c r="L61" s="120"/>
      <c r="M61" s="120"/>
      <c r="O61" s="121">
        <f>O59+O60</f>
        <v>132006.2983</v>
      </c>
      <c r="P61" s="15"/>
    </row>
    <row r="62" ht="15.75" customHeight="1">
      <c r="B62" s="10"/>
      <c r="C62" s="76" t="s">
        <v>34</v>
      </c>
      <c r="D62" s="77"/>
      <c r="E62" s="77"/>
      <c r="F62" s="77"/>
      <c r="G62" s="77"/>
      <c r="H62" s="122">
        <f>H59-H60</f>
        <v>-51209.9728</v>
      </c>
      <c r="J62" s="76" t="s">
        <v>34</v>
      </c>
      <c r="K62" s="77"/>
      <c r="L62" s="77"/>
      <c r="M62" s="77"/>
      <c r="N62" s="77"/>
      <c r="O62" s="122">
        <f>O59-O60</f>
        <v>-7206.2983</v>
      </c>
      <c r="P62" s="15"/>
    </row>
    <row r="63" ht="15.75" customHeight="1">
      <c r="B63" s="10"/>
      <c r="F63" s="79"/>
      <c r="P63" s="15"/>
    </row>
    <row r="64" ht="15.75" customHeight="1">
      <c r="B64" s="10"/>
      <c r="C64" s="112" t="s">
        <v>35</v>
      </c>
      <c r="D64" s="105"/>
      <c r="E64" s="105"/>
      <c r="F64" s="105"/>
      <c r="G64" s="105"/>
      <c r="H64" s="106"/>
      <c r="J64" s="112" t="s">
        <v>36</v>
      </c>
      <c r="K64" s="105"/>
      <c r="L64" s="105"/>
      <c r="M64" s="105"/>
      <c r="N64" s="105"/>
      <c r="O64" s="106"/>
      <c r="P64" s="15"/>
    </row>
    <row r="65" ht="15.75" customHeight="1">
      <c r="B65" s="10"/>
      <c r="C65" s="104" t="s">
        <v>31</v>
      </c>
      <c r="D65" s="113"/>
      <c r="E65" s="113"/>
      <c r="F65" s="113"/>
      <c r="G65" s="113"/>
      <c r="H65" s="114"/>
      <c r="J65" s="104" t="s">
        <v>17</v>
      </c>
      <c r="K65" s="113"/>
      <c r="L65" s="113"/>
      <c r="M65" s="113"/>
      <c r="N65" s="113"/>
      <c r="O65" s="114"/>
      <c r="P65" s="15"/>
    </row>
    <row r="66" ht="15.75" customHeight="1">
      <c r="B66" s="10"/>
      <c r="C66" s="81"/>
      <c r="D66" s="82" t="str">
        <f>$C$2</f>
        <v>Wrench</v>
      </c>
      <c r="E66" s="82" t="str">
        <f>$C$3</f>
        <v>Saw</v>
      </c>
      <c r="F66" s="82" t="str">
        <f>$C$4</f>
        <v>Drill</v>
      </c>
      <c r="G66" s="107" t="str">
        <f>$C$5</f>
        <v>Hammer</v>
      </c>
      <c r="H66" s="68" t="s">
        <v>7</v>
      </c>
      <c r="J66" s="83"/>
      <c r="K66" s="84" t="str">
        <f>$C$2</f>
        <v>Wrench</v>
      </c>
      <c r="L66" s="82" t="str">
        <f>$C$3</f>
        <v>Saw</v>
      </c>
      <c r="M66" s="82" t="str">
        <f>$C$4</f>
        <v>Drill</v>
      </c>
      <c r="N66" s="107" t="str">
        <f>$C$5</f>
        <v>Hammer</v>
      </c>
      <c r="O66" s="68" t="s">
        <v>7</v>
      </c>
      <c r="P66" s="15"/>
    </row>
    <row r="67" ht="15.75" customHeight="1">
      <c r="B67" s="10"/>
      <c r="C67" s="69" t="s">
        <v>32</v>
      </c>
      <c r="D67" s="123">
        <f>'Carrier Rates'!B16</f>
        <v>85280</v>
      </c>
      <c r="E67" s="86"/>
      <c r="F67" s="87"/>
      <c r="G67" s="115"/>
      <c r="H67" s="72">
        <f t="shared" ref="H67:H68" si="15">SUM(D67:G67)</f>
        <v>85280</v>
      </c>
      <c r="J67" s="69" t="s">
        <v>32</v>
      </c>
      <c r="K67" s="116"/>
      <c r="L67" s="87"/>
      <c r="M67" s="117">
        <f>'Carrier Rates'!D16</f>
        <v>62400</v>
      </c>
      <c r="N67" s="118"/>
      <c r="O67" s="72">
        <f t="shared" ref="O67:O68" si="16">SUM(K67:N67)</f>
        <v>62400</v>
      </c>
      <c r="P67" s="15"/>
    </row>
    <row r="68" ht="15.75" customHeight="1">
      <c r="B68" s="10"/>
      <c r="C68" s="89" t="s">
        <v>33</v>
      </c>
      <c r="D68" s="90">
        <f>('Future Orders'!$BU$54)*('Carrier Rates'!$D$7)</f>
        <v>29763.2412</v>
      </c>
      <c r="E68" s="91">
        <f>('Future Orders'!$BV$54)*('Carrier Rates'!$D$7)</f>
        <v>28540.3272</v>
      </c>
      <c r="F68" s="91">
        <f>('Future Orders'!$BW$54)*('Carrier Rates'!$D$7)</f>
        <v>0</v>
      </c>
      <c r="G68" s="91">
        <f>('Future Orders'!$BX$54)*('Carrier Rates'!$D$7)</f>
        <v>29763.2412</v>
      </c>
      <c r="H68" s="75">
        <f t="shared" si="15"/>
        <v>88066.8096</v>
      </c>
      <c r="J68" s="89" t="s">
        <v>33</v>
      </c>
      <c r="K68" s="90">
        <f>('Future Orders'!$CA$54) * ('Carrier Rates'!$D$8)</f>
        <v>0</v>
      </c>
      <c r="L68" s="91">
        <f>('Future Orders'!$CB$54) * ('Carrier Rates'!$D$8)</f>
        <v>0</v>
      </c>
      <c r="M68" s="91">
        <f>('Future Orders'!$CC$54) * ('Carrier Rates'!$D$9)</f>
        <v>74360.5632</v>
      </c>
      <c r="N68" s="91">
        <f>('Future Orders'!$CD$54) * ('Carrier Rates'!$D$8)</f>
        <v>0</v>
      </c>
      <c r="O68" s="75">
        <f t="shared" si="16"/>
        <v>74360.5632</v>
      </c>
      <c r="P68" s="15"/>
    </row>
    <row r="69" ht="15.75" customHeight="1">
      <c r="B69" s="10"/>
      <c r="C69" s="119" t="s">
        <v>27</v>
      </c>
      <c r="D69" s="120"/>
      <c r="E69" s="120"/>
      <c r="F69" s="120"/>
      <c r="G69" s="120"/>
      <c r="H69" s="121">
        <f>H67+H68</f>
        <v>173346.8096</v>
      </c>
      <c r="J69" s="119" t="s">
        <v>27</v>
      </c>
      <c r="K69" s="120"/>
      <c r="L69" s="120"/>
      <c r="M69" s="120"/>
      <c r="N69" s="120"/>
      <c r="O69" s="121">
        <f>O67+O68</f>
        <v>136760.5632</v>
      </c>
      <c r="P69" s="15"/>
    </row>
    <row r="70" ht="15.75" customHeight="1">
      <c r="B70" s="10"/>
      <c r="C70" s="76" t="s">
        <v>34</v>
      </c>
      <c r="D70" s="77"/>
      <c r="E70" s="77"/>
      <c r="F70" s="77"/>
      <c r="G70" s="77"/>
      <c r="H70" s="122">
        <f>H67-H68</f>
        <v>-2786.8096</v>
      </c>
      <c r="J70" s="76" t="s">
        <v>34</v>
      </c>
      <c r="K70" s="77"/>
      <c r="L70" s="77"/>
      <c r="M70" s="77"/>
      <c r="N70" s="77"/>
      <c r="O70" s="122">
        <f>O67-O68</f>
        <v>-11960.5632</v>
      </c>
      <c r="P70" s="15"/>
    </row>
    <row r="71" ht="15.75" customHeight="1">
      <c r="B71" s="10"/>
      <c r="F71" s="79"/>
      <c r="P71" s="15"/>
    </row>
    <row r="72" ht="15.75" customHeight="1">
      <c r="B72" s="35"/>
      <c r="C72" s="36"/>
      <c r="D72" s="36"/>
      <c r="E72" s="36"/>
      <c r="F72" s="94"/>
      <c r="G72" s="36"/>
      <c r="H72" s="36"/>
      <c r="I72" s="36"/>
      <c r="J72" s="36"/>
      <c r="K72" s="36"/>
      <c r="L72" s="36"/>
      <c r="M72" s="36"/>
      <c r="N72" s="36"/>
      <c r="O72" s="36"/>
      <c r="P72" s="39"/>
    </row>
    <row r="73" ht="15.75" customHeight="1">
      <c r="F73" s="79"/>
    </row>
    <row r="74" ht="15.75" customHeight="1">
      <c r="F74" s="79"/>
    </row>
    <row r="75" ht="15.75" customHeight="1">
      <c r="F75" s="79"/>
    </row>
    <row r="76" ht="15.75" customHeight="1">
      <c r="F76" s="79"/>
    </row>
    <row r="77" ht="15.75" customHeight="1">
      <c r="F77" s="79"/>
    </row>
    <row r="78" ht="15.75" customHeight="1">
      <c r="F78" s="79"/>
    </row>
    <row r="79" ht="15.75" customHeight="1">
      <c r="F79" s="79"/>
    </row>
    <row r="80" ht="15.75" customHeight="1">
      <c r="F80" s="79"/>
    </row>
    <row r="81" ht="15.75" customHeight="1">
      <c r="F81" s="79"/>
    </row>
    <row r="82" ht="15.75" customHeight="1">
      <c r="F82" s="79"/>
    </row>
    <row r="83" ht="15.75" customHeight="1">
      <c r="F83" s="79"/>
    </row>
    <row r="84" ht="15.75" customHeight="1">
      <c r="F84" s="79"/>
    </row>
    <row r="85" ht="15.75" customHeight="1">
      <c r="F85" s="79"/>
    </row>
    <row r="86" ht="15.75" customHeight="1">
      <c r="F86" s="79"/>
    </row>
    <row r="87" ht="15.75" customHeight="1">
      <c r="F87" s="79"/>
    </row>
    <row r="88" ht="15.75" customHeight="1">
      <c r="F88" s="79"/>
    </row>
    <row r="89" ht="15.75" customHeight="1">
      <c r="F89" s="79"/>
    </row>
    <row r="90" ht="15.75" customHeight="1">
      <c r="F90" s="79"/>
    </row>
    <row r="91" ht="15.75" customHeight="1">
      <c r="F91" s="79"/>
    </row>
    <row r="92" ht="15.75" customHeight="1">
      <c r="F92" s="79"/>
    </row>
    <row r="93" ht="15.75" customHeight="1">
      <c r="F93" s="79"/>
    </row>
    <row r="94" ht="15.75" customHeight="1">
      <c r="F94" s="79"/>
    </row>
    <row r="95" ht="15.75" customHeight="1">
      <c r="F95" s="79"/>
    </row>
    <row r="96" ht="15.75" customHeight="1">
      <c r="F96" s="79"/>
    </row>
    <row r="97" ht="15.75" customHeight="1">
      <c r="F97" s="79"/>
    </row>
    <row r="98" ht="15.75" customHeight="1">
      <c r="F98" s="79"/>
    </row>
    <row r="99" ht="15.75" customHeight="1">
      <c r="F99" s="79"/>
    </row>
    <row r="100" ht="15.75" customHeight="1">
      <c r="F100" s="79"/>
    </row>
    <row r="101" ht="15.75" customHeight="1">
      <c r="F101" s="79"/>
    </row>
    <row r="102" ht="15.75" customHeight="1">
      <c r="F102" s="79"/>
    </row>
    <row r="103" ht="15.75" customHeight="1">
      <c r="F103" s="79"/>
    </row>
    <row r="104" ht="15.75" customHeight="1">
      <c r="F104" s="79"/>
    </row>
    <row r="105" ht="15.75" customHeight="1">
      <c r="F105" s="79"/>
    </row>
    <row r="106" ht="15.75" customHeight="1">
      <c r="F106" s="79"/>
    </row>
    <row r="107" ht="15.75" customHeight="1">
      <c r="F107" s="79"/>
    </row>
    <row r="108" ht="15.75" customHeight="1">
      <c r="F108" s="79"/>
    </row>
    <row r="109" ht="15.75" customHeight="1">
      <c r="F109" s="79"/>
    </row>
    <row r="110" ht="15.75" customHeight="1">
      <c r="F110" s="79"/>
    </row>
    <row r="111" ht="15.75" customHeight="1">
      <c r="F111" s="79"/>
    </row>
    <row r="112" ht="15.75" customHeight="1">
      <c r="F112" s="79"/>
    </row>
    <row r="113" ht="15.75" customHeight="1">
      <c r="F113" s="79"/>
    </row>
    <row r="114" ht="15.75" customHeight="1">
      <c r="F114" s="79"/>
    </row>
    <row r="115" ht="15.75" customHeight="1">
      <c r="F115" s="79"/>
    </row>
    <row r="116" ht="15.75" customHeight="1">
      <c r="F116" s="79"/>
    </row>
    <row r="117" ht="15.75" customHeight="1">
      <c r="F117" s="79"/>
    </row>
    <row r="118" ht="15.75" customHeight="1">
      <c r="F118" s="79"/>
    </row>
    <row r="119" ht="15.75" customHeight="1">
      <c r="F119" s="79"/>
    </row>
    <row r="120" ht="15.75" customHeight="1">
      <c r="F120" s="79"/>
    </row>
    <row r="121" ht="15.75" customHeight="1">
      <c r="F121" s="79"/>
    </row>
    <row r="122" ht="15.75" customHeight="1">
      <c r="F122" s="79"/>
    </row>
    <row r="123" ht="15.75" customHeight="1">
      <c r="F123" s="79"/>
    </row>
    <row r="124" ht="15.75" customHeight="1">
      <c r="F124" s="79"/>
    </row>
    <row r="125" ht="15.75" customHeight="1">
      <c r="F125" s="79"/>
    </row>
    <row r="126" ht="15.75" customHeight="1">
      <c r="F126" s="79"/>
    </row>
    <row r="127" ht="15.75" customHeight="1">
      <c r="F127" s="79"/>
    </row>
    <row r="128" ht="15.75" customHeight="1">
      <c r="F128" s="79"/>
    </row>
    <row r="129" ht="15.75" customHeight="1">
      <c r="F129" s="79"/>
    </row>
    <row r="130" ht="15.75" customHeight="1">
      <c r="F130" s="79"/>
    </row>
    <row r="131" ht="15.75" customHeight="1">
      <c r="F131" s="79"/>
    </row>
    <row r="132" ht="15.75" customHeight="1">
      <c r="F132" s="79"/>
    </row>
    <row r="133" ht="15.75" customHeight="1">
      <c r="F133" s="79"/>
    </row>
    <row r="134" ht="15.75" customHeight="1">
      <c r="F134" s="79"/>
    </row>
    <row r="135" ht="15.75" customHeight="1">
      <c r="F135" s="79"/>
    </row>
    <row r="136" ht="15.75" customHeight="1">
      <c r="F136" s="79"/>
    </row>
    <row r="137" ht="15.75" customHeight="1">
      <c r="F137" s="79"/>
    </row>
    <row r="138" ht="15.75" customHeight="1">
      <c r="F138" s="79"/>
    </row>
    <row r="139" ht="15.75" customHeight="1">
      <c r="F139" s="79"/>
    </row>
    <row r="140" ht="15.75" customHeight="1">
      <c r="F140" s="79"/>
    </row>
    <row r="141" ht="15.75" customHeight="1">
      <c r="F141" s="79"/>
    </row>
    <row r="142" ht="15.75" customHeight="1">
      <c r="F142" s="79"/>
    </row>
    <row r="143" ht="15.75" customHeight="1">
      <c r="F143" s="79"/>
    </row>
    <row r="144" ht="15.75" customHeight="1">
      <c r="F144" s="79"/>
    </row>
    <row r="145" ht="15.75" customHeight="1">
      <c r="F145" s="79"/>
    </row>
    <row r="146" ht="15.75" customHeight="1">
      <c r="F146" s="79"/>
    </row>
    <row r="147" ht="15.75" customHeight="1">
      <c r="F147" s="79"/>
    </row>
    <row r="148" ht="15.75" customHeight="1">
      <c r="F148" s="79"/>
    </row>
    <row r="149" ht="15.75" customHeight="1">
      <c r="F149" s="79"/>
    </row>
    <row r="150" ht="15.75" customHeight="1">
      <c r="F150" s="79"/>
    </row>
    <row r="151" ht="15.75" customHeight="1">
      <c r="F151" s="79"/>
    </row>
    <row r="152" ht="15.75" customHeight="1">
      <c r="F152" s="79"/>
    </row>
    <row r="153" ht="15.75" customHeight="1">
      <c r="F153" s="79"/>
    </row>
    <row r="154" ht="15.75" customHeight="1">
      <c r="F154" s="79"/>
    </row>
    <row r="155" ht="15.75" customHeight="1">
      <c r="F155" s="79"/>
    </row>
    <row r="156" ht="15.75" customHeight="1">
      <c r="F156" s="79"/>
    </row>
    <row r="157" ht="15.75" customHeight="1">
      <c r="F157" s="79"/>
    </row>
    <row r="158" ht="15.75" customHeight="1">
      <c r="F158" s="79"/>
    </row>
    <row r="159" ht="15.75" customHeight="1">
      <c r="F159" s="79"/>
    </row>
    <row r="160" ht="15.75" customHeight="1">
      <c r="F160" s="79"/>
    </row>
    <row r="161" ht="15.75" customHeight="1">
      <c r="F161" s="79"/>
    </row>
    <row r="162" ht="15.75" customHeight="1">
      <c r="F162" s="79"/>
    </row>
    <row r="163" ht="15.75" customHeight="1">
      <c r="F163" s="79"/>
    </row>
    <row r="164" ht="15.75" customHeight="1">
      <c r="F164" s="79"/>
    </row>
    <row r="165" ht="15.75" customHeight="1">
      <c r="F165" s="79"/>
    </row>
    <row r="166" ht="15.75" customHeight="1">
      <c r="F166" s="79"/>
    </row>
    <row r="167" ht="15.75" customHeight="1">
      <c r="F167" s="79"/>
    </row>
    <row r="168" ht="15.75" customHeight="1">
      <c r="F168" s="79"/>
    </row>
    <row r="169" ht="15.75" customHeight="1">
      <c r="F169" s="79"/>
    </row>
    <row r="170" ht="15.75" customHeight="1">
      <c r="F170" s="79"/>
    </row>
    <row r="171" ht="15.75" customHeight="1">
      <c r="F171" s="79"/>
    </row>
    <row r="172" ht="15.75" customHeight="1">
      <c r="F172" s="79"/>
    </row>
    <row r="173" ht="15.75" customHeight="1">
      <c r="F173" s="79"/>
    </row>
    <row r="174" ht="15.75" customHeight="1">
      <c r="F174" s="79"/>
    </row>
    <row r="175" ht="15.75" customHeight="1">
      <c r="F175" s="79"/>
    </row>
    <row r="176" ht="15.75" customHeight="1">
      <c r="F176" s="79"/>
    </row>
    <row r="177" ht="15.75" customHeight="1">
      <c r="F177" s="79"/>
    </row>
    <row r="178" ht="15.75" customHeight="1">
      <c r="F178" s="79"/>
    </row>
    <row r="179" ht="15.75" customHeight="1">
      <c r="F179" s="79"/>
    </row>
    <row r="180" ht="15.75" customHeight="1">
      <c r="F180" s="79"/>
    </row>
    <row r="181" ht="15.75" customHeight="1">
      <c r="F181" s="79"/>
    </row>
    <row r="182" ht="15.75" customHeight="1">
      <c r="F182" s="79"/>
    </row>
    <row r="183" ht="15.75" customHeight="1">
      <c r="F183" s="79"/>
    </row>
    <row r="184" ht="15.75" customHeight="1">
      <c r="F184" s="79"/>
    </row>
    <row r="185" ht="15.75" customHeight="1">
      <c r="F185" s="79"/>
    </row>
    <row r="186" ht="15.75" customHeight="1">
      <c r="F186" s="79"/>
    </row>
    <row r="187" ht="15.75" customHeight="1">
      <c r="F187" s="79"/>
    </row>
    <row r="188" ht="15.75" customHeight="1">
      <c r="F188" s="79"/>
    </row>
    <row r="189" ht="15.75" customHeight="1">
      <c r="F189" s="79"/>
    </row>
    <row r="190" ht="15.75" customHeight="1">
      <c r="F190" s="79"/>
    </row>
    <row r="191" ht="15.75" customHeight="1">
      <c r="F191" s="79"/>
    </row>
    <row r="192" ht="15.75" customHeight="1">
      <c r="F192" s="79"/>
    </row>
    <row r="193" ht="15.75" customHeight="1">
      <c r="F193" s="79"/>
    </row>
    <row r="194" ht="15.75" customHeight="1">
      <c r="F194" s="79"/>
    </row>
    <row r="195" ht="15.75" customHeight="1">
      <c r="F195" s="79"/>
    </row>
    <row r="196" ht="15.75" customHeight="1">
      <c r="F196" s="79"/>
    </row>
    <row r="197" ht="15.75" customHeight="1">
      <c r="F197" s="79"/>
    </row>
    <row r="198" ht="15.75" customHeight="1">
      <c r="F198" s="79"/>
    </row>
    <row r="199" ht="15.75" customHeight="1">
      <c r="F199" s="79"/>
    </row>
    <row r="200" ht="15.75" customHeight="1">
      <c r="F200" s="79"/>
    </row>
    <row r="201" ht="15.75" customHeight="1">
      <c r="F201" s="79"/>
    </row>
    <row r="202" ht="15.75" customHeight="1">
      <c r="F202" s="79"/>
    </row>
    <row r="203" ht="15.75" customHeight="1">
      <c r="F203" s="79"/>
    </row>
    <row r="204" ht="15.75" customHeight="1">
      <c r="F204" s="79"/>
    </row>
    <row r="205" ht="15.75" customHeight="1">
      <c r="F205" s="79"/>
    </row>
    <row r="206" ht="15.75" customHeight="1">
      <c r="F206" s="79"/>
    </row>
    <row r="207" ht="15.75" customHeight="1">
      <c r="F207" s="79"/>
    </row>
    <row r="208" ht="15.75" customHeight="1">
      <c r="F208" s="79"/>
    </row>
    <row r="209" ht="15.75" customHeight="1">
      <c r="F209" s="79"/>
    </row>
    <row r="210" ht="15.75" customHeight="1">
      <c r="F210" s="79"/>
    </row>
    <row r="211" ht="15.75" customHeight="1">
      <c r="F211" s="79"/>
    </row>
    <row r="212" ht="15.75" customHeight="1">
      <c r="F212" s="79"/>
    </row>
    <row r="213" ht="15.75" customHeight="1">
      <c r="F213" s="79"/>
    </row>
    <row r="214" ht="15.75" customHeight="1">
      <c r="F214" s="79"/>
    </row>
    <row r="215" ht="15.75" customHeight="1">
      <c r="F215" s="79"/>
    </row>
    <row r="216" ht="15.75" customHeight="1">
      <c r="F216" s="79"/>
    </row>
    <row r="217" ht="15.75" customHeight="1">
      <c r="F217" s="79"/>
    </row>
    <row r="218" ht="15.75" customHeight="1">
      <c r="F218" s="79"/>
    </row>
    <row r="219" ht="15.75" customHeight="1">
      <c r="F219" s="79"/>
    </row>
    <row r="220" ht="15.75" customHeight="1">
      <c r="F220" s="79"/>
    </row>
    <row r="221" ht="15.75" customHeight="1">
      <c r="F221" s="79"/>
    </row>
    <row r="222" ht="15.75" customHeight="1">
      <c r="F222" s="79"/>
    </row>
    <row r="223" ht="15.75" customHeight="1">
      <c r="F223" s="79"/>
    </row>
    <row r="224" ht="15.75" customHeight="1">
      <c r="F224" s="79"/>
    </row>
    <row r="225" ht="15.75" customHeight="1">
      <c r="F225" s="79"/>
    </row>
    <row r="226" ht="15.75" customHeight="1">
      <c r="F226" s="79"/>
    </row>
    <row r="227" ht="15.75" customHeight="1">
      <c r="F227" s="79"/>
    </row>
    <row r="228" ht="15.75" customHeight="1">
      <c r="F228" s="79"/>
    </row>
    <row r="229" ht="15.75" customHeight="1">
      <c r="F229" s="79"/>
    </row>
    <row r="230" ht="15.75" customHeight="1">
      <c r="F230" s="79"/>
    </row>
    <row r="231" ht="15.75" customHeight="1">
      <c r="F231" s="79"/>
    </row>
    <row r="232" ht="15.75" customHeight="1">
      <c r="F232" s="79"/>
    </row>
    <row r="233" ht="15.75" customHeight="1">
      <c r="F233" s="79"/>
    </row>
    <row r="234" ht="15.75" customHeight="1">
      <c r="F234" s="79"/>
    </row>
    <row r="235" ht="15.75" customHeight="1">
      <c r="F235" s="79"/>
    </row>
    <row r="236" ht="15.75" customHeight="1">
      <c r="F236" s="79"/>
    </row>
    <row r="237" ht="15.75" customHeight="1">
      <c r="F237" s="79"/>
    </row>
    <row r="238" ht="15.75" customHeight="1">
      <c r="F238" s="79"/>
    </row>
    <row r="239" ht="15.75" customHeight="1">
      <c r="F239" s="79"/>
    </row>
    <row r="240" ht="15.75" customHeight="1">
      <c r="F240" s="79"/>
    </row>
    <row r="241" ht="15.75" customHeight="1">
      <c r="F241" s="79"/>
    </row>
    <row r="242" ht="15.75" customHeight="1">
      <c r="F242" s="79"/>
    </row>
    <row r="243" ht="15.75" customHeight="1">
      <c r="F243" s="79"/>
    </row>
    <row r="244" ht="15.75" customHeight="1">
      <c r="F244" s="79"/>
    </row>
    <row r="245" ht="15.75" customHeight="1">
      <c r="F245" s="79"/>
    </row>
    <row r="246" ht="15.75" customHeight="1">
      <c r="F246" s="79"/>
    </row>
    <row r="247" ht="15.75" customHeight="1">
      <c r="F247" s="79"/>
    </row>
    <row r="248" ht="15.75" customHeight="1">
      <c r="F248" s="79"/>
    </row>
    <row r="249" ht="15.75" customHeight="1">
      <c r="F249" s="79"/>
    </row>
    <row r="250" ht="15.75" customHeight="1">
      <c r="F250" s="79"/>
    </row>
    <row r="251" ht="15.75" customHeight="1">
      <c r="F251" s="79"/>
    </row>
    <row r="252" ht="15.75" customHeight="1">
      <c r="F252" s="79"/>
    </row>
    <row r="253" ht="15.75" customHeight="1">
      <c r="F253" s="79"/>
    </row>
    <row r="254" ht="15.75" customHeight="1">
      <c r="F254" s="79"/>
    </row>
    <row r="255" ht="15.75" customHeight="1">
      <c r="F255" s="79"/>
    </row>
    <row r="256" ht="15.75" customHeight="1">
      <c r="F256" s="79"/>
    </row>
    <row r="257" ht="15.75" customHeight="1">
      <c r="F257" s="79"/>
    </row>
    <row r="258" ht="15.75" customHeight="1">
      <c r="F258" s="79"/>
    </row>
    <row r="259" ht="15.75" customHeight="1">
      <c r="F259" s="79"/>
    </row>
    <row r="260" ht="15.75" customHeight="1">
      <c r="F260" s="79"/>
    </row>
    <row r="261" ht="15.75" customHeight="1">
      <c r="F261" s="79"/>
    </row>
    <row r="262" ht="15.75" customHeight="1">
      <c r="F262" s="79"/>
    </row>
    <row r="263" ht="15.75" customHeight="1">
      <c r="F263" s="79"/>
    </row>
    <row r="264" ht="15.75" customHeight="1">
      <c r="F264" s="79"/>
    </row>
    <row r="265" ht="15.75" customHeight="1">
      <c r="F265" s="79"/>
    </row>
    <row r="266" ht="15.75" customHeight="1">
      <c r="F266" s="79"/>
    </row>
    <row r="267" ht="15.75" customHeight="1">
      <c r="F267" s="79"/>
    </row>
    <row r="268" ht="15.75" customHeight="1">
      <c r="F268" s="79"/>
    </row>
    <row r="269" ht="15.75" customHeight="1">
      <c r="F269" s="79"/>
    </row>
    <row r="270" ht="15.75" customHeight="1">
      <c r="F270" s="79"/>
    </row>
    <row r="271" ht="15.75" customHeight="1">
      <c r="F271" s="79"/>
    </row>
    <row r="272" ht="15.75" customHeight="1">
      <c r="F272" s="79"/>
    </row>
    <row r="273" ht="15.75" customHeight="1">
      <c r="F273" s="79"/>
    </row>
    <row r="274" ht="15.75" customHeight="1">
      <c r="F274" s="79"/>
    </row>
    <row r="275" ht="15.75" customHeight="1">
      <c r="F275" s="79"/>
    </row>
    <row r="276" ht="15.75" customHeight="1">
      <c r="F276" s="79"/>
    </row>
    <row r="277" ht="15.75" customHeight="1">
      <c r="F277" s="79"/>
    </row>
    <row r="278" ht="15.75" customHeight="1">
      <c r="F278" s="79"/>
    </row>
    <row r="279" ht="15.75" customHeight="1">
      <c r="F279" s="79"/>
    </row>
    <row r="280" ht="15.75" customHeight="1">
      <c r="F280" s="79"/>
    </row>
    <row r="281" ht="15.75" customHeight="1">
      <c r="F281" s="79"/>
    </row>
    <row r="282" ht="15.75" customHeight="1">
      <c r="F282" s="79"/>
    </row>
    <row r="283" ht="15.75" customHeight="1">
      <c r="F283" s="79"/>
    </row>
    <row r="284" ht="15.75" customHeight="1">
      <c r="F284" s="79"/>
    </row>
    <row r="285" ht="15.75" customHeight="1">
      <c r="F285" s="79"/>
    </row>
    <row r="286" ht="15.75" customHeight="1">
      <c r="F286" s="79"/>
    </row>
    <row r="287" ht="15.75" customHeight="1">
      <c r="F287" s="79"/>
    </row>
    <row r="288" ht="15.75" customHeight="1">
      <c r="F288" s="79"/>
    </row>
    <row r="289" ht="15.75" customHeight="1">
      <c r="F289" s="79"/>
    </row>
    <row r="290" ht="15.75" customHeight="1">
      <c r="F290" s="79"/>
    </row>
    <row r="291" ht="15.75" customHeight="1">
      <c r="F291" s="79"/>
    </row>
    <row r="292" ht="15.75" customHeight="1">
      <c r="F292" s="79"/>
    </row>
    <row r="293" ht="15.75" customHeight="1">
      <c r="F293" s="79"/>
    </row>
    <row r="294" ht="15.75" customHeight="1">
      <c r="F294" s="79"/>
    </row>
    <row r="295" ht="15.75" customHeight="1">
      <c r="F295" s="79"/>
    </row>
    <row r="296" ht="15.75" customHeight="1">
      <c r="F296" s="79"/>
    </row>
    <row r="297" ht="15.75" customHeight="1">
      <c r="F297" s="79"/>
    </row>
    <row r="298" ht="15.75" customHeight="1">
      <c r="F298" s="79"/>
    </row>
    <row r="299" ht="15.75" customHeight="1">
      <c r="F299" s="79"/>
    </row>
    <row r="300" ht="15.75" customHeight="1">
      <c r="F300" s="79"/>
    </row>
    <row r="301" ht="15.75" customHeight="1">
      <c r="F301" s="79"/>
    </row>
    <row r="302" ht="15.75" customHeight="1">
      <c r="F302" s="79"/>
    </row>
    <row r="303" ht="15.75" customHeight="1">
      <c r="F303" s="79"/>
    </row>
    <row r="304" ht="15.75" customHeight="1">
      <c r="F304" s="79"/>
    </row>
    <row r="305" ht="15.75" customHeight="1">
      <c r="F305" s="79"/>
    </row>
    <row r="306" ht="15.75" customHeight="1">
      <c r="F306" s="79"/>
    </row>
    <row r="307" ht="15.75" customHeight="1">
      <c r="F307" s="79"/>
    </row>
    <row r="308" ht="15.75" customHeight="1">
      <c r="F308" s="79"/>
    </row>
    <row r="309" ht="15.75" customHeight="1">
      <c r="F309" s="79"/>
    </row>
    <row r="310" ht="15.75" customHeight="1">
      <c r="F310" s="79"/>
    </row>
    <row r="311" ht="15.75" customHeight="1">
      <c r="F311" s="79"/>
    </row>
    <row r="312" ht="15.75" customHeight="1">
      <c r="F312" s="79"/>
    </row>
    <row r="313" ht="15.75" customHeight="1">
      <c r="F313" s="79"/>
    </row>
    <row r="314" ht="15.75" customHeight="1">
      <c r="F314" s="79"/>
    </row>
    <row r="315" ht="15.75" customHeight="1">
      <c r="F315" s="79"/>
    </row>
    <row r="316" ht="15.75" customHeight="1">
      <c r="F316" s="79"/>
    </row>
    <row r="317" ht="15.75" customHeight="1">
      <c r="F317" s="79"/>
    </row>
    <row r="318" ht="15.75" customHeight="1">
      <c r="F318" s="79"/>
    </row>
    <row r="319" ht="15.75" customHeight="1">
      <c r="F319" s="79"/>
    </row>
    <row r="320" ht="15.75" customHeight="1">
      <c r="F320" s="79"/>
    </row>
    <row r="321" ht="15.75" customHeight="1">
      <c r="F321" s="79"/>
    </row>
    <row r="322" ht="15.75" customHeight="1">
      <c r="F322" s="79"/>
    </row>
    <row r="323" ht="15.75" customHeight="1">
      <c r="F323" s="79"/>
    </row>
    <row r="324" ht="15.75" customHeight="1">
      <c r="F324" s="79"/>
    </row>
    <row r="325" ht="15.75" customHeight="1">
      <c r="F325" s="79"/>
    </row>
    <row r="326" ht="15.75" customHeight="1">
      <c r="F326" s="79"/>
    </row>
    <row r="327" ht="15.75" customHeight="1">
      <c r="F327" s="79"/>
    </row>
    <row r="328" ht="15.75" customHeight="1">
      <c r="F328" s="79"/>
    </row>
    <row r="329" ht="15.75" customHeight="1">
      <c r="F329" s="79"/>
    </row>
    <row r="330" ht="15.75" customHeight="1">
      <c r="F330" s="79"/>
    </row>
    <row r="331" ht="15.75" customHeight="1">
      <c r="F331" s="79"/>
    </row>
    <row r="332" ht="15.75" customHeight="1">
      <c r="F332" s="79"/>
    </row>
    <row r="333" ht="15.75" customHeight="1">
      <c r="F333" s="79"/>
    </row>
    <row r="334" ht="15.75" customHeight="1">
      <c r="F334" s="79"/>
    </row>
    <row r="335" ht="15.75" customHeight="1">
      <c r="F335" s="79"/>
    </row>
    <row r="336" ht="15.75" customHeight="1">
      <c r="F336" s="79"/>
    </row>
    <row r="337" ht="15.75" customHeight="1">
      <c r="F337" s="79"/>
    </row>
    <row r="338" ht="15.75" customHeight="1">
      <c r="F338" s="79"/>
    </row>
    <row r="339" ht="15.75" customHeight="1">
      <c r="F339" s="79"/>
    </row>
    <row r="340" ht="15.75" customHeight="1">
      <c r="F340" s="79"/>
    </row>
    <row r="341" ht="15.75" customHeight="1">
      <c r="F341" s="79"/>
    </row>
    <row r="342" ht="15.75" customHeight="1">
      <c r="F342" s="79"/>
    </row>
    <row r="343" ht="15.75" customHeight="1">
      <c r="F343" s="79"/>
    </row>
    <row r="344" ht="15.75" customHeight="1">
      <c r="F344" s="79"/>
    </row>
    <row r="345" ht="15.75" customHeight="1">
      <c r="F345" s="79"/>
    </row>
    <row r="346" ht="15.75" customHeight="1">
      <c r="F346" s="79"/>
    </row>
    <row r="347" ht="15.75" customHeight="1">
      <c r="F347" s="79"/>
    </row>
    <row r="348" ht="15.75" customHeight="1">
      <c r="F348" s="79"/>
    </row>
    <row r="349" ht="15.75" customHeight="1">
      <c r="F349" s="79"/>
    </row>
    <row r="350" ht="15.75" customHeight="1">
      <c r="F350" s="79"/>
    </row>
    <row r="351" ht="15.75" customHeight="1">
      <c r="F351" s="79"/>
    </row>
    <row r="352" ht="15.75" customHeight="1">
      <c r="F352" s="79"/>
    </row>
    <row r="353" ht="15.75" customHeight="1">
      <c r="F353" s="79"/>
    </row>
    <row r="354" ht="15.75" customHeight="1">
      <c r="F354" s="79"/>
    </row>
    <row r="355" ht="15.75" customHeight="1">
      <c r="F355" s="79"/>
    </row>
    <row r="356" ht="15.75" customHeight="1">
      <c r="F356" s="79"/>
    </row>
    <row r="357" ht="15.75" customHeight="1">
      <c r="F357" s="79"/>
    </row>
    <row r="358" ht="15.75" customHeight="1">
      <c r="F358" s="79"/>
    </row>
    <row r="359" ht="15.75" customHeight="1">
      <c r="F359" s="79"/>
    </row>
    <row r="360" ht="15.75" customHeight="1">
      <c r="F360" s="79"/>
    </row>
    <row r="361" ht="15.75" customHeight="1">
      <c r="F361" s="79"/>
    </row>
    <row r="362" ht="15.75" customHeight="1">
      <c r="F362" s="79"/>
    </row>
    <row r="363" ht="15.75" customHeight="1">
      <c r="F363" s="79"/>
    </row>
    <row r="364" ht="15.75" customHeight="1">
      <c r="F364" s="79"/>
    </row>
    <row r="365" ht="15.75" customHeight="1">
      <c r="F365" s="79"/>
    </row>
    <row r="366" ht="15.75" customHeight="1">
      <c r="F366" s="79"/>
    </row>
    <row r="367" ht="15.75" customHeight="1">
      <c r="F367" s="79"/>
    </row>
    <row r="368" ht="15.75" customHeight="1">
      <c r="F368" s="79"/>
    </row>
    <row r="369" ht="15.75" customHeight="1">
      <c r="F369" s="79"/>
    </row>
    <row r="370" ht="15.75" customHeight="1">
      <c r="F370" s="79"/>
    </row>
    <row r="371" ht="15.75" customHeight="1">
      <c r="F371" s="79"/>
    </row>
    <row r="372" ht="15.75" customHeight="1">
      <c r="F372" s="79"/>
    </row>
    <row r="373" ht="15.75" customHeight="1">
      <c r="F373" s="79"/>
    </row>
    <row r="374" ht="15.75" customHeight="1">
      <c r="F374" s="79"/>
    </row>
    <row r="375" ht="15.75" customHeight="1">
      <c r="F375" s="79"/>
    </row>
    <row r="376" ht="15.75" customHeight="1">
      <c r="F376" s="79"/>
    </row>
    <row r="377" ht="15.75" customHeight="1">
      <c r="F377" s="79"/>
    </row>
    <row r="378" ht="15.75" customHeight="1">
      <c r="F378" s="79"/>
    </row>
    <row r="379" ht="15.75" customHeight="1">
      <c r="F379" s="79"/>
    </row>
    <row r="380" ht="15.75" customHeight="1">
      <c r="F380" s="79"/>
    </row>
    <row r="381" ht="15.75" customHeight="1">
      <c r="F381" s="79"/>
    </row>
    <row r="382" ht="15.75" customHeight="1">
      <c r="F382" s="79"/>
    </row>
    <row r="383" ht="15.75" customHeight="1">
      <c r="F383" s="79"/>
    </row>
    <row r="384" ht="15.75" customHeight="1">
      <c r="F384" s="79"/>
    </row>
    <row r="385" ht="15.75" customHeight="1">
      <c r="F385" s="79"/>
    </row>
    <row r="386" ht="15.75" customHeight="1">
      <c r="F386" s="79"/>
    </row>
    <row r="387" ht="15.75" customHeight="1">
      <c r="F387" s="79"/>
    </row>
    <row r="388" ht="15.75" customHeight="1">
      <c r="F388" s="79"/>
    </row>
    <row r="389" ht="15.75" customHeight="1">
      <c r="F389" s="79"/>
    </row>
    <row r="390" ht="15.75" customHeight="1">
      <c r="F390" s="79"/>
    </row>
    <row r="391" ht="15.75" customHeight="1">
      <c r="F391" s="79"/>
    </row>
    <row r="392" ht="15.75" customHeight="1">
      <c r="F392" s="79"/>
    </row>
    <row r="393" ht="15.75" customHeight="1">
      <c r="F393" s="79"/>
    </row>
    <row r="394" ht="15.75" customHeight="1">
      <c r="F394" s="79"/>
    </row>
    <row r="395" ht="15.75" customHeight="1">
      <c r="F395" s="79"/>
    </row>
    <row r="396" ht="15.75" customHeight="1">
      <c r="F396" s="79"/>
    </row>
    <row r="397" ht="15.75" customHeight="1">
      <c r="F397" s="79"/>
    </row>
    <row r="398" ht="15.75" customHeight="1">
      <c r="F398" s="79"/>
    </row>
    <row r="399" ht="15.75" customHeight="1">
      <c r="F399" s="79"/>
    </row>
    <row r="400" ht="15.75" customHeight="1">
      <c r="F400" s="79"/>
    </row>
    <row r="401" ht="15.75" customHeight="1">
      <c r="F401" s="79"/>
    </row>
    <row r="402" ht="15.75" customHeight="1">
      <c r="F402" s="79"/>
    </row>
    <row r="403" ht="15.75" customHeight="1">
      <c r="F403" s="79"/>
    </row>
    <row r="404" ht="15.75" customHeight="1">
      <c r="F404" s="79"/>
    </row>
    <row r="405" ht="15.75" customHeight="1">
      <c r="F405" s="79"/>
    </row>
    <row r="406" ht="15.75" customHeight="1">
      <c r="F406" s="79"/>
    </row>
    <row r="407" ht="15.75" customHeight="1">
      <c r="F407" s="79"/>
    </row>
    <row r="408" ht="15.75" customHeight="1">
      <c r="F408" s="79"/>
    </row>
    <row r="409" ht="15.75" customHeight="1">
      <c r="F409" s="79"/>
    </row>
    <row r="410" ht="15.75" customHeight="1">
      <c r="F410" s="79"/>
    </row>
    <row r="411" ht="15.75" customHeight="1">
      <c r="F411" s="79"/>
    </row>
    <row r="412" ht="15.75" customHeight="1">
      <c r="F412" s="79"/>
    </row>
    <row r="413" ht="15.75" customHeight="1">
      <c r="F413" s="79"/>
    </row>
    <row r="414" ht="15.75" customHeight="1">
      <c r="F414" s="79"/>
    </row>
    <row r="415" ht="15.75" customHeight="1">
      <c r="F415" s="79"/>
    </row>
    <row r="416" ht="15.75" customHeight="1">
      <c r="F416" s="79"/>
    </row>
    <row r="417" ht="15.75" customHeight="1">
      <c r="F417" s="79"/>
    </row>
    <row r="418" ht="15.75" customHeight="1">
      <c r="F418" s="79"/>
    </row>
    <row r="419" ht="15.75" customHeight="1">
      <c r="F419" s="79"/>
    </row>
    <row r="420" ht="15.75" customHeight="1">
      <c r="F420" s="79"/>
    </row>
    <row r="421" ht="15.75" customHeight="1">
      <c r="F421" s="79"/>
    </row>
    <row r="422" ht="15.75" customHeight="1">
      <c r="F422" s="79"/>
    </row>
    <row r="423" ht="15.75" customHeight="1">
      <c r="F423" s="79"/>
    </row>
    <row r="424" ht="15.75" customHeight="1">
      <c r="F424" s="79"/>
    </row>
    <row r="425" ht="15.75" customHeight="1">
      <c r="F425" s="79"/>
    </row>
    <row r="426" ht="15.75" customHeight="1">
      <c r="F426" s="79"/>
    </row>
    <row r="427" ht="15.75" customHeight="1">
      <c r="F427" s="79"/>
    </row>
    <row r="428" ht="15.75" customHeight="1">
      <c r="F428" s="79"/>
    </row>
    <row r="429" ht="15.75" customHeight="1">
      <c r="F429" s="79"/>
    </row>
    <row r="430" ht="15.75" customHeight="1">
      <c r="F430" s="79"/>
    </row>
    <row r="431" ht="15.75" customHeight="1">
      <c r="F431" s="79"/>
    </row>
    <row r="432" ht="15.75" customHeight="1">
      <c r="F432" s="79"/>
    </row>
    <row r="433" ht="15.75" customHeight="1">
      <c r="F433" s="79"/>
    </row>
    <row r="434" ht="15.75" customHeight="1">
      <c r="F434" s="79"/>
    </row>
    <row r="435" ht="15.75" customHeight="1">
      <c r="F435" s="79"/>
    </row>
    <row r="436" ht="15.75" customHeight="1">
      <c r="F436" s="79"/>
    </row>
    <row r="437" ht="15.75" customHeight="1">
      <c r="F437" s="79"/>
    </row>
    <row r="438" ht="15.75" customHeight="1">
      <c r="F438" s="79"/>
    </row>
    <row r="439" ht="15.75" customHeight="1">
      <c r="F439" s="79"/>
    </row>
    <row r="440" ht="15.75" customHeight="1">
      <c r="F440" s="79"/>
    </row>
    <row r="441" ht="15.75" customHeight="1">
      <c r="F441" s="79"/>
    </row>
    <row r="442" ht="15.75" customHeight="1">
      <c r="F442" s="79"/>
    </row>
    <row r="443" ht="15.75" customHeight="1">
      <c r="F443" s="79"/>
    </row>
    <row r="444" ht="15.75" customHeight="1">
      <c r="F444" s="79"/>
    </row>
    <row r="445" ht="15.75" customHeight="1">
      <c r="F445" s="79"/>
    </row>
    <row r="446" ht="15.75" customHeight="1">
      <c r="F446" s="79"/>
    </row>
    <row r="447" ht="15.75" customHeight="1">
      <c r="F447" s="79"/>
    </row>
    <row r="448" ht="15.75" customHeight="1">
      <c r="F448" s="79"/>
    </row>
    <row r="449" ht="15.75" customHeight="1">
      <c r="F449" s="79"/>
    </row>
    <row r="450" ht="15.75" customHeight="1">
      <c r="F450" s="79"/>
    </row>
    <row r="451" ht="15.75" customHeight="1">
      <c r="F451" s="79"/>
    </row>
    <row r="452" ht="15.75" customHeight="1">
      <c r="F452" s="79"/>
    </row>
    <row r="453" ht="15.75" customHeight="1">
      <c r="F453" s="79"/>
    </row>
    <row r="454" ht="15.75" customHeight="1">
      <c r="F454" s="79"/>
    </row>
    <row r="455" ht="15.75" customHeight="1">
      <c r="F455" s="79"/>
    </row>
    <row r="456" ht="15.75" customHeight="1">
      <c r="F456" s="79"/>
    </row>
    <row r="457" ht="15.75" customHeight="1">
      <c r="F457" s="79"/>
    </row>
    <row r="458" ht="15.75" customHeight="1">
      <c r="F458" s="79"/>
    </row>
    <row r="459" ht="15.75" customHeight="1">
      <c r="F459" s="79"/>
    </row>
    <row r="460" ht="15.75" customHeight="1">
      <c r="F460" s="79"/>
    </row>
    <row r="461" ht="15.75" customHeight="1">
      <c r="F461" s="79"/>
    </row>
    <row r="462" ht="15.75" customHeight="1">
      <c r="F462" s="79"/>
    </row>
    <row r="463" ht="15.75" customHeight="1">
      <c r="F463" s="79"/>
    </row>
    <row r="464" ht="15.75" customHeight="1">
      <c r="F464" s="79"/>
    </row>
    <row r="465" ht="15.75" customHeight="1">
      <c r="F465" s="79"/>
    </row>
    <row r="466" ht="15.75" customHeight="1">
      <c r="F466" s="79"/>
    </row>
    <row r="467" ht="15.75" customHeight="1">
      <c r="F467" s="79"/>
    </row>
    <row r="468" ht="15.75" customHeight="1">
      <c r="F468" s="79"/>
    </row>
    <row r="469" ht="15.75" customHeight="1">
      <c r="F469" s="79"/>
    </row>
    <row r="470" ht="15.75" customHeight="1">
      <c r="F470" s="79"/>
    </row>
    <row r="471" ht="15.75" customHeight="1">
      <c r="F471" s="79"/>
    </row>
    <row r="472" ht="15.75" customHeight="1">
      <c r="F472" s="79"/>
    </row>
    <row r="473" ht="15.75" customHeight="1">
      <c r="F473" s="79"/>
    </row>
    <row r="474" ht="15.75" customHeight="1">
      <c r="F474" s="79"/>
    </row>
    <row r="475" ht="15.75" customHeight="1">
      <c r="F475" s="79"/>
    </row>
    <row r="476" ht="15.75" customHeight="1">
      <c r="F476" s="79"/>
    </row>
    <row r="477" ht="15.75" customHeight="1">
      <c r="F477" s="79"/>
    </row>
    <row r="478" ht="15.75" customHeight="1">
      <c r="F478" s="79"/>
    </row>
    <row r="479" ht="15.75" customHeight="1">
      <c r="F479" s="79"/>
    </row>
    <row r="480" ht="15.75" customHeight="1">
      <c r="F480" s="79"/>
    </row>
    <row r="481" ht="15.75" customHeight="1">
      <c r="F481" s="79"/>
    </row>
    <row r="482" ht="15.75" customHeight="1">
      <c r="F482" s="79"/>
    </row>
    <row r="483" ht="15.75" customHeight="1">
      <c r="F483" s="79"/>
    </row>
    <row r="484" ht="15.75" customHeight="1">
      <c r="F484" s="79"/>
    </row>
    <row r="485" ht="15.75" customHeight="1">
      <c r="F485" s="79"/>
    </row>
    <row r="486" ht="15.75" customHeight="1">
      <c r="F486" s="79"/>
    </row>
    <row r="487" ht="15.75" customHeight="1">
      <c r="F487" s="79"/>
    </row>
    <row r="488" ht="15.75" customHeight="1">
      <c r="F488" s="79"/>
    </row>
    <row r="489" ht="15.75" customHeight="1">
      <c r="F489" s="79"/>
    </row>
    <row r="490" ht="15.75" customHeight="1">
      <c r="F490" s="79"/>
    </row>
    <row r="491" ht="15.75" customHeight="1">
      <c r="F491" s="79"/>
    </row>
    <row r="492" ht="15.75" customHeight="1">
      <c r="F492" s="79"/>
    </row>
    <row r="493" ht="15.75" customHeight="1">
      <c r="F493" s="79"/>
    </row>
    <row r="494" ht="15.75" customHeight="1">
      <c r="F494" s="79"/>
    </row>
    <row r="495" ht="15.75" customHeight="1">
      <c r="F495" s="79"/>
    </row>
    <row r="496" ht="15.75" customHeight="1">
      <c r="F496" s="79"/>
    </row>
    <row r="497" ht="15.75" customHeight="1">
      <c r="F497" s="79"/>
    </row>
    <row r="498" ht="15.75" customHeight="1">
      <c r="F498" s="79"/>
    </row>
    <row r="499" ht="15.75" customHeight="1">
      <c r="F499" s="79"/>
    </row>
    <row r="500" ht="15.75" customHeight="1">
      <c r="F500" s="79"/>
    </row>
    <row r="501" ht="15.75" customHeight="1">
      <c r="F501" s="79"/>
    </row>
    <row r="502" ht="15.75" customHeight="1">
      <c r="F502" s="79"/>
    </row>
    <row r="503" ht="15.75" customHeight="1">
      <c r="F503" s="79"/>
    </row>
    <row r="504" ht="15.75" customHeight="1">
      <c r="F504" s="79"/>
    </row>
    <row r="505" ht="15.75" customHeight="1">
      <c r="F505" s="79"/>
    </row>
    <row r="506" ht="15.75" customHeight="1">
      <c r="F506" s="79"/>
    </row>
    <row r="507" ht="15.75" customHeight="1">
      <c r="F507" s="79"/>
    </row>
    <row r="508" ht="15.75" customHeight="1">
      <c r="F508" s="79"/>
    </row>
    <row r="509" ht="15.75" customHeight="1">
      <c r="F509" s="79"/>
    </row>
    <row r="510" ht="15.75" customHeight="1">
      <c r="F510" s="79"/>
    </row>
    <row r="511" ht="15.75" customHeight="1">
      <c r="F511" s="79"/>
    </row>
    <row r="512" ht="15.75" customHeight="1">
      <c r="F512" s="79"/>
    </row>
    <row r="513" ht="15.75" customHeight="1">
      <c r="F513" s="79"/>
    </row>
    <row r="514" ht="15.75" customHeight="1">
      <c r="F514" s="79"/>
    </row>
    <row r="515" ht="15.75" customHeight="1">
      <c r="F515" s="79"/>
    </row>
    <row r="516" ht="15.75" customHeight="1">
      <c r="F516" s="79"/>
    </row>
    <row r="517" ht="15.75" customHeight="1">
      <c r="F517" s="79"/>
    </row>
    <row r="518" ht="15.75" customHeight="1">
      <c r="F518" s="79"/>
    </row>
    <row r="519" ht="15.75" customHeight="1">
      <c r="F519" s="79"/>
    </row>
    <row r="520" ht="15.75" customHeight="1">
      <c r="F520" s="79"/>
    </row>
    <row r="521" ht="15.75" customHeight="1">
      <c r="F521" s="79"/>
    </row>
    <row r="522" ht="15.75" customHeight="1">
      <c r="F522" s="79"/>
    </row>
    <row r="523" ht="15.75" customHeight="1">
      <c r="F523" s="79"/>
    </row>
    <row r="524" ht="15.75" customHeight="1">
      <c r="F524" s="79"/>
    </row>
    <row r="525" ht="15.75" customHeight="1">
      <c r="F525" s="79"/>
    </row>
    <row r="526" ht="15.75" customHeight="1">
      <c r="F526" s="79"/>
    </row>
    <row r="527" ht="15.75" customHeight="1">
      <c r="F527" s="79"/>
    </row>
    <row r="528" ht="15.75" customHeight="1">
      <c r="F528" s="79"/>
    </row>
    <row r="529" ht="15.75" customHeight="1">
      <c r="F529" s="79"/>
    </row>
    <row r="530" ht="15.75" customHeight="1">
      <c r="F530" s="79"/>
    </row>
    <row r="531" ht="15.75" customHeight="1">
      <c r="F531" s="79"/>
    </row>
    <row r="532" ht="15.75" customHeight="1">
      <c r="F532" s="79"/>
    </row>
    <row r="533" ht="15.75" customHeight="1">
      <c r="F533" s="79"/>
    </row>
    <row r="534" ht="15.75" customHeight="1">
      <c r="F534" s="79"/>
    </row>
    <row r="535" ht="15.75" customHeight="1">
      <c r="F535" s="79"/>
    </row>
    <row r="536" ht="15.75" customHeight="1">
      <c r="F536" s="79"/>
    </row>
    <row r="537" ht="15.75" customHeight="1">
      <c r="F537" s="79"/>
    </row>
    <row r="538" ht="15.75" customHeight="1">
      <c r="F538" s="79"/>
    </row>
    <row r="539" ht="15.75" customHeight="1">
      <c r="F539" s="79"/>
    </row>
    <row r="540" ht="15.75" customHeight="1">
      <c r="F540" s="79"/>
    </row>
    <row r="541" ht="15.75" customHeight="1">
      <c r="F541" s="79"/>
    </row>
    <row r="542" ht="15.75" customHeight="1">
      <c r="F542" s="79"/>
    </row>
    <row r="543" ht="15.75" customHeight="1">
      <c r="F543" s="79"/>
    </row>
    <row r="544" ht="15.75" customHeight="1">
      <c r="F544" s="79"/>
    </row>
    <row r="545" ht="15.75" customHeight="1">
      <c r="F545" s="79"/>
    </row>
    <row r="546" ht="15.75" customHeight="1">
      <c r="F546" s="79"/>
    </row>
    <row r="547" ht="15.75" customHeight="1">
      <c r="F547" s="79"/>
    </row>
    <row r="548" ht="15.75" customHeight="1">
      <c r="F548" s="79"/>
    </row>
    <row r="549" ht="15.75" customHeight="1">
      <c r="F549" s="79"/>
    </row>
    <row r="550" ht="15.75" customHeight="1">
      <c r="F550" s="79"/>
    </row>
    <row r="551" ht="15.75" customHeight="1">
      <c r="F551" s="79"/>
    </row>
    <row r="552" ht="15.75" customHeight="1">
      <c r="F552" s="79"/>
    </row>
    <row r="553" ht="15.75" customHeight="1">
      <c r="F553" s="79"/>
    </row>
    <row r="554" ht="15.75" customHeight="1">
      <c r="F554" s="79"/>
    </row>
    <row r="555" ht="15.75" customHeight="1">
      <c r="F555" s="79"/>
    </row>
    <row r="556" ht="15.75" customHeight="1">
      <c r="F556" s="79"/>
    </row>
    <row r="557" ht="15.75" customHeight="1">
      <c r="F557" s="79"/>
    </row>
    <row r="558" ht="15.75" customHeight="1">
      <c r="F558" s="79"/>
    </row>
    <row r="559" ht="15.75" customHeight="1">
      <c r="F559" s="79"/>
    </row>
    <row r="560" ht="15.75" customHeight="1">
      <c r="F560" s="79"/>
    </row>
    <row r="561" ht="15.75" customHeight="1">
      <c r="F561" s="79"/>
    </row>
    <row r="562" ht="15.75" customHeight="1">
      <c r="F562" s="79"/>
    </row>
    <row r="563" ht="15.75" customHeight="1">
      <c r="F563" s="79"/>
    </row>
    <row r="564" ht="15.75" customHeight="1">
      <c r="F564" s="79"/>
    </row>
    <row r="565" ht="15.75" customHeight="1">
      <c r="F565" s="79"/>
    </row>
    <row r="566" ht="15.75" customHeight="1">
      <c r="F566" s="79"/>
    </row>
    <row r="567" ht="15.75" customHeight="1">
      <c r="F567" s="79"/>
    </row>
    <row r="568" ht="15.75" customHeight="1">
      <c r="F568" s="79"/>
    </row>
    <row r="569" ht="15.75" customHeight="1">
      <c r="F569" s="79"/>
    </row>
    <row r="570" ht="15.75" customHeight="1">
      <c r="F570" s="79"/>
    </row>
    <row r="571" ht="15.75" customHeight="1">
      <c r="F571" s="79"/>
    </row>
    <row r="572" ht="15.75" customHeight="1">
      <c r="F572" s="79"/>
    </row>
    <row r="573" ht="15.75" customHeight="1">
      <c r="F573" s="79"/>
    </row>
    <row r="574" ht="15.75" customHeight="1">
      <c r="F574" s="79"/>
    </row>
    <row r="575" ht="15.75" customHeight="1">
      <c r="F575" s="79"/>
    </row>
    <row r="576" ht="15.75" customHeight="1">
      <c r="F576" s="79"/>
    </row>
    <row r="577" ht="15.75" customHeight="1">
      <c r="F577" s="79"/>
    </row>
    <row r="578" ht="15.75" customHeight="1">
      <c r="F578" s="79"/>
    </row>
    <row r="579" ht="15.75" customHeight="1">
      <c r="F579" s="79"/>
    </row>
    <row r="580" ht="15.75" customHeight="1">
      <c r="F580" s="79"/>
    </row>
    <row r="581" ht="15.75" customHeight="1">
      <c r="F581" s="79"/>
    </row>
    <row r="582" ht="15.75" customHeight="1">
      <c r="F582" s="79"/>
    </row>
    <row r="583" ht="15.75" customHeight="1">
      <c r="F583" s="79"/>
    </row>
    <row r="584" ht="15.75" customHeight="1">
      <c r="F584" s="79"/>
    </row>
    <row r="585" ht="15.75" customHeight="1">
      <c r="F585" s="79"/>
    </row>
    <row r="586" ht="15.75" customHeight="1">
      <c r="F586" s="79"/>
    </row>
    <row r="587" ht="15.75" customHeight="1">
      <c r="F587" s="79"/>
    </row>
    <row r="588" ht="15.75" customHeight="1">
      <c r="F588" s="79"/>
    </row>
    <row r="589" ht="15.75" customHeight="1">
      <c r="F589" s="79"/>
    </row>
    <row r="590" ht="15.75" customHeight="1">
      <c r="F590" s="79"/>
    </row>
    <row r="591" ht="15.75" customHeight="1">
      <c r="F591" s="79"/>
    </row>
    <row r="592" ht="15.75" customHeight="1">
      <c r="F592" s="79"/>
    </row>
    <row r="593" ht="15.75" customHeight="1">
      <c r="F593" s="79"/>
    </row>
    <row r="594" ht="15.75" customHeight="1">
      <c r="F594" s="79"/>
    </row>
    <row r="595" ht="15.75" customHeight="1">
      <c r="F595" s="79"/>
    </row>
    <row r="596" ht="15.75" customHeight="1">
      <c r="F596" s="79"/>
    </row>
    <row r="597" ht="15.75" customHeight="1">
      <c r="F597" s="79"/>
    </row>
    <row r="598" ht="15.75" customHeight="1">
      <c r="F598" s="79"/>
    </row>
    <row r="599" ht="15.75" customHeight="1">
      <c r="F599" s="79"/>
    </row>
    <row r="600" ht="15.75" customHeight="1">
      <c r="F600" s="79"/>
    </row>
    <row r="601" ht="15.75" customHeight="1">
      <c r="F601" s="79"/>
    </row>
    <row r="602" ht="15.75" customHeight="1">
      <c r="F602" s="79"/>
    </row>
    <row r="603" ht="15.75" customHeight="1">
      <c r="F603" s="79"/>
    </row>
    <row r="604" ht="15.75" customHeight="1">
      <c r="F604" s="79"/>
    </row>
    <row r="605" ht="15.75" customHeight="1">
      <c r="F605" s="79"/>
    </row>
    <row r="606" ht="15.75" customHeight="1">
      <c r="F606" s="79"/>
    </row>
    <row r="607" ht="15.75" customHeight="1">
      <c r="F607" s="79"/>
    </row>
    <row r="608" ht="15.75" customHeight="1">
      <c r="F608" s="79"/>
    </row>
    <row r="609" ht="15.75" customHeight="1">
      <c r="F609" s="79"/>
    </row>
    <row r="610" ht="15.75" customHeight="1">
      <c r="F610" s="79"/>
    </row>
    <row r="611" ht="15.75" customHeight="1">
      <c r="F611" s="79"/>
    </row>
    <row r="612" ht="15.75" customHeight="1">
      <c r="F612" s="79"/>
    </row>
    <row r="613" ht="15.75" customHeight="1">
      <c r="F613" s="79"/>
    </row>
    <row r="614" ht="15.75" customHeight="1">
      <c r="F614" s="79"/>
    </row>
    <row r="615" ht="15.75" customHeight="1">
      <c r="F615" s="79"/>
    </row>
    <row r="616" ht="15.75" customHeight="1">
      <c r="F616" s="79"/>
    </row>
    <row r="617" ht="15.75" customHeight="1">
      <c r="F617" s="79"/>
    </row>
    <row r="618" ht="15.75" customHeight="1">
      <c r="F618" s="79"/>
    </row>
    <row r="619" ht="15.75" customHeight="1">
      <c r="F619" s="79"/>
    </row>
    <row r="620" ht="15.75" customHeight="1">
      <c r="F620" s="79"/>
    </row>
    <row r="621" ht="15.75" customHeight="1">
      <c r="F621" s="79"/>
    </row>
    <row r="622" ht="15.75" customHeight="1">
      <c r="F622" s="79"/>
    </row>
    <row r="623" ht="15.75" customHeight="1">
      <c r="F623" s="79"/>
    </row>
    <row r="624" ht="15.75" customHeight="1">
      <c r="F624" s="79"/>
    </row>
    <row r="625" ht="15.75" customHeight="1">
      <c r="F625" s="79"/>
    </row>
    <row r="626" ht="15.75" customHeight="1">
      <c r="F626" s="79"/>
    </row>
    <row r="627" ht="15.75" customHeight="1">
      <c r="F627" s="79"/>
    </row>
    <row r="628" ht="15.75" customHeight="1">
      <c r="F628" s="79"/>
    </row>
    <row r="629" ht="15.75" customHeight="1">
      <c r="F629" s="79"/>
    </row>
    <row r="630" ht="15.75" customHeight="1">
      <c r="F630" s="79"/>
    </row>
    <row r="631" ht="15.75" customHeight="1">
      <c r="F631" s="79"/>
    </row>
    <row r="632" ht="15.75" customHeight="1">
      <c r="F632" s="79"/>
    </row>
    <row r="633" ht="15.75" customHeight="1">
      <c r="F633" s="79"/>
    </row>
    <row r="634" ht="15.75" customHeight="1">
      <c r="F634" s="79"/>
    </row>
    <row r="635" ht="15.75" customHeight="1">
      <c r="F635" s="79"/>
    </row>
    <row r="636" ht="15.75" customHeight="1">
      <c r="F636" s="79"/>
    </row>
    <row r="637" ht="15.75" customHeight="1">
      <c r="F637" s="79"/>
    </row>
    <row r="638" ht="15.75" customHeight="1">
      <c r="F638" s="79"/>
    </row>
    <row r="639" ht="15.75" customHeight="1">
      <c r="F639" s="79"/>
    </row>
    <row r="640" ht="15.75" customHeight="1">
      <c r="F640" s="79"/>
    </row>
    <row r="641" ht="15.75" customHeight="1">
      <c r="F641" s="79"/>
    </row>
    <row r="642" ht="15.75" customHeight="1">
      <c r="F642" s="79"/>
    </row>
    <row r="643" ht="15.75" customHeight="1">
      <c r="F643" s="79"/>
    </row>
    <row r="644" ht="15.75" customHeight="1">
      <c r="F644" s="79"/>
    </row>
    <row r="645" ht="15.75" customHeight="1">
      <c r="F645" s="79"/>
    </row>
    <row r="646" ht="15.75" customHeight="1">
      <c r="F646" s="79"/>
    </row>
    <row r="647" ht="15.75" customHeight="1">
      <c r="F647" s="79"/>
    </row>
    <row r="648" ht="15.75" customHeight="1">
      <c r="F648" s="79"/>
    </row>
    <row r="649" ht="15.75" customHeight="1">
      <c r="F649" s="79"/>
    </row>
    <row r="650" ht="15.75" customHeight="1">
      <c r="F650" s="79"/>
    </row>
    <row r="651" ht="15.75" customHeight="1">
      <c r="F651" s="79"/>
    </row>
    <row r="652" ht="15.75" customHeight="1">
      <c r="F652" s="79"/>
    </row>
    <row r="653" ht="15.75" customHeight="1">
      <c r="F653" s="79"/>
    </row>
    <row r="654" ht="15.75" customHeight="1">
      <c r="F654" s="79"/>
    </row>
    <row r="655" ht="15.75" customHeight="1">
      <c r="F655" s="79"/>
    </row>
    <row r="656" ht="15.75" customHeight="1">
      <c r="F656" s="79"/>
    </row>
    <row r="657" ht="15.75" customHeight="1">
      <c r="F657" s="79"/>
    </row>
    <row r="658" ht="15.75" customHeight="1">
      <c r="F658" s="79"/>
    </row>
    <row r="659" ht="15.75" customHeight="1">
      <c r="F659" s="79"/>
    </row>
    <row r="660" ht="15.75" customHeight="1">
      <c r="F660" s="79"/>
    </row>
    <row r="661" ht="15.75" customHeight="1">
      <c r="F661" s="79"/>
    </row>
    <row r="662" ht="15.75" customHeight="1">
      <c r="F662" s="79"/>
    </row>
    <row r="663" ht="15.75" customHeight="1">
      <c r="F663" s="79"/>
    </row>
    <row r="664" ht="15.75" customHeight="1">
      <c r="F664" s="79"/>
    </row>
    <row r="665" ht="15.75" customHeight="1">
      <c r="F665" s="79"/>
    </row>
    <row r="666" ht="15.75" customHeight="1">
      <c r="F666" s="79"/>
    </row>
    <row r="667" ht="15.75" customHeight="1">
      <c r="F667" s="79"/>
    </row>
    <row r="668" ht="15.75" customHeight="1">
      <c r="F668" s="79"/>
    </row>
    <row r="669" ht="15.75" customHeight="1">
      <c r="F669" s="79"/>
    </row>
    <row r="670" ht="15.75" customHeight="1">
      <c r="F670" s="79"/>
    </row>
    <row r="671" ht="15.75" customHeight="1">
      <c r="F671" s="79"/>
    </row>
    <row r="672" ht="15.75" customHeight="1">
      <c r="F672" s="79"/>
    </row>
    <row r="673" ht="15.75" customHeight="1">
      <c r="F673" s="79"/>
    </row>
    <row r="674" ht="15.75" customHeight="1">
      <c r="F674" s="79"/>
    </row>
    <row r="675" ht="15.75" customHeight="1">
      <c r="F675" s="79"/>
    </row>
    <row r="676" ht="15.75" customHeight="1">
      <c r="F676" s="79"/>
    </row>
    <row r="677" ht="15.75" customHeight="1">
      <c r="F677" s="79"/>
    </row>
    <row r="678" ht="15.75" customHeight="1">
      <c r="F678" s="79"/>
    </row>
    <row r="679" ht="15.75" customHeight="1">
      <c r="F679" s="79"/>
    </row>
    <row r="680" ht="15.75" customHeight="1">
      <c r="F680" s="79"/>
    </row>
    <row r="681" ht="15.75" customHeight="1">
      <c r="F681" s="79"/>
    </row>
    <row r="682" ht="15.75" customHeight="1">
      <c r="F682" s="79"/>
    </row>
    <row r="683" ht="15.75" customHeight="1">
      <c r="F683" s="79"/>
    </row>
    <row r="684" ht="15.75" customHeight="1">
      <c r="F684" s="79"/>
    </row>
    <row r="685" ht="15.75" customHeight="1">
      <c r="F685" s="79"/>
    </row>
    <row r="686" ht="15.75" customHeight="1">
      <c r="F686" s="79"/>
    </row>
    <row r="687" ht="15.75" customHeight="1">
      <c r="F687" s="79"/>
    </row>
    <row r="688" ht="15.75" customHeight="1">
      <c r="F688" s="79"/>
    </row>
    <row r="689" ht="15.75" customHeight="1">
      <c r="F689" s="79"/>
    </row>
    <row r="690" ht="15.75" customHeight="1">
      <c r="F690" s="79"/>
    </row>
    <row r="691" ht="15.75" customHeight="1">
      <c r="F691" s="79"/>
    </row>
    <row r="692" ht="15.75" customHeight="1">
      <c r="F692" s="79"/>
    </row>
    <row r="693" ht="15.75" customHeight="1">
      <c r="F693" s="79"/>
    </row>
    <row r="694" ht="15.75" customHeight="1">
      <c r="F694" s="79"/>
    </row>
    <row r="695" ht="15.75" customHeight="1">
      <c r="F695" s="79"/>
    </row>
    <row r="696" ht="15.75" customHeight="1">
      <c r="F696" s="79"/>
    </row>
    <row r="697" ht="15.75" customHeight="1">
      <c r="F697" s="79"/>
    </row>
    <row r="698" ht="15.75" customHeight="1">
      <c r="F698" s="79"/>
    </row>
    <row r="699" ht="15.75" customHeight="1">
      <c r="F699" s="79"/>
    </row>
    <row r="700" ht="15.75" customHeight="1">
      <c r="F700" s="79"/>
    </row>
    <row r="701" ht="15.75" customHeight="1">
      <c r="F701" s="79"/>
    </row>
    <row r="702" ht="15.75" customHeight="1">
      <c r="F702" s="79"/>
    </row>
    <row r="703" ht="15.75" customHeight="1">
      <c r="F703" s="79"/>
    </row>
    <row r="704" ht="15.75" customHeight="1">
      <c r="F704" s="79"/>
    </row>
    <row r="705" ht="15.75" customHeight="1">
      <c r="F705" s="79"/>
    </row>
    <row r="706" ht="15.75" customHeight="1">
      <c r="F706" s="79"/>
    </row>
    <row r="707" ht="15.75" customHeight="1">
      <c r="F707" s="79"/>
    </row>
    <row r="708" ht="15.75" customHeight="1">
      <c r="F708" s="79"/>
    </row>
    <row r="709" ht="15.75" customHeight="1">
      <c r="F709" s="79"/>
    </row>
    <row r="710" ht="15.75" customHeight="1">
      <c r="F710" s="79"/>
    </row>
    <row r="711" ht="15.75" customHeight="1">
      <c r="F711" s="79"/>
    </row>
    <row r="712" ht="15.75" customHeight="1">
      <c r="F712" s="79"/>
    </row>
    <row r="713" ht="15.75" customHeight="1">
      <c r="F713" s="79"/>
    </row>
    <row r="714" ht="15.75" customHeight="1">
      <c r="F714" s="79"/>
    </row>
    <row r="715" ht="15.75" customHeight="1">
      <c r="F715" s="79"/>
    </row>
    <row r="716" ht="15.75" customHeight="1">
      <c r="F716" s="79"/>
    </row>
    <row r="717" ht="15.75" customHeight="1">
      <c r="F717" s="79"/>
    </row>
    <row r="718" ht="15.75" customHeight="1">
      <c r="F718" s="79"/>
    </row>
    <row r="719" ht="15.75" customHeight="1">
      <c r="F719" s="79"/>
    </row>
    <row r="720" ht="15.75" customHeight="1">
      <c r="F720" s="79"/>
    </row>
    <row r="721" ht="15.75" customHeight="1">
      <c r="F721" s="79"/>
    </row>
    <row r="722" ht="15.75" customHeight="1">
      <c r="F722" s="79"/>
    </row>
    <row r="723" ht="15.75" customHeight="1">
      <c r="F723" s="79"/>
    </row>
    <row r="724" ht="15.75" customHeight="1">
      <c r="F724" s="79"/>
    </row>
    <row r="725" ht="15.75" customHeight="1">
      <c r="F725" s="79"/>
    </row>
    <row r="726" ht="15.75" customHeight="1">
      <c r="F726" s="79"/>
    </row>
    <row r="727" ht="15.75" customHeight="1">
      <c r="F727" s="79"/>
    </row>
    <row r="728" ht="15.75" customHeight="1">
      <c r="F728" s="79"/>
    </row>
    <row r="729" ht="15.75" customHeight="1">
      <c r="F729" s="79"/>
    </row>
    <row r="730" ht="15.75" customHeight="1">
      <c r="F730" s="79"/>
    </row>
    <row r="731" ht="15.75" customHeight="1">
      <c r="F731" s="79"/>
    </row>
    <row r="732" ht="15.75" customHeight="1">
      <c r="F732" s="79"/>
    </row>
    <row r="733" ht="15.75" customHeight="1">
      <c r="F733" s="79"/>
    </row>
    <row r="734" ht="15.75" customHeight="1">
      <c r="F734" s="79"/>
    </row>
    <row r="735" ht="15.75" customHeight="1">
      <c r="F735" s="79"/>
    </row>
    <row r="736" ht="15.75" customHeight="1">
      <c r="F736" s="79"/>
    </row>
    <row r="737" ht="15.75" customHeight="1">
      <c r="F737" s="79"/>
    </row>
    <row r="738" ht="15.75" customHeight="1">
      <c r="F738" s="79"/>
    </row>
    <row r="739" ht="15.75" customHeight="1">
      <c r="F739" s="79"/>
    </row>
    <row r="740" ht="15.75" customHeight="1">
      <c r="F740" s="79"/>
    </row>
    <row r="741" ht="15.75" customHeight="1">
      <c r="F741" s="79"/>
    </row>
    <row r="742" ht="15.75" customHeight="1">
      <c r="F742" s="79"/>
    </row>
    <row r="743" ht="15.75" customHeight="1">
      <c r="F743" s="79"/>
    </row>
    <row r="744" ht="15.75" customHeight="1">
      <c r="F744" s="79"/>
    </row>
    <row r="745" ht="15.75" customHeight="1">
      <c r="F745" s="79"/>
    </row>
    <row r="746" ht="15.75" customHeight="1">
      <c r="F746" s="79"/>
    </row>
    <row r="747" ht="15.75" customHeight="1">
      <c r="F747" s="79"/>
    </row>
    <row r="748" ht="15.75" customHeight="1">
      <c r="F748" s="79"/>
    </row>
    <row r="749" ht="15.75" customHeight="1">
      <c r="F749" s="79"/>
    </row>
    <row r="750" ht="15.75" customHeight="1">
      <c r="F750" s="79"/>
    </row>
    <row r="751" ht="15.75" customHeight="1">
      <c r="F751" s="79"/>
    </row>
    <row r="752" ht="15.75" customHeight="1">
      <c r="F752" s="79"/>
    </row>
    <row r="753" ht="15.75" customHeight="1">
      <c r="F753" s="79"/>
    </row>
    <row r="754" ht="15.75" customHeight="1">
      <c r="F754" s="79"/>
    </row>
    <row r="755" ht="15.75" customHeight="1">
      <c r="F755" s="79"/>
    </row>
    <row r="756" ht="15.75" customHeight="1">
      <c r="F756" s="79"/>
    </row>
    <row r="757" ht="15.75" customHeight="1">
      <c r="F757" s="79"/>
    </row>
    <row r="758" ht="15.75" customHeight="1">
      <c r="F758" s="79"/>
    </row>
    <row r="759" ht="15.75" customHeight="1">
      <c r="F759" s="79"/>
    </row>
    <row r="760" ht="15.75" customHeight="1">
      <c r="F760" s="79"/>
    </row>
    <row r="761" ht="15.75" customHeight="1">
      <c r="F761" s="79"/>
    </row>
    <row r="762" ht="15.75" customHeight="1">
      <c r="F762" s="79"/>
    </row>
    <row r="763" ht="15.75" customHeight="1">
      <c r="F763" s="79"/>
    </row>
    <row r="764" ht="15.75" customHeight="1">
      <c r="F764" s="79"/>
    </row>
    <row r="765" ht="15.75" customHeight="1">
      <c r="F765" s="79"/>
    </row>
    <row r="766" ht="15.75" customHeight="1">
      <c r="F766" s="79"/>
    </row>
    <row r="767" ht="15.75" customHeight="1">
      <c r="F767" s="79"/>
    </row>
    <row r="768" ht="15.75" customHeight="1">
      <c r="F768" s="79"/>
    </row>
    <row r="769" ht="15.75" customHeight="1">
      <c r="F769" s="79"/>
    </row>
    <row r="770" ht="15.75" customHeight="1">
      <c r="F770" s="79"/>
    </row>
    <row r="771" ht="15.75" customHeight="1">
      <c r="F771" s="79"/>
    </row>
    <row r="772" ht="15.75" customHeight="1">
      <c r="F772" s="79"/>
    </row>
    <row r="773" ht="15.75" customHeight="1">
      <c r="F773" s="79"/>
    </row>
    <row r="774" ht="15.75" customHeight="1">
      <c r="F774" s="79"/>
    </row>
    <row r="775" ht="15.75" customHeight="1">
      <c r="F775" s="79"/>
    </row>
    <row r="776" ht="15.75" customHeight="1">
      <c r="F776" s="79"/>
    </row>
    <row r="777" ht="15.75" customHeight="1">
      <c r="F777" s="79"/>
    </row>
    <row r="778" ht="15.75" customHeight="1">
      <c r="F778" s="79"/>
    </row>
    <row r="779" ht="15.75" customHeight="1">
      <c r="F779" s="79"/>
    </row>
    <row r="780" ht="15.75" customHeight="1">
      <c r="F780" s="79"/>
    </row>
    <row r="781" ht="15.75" customHeight="1">
      <c r="F781" s="79"/>
    </row>
    <row r="782" ht="15.75" customHeight="1">
      <c r="F782" s="79"/>
    </row>
    <row r="783" ht="15.75" customHeight="1">
      <c r="F783" s="79"/>
    </row>
    <row r="784" ht="15.75" customHeight="1">
      <c r="F784" s="79"/>
    </row>
    <row r="785" ht="15.75" customHeight="1">
      <c r="F785" s="79"/>
    </row>
    <row r="786" ht="15.75" customHeight="1">
      <c r="F786" s="79"/>
    </row>
    <row r="787" ht="15.75" customHeight="1">
      <c r="F787" s="79"/>
    </row>
    <row r="788" ht="15.75" customHeight="1">
      <c r="F788" s="79"/>
    </row>
    <row r="789" ht="15.75" customHeight="1">
      <c r="F789" s="79"/>
    </row>
    <row r="790" ht="15.75" customHeight="1">
      <c r="F790" s="79"/>
    </row>
    <row r="791" ht="15.75" customHeight="1">
      <c r="F791" s="79"/>
    </row>
    <row r="792" ht="15.75" customHeight="1">
      <c r="F792" s="79"/>
    </row>
    <row r="793" ht="15.75" customHeight="1">
      <c r="F793" s="79"/>
    </row>
    <row r="794" ht="15.75" customHeight="1">
      <c r="F794" s="79"/>
    </row>
    <row r="795" ht="15.75" customHeight="1">
      <c r="F795" s="79"/>
    </row>
    <row r="796" ht="15.75" customHeight="1">
      <c r="F796" s="79"/>
    </row>
    <row r="797" ht="15.75" customHeight="1">
      <c r="F797" s="79"/>
    </row>
    <row r="798" ht="15.75" customHeight="1">
      <c r="F798" s="79"/>
    </row>
    <row r="799" ht="15.75" customHeight="1">
      <c r="F799" s="79"/>
    </row>
    <row r="800" ht="15.75" customHeight="1">
      <c r="F800" s="79"/>
    </row>
    <row r="801" ht="15.75" customHeight="1">
      <c r="F801" s="79"/>
    </row>
    <row r="802" ht="15.75" customHeight="1">
      <c r="F802" s="79"/>
    </row>
    <row r="803" ht="15.75" customHeight="1">
      <c r="F803" s="79"/>
    </row>
    <row r="804" ht="15.75" customHeight="1">
      <c r="F804" s="79"/>
    </row>
    <row r="805" ht="15.75" customHeight="1">
      <c r="F805" s="79"/>
    </row>
    <row r="806" ht="15.75" customHeight="1">
      <c r="F806" s="79"/>
    </row>
    <row r="807" ht="15.75" customHeight="1">
      <c r="F807" s="79"/>
    </row>
    <row r="808" ht="15.75" customHeight="1">
      <c r="F808" s="79"/>
    </row>
    <row r="809" ht="15.75" customHeight="1">
      <c r="F809" s="79"/>
    </row>
    <row r="810" ht="15.75" customHeight="1">
      <c r="F810" s="79"/>
    </row>
    <row r="811" ht="15.75" customHeight="1">
      <c r="F811" s="79"/>
    </row>
    <row r="812" ht="15.75" customHeight="1">
      <c r="F812" s="79"/>
    </row>
    <row r="813" ht="15.75" customHeight="1">
      <c r="F813" s="79"/>
    </row>
    <row r="814" ht="15.75" customHeight="1">
      <c r="F814" s="79"/>
    </row>
    <row r="815" ht="15.75" customHeight="1">
      <c r="F815" s="79"/>
    </row>
    <row r="816" ht="15.75" customHeight="1">
      <c r="F816" s="79"/>
    </row>
    <row r="817" ht="15.75" customHeight="1">
      <c r="F817" s="79"/>
    </row>
    <row r="818" ht="15.75" customHeight="1">
      <c r="F818" s="79"/>
    </row>
    <row r="819" ht="15.75" customHeight="1">
      <c r="F819" s="79"/>
    </row>
    <row r="820" ht="15.75" customHeight="1">
      <c r="F820" s="79"/>
    </row>
    <row r="821" ht="15.75" customHeight="1">
      <c r="F821" s="79"/>
    </row>
    <row r="822" ht="15.75" customHeight="1">
      <c r="F822" s="79"/>
    </row>
    <row r="823" ht="15.75" customHeight="1">
      <c r="F823" s="79"/>
    </row>
    <row r="824" ht="15.75" customHeight="1">
      <c r="F824" s="79"/>
    </row>
    <row r="825" ht="15.75" customHeight="1">
      <c r="F825" s="79"/>
    </row>
    <row r="826" ht="15.75" customHeight="1">
      <c r="F826" s="79"/>
    </row>
    <row r="827" ht="15.75" customHeight="1">
      <c r="F827" s="79"/>
    </row>
    <row r="828" ht="15.75" customHeight="1">
      <c r="F828" s="79"/>
    </row>
    <row r="829" ht="15.75" customHeight="1">
      <c r="F829" s="79"/>
    </row>
    <row r="830" ht="15.75" customHeight="1">
      <c r="F830" s="79"/>
    </row>
    <row r="831" ht="15.75" customHeight="1">
      <c r="F831" s="79"/>
    </row>
    <row r="832" ht="15.75" customHeight="1">
      <c r="F832" s="79"/>
    </row>
    <row r="833" ht="15.75" customHeight="1">
      <c r="F833" s="79"/>
    </row>
    <row r="834" ht="15.75" customHeight="1">
      <c r="F834" s="79"/>
    </row>
    <row r="835" ht="15.75" customHeight="1">
      <c r="F835" s="79"/>
    </row>
    <row r="836" ht="15.75" customHeight="1">
      <c r="F836" s="79"/>
    </row>
    <row r="837" ht="15.75" customHeight="1">
      <c r="F837" s="79"/>
    </row>
    <row r="838" ht="15.75" customHeight="1">
      <c r="F838" s="79"/>
    </row>
    <row r="839" ht="15.75" customHeight="1">
      <c r="F839" s="79"/>
    </row>
    <row r="840" ht="15.75" customHeight="1">
      <c r="F840" s="79"/>
    </row>
    <row r="841" ht="15.75" customHeight="1">
      <c r="F841" s="79"/>
    </row>
    <row r="842" ht="15.75" customHeight="1">
      <c r="F842" s="79"/>
    </row>
    <row r="843" ht="15.75" customHeight="1">
      <c r="F843" s="79"/>
    </row>
    <row r="844" ht="15.75" customHeight="1">
      <c r="F844" s="79"/>
    </row>
    <row r="845" ht="15.75" customHeight="1">
      <c r="F845" s="79"/>
    </row>
    <row r="846" ht="15.75" customHeight="1">
      <c r="F846" s="79"/>
    </row>
    <row r="847" ht="15.75" customHeight="1">
      <c r="F847" s="79"/>
    </row>
    <row r="848" ht="15.75" customHeight="1">
      <c r="F848" s="79"/>
    </row>
    <row r="849" ht="15.75" customHeight="1">
      <c r="F849" s="79"/>
    </row>
    <row r="850" ht="15.75" customHeight="1">
      <c r="F850" s="79"/>
    </row>
    <row r="851" ht="15.75" customHeight="1">
      <c r="F851" s="79"/>
    </row>
    <row r="852" ht="15.75" customHeight="1">
      <c r="F852" s="79"/>
    </row>
    <row r="853" ht="15.75" customHeight="1">
      <c r="F853" s="79"/>
    </row>
    <row r="854" ht="15.75" customHeight="1">
      <c r="F854" s="79"/>
    </row>
    <row r="855" ht="15.75" customHeight="1">
      <c r="F855" s="79"/>
    </row>
    <row r="856" ht="15.75" customHeight="1">
      <c r="F856" s="79"/>
    </row>
    <row r="857" ht="15.75" customHeight="1">
      <c r="F857" s="79"/>
    </row>
    <row r="858" ht="15.75" customHeight="1">
      <c r="F858" s="79"/>
    </row>
    <row r="859" ht="15.75" customHeight="1">
      <c r="F859" s="79"/>
    </row>
    <row r="860" ht="15.75" customHeight="1">
      <c r="F860" s="79"/>
    </row>
    <row r="861" ht="15.75" customHeight="1">
      <c r="F861" s="79"/>
    </row>
    <row r="862" ht="15.75" customHeight="1">
      <c r="F862" s="79"/>
    </row>
    <row r="863" ht="15.75" customHeight="1">
      <c r="F863" s="79"/>
    </row>
    <row r="864" ht="15.75" customHeight="1">
      <c r="F864" s="79"/>
    </row>
    <row r="865" ht="15.75" customHeight="1">
      <c r="F865" s="79"/>
    </row>
    <row r="866" ht="15.75" customHeight="1">
      <c r="F866" s="79"/>
    </row>
    <row r="867" ht="15.75" customHeight="1">
      <c r="F867" s="79"/>
    </row>
    <row r="868" ht="15.75" customHeight="1">
      <c r="F868" s="79"/>
    </row>
    <row r="869" ht="15.75" customHeight="1">
      <c r="F869" s="79"/>
    </row>
    <row r="870" ht="15.75" customHeight="1">
      <c r="F870" s="79"/>
    </row>
    <row r="871" ht="15.75" customHeight="1">
      <c r="F871" s="79"/>
    </row>
    <row r="872" ht="15.75" customHeight="1">
      <c r="F872" s="79"/>
    </row>
    <row r="873" ht="15.75" customHeight="1">
      <c r="F873" s="79"/>
    </row>
    <row r="874" ht="15.75" customHeight="1">
      <c r="F874" s="79"/>
    </row>
    <row r="875" ht="15.75" customHeight="1">
      <c r="F875" s="79"/>
    </row>
    <row r="876" ht="15.75" customHeight="1">
      <c r="F876" s="79"/>
    </row>
    <row r="877" ht="15.75" customHeight="1">
      <c r="F877" s="79"/>
    </row>
    <row r="878" ht="15.75" customHeight="1">
      <c r="F878" s="79"/>
    </row>
    <row r="879" ht="15.75" customHeight="1">
      <c r="F879" s="79"/>
    </row>
    <row r="880" ht="15.75" customHeight="1">
      <c r="F880" s="79"/>
    </row>
    <row r="881" ht="15.75" customHeight="1">
      <c r="F881" s="79"/>
    </row>
    <row r="882" ht="15.75" customHeight="1">
      <c r="F882" s="79"/>
    </row>
    <row r="883" ht="15.75" customHeight="1">
      <c r="F883" s="79"/>
    </row>
    <row r="884" ht="15.75" customHeight="1">
      <c r="F884" s="79"/>
    </row>
    <row r="885" ht="15.75" customHeight="1">
      <c r="F885" s="79"/>
    </row>
    <row r="886" ht="15.75" customHeight="1">
      <c r="F886" s="79"/>
    </row>
    <row r="887" ht="15.75" customHeight="1">
      <c r="F887" s="79"/>
    </row>
    <row r="888" ht="15.75" customHeight="1">
      <c r="F888" s="79"/>
    </row>
    <row r="889" ht="15.75" customHeight="1">
      <c r="F889" s="79"/>
    </row>
    <row r="890" ht="15.75" customHeight="1">
      <c r="F890" s="79"/>
    </row>
    <row r="891" ht="15.75" customHeight="1">
      <c r="F891" s="79"/>
    </row>
    <row r="892" ht="15.75" customHeight="1">
      <c r="F892" s="79"/>
    </row>
    <row r="893" ht="15.75" customHeight="1">
      <c r="F893" s="79"/>
    </row>
    <row r="894" ht="15.75" customHeight="1">
      <c r="F894" s="79"/>
    </row>
    <row r="895" ht="15.75" customHeight="1">
      <c r="F895" s="79"/>
    </row>
    <row r="896" ht="15.75" customHeight="1">
      <c r="F896" s="79"/>
    </row>
    <row r="897" ht="15.75" customHeight="1">
      <c r="F897" s="79"/>
    </row>
    <row r="898" ht="15.75" customHeight="1">
      <c r="F898" s="79"/>
    </row>
    <row r="899" ht="15.75" customHeight="1">
      <c r="F899" s="79"/>
    </row>
    <row r="900" ht="15.75" customHeight="1">
      <c r="F900" s="79"/>
    </row>
    <row r="901" ht="15.75" customHeight="1">
      <c r="F901" s="79"/>
    </row>
    <row r="902" ht="15.75" customHeight="1">
      <c r="F902" s="79"/>
    </row>
    <row r="903" ht="15.75" customHeight="1">
      <c r="F903" s="79"/>
    </row>
    <row r="904" ht="15.75" customHeight="1">
      <c r="F904" s="79"/>
    </row>
    <row r="905" ht="15.75" customHeight="1">
      <c r="F905" s="79"/>
    </row>
    <row r="906" ht="15.75" customHeight="1">
      <c r="F906" s="79"/>
    </row>
    <row r="907" ht="15.75" customHeight="1">
      <c r="F907" s="79"/>
    </row>
    <row r="908" ht="15.75" customHeight="1">
      <c r="F908" s="79"/>
    </row>
    <row r="909" ht="15.75" customHeight="1">
      <c r="F909" s="79"/>
    </row>
    <row r="910" ht="15.75" customHeight="1">
      <c r="F910" s="79"/>
    </row>
    <row r="911" ht="15.75" customHeight="1">
      <c r="F911" s="79"/>
    </row>
    <row r="912" ht="15.75" customHeight="1">
      <c r="F912" s="79"/>
    </row>
    <row r="913" ht="15.75" customHeight="1">
      <c r="F913" s="79"/>
    </row>
    <row r="914" ht="15.75" customHeight="1">
      <c r="F914" s="79"/>
    </row>
    <row r="915" ht="15.75" customHeight="1">
      <c r="F915" s="79"/>
    </row>
    <row r="916" ht="15.75" customHeight="1">
      <c r="F916" s="79"/>
    </row>
    <row r="917" ht="15.75" customHeight="1">
      <c r="F917" s="79"/>
    </row>
    <row r="918" ht="15.75" customHeight="1">
      <c r="F918" s="79"/>
    </row>
    <row r="919" ht="15.75" customHeight="1">
      <c r="F919" s="79"/>
    </row>
    <row r="920" ht="15.75" customHeight="1">
      <c r="F920" s="79"/>
    </row>
    <row r="921" ht="15.75" customHeight="1">
      <c r="F921" s="79"/>
    </row>
    <row r="922" ht="15.75" customHeight="1">
      <c r="F922" s="79"/>
    </row>
    <row r="923" ht="15.75" customHeight="1">
      <c r="F923" s="79"/>
    </row>
    <row r="924" ht="15.75" customHeight="1">
      <c r="F924" s="79"/>
    </row>
    <row r="925" ht="15.75" customHeight="1">
      <c r="F925" s="79"/>
    </row>
    <row r="926" ht="15.75" customHeight="1">
      <c r="F926" s="79"/>
    </row>
    <row r="927" ht="15.75" customHeight="1">
      <c r="F927" s="79"/>
    </row>
    <row r="928" ht="15.75" customHeight="1">
      <c r="F928" s="79"/>
    </row>
    <row r="929" ht="15.75" customHeight="1">
      <c r="F929" s="79"/>
    </row>
    <row r="930" ht="15.75" customHeight="1">
      <c r="F930" s="79"/>
    </row>
    <row r="931" ht="15.75" customHeight="1">
      <c r="F931" s="79"/>
    </row>
    <row r="932" ht="15.75" customHeight="1">
      <c r="F932" s="79"/>
    </row>
    <row r="933" ht="15.75" customHeight="1">
      <c r="F933" s="79"/>
    </row>
    <row r="934" ht="15.75" customHeight="1">
      <c r="F934" s="79"/>
    </row>
    <row r="935" ht="15.75" customHeight="1">
      <c r="F935" s="79"/>
    </row>
    <row r="936" ht="15.75" customHeight="1">
      <c r="F936" s="79"/>
    </row>
    <row r="937" ht="15.75" customHeight="1">
      <c r="F937" s="79"/>
    </row>
    <row r="938" ht="15.75" customHeight="1">
      <c r="F938" s="79"/>
    </row>
    <row r="939" ht="15.75" customHeight="1">
      <c r="F939" s="79"/>
    </row>
    <row r="940" ht="15.75" customHeight="1">
      <c r="F940" s="79"/>
    </row>
    <row r="941" ht="15.75" customHeight="1">
      <c r="F941" s="79"/>
    </row>
    <row r="942" ht="15.75" customHeight="1">
      <c r="F942" s="79"/>
    </row>
    <row r="943" ht="15.75" customHeight="1">
      <c r="F943" s="79"/>
    </row>
    <row r="944" ht="15.75" customHeight="1">
      <c r="F944" s="79"/>
    </row>
    <row r="945" ht="15.75" customHeight="1">
      <c r="F945" s="79"/>
    </row>
    <row r="946" ht="15.75" customHeight="1">
      <c r="F946" s="79"/>
    </row>
    <row r="947" ht="15.75" customHeight="1">
      <c r="F947" s="79"/>
    </row>
    <row r="948" ht="15.75" customHeight="1">
      <c r="F948" s="79"/>
    </row>
    <row r="949" ht="15.75" customHeight="1">
      <c r="F949" s="79"/>
    </row>
    <row r="950" ht="15.75" customHeight="1">
      <c r="F950" s="79"/>
    </row>
    <row r="951" ht="15.75" customHeight="1">
      <c r="F951" s="79"/>
    </row>
    <row r="952" ht="15.75" customHeight="1">
      <c r="F952" s="79"/>
    </row>
    <row r="953" ht="15.75" customHeight="1">
      <c r="F953" s="79"/>
    </row>
    <row r="954" ht="15.75" customHeight="1">
      <c r="F954" s="79"/>
    </row>
    <row r="955" ht="15.75" customHeight="1">
      <c r="F955" s="79"/>
    </row>
    <row r="956" ht="15.75" customHeight="1">
      <c r="F956" s="79"/>
    </row>
    <row r="957" ht="15.75" customHeight="1">
      <c r="F957" s="79"/>
    </row>
    <row r="958" ht="15.75" customHeight="1">
      <c r="F958" s="79"/>
    </row>
    <row r="959" ht="15.75" customHeight="1">
      <c r="F959" s="79"/>
    </row>
    <row r="960" ht="15.75" customHeight="1">
      <c r="F960" s="79"/>
    </row>
    <row r="961" ht="15.75" customHeight="1">
      <c r="F961" s="79"/>
    </row>
    <row r="962" ht="15.75" customHeight="1">
      <c r="F962" s="79"/>
    </row>
    <row r="963" ht="15.75" customHeight="1">
      <c r="F963" s="79"/>
    </row>
    <row r="964" ht="15.75" customHeight="1">
      <c r="F964" s="79"/>
    </row>
    <row r="965" ht="15.75" customHeight="1">
      <c r="F965" s="79"/>
    </row>
    <row r="966" ht="15.75" customHeight="1">
      <c r="F966" s="79"/>
    </row>
    <row r="967" ht="15.75" customHeight="1">
      <c r="F967" s="79"/>
    </row>
    <row r="968" ht="15.75" customHeight="1">
      <c r="F968" s="79"/>
    </row>
    <row r="969" ht="15.75" customHeight="1">
      <c r="F969" s="79"/>
    </row>
    <row r="970" ht="15.75" customHeight="1">
      <c r="F970" s="79"/>
    </row>
    <row r="971" ht="15.75" customHeight="1">
      <c r="F971" s="79"/>
    </row>
    <row r="972" ht="15.75" customHeight="1">
      <c r="F972" s="79"/>
    </row>
    <row r="973" ht="15.75" customHeight="1">
      <c r="F973" s="79"/>
    </row>
    <row r="974" ht="15.75" customHeight="1">
      <c r="F974" s="79"/>
    </row>
    <row r="975" ht="15.75" customHeight="1">
      <c r="F975" s="79"/>
    </row>
    <row r="976" ht="15.75" customHeight="1">
      <c r="F976" s="79"/>
    </row>
    <row r="977" ht="15.75" customHeight="1">
      <c r="F977" s="79"/>
    </row>
    <row r="978" ht="15.75" customHeight="1">
      <c r="F978" s="79"/>
    </row>
    <row r="979" ht="15.75" customHeight="1">
      <c r="F979" s="79"/>
    </row>
    <row r="980" ht="15.75" customHeight="1">
      <c r="F980" s="79"/>
    </row>
    <row r="981" ht="15.75" customHeight="1">
      <c r="F981" s="79"/>
    </row>
    <row r="982" ht="15.75" customHeight="1">
      <c r="F982" s="79"/>
    </row>
    <row r="983" ht="15.75" customHeight="1">
      <c r="F983" s="79"/>
    </row>
    <row r="984" ht="15.75" customHeight="1">
      <c r="F984" s="79"/>
    </row>
    <row r="985" ht="15.75" customHeight="1">
      <c r="F985" s="79"/>
    </row>
    <row r="986" ht="15.75" customHeight="1">
      <c r="F986" s="79"/>
    </row>
    <row r="987" ht="15.75" customHeight="1">
      <c r="F987" s="79"/>
    </row>
    <row r="988" ht="15.75" customHeight="1">
      <c r="F988" s="79"/>
    </row>
    <row r="989" ht="15.75" customHeight="1">
      <c r="F989" s="79"/>
    </row>
    <row r="990" ht="15.75" customHeight="1">
      <c r="F990" s="79"/>
    </row>
    <row r="991" ht="15.75" customHeight="1">
      <c r="F991" s="79"/>
    </row>
    <row r="992" ht="15.75" customHeight="1">
      <c r="F992" s="79"/>
    </row>
    <row r="993" ht="15.75" customHeight="1">
      <c r="F993" s="79"/>
    </row>
    <row r="994" ht="15.75" customHeight="1">
      <c r="F994" s="79"/>
    </row>
    <row r="995" ht="15.75" customHeight="1">
      <c r="F995" s="79"/>
    </row>
    <row r="996" ht="15.75" customHeight="1">
      <c r="F996" s="79"/>
    </row>
    <row r="997" ht="15.75" customHeight="1">
      <c r="F997" s="79"/>
    </row>
    <row r="998" ht="15.75" customHeight="1">
      <c r="F998" s="79"/>
    </row>
    <row r="999" ht="15.75" customHeight="1">
      <c r="F999" s="79"/>
    </row>
    <row r="1000" ht="15.75" customHeight="1">
      <c r="F1000" s="79"/>
    </row>
  </sheetData>
  <mergeCells count="35">
    <mergeCell ref="F7:J7"/>
    <mergeCell ref="C9:G11"/>
    <mergeCell ref="I9:M11"/>
    <mergeCell ref="C12:G12"/>
    <mergeCell ref="I12:M12"/>
    <mergeCell ref="C17:G17"/>
    <mergeCell ref="I17:M17"/>
    <mergeCell ref="C24:G24"/>
    <mergeCell ref="I24:M24"/>
    <mergeCell ref="C25:G25"/>
    <mergeCell ref="I25:M25"/>
    <mergeCell ref="D27:E27"/>
    <mergeCell ref="J27:K27"/>
    <mergeCell ref="I31:M31"/>
    <mergeCell ref="I32:M32"/>
    <mergeCell ref="C31:G31"/>
    <mergeCell ref="C32:G32"/>
    <mergeCell ref="D34:E34"/>
    <mergeCell ref="J34:K34"/>
    <mergeCell ref="F38:L38"/>
    <mergeCell ref="F40:L40"/>
    <mergeCell ref="J42:O44"/>
    <mergeCell ref="J45:O45"/>
    <mergeCell ref="D59:E59"/>
    <mergeCell ref="C64:H64"/>
    <mergeCell ref="J64:O64"/>
    <mergeCell ref="D67:E67"/>
    <mergeCell ref="M67:N67"/>
    <mergeCell ref="C42:H44"/>
    <mergeCell ref="C45:H45"/>
    <mergeCell ref="C50:G50"/>
    <mergeCell ref="J50:O50"/>
    <mergeCell ref="C56:H56"/>
    <mergeCell ref="J56:O56"/>
    <mergeCell ref="M59:N59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9.14"/>
    <col customWidth="1" min="9" max="12" width="16.14"/>
    <col customWidth="1" min="13" max="26" width="8.71"/>
  </cols>
  <sheetData>
    <row r="1" ht="15.0" customHeight="1">
      <c r="A1" s="41" t="s">
        <v>40</v>
      </c>
      <c r="B1" s="41" t="s">
        <v>41</v>
      </c>
      <c r="C1" s="41" t="s">
        <v>42</v>
      </c>
      <c r="D1" s="41" t="s">
        <v>31</v>
      </c>
      <c r="E1" s="80" t="s">
        <v>43</v>
      </c>
    </row>
    <row r="2">
      <c r="A2" s="124" t="s">
        <v>44</v>
      </c>
      <c r="B2" s="125" t="s">
        <v>45</v>
      </c>
      <c r="C2" s="125">
        <v>1.0</v>
      </c>
      <c r="D2" s="126">
        <v>2540.0</v>
      </c>
      <c r="E2" s="120">
        <f>A15*D2</f>
        <v>132080</v>
      </c>
    </row>
    <row r="3" ht="15.0" customHeight="1">
      <c r="A3" s="124" t="s">
        <v>44</v>
      </c>
      <c r="B3" s="125" t="s">
        <v>45</v>
      </c>
      <c r="C3" s="125">
        <v>2.0</v>
      </c>
      <c r="D3" s="126">
        <v>1640.0</v>
      </c>
      <c r="E3" s="120">
        <f>B15*D3</f>
        <v>85280</v>
      </c>
    </row>
    <row r="4">
      <c r="A4" s="124" t="s">
        <v>44</v>
      </c>
      <c r="B4" s="125" t="s">
        <v>46</v>
      </c>
      <c r="C4" s="125">
        <v>1.0</v>
      </c>
      <c r="D4" s="126">
        <v>1200.0</v>
      </c>
      <c r="E4" s="120">
        <f>C15*D4</f>
        <v>62400</v>
      </c>
    </row>
    <row r="5">
      <c r="A5" s="124" t="s">
        <v>44</v>
      </c>
      <c r="B5" s="125" t="s">
        <v>46</v>
      </c>
      <c r="C5" s="125">
        <v>2.0</v>
      </c>
      <c r="D5" s="126">
        <v>1200.0</v>
      </c>
      <c r="E5" s="120">
        <f>D15*D5</f>
        <v>62400</v>
      </c>
    </row>
    <row r="6">
      <c r="A6" s="124" t="s">
        <v>47</v>
      </c>
      <c r="B6" s="125" t="s">
        <v>45</v>
      </c>
      <c r="C6" s="125">
        <v>1.0</v>
      </c>
      <c r="D6" s="127">
        <v>0.12</v>
      </c>
      <c r="E6" s="120">
        <f>E15*D6</f>
        <v>104595.96</v>
      </c>
    </row>
    <row r="7">
      <c r="A7" s="124" t="s">
        <v>47</v>
      </c>
      <c r="B7" s="125" t="s">
        <v>45</v>
      </c>
      <c r="C7" s="125">
        <v>2.0</v>
      </c>
      <c r="D7" s="127">
        <v>0.07</v>
      </c>
      <c r="E7" s="120">
        <f>F15*D7</f>
        <v>53003.244</v>
      </c>
      <c r="F7" s="128"/>
      <c r="G7" s="40"/>
      <c r="H7" s="128"/>
      <c r="I7" s="40"/>
      <c r="J7" s="128"/>
      <c r="K7" s="40"/>
    </row>
    <row r="8">
      <c r="A8" s="124" t="s">
        <v>47</v>
      </c>
      <c r="B8" s="125" t="s">
        <v>46</v>
      </c>
      <c r="C8" s="125">
        <v>1.0</v>
      </c>
      <c r="D8" s="127">
        <v>0.07</v>
      </c>
      <c r="E8" s="120">
        <f>G15*D8</f>
        <v>63278.453</v>
      </c>
      <c r="F8" s="128"/>
      <c r="G8" s="40"/>
      <c r="H8" s="128"/>
      <c r="I8" s="40"/>
      <c r="J8" s="128"/>
      <c r="K8" s="40"/>
    </row>
    <row r="9">
      <c r="A9" s="129" t="s">
        <v>47</v>
      </c>
      <c r="B9" s="130" t="s">
        <v>46</v>
      </c>
      <c r="C9" s="130">
        <v>2.0</v>
      </c>
      <c r="D9" s="131">
        <v>0.06</v>
      </c>
      <c r="E9" s="120">
        <f>H15*D9</f>
        <v>67600.512</v>
      </c>
      <c r="F9" s="1"/>
      <c r="G9" s="1"/>
      <c r="H9" s="1"/>
      <c r="I9" s="1"/>
      <c r="J9" s="1"/>
      <c r="K9" s="1"/>
      <c r="L9" s="1"/>
    </row>
    <row r="11">
      <c r="A11" s="132" t="s">
        <v>48</v>
      </c>
      <c r="B11" s="86"/>
      <c r="C11" s="86"/>
      <c r="D11" s="86"/>
      <c r="E11" s="133" t="s">
        <v>49</v>
      </c>
      <c r="F11" s="86"/>
      <c r="G11" s="86"/>
      <c r="H11" s="134"/>
    </row>
    <row r="12">
      <c r="A12" s="135" t="s">
        <v>50</v>
      </c>
      <c r="B12" s="128" t="s">
        <v>51</v>
      </c>
      <c r="C12" s="128" t="s">
        <v>52</v>
      </c>
      <c r="D12" s="128" t="s">
        <v>53</v>
      </c>
      <c r="E12" s="128" t="s">
        <v>54</v>
      </c>
      <c r="F12" s="128" t="s">
        <v>55</v>
      </c>
      <c r="G12" s="128" t="s">
        <v>56</v>
      </c>
      <c r="H12" s="136" t="s">
        <v>57</v>
      </c>
    </row>
    <row r="13">
      <c r="A13" s="137"/>
      <c r="H13" s="138"/>
    </row>
    <row r="14">
      <c r="A14" s="137"/>
      <c r="H14" s="138"/>
    </row>
    <row r="15">
      <c r="A15" s="139">
        <f t="array" ref="A15">SUM('Historical Shipments'!S2:S53/2)</f>
        <v>52</v>
      </c>
      <c r="B15" s="140">
        <f t="array" ref="B15">SUM('Historical Shipments'!T2:T53/2)</f>
        <v>52</v>
      </c>
      <c r="C15" s="140">
        <f t="array" ref="C15">SUM('Historical Shipments'!U2:U53/2)</f>
        <v>52</v>
      </c>
      <c r="D15" s="140">
        <f t="array" ref="D15">SUM('Historical Shipments'!V2:V53/2)</f>
        <v>52</v>
      </c>
      <c r="E15" s="141">
        <f>'Historical Shipments'!$K$54</f>
        <v>871633</v>
      </c>
      <c r="F15" s="141">
        <f>'Historical Shipments'!$L$54</f>
        <v>757189.2</v>
      </c>
      <c r="G15" s="141">
        <f>'Historical Shipments'!$M$54</f>
        <v>903977.9</v>
      </c>
      <c r="H15" s="142">
        <f>'Historical Shipments'!$N$54</f>
        <v>1126675.2</v>
      </c>
    </row>
    <row r="16">
      <c r="A16" s="1">
        <f>A15*D2</f>
        <v>132080</v>
      </c>
      <c r="B16" s="1">
        <f>B15*D3</f>
        <v>85280</v>
      </c>
      <c r="C16" s="1">
        <f>C15*D4</f>
        <v>62400</v>
      </c>
      <c r="D16" s="1">
        <f>D15*D5</f>
        <v>62400</v>
      </c>
      <c r="E16" s="120">
        <f>E15*D6</f>
        <v>104595.96</v>
      </c>
      <c r="F16" s="120">
        <f>F15*D7</f>
        <v>53003.244</v>
      </c>
      <c r="G16" s="120">
        <f>G15*D8</f>
        <v>63278.453</v>
      </c>
      <c r="H16" s="120">
        <f>H15*D9</f>
        <v>67600.512</v>
      </c>
    </row>
    <row r="20">
      <c r="A20" s="143" t="s">
        <v>58</v>
      </c>
      <c r="B20" s="120">
        <f>SUM(E2:E5)</f>
        <v>342160</v>
      </c>
    </row>
    <row r="21" ht="15.75" customHeight="1">
      <c r="A21" s="143" t="s">
        <v>59</v>
      </c>
      <c r="B21" s="120">
        <f>SUM(E6:E9)</f>
        <v>288478.169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12:F14"/>
    <mergeCell ref="G12:G14"/>
    <mergeCell ref="A11:D11"/>
    <mergeCell ref="E11:H11"/>
    <mergeCell ref="A12:A14"/>
    <mergeCell ref="B12:B14"/>
    <mergeCell ref="C12:C14"/>
    <mergeCell ref="D12:D14"/>
    <mergeCell ref="E12:E14"/>
    <mergeCell ref="H12:H1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11.43"/>
    <col customWidth="1" min="2" max="2" width="9.29"/>
    <col customWidth="1" min="3" max="3" width="10.57"/>
    <col customWidth="1" min="4" max="4" width="12.14"/>
    <col customWidth="1" min="5" max="5" width="13.29"/>
    <col customWidth="1" min="6" max="6" width="18.43"/>
    <col customWidth="1" min="7" max="7" width="16.71"/>
    <col customWidth="1" hidden="1" min="8" max="43" width="19.57" outlineLevel="1"/>
    <col collapsed="1" customWidth="1" min="44" max="44" width="20.0"/>
    <col customWidth="1" min="45" max="45" width="3.57"/>
    <col customWidth="1" min="46" max="46" width="20.57"/>
    <col customWidth="1" hidden="1" min="47" max="47" width="3.57" outlineLevel="1"/>
    <col customWidth="1" hidden="1" min="48" max="53" width="20.57" outlineLevel="1"/>
    <col customWidth="1" min="54" max="54" width="3.57"/>
    <col customWidth="1" min="55" max="55" width="20.57"/>
    <col customWidth="1" hidden="1" min="56" max="57" width="20.57" outlineLevel="1"/>
    <col customWidth="1" min="58" max="58" width="3.57"/>
    <col customWidth="1" hidden="1" min="59" max="61" width="20.57" outlineLevel="1"/>
    <col customWidth="1" min="62" max="62" width="20.57"/>
    <col customWidth="1" min="63" max="63" width="3.57"/>
    <col customWidth="1" hidden="1" min="64" max="66" width="20.57" outlineLevel="1"/>
    <col customWidth="1" min="67" max="67" width="20.57"/>
    <col customWidth="1" min="68" max="68" width="3.57"/>
    <col customWidth="1" hidden="1" min="69" max="71" width="20.57" outlineLevel="1"/>
    <col customWidth="1" min="72" max="72" width="20.57"/>
    <col customWidth="1" min="73" max="73" width="3.57"/>
    <col customWidth="1" hidden="1" min="74" max="76" width="20.57" outlineLevel="1"/>
    <col collapsed="1" customWidth="1" min="77" max="77" width="20.57"/>
    <col customWidth="1" min="78" max="78" width="3.57"/>
    <col customWidth="1" min="79" max="83" width="14.86" outlineLevel="1"/>
    <col customWidth="1" min="84" max="84" width="3.57" outlineLevel="1"/>
    <col customWidth="1" min="85" max="85" width="23.29" outlineLevel="1"/>
    <col customWidth="1" min="86" max="86" width="4.14" outlineLevel="1"/>
    <col customWidth="1" min="87" max="87" width="4.14"/>
    <col customWidth="1" min="88" max="88" width="23.43"/>
    <col customWidth="1" min="89" max="89" width="4.14"/>
  </cols>
  <sheetData>
    <row r="1" ht="42.0" customHeight="1">
      <c r="A1" s="41" t="s">
        <v>60</v>
      </c>
      <c r="B1" s="41" t="s">
        <v>42</v>
      </c>
      <c r="C1" s="41" t="s">
        <v>41</v>
      </c>
      <c r="D1" s="41" t="s">
        <v>14</v>
      </c>
      <c r="E1" s="41" t="s">
        <v>61</v>
      </c>
      <c r="F1" s="41" t="s">
        <v>62</v>
      </c>
      <c r="G1" s="41" t="s">
        <v>63</v>
      </c>
      <c r="H1" s="144" t="s">
        <v>64</v>
      </c>
      <c r="I1" s="144" t="s">
        <v>65</v>
      </c>
      <c r="J1" s="144" t="s">
        <v>66</v>
      </c>
      <c r="K1" s="144" t="s">
        <v>67</v>
      </c>
      <c r="L1" s="144" t="s">
        <v>68</v>
      </c>
      <c r="M1" s="144" t="s">
        <v>69</v>
      </c>
      <c r="N1" s="144" t="s">
        <v>70</v>
      </c>
      <c r="O1" s="144" t="s">
        <v>71</v>
      </c>
      <c r="P1" s="144" t="s">
        <v>72</v>
      </c>
      <c r="Q1" s="144" t="s">
        <v>73</v>
      </c>
      <c r="R1" s="144" t="s">
        <v>74</v>
      </c>
      <c r="S1" s="144" t="s">
        <v>75</v>
      </c>
      <c r="T1" s="144" t="s">
        <v>76</v>
      </c>
      <c r="U1" s="144" t="s">
        <v>77</v>
      </c>
      <c r="V1" s="144" t="s">
        <v>78</v>
      </c>
      <c r="W1" s="144" t="s">
        <v>79</v>
      </c>
      <c r="X1" s="144" t="s">
        <v>80</v>
      </c>
      <c r="Y1" s="144" t="s">
        <v>81</v>
      </c>
      <c r="Z1" s="144" t="s">
        <v>82</v>
      </c>
      <c r="AA1" s="144" t="s">
        <v>83</v>
      </c>
      <c r="AB1" s="144" t="s">
        <v>84</v>
      </c>
      <c r="AC1" s="144" t="s">
        <v>85</v>
      </c>
      <c r="AD1" s="144" t="s">
        <v>86</v>
      </c>
      <c r="AE1" s="144" t="s">
        <v>87</v>
      </c>
      <c r="AF1" s="144" t="s">
        <v>88</v>
      </c>
      <c r="AG1" s="144" t="s">
        <v>89</v>
      </c>
      <c r="AH1" s="144" t="s">
        <v>90</v>
      </c>
      <c r="AI1" s="144" t="s">
        <v>91</v>
      </c>
      <c r="AJ1" s="144" t="s">
        <v>92</v>
      </c>
      <c r="AK1" s="144" t="s">
        <v>93</v>
      </c>
      <c r="AL1" s="144" t="s">
        <v>94</v>
      </c>
      <c r="AM1" s="144" t="s">
        <v>95</v>
      </c>
      <c r="AN1" s="144" t="s">
        <v>96</v>
      </c>
      <c r="AO1" s="144" t="s">
        <v>97</v>
      </c>
      <c r="AP1" s="144" t="s">
        <v>98</v>
      </c>
      <c r="AQ1" s="144" t="s">
        <v>99</v>
      </c>
      <c r="AR1" s="145"/>
      <c r="AS1" s="146"/>
      <c r="AT1" s="41" t="s">
        <v>100</v>
      </c>
      <c r="AU1" s="147" t="s">
        <v>101</v>
      </c>
      <c r="AV1" s="148" t="s">
        <v>100</v>
      </c>
      <c r="AW1" s="148" t="s">
        <v>102</v>
      </c>
      <c r="AX1" s="148" t="s">
        <v>103</v>
      </c>
      <c r="AY1" s="148" t="s">
        <v>104</v>
      </c>
      <c r="AZ1" s="148" t="s">
        <v>105</v>
      </c>
      <c r="BA1" s="148" t="s">
        <v>106</v>
      </c>
      <c r="BB1" s="149" t="s">
        <v>107</v>
      </c>
      <c r="BC1" s="148" t="s">
        <v>108</v>
      </c>
      <c r="BD1" s="148" t="s">
        <v>109</v>
      </c>
      <c r="BE1" s="148" t="s">
        <v>110</v>
      </c>
      <c r="BF1" s="149" t="s">
        <v>111</v>
      </c>
      <c r="BG1" s="148" t="s">
        <v>112</v>
      </c>
      <c r="BH1" s="148" t="s">
        <v>113</v>
      </c>
      <c r="BI1" s="148" t="s">
        <v>114</v>
      </c>
      <c r="BJ1" s="148" t="s">
        <v>115</v>
      </c>
      <c r="BK1" s="149" t="s">
        <v>116</v>
      </c>
      <c r="BL1" s="148" t="s">
        <v>117</v>
      </c>
      <c r="BM1" s="148" t="s">
        <v>118</v>
      </c>
      <c r="BN1" s="148" t="s">
        <v>119</v>
      </c>
      <c r="BO1" s="148" t="s">
        <v>120</v>
      </c>
      <c r="BP1" s="149" t="s">
        <v>121</v>
      </c>
      <c r="BQ1" s="148" t="s">
        <v>122</v>
      </c>
      <c r="BR1" s="148" t="s">
        <v>123</v>
      </c>
      <c r="BS1" s="148" t="s">
        <v>124</v>
      </c>
      <c r="BT1" s="148" t="s">
        <v>125</v>
      </c>
      <c r="BU1" s="149" t="s">
        <v>126</v>
      </c>
      <c r="BV1" s="148" t="s">
        <v>127</v>
      </c>
      <c r="BW1" s="148" t="s">
        <v>128</v>
      </c>
      <c r="BX1" s="148" t="s">
        <v>129</v>
      </c>
      <c r="BY1" s="148" t="s">
        <v>130</v>
      </c>
      <c r="BZ1" s="149" t="s">
        <v>131</v>
      </c>
      <c r="CA1" s="148" t="s">
        <v>132</v>
      </c>
      <c r="CB1" s="148" t="s">
        <v>133</v>
      </c>
      <c r="CC1" s="148" t="s">
        <v>134</v>
      </c>
      <c r="CD1" s="148" t="s">
        <v>135</v>
      </c>
      <c r="CE1" s="148" t="s">
        <v>136</v>
      </c>
      <c r="CF1" s="150" t="s">
        <v>137</v>
      </c>
      <c r="CG1" s="150" t="s">
        <v>138</v>
      </c>
      <c r="CH1" s="149" t="s">
        <v>139</v>
      </c>
    </row>
    <row r="2" ht="14.25" customHeight="1">
      <c r="A2" s="151">
        <v>41855.0</v>
      </c>
      <c r="B2" s="152">
        <v>1.0</v>
      </c>
      <c r="C2" s="152" t="s">
        <v>45</v>
      </c>
      <c r="D2" s="152">
        <v>1.0</v>
      </c>
      <c r="E2" s="153">
        <v>4338.0</v>
      </c>
      <c r="F2" s="154">
        <v>2.2</v>
      </c>
      <c r="G2" s="155">
        <v>9543.6</v>
      </c>
      <c r="H2" s="156">
        <f>SUMIFS('Historical Orders'!$E2, 'Historical Orders'!$D2, "1", 'Historical Orders'!$C2, "A", 'Historical Orders'!$B2, "1")</f>
        <v>4338</v>
      </c>
      <c r="I2" s="157">
        <f>SUMIFS('Historical Orders'!$G2, 'Historical Orders'!$D2, "1", 'Historical Orders'!$C2, "A", 'Historical Orders'!$B2, "1")</f>
        <v>9543.6</v>
      </c>
      <c r="J2" s="157">
        <f>SUMIFS('Historical Orders'!$E2, 'Historical Orders'!$D2, "1", 'Historical Orders'!$C2, "B", 'Historical Orders'!$B2, "1")</f>
        <v>0</v>
      </c>
      <c r="K2" s="157">
        <f>SUMIFS('Historical Orders'!$G2, 'Historical Orders'!$D2, "1", 'Historical Orders'!$C2, "B", 'Historical Orders'!$B2, "1")</f>
        <v>0</v>
      </c>
      <c r="L2" s="156">
        <f>SUMIFS('Historical Orders'!$E2, 'Historical Orders'!$D2, "1", 'Historical Orders'!$C2, "A", 'Historical Orders'!$B2, "2")</f>
        <v>0</v>
      </c>
      <c r="M2" s="158">
        <f>SUMIFS('Historical Orders'!$G2, 'Historical Orders'!$D2, "1", 'Historical Orders'!$C2, "A", 'Historical Orders'!$B2, "2")</f>
        <v>0</v>
      </c>
      <c r="N2" s="158">
        <f>SUMIFS('Historical Orders'!$E2, 'Historical Orders'!$D2, "1", 'Historical Orders'!$C2, "B", 'Historical Orders'!$B2, "2")</f>
        <v>0</v>
      </c>
      <c r="O2" s="158">
        <f>SUMIFS('Historical Orders'!$G2, 'Historical Orders'!$D2, "1", 'Historical Orders'!$C2, "B", 'Historical Orders'!$B2, "2")</f>
        <v>0</v>
      </c>
      <c r="P2" s="156">
        <f>SUMIFS('Historical Orders'!$E2, 'Historical Orders'!$D2, "2", 'Historical Orders'!$C2, "A", 'Historical Orders'!$B2, "1")</f>
        <v>0</v>
      </c>
      <c r="Q2" s="158">
        <f>SUMIFS('Historical Orders'!$G2, 'Historical Orders'!$D2, "2", 'Historical Orders'!$C2, "A", 'Historical Orders'!$B2, "1")</f>
        <v>0</v>
      </c>
      <c r="R2" s="156">
        <f>SUMIFS('Historical Orders'!$E2, 'Historical Orders'!$D2, "2", 'Historical Orders'!$C2, "B", 'Historical Orders'!$B2, "1")</f>
        <v>0</v>
      </c>
      <c r="S2" s="158">
        <f>SUMIFS('Historical Orders'!$G2, 'Historical Orders'!$D2, "2", 'Historical Orders'!$C2, "B", 'Historical Orders'!$B2, "1")</f>
        <v>0</v>
      </c>
      <c r="T2" s="156">
        <f>SUMIFS('Historical Orders'!$E2, 'Historical Orders'!$D2, "2", 'Historical Orders'!$C2, "A", 'Historical Orders'!$B2, "2")</f>
        <v>0</v>
      </c>
      <c r="U2" s="158">
        <f>SUMIFS('Historical Orders'!$G2, 'Historical Orders'!$D2, "2", 'Historical Orders'!$C2, "A", 'Historical Orders'!$B2, "2")</f>
        <v>0</v>
      </c>
      <c r="V2" s="159">
        <f>SUMIFS('Historical Orders'!$E2, 'Historical Orders'!$D2, "2", 'Historical Orders'!$C2, "B", 'Historical Orders'!$B2, "2")</f>
        <v>0</v>
      </c>
      <c r="W2" s="159">
        <f>SUMIFS('Historical Orders'!$G2, 'Historical Orders'!$D2, "2", 'Historical Orders'!$C2, "B", 'Historical Orders'!$B2, "2")</f>
        <v>0</v>
      </c>
      <c r="X2" s="159">
        <f>SUMIFS('Historical Orders'!$E2, 'Historical Orders'!$D2, "3", 'Historical Orders'!$C2, "A", 'Historical Orders'!$B2, "1")</f>
        <v>0</v>
      </c>
      <c r="Y2" s="159">
        <f>SUMIFS('Historical Orders'!$G2, 'Historical Orders'!$D2, "3", 'Historical Orders'!$C2, "A", 'Historical Orders'!$B2, "1")</f>
        <v>0</v>
      </c>
      <c r="Z2" s="159">
        <f>SUMIFS('Historical Orders'!$E2, 'Historical Orders'!$D2, "3", 'Historical Orders'!$C2, "B", 'Historical Orders'!$B2, "1")</f>
        <v>0</v>
      </c>
      <c r="AA2" s="159">
        <f>SUMIFS('Historical Orders'!$G2, 'Historical Orders'!$D2, "3", 'Historical Orders'!$C2, "B", 'Historical Orders'!$B2, "1")</f>
        <v>0</v>
      </c>
      <c r="AB2" s="159">
        <f>SUMIFS('Historical Orders'!$E2, 'Historical Orders'!$D2, "3", 'Historical Orders'!$C2, "A", 'Historical Orders'!$B2, "2")</f>
        <v>0</v>
      </c>
      <c r="AC2" s="159">
        <f>SUMIFS('Historical Orders'!$G2, 'Historical Orders'!$D2, "3", 'Historical Orders'!$C2, "A", 'Historical Orders'!$B2, "2")</f>
        <v>0</v>
      </c>
      <c r="AD2" s="159">
        <f>SUMIFS('Historical Orders'!$E2, 'Historical Orders'!$D2, "3", 'Historical Orders'!$C2, "B", 'Historical Orders'!$B2, "2")</f>
        <v>0</v>
      </c>
      <c r="AE2" s="157">
        <f>SUMIFS('Historical Orders'!$G2, 'Historical Orders'!$D2, "3", 'Historical Orders'!$C2, "B", 'Historical Orders'!$B2, "2")</f>
        <v>0</v>
      </c>
      <c r="AF2" s="159">
        <f>SUMIFS('Historical Orders'!$E2, 'Historical Orders'!$D2, "4", 'Historical Orders'!$C2, "A", 'Historical Orders'!$B2, "1")</f>
        <v>0</v>
      </c>
      <c r="AG2" s="159">
        <f>SUMIFS('Historical Orders'!$G2, 'Historical Orders'!$D2, "4", 'Historical Orders'!$C2, "A", 'Historical Orders'!$B2, "1")</f>
        <v>0</v>
      </c>
      <c r="AH2" s="159">
        <f>SUMIFS('Historical Orders'!$E2, 'Historical Orders'!$D2, "4", 'Historical Orders'!$C2, "B", 'Historical Orders'!$B2, "1")</f>
        <v>0</v>
      </c>
      <c r="AI2" s="159">
        <f>SUMIFS('Historical Orders'!$G2, 'Historical Orders'!$D2, "4", 'Historical Orders'!$C2, "B", 'Historical Orders'!$B2, "1")</f>
        <v>0</v>
      </c>
      <c r="AJ2" s="159">
        <f>SUMIFS('Historical Orders'!$E2, 'Historical Orders'!$D2, "4", 'Historical Orders'!$C2, "A", 'Historical Orders'!$B2, "2")</f>
        <v>0</v>
      </c>
      <c r="AK2" s="159">
        <f>SUMIFS('Historical Orders'!$G2, 'Historical Orders'!$D2, "4", 'Historical Orders'!$C2, "A", 'Historical Orders'!$B2, "2")</f>
        <v>0</v>
      </c>
      <c r="AL2" s="159">
        <f>SUMIFS('Historical Orders'!$E2, 'Historical Orders'!$D2, "4", 'Historical Orders'!$C2, "B", 'Historical Orders'!$B2, "2")</f>
        <v>0</v>
      </c>
      <c r="AM2" s="157">
        <f>SUMIFS('Historical Orders'!$G2, 'Historical Orders'!$D2, "4", 'Historical Orders'!$C2, "B", 'Historical Orders'!$B2, "2")</f>
        <v>0</v>
      </c>
      <c r="AN2" s="159">
        <f>SUMIFS('Historical Orders'!$G2, 'Historical Orders'!$C2, "A", 'Historical Orders'!$B2, "1")</f>
        <v>9543.6</v>
      </c>
      <c r="AO2" s="159">
        <f>SUMIFS('Historical Orders'!$G2, 'Historical Orders'!$C2, "B", 'Historical Orders'!$B2, "1")</f>
        <v>0</v>
      </c>
      <c r="AP2" s="159">
        <f>SUMIFS('Historical Orders'!$G2, 'Historical Orders'!$C2, "A", 'Historical Orders'!$B2, "2")</f>
        <v>0</v>
      </c>
      <c r="AQ2" s="160">
        <f>SUMIFS('Historical Orders'!$G2, 'Historical Orders'!$C2, "B", 'Historical Orders'!$B2, "2")</f>
        <v>0</v>
      </c>
      <c r="AR2" s="145"/>
      <c r="AS2" s="146"/>
      <c r="AT2" s="161">
        <f t="array" ref="AT2:AT53">UNIQUE('Historical Orders'!$A$2:$A$313)</f>
        <v>41855</v>
      </c>
      <c r="AU2" s="162"/>
      <c r="AV2" s="163">
        <f t="shared" ref="AV2:AV53" si="1">AT2</f>
        <v>41855</v>
      </c>
      <c r="AW2" s="164">
        <f t="shared" ref="AW2:AW53" si="2">SUMIFS(E:E, A:A, AT2)</f>
        <v>22543</v>
      </c>
      <c r="AX2" s="164">
        <f t="shared" ref="AX2:AX53" si="3">SUMIFS(E:E, A:A, AT2, B:B, "1")</f>
        <v>11234</v>
      </c>
      <c r="AY2" s="164">
        <f t="shared" ref="AY2:AY53" si="4">SUMIFS(E:E, A:A, AT2, B:B, "2")</f>
        <v>11309</v>
      </c>
      <c r="AZ2" s="164">
        <f t="shared" ref="AZ2:AZ53" si="5">SUMIFS(E:E, A:A, AT2, C:C, "A")</f>
        <v>18117</v>
      </c>
      <c r="BA2" s="164">
        <f t="shared" ref="BA2:BA53" si="6">SUMIFS(E:E, A:A, AT2, C:C, "B")</f>
        <v>4426</v>
      </c>
      <c r="BB2" s="165"/>
      <c r="BC2" s="166">
        <f t="shared" ref="BC2:BC53" si="7">SUMIFS(G:G, A:A, AT2)</f>
        <v>66414.2</v>
      </c>
      <c r="BD2" s="166">
        <f t="shared" ref="BD2:BD53" si="8">SUMIFS(G:G, A:A, AT2, B:B, "1")</f>
        <v>31237.8</v>
      </c>
      <c r="BE2" s="166">
        <f t="shared" ref="BE2:BE53" si="9">SUMIFS(G:G, A:A, AT2, B:B, "2")</f>
        <v>35176.4</v>
      </c>
      <c r="BF2" s="167"/>
      <c r="BG2" s="166">
        <f t="shared" ref="BG2:BG53" si="10">SUMIFS(G:G, A:A, AT2, B:B, "1", D:D, "1", C:C, "A")</f>
        <v>9543.6</v>
      </c>
      <c r="BH2" s="166">
        <f t="shared" ref="BH2:BH53" si="11">SUMIFS(G:G, A:A, AT2, B:B, "1", D:D, "2", C:C, "A")</f>
        <v>6007.2</v>
      </c>
      <c r="BI2" s="166">
        <f t="shared" ref="BI2:BI53" si="12">SUMIFS(G:G, A:A, AT2, B:B, "1", D:D, "3", C:C, "A")</f>
        <v>0</v>
      </c>
      <c r="BJ2" s="166">
        <f>SUM('Historical Orders'!$BG2:$BI2)</f>
        <v>15550.8</v>
      </c>
      <c r="BK2" s="167"/>
      <c r="BL2" s="166">
        <f t="shared" ref="BL2:BL53" si="13">SUMIFS(G:G, A:A, AT2, B:B, "1", D:D, "1", C:C, "B")</f>
        <v>0</v>
      </c>
      <c r="BM2" s="166">
        <f t="shared" ref="BM2:BM53" si="14">SUMIFS(G:G, A:A, AT2, B:B, "1", D:D, "2", C:C, "B")</f>
        <v>0</v>
      </c>
      <c r="BN2" s="166">
        <f t="shared" ref="BN2:BN53" si="15">SUMIFS(G:G, A:A, AT2, B:B, "1", D:D, "3", C:C, "B")</f>
        <v>15687</v>
      </c>
      <c r="BO2" s="166">
        <f>SUM('Historical Orders'!$BL2:$BN2)</f>
        <v>15687</v>
      </c>
      <c r="BP2" s="167"/>
      <c r="BQ2" s="166">
        <f t="shared" ref="BQ2:BQ53" si="16">SUMIFS(G:G, A:A, AT2, B:B, "2", D:D, "1", C:C, "A")</f>
        <v>7920</v>
      </c>
      <c r="BR2" s="166">
        <f t="shared" ref="BR2:BR53" si="17">SUMIFS(G:G, A:A, AT2, B:B, "2", D:D, "2", C:C, "A")</f>
        <v>6207.6</v>
      </c>
      <c r="BS2" s="166">
        <f t="shared" ref="BS2:BS53" si="18">SUMIFS(G:G, A:A, AT2, B:B, "2", D:D, "3", C:C, "A")</f>
        <v>0</v>
      </c>
      <c r="BT2" s="166">
        <f>SUM('Historical Orders'!$BQ2:$BS2)</f>
        <v>14127.6</v>
      </c>
      <c r="BU2" s="167"/>
      <c r="BV2" s="166">
        <f t="shared" ref="BV2:BV53" si="19">SUMIFS(G:G, A:A, AT2, B:B, "2", D:D, "1", C:C, "B")</f>
        <v>0</v>
      </c>
      <c r="BW2" s="166">
        <f t="shared" ref="BW2:BW53" si="20">SUMIFS(G:G, A:A, AT2, B:B, "2", D:D, "2", C:C, "B")</f>
        <v>0</v>
      </c>
      <c r="BX2" s="166">
        <f t="shared" ref="BX2:BX53" si="21">SUMIFS(G:G, A:A, AT2, B:B, "2", D:D, "3", C:C, "B")</f>
        <v>21048.8</v>
      </c>
      <c r="BY2" s="166">
        <f>SUM('Historical Orders'!$BV2:$BX2)</f>
        <v>21048.8</v>
      </c>
      <c r="BZ2" s="167"/>
      <c r="CA2" s="168">
        <f t="shared" ref="CA2:CA53" si="22">COUNTIFS(A:A, AT2, B:B, "1")</f>
        <v>3</v>
      </c>
      <c r="CB2" s="168">
        <f t="shared" ref="CB2:CB53" si="23">COUNTIFS(A:A, AT2, B:B, "2")</f>
        <v>3</v>
      </c>
      <c r="CC2" s="168">
        <f t="shared" ref="CC2:CC53" si="24">COUNTIFS(A:A, AT2, C:C, "A")</f>
        <v>4</v>
      </c>
      <c r="CD2" s="168">
        <f t="shared" ref="CD2:CD53" si="25">COUNTIFS(A:A, AT2, C:C, "B")</f>
        <v>2</v>
      </c>
      <c r="CE2" s="168">
        <f t="shared" ref="CE2:CE53" si="26">COUNTIFS(A:A, AT2, D:D, "1")</f>
        <v>2</v>
      </c>
      <c r="CF2" s="169">
        <f t="shared" ref="CF2:CF53" si="27">COUNTIFS(A:A, AT2, D:D, "2")</f>
        <v>2</v>
      </c>
      <c r="CG2" s="169">
        <f t="shared" ref="CG2:CG53" si="28">COUNTIFS(A:A, AT2, D:D, "3")</f>
        <v>2</v>
      </c>
      <c r="CH2" s="170"/>
    </row>
    <row r="3">
      <c r="A3" s="151">
        <v>41855.0</v>
      </c>
      <c r="B3" s="152">
        <v>1.0</v>
      </c>
      <c r="C3" s="152" t="s">
        <v>45</v>
      </c>
      <c r="D3" s="152">
        <v>2.0</v>
      </c>
      <c r="E3" s="153">
        <v>5006.0</v>
      </c>
      <c r="F3" s="154">
        <v>1.2</v>
      </c>
      <c r="G3" s="155">
        <v>6007.2</v>
      </c>
      <c r="H3" s="159">
        <f>SUMIFS('Historical Orders'!$E3, 'Historical Orders'!$D3, "1", 'Historical Orders'!$C3, "A", 'Historical Orders'!$B3, "1")</f>
        <v>0</v>
      </c>
      <c r="I3" s="157">
        <f>SUMIFS('Historical Orders'!$G3, 'Historical Orders'!$D3, "1", 'Historical Orders'!$C3, "A", 'Historical Orders'!$B3, "1")</f>
        <v>0</v>
      </c>
      <c r="J3" s="157">
        <f>SUMIFS('Historical Orders'!$E3, 'Historical Orders'!$D3, "1", 'Historical Orders'!$C3, "B", 'Historical Orders'!$B3, "1")</f>
        <v>0</v>
      </c>
      <c r="K3" s="157">
        <f>SUMIFS('Historical Orders'!$G3, 'Historical Orders'!$D3, "1", 'Historical Orders'!$C3, "B", 'Historical Orders'!$B3, "1")</f>
        <v>0</v>
      </c>
      <c r="L3" s="159">
        <f>SUMIFS('Historical Orders'!$E3, 'Historical Orders'!$D3, "1", 'Historical Orders'!$C3, "A", 'Historical Orders'!$B3, "2")</f>
        <v>0</v>
      </c>
      <c r="M3" s="157">
        <f>SUMIFS('Historical Orders'!$G3, 'Historical Orders'!$D3, "1", 'Historical Orders'!$C3, "A", 'Historical Orders'!$B3, "2")</f>
        <v>0</v>
      </c>
      <c r="N3" s="157">
        <f>SUMIFS('Historical Orders'!$E3, 'Historical Orders'!$D3, "1", 'Historical Orders'!$C3, "B", 'Historical Orders'!$B3, "2")</f>
        <v>0</v>
      </c>
      <c r="O3" s="157">
        <f>SUMIFS('Historical Orders'!$G3, 'Historical Orders'!$D3, "1", 'Historical Orders'!$C3, "B", 'Historical Orders'!$B3, "2")</f>
        <v>0</v>
      </c>
      <c r="P3" s="159">
        <f>SUMIFS('Historical Orders'!$E3, 'Historical Orders'!$D3, "2", 'Historical Orders'!$C3, "A", 'Historical Orders'!$B3, "1")</f>
        <v>5006</v>
      </c>
      <c r="Q3" s="157">
        <f>SUMIFS('Historical Orders'!$G3, 'Historical Orders'!$D3, "2", 'Historical Orders'!$C3, "A", 'Historical Orders'!$B3, "1")</f>
        <v>6007.2</v>
      </c>
      <c r="R3" s="159">
        <f>SUMIFS('Historical Orders'!$E3, 'Historical Orders'!$D3, "2", 'Historical Orders'!$C3, "B", 'Historical Orders'!$B3, "1")</f>
        <v>0</v>
      </c>
      <c r="S3" s="157">
        <f>SUMIFS('Historical Orders'!$G3, 'Historical Orders'!$D3, "2", 'Historical Orders'!$C3, "B", 'Historical Orders'!$B3, "1")</f>
        <v>0</v>
      </c>
      <c r="T3" s="159">
        <f>SUMIFS('Historical Orders'!$E3, 'Historical Orders'!$D3, "2", 'Historical Orders'!$C3, "A", 'Historical Orders'!$B3, "2")</f>
        <v>0</v>
      </c>
      <c r="U3" s="157">
        <f>SUMIFS('Historical Orders'!$G3, 'Historical Orders'!$D3, "2", 'Historical Orders'!$C3, "A", 'Historical Orders'!$B3, "2")</f>
        <v>0</v>
      </c>
      <c r="V3" s="159">
        <f>SUMIFS('Historical Orders'!$E3, 'Historical Orders'!$D3, "2", 'Historical Orders'!$C3, "B", 'Historical Orders'!$B3, "2")</f>
        <v>0</v>
      </c>
      <c r="W3" s="159">
        <f>SUMIFS('Historical Orders'!$G3, 'Historical Orders'!$D3, "2", 'Historical Orders'!$C3, "B", 'Historical Orders'!$B3, "2")</f>
        <v>0</v>
      </c>
      <c r="X3" s="159">
        <f>SUMIFS('Historical Orders'!$E3, 'Historical Orders'!$D3, "3", 'Historical Orders'!$C3, "A", 'Historical Orders'!$B3, "1")</f>
        <v>0</v>
      </c>
      <c r="Y3" s="159">
        <f>SUMIFS('Historical Orders'!$G3, 'Historical Orders'!$D3, "3", 'Historical Orders'!$C3, "A", 'Historical Orders'!$B3, "1")</f>
        <v>0</v>
      </c>
      <c r="Z3" s="159">
        <f>SUMIFS('Historical Orders'!$E3, 'Historical Orders'!$D3, "3", 'Historical Orders'!$C3, "B", 'Historical Orders'!$B3, "1")</f>
        <v>0</v>
      </c>
      <c r="AA3" s="159">
        <f>SUMIFS('Historical Orders'!$G3, 'Historical Orders'!$D3, "3", 'Historical Orders'!$C3, "B", 'Historical Orders'!$B3, "1")</f>
        <v>0</v>
      </c>
      <c r="AB3" s="159">
        <f>SUMIFS('Historical Orders'!$E3, 'Historical Orders'!$D3, "3", 'Historical Orders'!$C3, "A", 'Historical Orders'!$B3, "2")</f>
        <v>0</v>
      </c>
      <c r="AC3" s="159">
        <f>SUMIFS('Historical Orders'!$G3, 'Historical Orders'!$D3, "3", 'Historical Orders'!$C3, "A", 'Historical Orders'!$B3, "2")</f>
        <v>0</v>
      </c>
      <c r="AD3" s="159">
        <f>SUMIFS('Historical Orders'!$E3, 'Historical Orders'!$D3, "3", 'Historical Orders'!$C3, "B", 'Historical Orders'!$B3, "2")</f>
        <v>0</v>
      </c>
      <c r="AE3" s="157">
        <f>SUMIFS('Historical Orders'!$G3, 'Historical Orders'!$D3, "3", 'Historical Orders'!$C3, "B", 'Historical Orders'!$B3, "2")</f>
        <v>0</v>
      </c>
      <c r="AF3" s="157">
        <f>SUMIFS('Historical Orders'!$E3, 'Historical Orders'!$D3, "4", 'Historical Orders'!$C3, "A", 'Historical Orders'!$B3, "1")</f>
        <v>0</v>
      </c>
      <c r="AG3" s="157">
        <f>SUMIFS('Historical Orders'!$G3, 'Historical Orders'!$D3, "4", 'Historical Orders'!$C3, "A", 'Historical Orders'!$B3, "1")</f>
        <v>0</v>
      </c>
      <c r="AH3" s="157">
        <f>SUMIFS('Historical Orders'!$E3, 'Historical Orders'!$D3, "4", 'Historical Orders'!$C3, "B", 'Historical Orders'!$B3, "1")</f>
        <v>0</v>
      </c>
      <c r="AI3" s="157">
        <f>SUMIFS('Historical Orders'!$G3, 'Historical Orders'!$D3, "4", 'Historical Orders'!$C3, "B", 'Historical Orders'!$B3, "1")</f>
        <v>0</v>
      </c>
      <c r="AJ3" s="157">
        <f>SUMIFS('Historical Orders'!$E3, 'Historical Orders'!$D3, "4", 'Historical Orders'!$C3, "A", 'Historical Orders'!$B3, "2")</f>
        <v>0</v>
      </c>
      <c r="AK3" s="157">
        <f>SUMIFS('Historical Orders'!$G3, 'Historical Orders'!$D3, "4", 'Historical Orders'!$C3, "A", 'Historical Orders'!$B3, "2")</f>
        <v>0</v>
      </c>
      <c r="AL3" s="171">
        <f>SUMIFS('Historical Orders'!$E3, 'Historical Orders'!$D3, "4", 'Historical Orders'!$C3, "B", 'Historical Orders'!$B3, "2")</f>
        <v>0</v>
      </c>
      <c r="AM3" s="171">
        <f>SUMIFS('Historical Orders'!$G3, 'Historical Orders'!$D3, "4", 'Historical Orders'!$C3, "B", 'Historical Orders'!$B3, "2")</f>
        <v>0</v>
      </c>
      <c r="AN3" s="171">
        <f>SUMIFS('Historical Orders'!$G3, 'Historical Orders'!$C3, "A", 'Historical Orders'!$B3, "1")</f>
        <v>6007.2</v>
      </c>
      <c r="AO3" s="171">
        <f>SUMIFS('Historical Orders'!$G3, 'Historical Orders'!$C3, "B", 'Historical Orders'!$B3, "1")</f>
        <v>0</v>
      </c>
      <c r="AP3" s="171">
        <f>SUMIFS('Historical Orders'!$G3, 'Historical Orders'!$C3, "A", 'Historical Orders'!$B3, "2")</f>
        <v>0</v>
      </c>
      <c r="AQ3" s="171">
        <f>SUMIFS('Historical Orders'!$G3, 'Historical Orders'!$C3, "B", 'Historical Orders'!$B3, "2")</f>
        <v>0</v>
      </c>
      <c r="AR3" s="145"/>
      <c r="AS3" s="146"/>
      <c r="AT3" s="161">
        <v>41862.0</v>
      </c>
      <c r="AU3" s="162"/>
      <c r="AV3" s="163">
        <f t="shared" si="1"/>
        <v>41862</v>
      </c>
      <c r="AW3" s="164">
        <f t="shared" si="2"/>
        <v>22097</v>
      </c>
      <c r="AX3" s="164">
        <f t="shared" si="3"/>
        <v>11799</v>
      </c>
      <c r="AY3" s="164">
        <f t="shared" si="4"/>
        <v>10298</v>
      </c>
      <c r="AZ3" s="164">
        <f t="shared" si="5"/>
        <v>18343</v>
      </c>
      <c r="BA3" s="164">
        <f t="shared" si="6"/>
        <v>3754</v>
      </c>
      <c r="BB3" s="165"/>
      <c r="BC3" s="166">
        <f t="shared" si="7"/>
        <v>61001.8</v>
      </c>
      <c r="BD3" s="166">
        <f t="shared" si="8"/>
        <v>31096.6</v>
      </c>
      <c r="BE3" s="166">
        <f t="shared" si="9"/>
        <v>29905.2</v>
      </c>
      <c r="BF3" s="167"/>
      <c r="BG3" s="166">
        <f t="shared" si="10"/>
        <v>10115.6</v>
      </c>
      <c r="BH3" s="166">
        <f t="shared" si="11"/>
        <v>6555.6</v>
      </c>
      <c r="BI3" s="166">
        <f t="shared" si="12"/>
        <v>0</v>
      </c>
      <c r="BJ3" s="166">
        <f>SUM('Historical Orders'!$BG3:$BI3)</f>
        <v>16671.2</v>
      </c>
      <c r="BK3" s="167"/>
      <c r="BL3" s="166">
        <f t="shared" si="13"/>
        <v>0</v>
      </c>
      <c r="BM3" s="166">
        <f t="shared" si="14"/>
        <v>0</v>
      </c>
      <c r="BN3" s="166">
        <f t="shared" si="15"/>
        <v>14425.4</v>
      </c>
      <c r="BO3" s="166">
        <f>SUM('Historical Orders'!$BL3:$BN3)</f>
        <v>14425.4</v>
      </c>
      <c r="BP3" s="167"/>
      <c r="BQ3" s="166">
        <f t="shared" si="16"/>
        <v>7114.8</v>
      </c>
      <c r="BR3" s="166">
        <f t="shared" si="17"/>
        <v>6057.6</v>
      </c>
      <c r="BS3" s="166">
        <f t="shared" si="18"/>
        <v>0</v>
      </c>
      <c r="BT3" s="166">
        <f>SUM('Historical Orders'!$BQ3:$BS3)</f>
        <v>13172.4</v>
      </c>
      <c r="BU3" s="167"/>
      <c r="BV3" s="166">
        <f t="shared" si="19"/>
        <v>0</v>
      </c>
      <c r="BW3" s="166">
        <f t="shared" si="20"/>
        <v>0</v>
      </c>
      <c r="BX3" s="166">
        <f t="shared" si="21"/>
        <v>16732.8</v>
      </c>
      <c r="BY3" s="166">
        <f>SUM('Historical Orders'!$BV3:$BX3)</f>
        <v>16732.8</v>
      </c>
      <c r="BZ3" s="167"/>
      <c r="CA3" s="168">
        <f t="shared" si="22"/>
        <v>3</v>
      </c>
      <c r="CB3" s="168">
        <f t="shared" si="23"/>
        <v>3</v>
      </c>
      <c r="CC3" s="168">
        <f t="shared" si="24"/>
        <v>4</v>
      </c>
      <c r="CD3" s="168">
        <f t="shared" si="25"/>
        <v>2</v>
      </c>
      <c r="CE3" s="168">
        <f t="shared" si="26"/>
        <v>2</v>
      </c>
      <c r="CF3" s="169">
        <f t="shared" si="27"/>
        <v>2</v>
      </c>
      <c r="CG3" s="169">
        <f t="shared" si="28"/>
        <v>2</v>
      </c>
      <c r="CH3" s="170"/>
      <c r="CK3" s="172"/>
    </row>
    <row r="4">
      <c r="A4" s="151">
        <v>41855.0</v>
      </c>
      <c r="B4" s="152">
        <v>2.0</v>
      </c>
      <c r="C4" s="152" t="s">
        <v>45</v>
      </c>
      <c r="D4" s="152">
        <v>1.0</v>
      </c>
      <c r="E4" s="153">
        <v>3600.0</v>
      </c>
      <c r="F4" s="154">
        <v>2.2</v>
      </c>
      <c r="G4" s="155">
        <v>7920.000000000001</v>
      </c>
      <c r="H4" s="159">
        <f>SUMIFS('Historical Orders'!$E4, 'Historical Orders'!$D4, "1", 'Historical Orders'!$C4, "A", 'Historical Orders'!$B4, "1")</f>
        <v>0</v>
      </c>
      <c r="I4" s="157">
        <f>SUMIFS('Historical Orders'!$G4, 'Historical Orders'!$D4, "1", 'Historical Orders'!$C4, "A", 'Historical Orders'!$B4, "1")</f>
        <v>0</v>
      </c>
      <c r="J4" s="157">
        <f>SUMIFS('Historical Orders'!$E4, 'Historical Orders'!$D4, "1", 'Historical Orders'!$C4, "B", 'Historical Orders'!$B4, "1")</f>
        <v>0</v>
      </c>
      <c r="K4" s="157">
        <f>SUMIFS('Historical Orders'!$G4, 'Historical Orders'!$D4, "1", 'Historical Orders'!$C4, "B", 'Historical Orders'!$B4, "1")</f>
        <v>0</v>
      </c>
      <c r="L4" s="159">
        <f>SUMIFS('Historical Orders'!$E4, 'Historical Orders'!$D4, "1", 'Historical Orders'!$C4, "A", 'Historical Orders'!$B4, "2")</f>
        <v>3600</v>
      </c>
      <c r="M4" s="157">
        <f>SUMIFS('Historical Orders'!$G4, 'Historical Orders'!$D4, "1", 'Historical Orders'!$C4, "A", 'Historical Orders'!$B4, "2")</f>
        <v>7920</v>
      </c>
      <c r="N4" s="157">
        <f>SUMIFS('Historical Orders'!$E4, 'Historical Orders'!$D4, "1", 'Historical Orders'!$C4, "B", 'Historical Orders'!$B4, "2")</f>
        <v>0</v>
      </c>
      <c r="O4" s="157">
        <f>SUMIFS('Historical Orders'!$G4, 'Historical Orders'!$D4, "1", 'Historical Orders'!$C4, "B", 'Historical Orders'!$B4, "2")</f>
        <v>0</v>
      </c>
      <c r="P4" s="159">
        <f>SUMIFS('Historical Orders'!$E4, 'Historical Orders'!$D4, "2", 'Historical Orders'!$C4, "A", 'Historical Orders'!$B4, "1")</f>
        <v>0</v>
      </c>
      <c r="Q4" s="157">
        <f>SUMIFS('Historical Orders'!$G4, 'Historical Orders'!$D4, "2", 'Historical Orders'!$C4, "A", 'Historical Orders'!$B4, "1")</f>
        <v>0</v>
      </c>
      <c r="R4" s="159">
        <f>SUMIFS('Historical Orders'!$E4, 'Historical Orders'!$D4, "2", 'Historical Orders'!$C4, "B", 'Historical Orders'!$B4, "1")</f>
        <v>0</v>
      </c>
      <c r="S4" s="157">
        <f>SUMIFS('Historical Orders'!$G4, 'Historical Orders'!$D4, "2", 'Historical Orders'!$C4, "B", 'Historical Orders'!$B4, "1")</f>
        <v>0</v>
      </c>
      <c r="T4" s="159">
        <f>SUMIFS('Historical Orders'!$E4, 'Historical Orders'!$D4, "2", 'Historical Orders'!$C4, "A", 'Historical Orders'!$B4, "2")</f>
        <v>0</v>
      </c>
      <c r="U4" s="157">
        <f>SUMIFS('Historical Orders'!$G4, 'Historical Orders'!$D4, "2", 'Historical Orders'!$C4, "A", 'Historical Orders'!$B4, "2")</f>
        <v>0</v>
      </c>
      <c r="V4" s="159">
        <f>SUMIFS('Historical Orders'!$E4, 'Historical Orders'!$D4, "2", 'Historical Orders'!$C4, "B", 'Historical Orders'!$B4, "2")</f>
        <v>0</v>
      </c>
      <c r="W4" s="159">
        <f>SUMIFS('Historical Orders'!$G4, 'Historical Orders'!$D4, "2", 'Historical Orders'!$C4, "B", 'Historical Orders'!$B4, "2")</f>
        <v>0</v>
      </c>
      <c r="X4" s="159">
        <f>SUMIFS('Historical Orders'!$E4, 'Historical Orders'!$D4, "3", 'Historical Orders'!$C4, "A", 'Historical Orders'!$B4, "1")</f>
        <v>0</v>
      </c>
      <c r="Y4" s="159">
        <f>SUMIFS('Historical Orders'!$G4, 'Historical Orders'!$D4, "3", 'Historical Orders'!$C4, "A", 'Historical Orders'!$B4, "1")</f>
        <v>0</v>
      </c>
      <c r="Z4" s="159">
        <f>SUMIFS('Historical Orders'!$E4, 'Historical Orders'!$D4, "3", 'Historical Orders'!$C4, "B", 'Historical Orders'!$B4, "1")</f>
        <v>0</v>
      </c>
      <c r="AA4" s="159">
        <f>SUMIFS('Historical Orders'!$G4, 'Historical Orders'!$D4, "3", 'Historical Orders'!$C4, "B", 'Historical Orders'!$B4, "1")</f>
        <v>0</v>
      </c>
      <c r="AB4" s="159">
        <f>SUMIFS('Historical Orders'!$E4, 'Historical Orders'!$D4, "3", 'Historical Orders'!$C4, "A", 'Historical Orders'!$B4, "2")</f>
        <v>0</v>
      </c>
      <c r="AC4" s="159">
        <f>SUMIFS('Historical Orders'!$G4, 'Historical Orders'!$D4, "3", 'Historical Orders'!$C4, "A", 'Historical Orders'!$B4, "2")</f>
        <v>0</v>
      </c>
      <c r="AD4" s="159">
        <f>SUMIFS('Historical Orders'!$E4, 'Historical Orders'!$D4, "3", 'Historical Orders'!$C4, "B", 'Historical Orders'!$B4, "2")</f>
        <v>0</v>
      </c>
      <c r="AE4" s="157">
        <f>SUMIFS('Historical Orders'!$G4, 'Historical Orders'!$D4, "3", 'Historical Orders'!$C4, "B", 'Historical Orders'!$B4, "2")</f>
        <v>0</v>
      </c>
      <c r="AF4" s="157">
        <f>SUMIFS('Historical Orders'!$E4, 'Historical Orders'!$D4, "4", 'Historical Orders'!$C4, "A", 'Historical Orders'!$B4, "1")</f>
        <v>0</v>
      </c>
      <c r="AG4" s="157">
        <f>SUMIFS('Historical Orders'!$G4, 'Historical Orders'!$D4, "4", 'Historical Orders'!$C4, "A", 'Historical Orders'!$B4, "1")</f>
        <v>0</v>
      </c>
      <c r="AH4" s="157">
        <f>SUMIFS('Historical Orders'!$E4, 'Historical Orders'!$D4, "4", 'Historical Orders'!$C4, "B", 'Historical Orders'!$B4, "1")</f>
        <v>0</v>
      </c>
      <c r="AI4" s="157">
        <f>SUMIFS('Historical Orders'!$G4, 'Historical Orders'!$D4, "4", 'Historical Orders'!$C4, "B", 'Historical Orders'!$B4, "1")</f>
        <v>0</v>
      </c>
      <c r="AJ4" s="157">
        <f>SUMIFS('Historical Orders'!$E4, 'Historical Orders'!$D4, "4", 'Historical Orders'!$C4, "A", 'Historical Orders'!$B4, "2")</f>
        <v>0</v>
      </c>
      <c r="AK4" s="157">
        <f>SUMIFS('Historical Orders'!$G4, 'Historical Orders'!$D4, "4", 'Historical Orders'!$C4, "A", 'Historical Orders'!$B4, "2")</f>
        <v>0</v>
      </c>
      <c r="AL4" s="171">
        <f>SUMIFS('Historical Orders'!$E4, 'Historical Orders'!$D4, "4", 'Historical Orders'!$C4, "B", 'Historical Orders'!$B4, "2")</f>
        <v>0</v>
      </c>
      <c r="AM4" s="171">
        <f>SUMIFS('Historical Orders'!$G4, 'Historical Orders'!$D4, "4", 'Historical Orders'!$C4, "B", 'Historical Orders'!$B4, "2")</f>
        <v>0</v>
      </c>
      <c r="AN4" s="171">
        <f>SUMIFS('Historical Orders'!$G4, 'Historical Orders'!$C4, "A", 'Historical Orders'!$B4, "1")</f>
        <v>0</v>
      </c>
      <c r="AO4" s="171">
        <f>SUMIFS('Historical Orders'!$G4, 'Historical Orders'!$C4, "B", 'Historical Orders'!$B4, "1")</f>
        <v>0</v>
      </c>
      <c r="AP4" s="171">
        <f>SUMIFS('Historical Orders'!$G4, 'Historical Orders'!$C4, "A", 'Historical Orders'!$B4, "2")</f>
        <v>7920</v>
      </c>
      <c r="AQ4" s="171">
        <f>SUMIFS('Historical Orders'!$G4, 'Historical Orders'!$C4, "B", 'Historical Orders'!$B4, "2")</f>
        <v>0</v>
      </c>
      <c r="AR4" s="145"/>
      <c r="AS4" s="146"/>
      <c r="AT4" s="161">
        <v>41869.0</v>
      </c>
      <c r="AU4" s="162"/>
      <c r="AV4" s="163">
        <f t="shared" si="1"/>
        <v>41869</v>
      </c>
      <c r="AW4" s="164">
        <f t="shared" si="2"/>
        <v>21300</v>
      </c>
      <c r="AX4" s="164">
        <f t="shared" si="3"/>
        <v>11392</v>
      </c>
      <c r="AY4" s="164">
        <f t="shared" si="4"/>
        <v>9908</v>
      </c>
      <c r="AZ4" s="164">
        <f t="shared" si="5"/>
        <v>17141</v>
      </c>
      <c r="BA4" s="164">
        <f t="shared" si="6"/>
        <v>4159</v>
      </c>
      <c r="BB4" s="165"/>
      <c r="BC4" s="166">
        <f t="shared" si="7"/>
        <v>61979.9</v>
      </c>
      <c r="BD4" s="166">
        <f t="shared" si="8"/>
        <v>30590.6</v>
      </c>
      <c r="BE4" s="166">
        <f t="shared" si="9"/>
        <v>31389.3</v>
      </c>
      <c r="BF4" s="167"/>
      <c r="BG4" s="166">
        <f t="shared" si="10"/>
        <v>9389.6</v>
      </c>
      <c r="BH4" s="166">
        <f t="shared" si="11"/>
        <v>6410.4</v>
      </c>
      <c r="BI4" s="166">
        <f t="shared" si="12"/>
        <v>0</v>
      </c>
      <c r="BJ4" s="166">
        <f>SUM('Historical Orders'!$BG4:$BI4)</f>
        <v>15800</v>
      </c>
      <c r="BK4" s="167"/>
      <c r="BL4" s="166">
        <f t="shared" si="13"/>
        <v>0</v>
      </c>
      <c r="BM4" s="166">
        <f t="shared" si="14"/>
        <v>0</v>
      </c>
      <c r="BN4" s="166">
        <f t="shared" si="15"/>
        <v>14790.6</v>
      </c>
      <c r="BO4" s="166">
        <f>SUM('Historical Orders'!$BL4:$BN4)</f>
        <v>14790.6</v>
      </c>
      <c r="BP4" s="167"/>
      <c r="BQ4" s="166">
        <f t="shared" si="16"/>
        <v>5770.6</v>
      </c>
      <c r="BR4" s="166">
        <f t="shared" si="17"/>
        <v>5889.6</v>
      </c>
      <c r="BS4" s="166">
        <f t="shared" si="18"/>
        <v>0</v>
      </c>
      <c r="BT4" s="166">
        <f>SUM('Historical Orders'!$BQ4:$BS4)</f>
        <v>11660.2</v>
      </c>
      <c r="BU4" s="167"/>
      <c r="BV4" s="166">
        <f t="shared" si="19"/>
        <v>0</v>
      </c>
      <c r="BW4" s="166">
        <f t="shared" si="20"/>
        <v>0</v>
      </c>
      <c r="BX4" s="166">
        <f t="shared" si="21"/>
        <v>19729.1</v>
      </c>
      <c r="BY4" s="166">
        <f>SUM('Historical Orders'!$BV4:$BX4)</f>
        <v>19729.1</v>
      </c>
      <c r="BZ4" s="167"/>
      <c r="CA4" s="168">
        <f t="shared" si="22"/>
        <v>3</v>
      </c>
      <c r="CB4" s="168">
        <f t="shared" si="23"/>
        <v>3</v>
      </c>
      <c r="CC4" s="168">
        <f t="shared" si="24"/>
        <v>4</v>
      </c>
      <c r="CD4" s="168">
        <f t="shared" si="25"/>
        <v>2</v>
      </c>
      <c r="CE4" s="168">
        <f t="shared" si="26"/>
        <v>2</v>
      </c>
      <c r="CF4" s="169">
        <f t="shared" si="27"/>
        <v>2</v>
      </c>
      <c r="CG4" s="169">
        <f t="shared" si="28"/>
        <v>2</v>
      </c>
      <c r="CH4" s="170"/>
    </row>
    <row r="5">
      <c r="A5" s="151">
        <v>41855.0</v>
      </c>
      <c r="B5" s="152">
        <v>2.0</v>
      </c>
      <c r="C5" s="152" t="s">
        <v>45</v>
      </c>
      <c r="D5" s="152">
        <v>2.0</v>
      </c>
      <c r="E5" s="153">
        <v>5173.0</v>
      </c>
      <c r="F5" s="154">
        <v>1.2</v>
      </c>
      <c r="G5" s="155">
        <v>6207.599999999999</v>
      </c>
      <c r="H5" s="159">
        <f>SUMIFS('Historical Orders'!$E5, 'Historical Orders'!$D5, "1", 'Historical Orders'!$C5, "A", 'Historical Orders'!$B5, "1")</f>
        <v>0</v>
      </c>
      <c r="I5" s="157">
        <f>SUMIFS('Historical Orders'!$G5, 'Historical Orders'!$D5, "1", 'Historical Orders'!$C5, "A", 'Historical Orders'!$B5, "1")</f>
        <v>0</v>
      </c>
      <c r="J5" s="157">
        <f>SUMIFS('Historical Orders'!$E5, 'Historical Orders'!$D5, "1", 'Historical Orders'!$C5, "B", 'Historical Orders'!$B5, "1")</f>
        <v>0</v>
      </c>
      <c r="K5" s="157">
        <f>SUMIFS('Historical Orders'!$G5, 'Historical Orders'!$D5, "1", 'Historical Orders'!$C5, "B", 'Historical Orders'!$B5, "1")</f>
        <v>0</v>
      </c>
      <c r="L5" s="159">
        <f>SUMIFS('Historical Orders'!$E5, 'Historical Orders'!$D5, "1", 'Historical Orders'!$C5, "A", 'Historical Orders'!$B5, "2")</f>
        <v>0</v>
      </c>
      <c r="M5" s="157">
        <f>SUMIFS('Historical Orders'!$G5, 'Historical Orders'!$D5, "1", 'Historical Orders'!$C5, "A", 'Historical Orders'!$B5, "2")</f>
        <v>0</v>
      </c>
      <c r="N5" s="157">
        <f>SUMIFS('Historical Orders'!$E5, 'Historical Orders'!$D5, "1", 'Historical Orders'!$C5, "B", 'Historical Orders'!$B5, "2")</f>
        <v>0</v>
      </c>
      <c r="O5" s="157">
        <f>SUMIFS('Historical Orders'!$G5, 'Historical Orders'!$D5, "1", 'Historical Orders'!$C5, "B", 'Historical Orders'!$B5, "2")</f>
        <v>0</v>
      </c>
      <c r="P5" s="159">
        <f>SUMIFS('Historical Orders'!$E5, 'Historical Orders'!$D5, "2", 'Historical Orders'!$C5, "A", 'Historical Orders'!$B5, "1")</f>
        <v>0</v>
      </c>
      <c r="Q5" s="157">
        <f>SUMIFS('Historical Orders'!$G5, 'Historical Orders'!$D5, "2", 'Historical Orders'!$C5, "A", 'Historical Orders'!$B5, "1")</f>
        <v>0</v>
      </c>
      <c r="R5" s="159">
        <f>SUMIFS('Historical Orders'!$E5, 'Historical Orders'!$D5, "2", 'Historical Orders'!$C5, "B", 'Historical Orders'!$B5, "1")</f>
        <v>0</v>
      </c>
      <c r="S5" s="157">
        <f>SUMIFS('Historical Orders'!$G5, 'Historical Orders'!$D5, "2", 'Historical Orders'!$C5, "B", 'Historical Orders'!$B5, "1")</f>
        <v>0</v>
      </c>
      <c r="T5" s="159">
        <f>SUMIFS('Historical Orders'!$E5, 'Historical Orders'!$D5, "2", 'Historical Orders'!$C5, "A", 'Historical Orders'!$B5, "2")</f>
        <v>5173</v>
      </c>
      <c r="U5" s="157">
        <f>SUMIFS('Historical Orders'!$G5, 'Historical Orders'!$D5, "2", 'Historical Orders'!$C5, "A", 'Historical Orders'!$B5, "2")</f>
        <v>6207.6</v>
      </c>
      <c r="V5" s="159">
        <f>SUMIFS('Historical Orders'!$E5, 'Historical Orders'!$D5, "2", 'Historical Orders'!$C5, "B", 'Historical Orders'!$B5, "2")</f>
        <v>0</v>
      </c>
      <c r="W5" s="159">
        <f>SUMIFS('Historical Orders'!$G5, 'Historical Orders'!$D5, "2", 'Historical Orders'!$C5, "B", 'Historical Orders'!$B5, "2")</f>
        <v>0</v>
      </c>
      <c r="X5" s="159">
        <f>SUMIFS('Historical Orders'!$E5, 'Historical Orders'!$D5, "3", 'Historical Orders'!$C5, "A", 'Historical Orders'!$B5, "1")</f>
        <v>0</v>
      </c>
      <c r="Y5" s="159">
        <f>SUMIFS('Historical Orders'!$G5, 'Historical Orders'!$D5, "3", 'Historical Orders'!$C5, "A", 'Historical Orders'!$B5, "1")</f>
        <v>0</v>
      </c>
      <c r="Z5" s="159">
        <f>SUMIFS('Historical Orders'!$E5, 'Historical Orders'!$D5, "3", 'Historical Orders'!$C5, "B", 'Historical Orders'!$B5, "1")</f>
        <v>0</v>
      </c>
      <c r="AA5" s="159">
        <f>SUMIFS('Historical Orders'!$G5, 'Historical Orders'!$D5, "3", 'Historical Orders'!$C5, "B", 'Historical Orders'!$B5, "1")</f>
        <v>0</v>
      </c>
      <c r="AB5" s="159">
        <f>SUMIFS('Historical Orders'!$E5, 'Historical Orders'!$D5, "3", 'Historical Orders'!$C5, "A", 'Historical Orders'!$B5, "2")</f>
        <v>0</v>
      </c>
      <c r="AC5" s="159">
        <f>SUMIFS('Historical Orders'!$G5, 'Historical Orders'!$D5, "3", 'Historical Orders'!$C5, "A", 'Historical Orders'!$B5, "2")</f>
        <v>0</v>
      </c>
      <c r="AD5" s="159">
        <f>SUMIFS('Historical Orders'!$E5, 'Historical Orders'!$D5, "3", 'Historical Orders'!$C5, "B", 'Historical Orders'!$B5, "2")</f>
        <v>0</v>
      </c>
      <c r="AE5" s="157">
        <f>SUMIFS('Historical Orders'!$G5, 'Historical Orders'!$D5, "3", 'Historical Orders'!$C5, "B", 'Historical Orders'!$B5, "2")</f>
        <v>0</v>
      </c>
      <c r="AF5" s="157">
        <f>SUMIFS('Historical Orders'!$E5, 'Historical Orders'!$D5, "4", 'Historical Orders'!$C5, "A", 'Historical Orders'!$B5, "1")</f>
        <v>0</v>
      </c>
      <c r="AG5" s="157">
        <f>SUMIFS('Historical Orders'!$G5, 'Historical Orders'!$D5, "4", 'Historical Orders'!$C5, "A", 'Historical Orders'!$B5, "1")</f>
        <v>0</v>
      </c>
      <c r="AH5" s="157">
        <f>SUMIFS('Historical Orders'!$E5, 'Historical Orders'!$D5, "4", 'Historical Orders'!$C5, "B", 'Historical Orders'!$B5, "1")</f>
        <v>0</v>
      </c>
      <c r="AI5" s="157">
        <f>SUMIFS('Historical Orders'!$G5, 'Historical Orders'!$D5, "4", 'Historical Orders'!$C5, "B", 'Historical Orders'!$B5, "1")</f>
        <v>0</v>
      </c>
      <c r="AJ5" s="157">
        <f>SUMIFS('Historical Orders'!$E5, 'Historical Orders'!$D5, "4", 'Historical Orders'!$C5, "A", 'Historical Orders'!$B5, "2")</f>
        <v>0</v>
      </c>
      <c r="AK5" s="157">
        <f>SUMIFS('Historical Orders'!$G5, 'Historical Orders'!$D5, "4", 'Historical Orders'!$C5, "A", 'Historical Orders'!$B5, "2")</f>
        <v>0</v>
      </c>
      <c r="AL5" s="171">
        <f>SUMIFS('Historical Orders'!$E5, 'Historical Orders'!$D5, "4", 'Historical Orders'!$C5, "B", 'Historical Orders'!$B5, "2")</f>
        <v>0</v>
      </c>
      <c r="AM5" s="171">
        <f>SUMIFS('Historical Orders'!$G5, 'Historical Orders'!$D5, "4", 'Historical Orders'!$C5, "B", 'Historical Orders'!$B5, "2")</f>
        <v>0</v>
      </c>
      <c r="AN5" s="171">
        <f>SUMIFS('Historical Orders'!$G5, 'Historical Orders'!$C5, "A", 'Historical Orders'!$B5, "1")</f>
        <v>0</v>
      </c>
      <c r="AO5" s="171">
        <f>SUMIFS('Historical Orders'!$G5, 'Historical Orders'!$C5, "B", 'Historical Orders'!$B5, "1")</f>
        <v>0</v>
      </c>
      <c r="AP5" s="171">
        <f>SUMIFS('Historical Orders'!$G5, 'Historical Orders'!$C5, "A", 'Historical Orders'!$B5, "2")</f>
        <v>6207.6</v>
      </c>
      <c r="AQ5" s="171">
        <f>SUMIFS('Historical Orders'!$G5, 'Historical Orders'!$C5, "B", 'Historical Orders'!$B5, "2")</f>
        <v>0</v>
      </c>
      <c r="AR5" s="145"/>
      <c r="AS5" s="146"/>
      <c r="AT5" s="161">
        <v>41876.0</v>
      </c>
      <c r="AU5" s="162"/>
      <c r="AV5" s="163">
        <f t="shared" si="1"/>
        <v>41876</v>
      </c>
      <c r="AW5" s="164">
        <f t="shared" si="2"/>
        <v>23334</v>
      </c>
      <c r="AX5" s="164">
        <f t="shared" si="3"/>
        <v>12071</v>
      </c>
      <c r="AY5" s="164">
        <f t="shared" si="4"/>
        <v>11263</v>
      </c>
      <c r="AZ5" s="164">
        <f t="shared" si="5"/>
        <v>17374</v>
      </c>
      <c r="BA5" s="164">
        <f t="shared" si="6"/>
        <v>5960</v>
      </c>
      <c r="BB5" s="165"/>
      <c r="BC5" s="166">
        <f t="shared" si="7"/>
        <v>75671.8</v>
      </c>
      <c r="BD5" s="166">
        <f t="shared" si="8"/>
        <v>35709.5</v>
      </c>
      <c r="BE5" s="166">
        <f t="shared" si="9"/>
        <v>39962.3</v>
      </c>
      <c r="BF5" s="167"/>
      <c r="BG5" s="166">
        <f t="shared" si="10"/>
        <v>7596.6</v>
      </c>
      <c r="BH5" s="166">
        <f t="shared" si="11"/>
        <v>7338</v>
      </c>
      <c r="BI5" s="166">
        <f t="shared" si="12"/>
        <v>0</v>
      </c>
      <c r="BJ5" s="166">
        <f>SUM('Historical Orders'!$BG5:$BI5)</f>
        <v>14934.6</v>
      </c>
      <c r="BK5" s="167"/>
      <c r="BL5" s="166">
        <f t="shared" si="13"/>
        <v>0</v>
      </c>
      <c r="BM5" s="166">
        <f t="shared" si="14"/>
        <v>0</v>
      </c>
      <c r="BN5" s="166">
        <f t="shared" si="15"/>
        <v>20774.9</v>
      </c>
      <c r="BO5" s="166">
        <f>SUM('Historical Orders'!$BL5:$BN5)</f>
        <v>20774.9</v>
      </c>
      <c r="BP5" s="167"/>
      <c r="BQ5" s="166">
        <f t="shared" si="16"/>
        <v>4184.4</v>
      </c>
      <c r="BR5" s="166">
        <f t="shared" si="17"/>
        <v>7084.8</v>
      </c>
      <c r="BS5" s="166">
        <f t="shared" si="18"/>
        <v>0</v>
      </c>
      <c r="BT5" s="166">
        <f>SUM('Historical Orders'!$BQ5:$BS5)</f>
        <v>11269.2</v>
      </c>
      <c r="BU5" s="167"/>
      <c r="BV5" s="166">
        <f t="shared" si="19"/>
        <v>0</v>
      </c>
      <c r="BW5" s="166">
        <f t="shared" si="20"/>
        <v>0</v>
      </c>
      <c r="BX5" s="166">
        <f t="shared" si="21"/>
        <v>28693.1</v>
      </c>
      <c r="BY5" s="166">
        <f>SUM('Historical Orders'!$BV5:$BX5)</f>
        <v>28693.1</v>
      </c>
      <c r="BZ5" s="167"/>
      <c r="CA5" s="168">
        <f t="shared" si="22"/>
        <v>3</v>
      </c>
      <c r="CB5" s="168">
        <f t="shared" si="23"/>
        <v>3</v>
      </c>
      <c r="CC5" s="168">
        <f t="shared" si="24"/>
        <v>4</v>
      </c>
      <c r="CD5" s="168">
        <f t="shared" si="25"/>
        <v>2</v>
      </c>
      <c r="CE5" s="168">
        <f t="shared" si="26"/>
        <v>2</v>
      </c>
      <c r="CF5" s="169">
        <f t="shared" si="27"/>
        <v>2</v>
      </c>
      <c r="CG5" s="169">
        <f t="shared" si="28"/>
        <v>2</v>
      </c>
      <c r="CH5" s="170"/>
    </row>
    <row r="6">
      <c r="A6" s="151">
        <v>41855.0</v>
      </c>
      <c r="B6" s="152">
        <v>1.0</v>
      </c>
      <c r="C6" s="152" t="s">
        <v>46</v>
      </c>
      <c r="D6" s="152">
        <v>3.0</v>
      </c>
      <c r="E6" s="153">
        <v>1890.0</v>
      </c>
      <c r="F6" s="154">
        <v>8.3</v>
      </c>
      <c r="G6" s="155">
        <v>15687.000000000002</v>
      </c>
      <c r="H6" s="159">
        <f>SUMIFS('Historical Orders'!$E6, 'Historical Orders'!$D6, "1", 'Historical Orders'!$C6, "A", 'Historical Orders'!$B6, "1")</f>
        <v>0</v>
      </c>
      <c r="I6" s="157">
        <f>SUMIFS('Historical Orders'!$G6, 'Historical Orders'!$D6, "1", 'Historical Orders'!$C6, "A", 'Historical Orders'!$B6, "1")</f>
        <v>0</v>
      </c>
      <c r="J6" s="157">
        <f>SUMIFS('Historical Orders'!$E6, 'Historical Orders'!$D6, "1", 'Historical Orders'!$C6, "B", 'Historical Orders'!$B6, "1")</f>
        <v>0</v>
      </c>
      <c r="K6" s="157">
        <f>SUMIFS('Historical Orders'!$G6, 'Historical Orders'!$D6, "1", 'Historical Orders'!$C6, "B", 'Historical Orders'!$B6, "1")</f>
        <v>0</v>
      </c>
      <c r="L6" s="159">
        <f>SUMIFS('Historical Orders'!$E6, 'Historical Orders'!$D6, "1", 'Historical Orders'!$C6, "A", 'Historical Orders'!$B6, "2")</f>
        <v>0</v>
      </c>
      <c r="M6" s="157">
        <f>SUMIFS('Historical Orders'!$G6, 'Historical Orders'!$D6, "1", 'Historical Orders'!$C6, "A", 'Historical Orders'!$B6, "2")</f>
        <v>0</v>
      </c>
      <c r="N6" s="157">
        <f>SUMIFS('Historical Orders'!$E6, 'Historical Orders'!$D6, "1", 'Historical Orders'!$C6, "B", 'Historical Orders'!$B6, "2")</f>
        <v>0</v>
      </c>
      <c r="O6" s="157">
        <f>SUMIFS('Historical Orders'!$G6, 'Historical Orders'!$D6, "1", 'Historical Orders'!$C6, "B", 'Historical Orders'!$B6, "2")</f>
        <v>0</v>
      </c>
      <c r="P6" s="159">
        <f>SUMIFS('Historical Orders'!$E6, 'Historical Orders'!$D6, "2", 'Historical Orders'!$C6, "A", 'Historical Orders'!$B6, "1")</f>
        <v>0</v>
      </c>
      <c r="Q6" s="157">
        <f>SUMIFS('Historical Orders'!$G6, 'Historical Orders'!$D6, "2", 'Historical Orders'!$C6, "A", 'Historical Orders'!$B6, "1")</f>
        <v>0</v>
      </c>
      <c r="R6" s="159">
        <f>SUMIFS('Historical Orders'!$E6, 'Historical Orders'!$D6, "2", 'Historical Orders'!$C6, "B", 'Historical Orders'!$B6, "1")</f>
        <v>0</v>
      </c>
      <c r="S6" s="157">
        <f>SUMIFS('Historical Orders'!$G6, 'Historical Orders'!$D6, "2", 'Historical Orders'!$C6, "B", 'Historical Orders'!$B6, "1")</f>
        <v>0</v>
      </c>
      <c r="T6" s="159">
        <f>SUMIFS('Historical Orders'!$E6, 'Historical Orders'!$D6, "2", 'Historical Orders'!$C6, "A", 'Historical Orders'!$B6, "2")</f>
        <v>0</v>
      </c>
      <c r="U6" s="157">
        <f>SUMIFS('Historical Orders'!$G6, 'Historical Orders'!$D6, "2", 'Historical Orders'!$C6, "A", 'Historical Orders'!$B6, "2")</f>
        <v>0</v>
      </c>
      <c r="V6" s="159">
        <f>SUMIFS('Historical Orders'!$E6, 'Historical Orders'!$D6, "2", 'Historical Orders'!$C6, "B", 'Historical Orders'!$B6, "2")</f>
        <v>0</v>
      </c>
      <c r="W6" s="159">
        <f>SUMIFS('Historical Orders'!$G6, 'Historical Orders'!$D6, "2", 'Historical Orders'!$C6, "B", 'Historical Orders'!$B6, "2")</f>
        <v>0</v>
      </c>
      <c r="X6" s="159">
        <f>SUMIFS('Historical Orders'!$E6, 'Historical Orders'!$D6, "3", 'Historical Orders'!$C6, "A", 'Historical Orders'!$B6, "1")</f>
        <v>0</v>
      </c>
      <c r="Y6" s="159">
        <f>SUMIFS('Historical Orders'!$G6, 'Historical Orders'!$D6, "3", 'Historical Orders'!$C6, "A", 'Historical Orders'!$B6, "1")</f>
        <v>0</v>
      </c>
      <c r="Z6" s="159">
        <f>SUMIFS('Historical Orders'!$E6, 'Historical Orders'!$D6, "3", 'Historical Orders'!$C6, "B", 'Historical Orders'!$B6, "1")</f>
        <v>1890</v>
      </c>
      <c r="AA6" s="159">
        <f>SUMIFS('Historical Orders'!$G6, 'Historical Orders'!$D6, "3", 'Historical Orders'!$C6, "B", 'Historical Orders'!$B6, "1")</f>
        <v>15687</v>
      </c>
      <c r="AB6" s="159">
        <f>SUMIFS('Historical Orders'!$E6, 'Historical Orders'!$D6, "3", 'Historical Orders'!$C6, "A", 'Historical Orders'!$B6, "2")</f>
        <v>0</v>
      </c>
      <c r="AC6" s="159">
        <f>SUMIFS('Historical Orders'!$G6, 'Historical Orders'!$D6, "3", 'Historical Orders'!$C6, "A", 'Historical Orders'!$B6, "2")</f>
        <v>0</v>
      </c>
      <c r="AD6" s="159">
        <f>SUMIFS('Historical Orders'!$E6, 'Historical Orders'!$D6, "3", 'Historical Orders'!$C6, "B", 'Historical Orders'!$B6, "2")</f>
        <v>0</v>
      </c>
      <c r="AE6" s="157">
        <f>SUMIFS('Historical Orders'!$G6, 'Historical Orders'!$D6, "3", 'Historical Orders'!$C6, "B", 'Historical Orders'!$B6, "2")</f>
        <v>0</v>
      </c>
      <c r="AF6" s="157">
        <f>SUMIFS('Historical Orders'!$E6, 'Historical Orders'!$D6, "4", 'Historical Orders'!$C6, "A", 'Historical Orders'!$B6, "1")</f>
        <v>0</v>
      </c>
      <c r="AG6" s="157">
        <f>SUMIFS('Historical Orders'!$G6, 'Historical Orders'!$D6, "4", 'Historical Orders'!$C6, "A", 'Historical Orders'!$B6, "1")</f>
        <v>0</v>
      </c>
      <c r="AH6" s="157">
        <f>SUMIFS('Historical Orders'!$E6, 'Historical Orders'!$D6, "4", 'Historical Orders'!$C6, "B", 'Historical Orders'!$B6, "1")</f>
        <v>0</v>
      </c>
      <c r="AI6" s="157">
        <f>SUMIFS('Historical Orders'!$G6, 'Historical Orders'!$D6, "4", 'Historical Orders'!$C6, "B", 'Historical Orders'!$B6, "1")</f>
        <v>0</v>
      </c>
      <c r="AJ6" s="157">
        <f>SUMIFS('Historical Orders'!$E6, 'Historical Orders'!$D6, "4", 'Historical Orders'!$C6, "A", 'Historical Orders'!$B6, "2")</f>
        <v>0</v>
      </c>
      <c r="AK6" s="157">
        <f>SUMIFS('Historical Orders'!$G6, 'Historical Orders'!$D6, "4", 'Historical Orders'!$C6, "A", 'Historical Orders'!$B6, "2")</f>
        <v>0</v>
      </c>
      <c r="AL6" s="171">
        <f>SUMIFS('Historical Orders'!$E6, 'Historical Orders'!$D6, "4", 'Historical Orders'!$C6, "B", 'Historical Orders'!$B6, "2")</f>
        <v>0</v>
      </c>
      <c r="AM6" s="171">
        <f>SUMIFS('Historical Orders'!$G6, 'Historical Orders'!$D6, "4", 'Historical Orders'!$C6, "B", 'Historical Orders'!$B6, "2")</f>
        <v>0</v>
      </c>
      <c r="AN6" s="171">
        <f>SUMIFS('Historical Orders'!$G6, 'Historical Orders'!$C6, "A", 'Historical Orders'!$B6, "1")</f>
        <v>0</v>
      </c>
      <c r="AO6" s="171">
        <f>SUMIFS('Historical Orders'!$G6, 'Historical Orders'!$C6, "B", 'Historical Orders'!$B6, "1")</f>
        <v>15687</v>
      </c>
      <c r="AP6" s="171">
        <f>SUMIFS('Historical Orders'!$G6, 'Historical Orders'!$C6, "A", 'Historical Orders'!$B6, "2")</f>
        <v>0</v>
      </c>
      <c r="AQ6" s="171">
        <f>SUMIFS('Historical Orders'!$G6, 'Historical Orders'!$C6, "B", 'Historical Orders'!$B6, "2")</f>
        <v>0</v>
      </c>
      <c r="AR6" s="145"/>
      <c r="AS6" s="146"/>
      <c r="AT6" s="161">
        <v>41883.0</v>
      </c>
      <c r="AU6" s="162"/>
      <c r="AV6" s="163">
        <f t="shared" si="1"/>
        <v>41883</v>
      </c>
      <c r="AW6" s="164">
        <f t="shared" si="2"/>
        <v>23492</v>
      </c>
      <c r="AX6" s="164">
        <f t="shared" si="3"/>
        <v>11573</v>
      </c>
      <c r="AY6" s="164">
        <f t="shared" si="4"/>
        <v>11919</v>
      </c>
      <c r="AZ6" s="164">
        <f t="shared" si="5"/>
        <v>19519</v>
      </c>
      <c r="BA6" s="164">
        <f t="shared" si="6"/>
        <v>3973</v>
      </c>
      <c r="BB6" s="165"/>
      <c r="BC6" s="166">
        <f t="shared" si="7"/>
        <v>62495.7</v>
      </c>
      <c r="BD6" s="166">
        <f t="shared" si="8"/>
        <v>31234.2</v>
      </c>
      <c r="BE6" s="166">
        <f t="shared" si="9"/>
        <v>31261.5</v>
      </c>
      <c r="BF6" s="167"/>
      <c r="BG6" s="166">
        <f t="shared" si="10"/>
        <v>7766</v>
      </c>
      <c r="BH6" s="166">
        <f t="shared" si="11"/>
        <v>7316.4</v>
      </c>
      <c r="BI6" s="166">
        <f t="shared" si="12"/>
        <v>0</v>
      </c>
      <c r="BJ6" s="166">
        <f>SUM('Historical Orders'!$BG6:$BI6)</f>
        <v>15082.4</v>
      </c>
      <c r="BK6" s="167"/>
      <c r="BL6" s="166">
        <f t="shared" si="13"/>
        <v>0</v>
      </c>
      <c r="BM6" s="166">
        <f t="shared" si="14"/>
        <v>0</v>
      </c>
      <c r="BN6" s="166">
        <f t="shared" si="15"/>
        <v>16151.8</v>
      </c>
      <c r="BO6" s="166">
        <f>SUM('Historical Orders'!$BL6:$BN6)</f>
        <v>16151.8</v>
      </c>
      <c r="BP6" s="167"/>
      <c r="BQ6" s="166">
        <f t="shared" si="16"/>
        <v>5647.4</v>
      </c>
      <c r="BR6" s="166">
        <f t="shared" si="17"/>
        <v>8790</v>
      </c>
      <c r="BS6" s="166">
        <f t="shared" si="18"/>
        <v>0</v>
      </c>
      <c r="BT6" s="166">
        <f>SUM('Historical Orders'!$BQ6:$BS6)</f>
        <v>14437.4</v>
      </c>
      <c r="BU6" s="167"/>
      <c r="BV6" s="166">
        <f t="shared" si="19"/>
        <v>0</v>
      </c>
      <c r="BW6" s="166">
        <f t="shared" si="20"/>
        <v>0</v>
      </c>
      <c r="BX6" s="166">
        <f t="shared" si="21"/>
        <v>16824.1</v>
      </c>
      <c r="BY6" s="166">
        <f>SUM('Historical Orders'!$BV6:$BX6)</f>
        <v>16824.1</v>
      </c>
      <c r="BZ6" s="167"/>
      <c r="CA6" s="168">
        <f t="shared" si="22"/>
        <v>3</v>
      </c>
      <c r="CB6" s="168">
        <f t="shared" si="23"/>
        <v>3</v>
      </c>
      <c r="CC6" s="168">
        <f t="shared" si="24"/>
        <v>4</v>
      </c>
      <c r="CD6" s="168">
        <f t="shared" si="25"/>
        <v>2</v>
      </c>
      <c r="CE6" s="168">
        <f t="shared" si="26"/>
        <v>2</v>
      </c>
      <c r="CF6" s="169">
        <f t="shared" si="27"/>
        <v>2</v>
      </c>
      <c r="CG6" s="169">
        <f t="shared" si="28"/>
        <v>2</v>
      </c>
      <c r="CH6" s="170"/>
    </row>
    <row r="7">
      <c r="A7" s="151">
        <v>41855.0</v>
      </c>
      <c r="B7" s="152">
        <v>2.0</v>
      </c>
      <c r="C7" s="152" t="s">
        <v>46</v>
      </c>
      <c r="D7" s="152">
        <v>3.0</v>
      </c>
      <c r="E7" s="153">
        <v>2536.0</v>
      </c>
      <c r="F7" s="154">
        <v>8.3</v>
      </c>
      <c r="G7" s="155">
        <v>21048.800000000003</v>
      </c>
      <c r="H7" s="159">
        <f>SUMIFS('Historical Orders'!$E7, 'Historical Orders'!$D7, "1", 'Historical Orders'!$C7, "A", 'Historical Orders'!$B7, "1")</f>
        <v>0</v>
      </c>
      <c r="I7" s="157">
        <f>SUMIFS('Historical Orders'!$G7, 'Historical Orders'!$D7, "1", 'Historical Orders'!$C7, "A", 'Historical Orders'!$B7, "1")</f>
        <v>0</v>
      </c>
      <c r="J7" s="157">
        <f>SUMIFS('Historical Orders'!$E7, 'Historical Orders'!$D7, "1", 'Historical Orders'!$C7, "B", 'Historical Orders'!$B7, "1")</f>
        <v>0</v>
      </c>
      <c r="K7" s="157">
        <f>SUMIFS('Historical Orders'!$G7, 'Historical Orders'!$D7, "1", 'Historical Orders'!$C7, "B", 'Historical Orders'!$B7, "1")</f>
        <v>0</v>
      </c>
      <c r="L7" s="159">
        <f>SUMIFS('Historical Orders'!$E7, 'Historical Orders'!$D7, "1", 'Historical Orders'!$C7, "A", 'Historical Orders'!$B7, "2")</f>
        <v>0</v>
      </c>
      <c r="M7" s="157">
        <f>SUMIFS('Historical Orders'!$G7, 'Historical Orders'!$D7, "1", 'Historical Orders'!$C7, "A", 'Historical Orders'!$B7, "2")</f>
        <v>0</v>
      </c>
      <c r="N7" s="157">
        <f>SUMIFS('Historical Orders'!$E7, 'Historical Orders'!$D7, "1", 'Historical Orders'!$C7, "B", 'Historical Orders'!$B7, "2")</f>
        <v>0</v>
      </c>
      <c r="O7" s="157">
        <f>SUMIFS('Historical Orders'!$G7, 'Historical Orders'!$D7, "1", 'Historical Orders'!$C7, "B", 'Historical Orders'!$B7, "2")</f>
        <v>0</v>
      </c>
      <c r="P7" s="159">
        <f>SUMIFS('Historical Orders'!$E7, 'Historical Orders'!$D7, "2", 'Historical Orders'!$C7, "A", 'Historical Orders'!$B7, "1")</f>
        <v>0</v>
      </c>
      <c r="Q7" s="157">
        <f>SUMIFS('Historical Orders'!$G7, 'Historical Orders'!$D7, "2", 'Historical Orders'!$C7, "A", 'Historical Orders'!$B7, "1")</f>
        <v>0</v>
      </c>
      <c r="R7" s="159">
        <f>SUMIFS('Historical Orders'!$E7, 'Historical Orders'!$D7, "2", 'Historical Orders'!$C7, "B", 'Historical Orders'!$B7, "1")</f>
        <v>0</v>
      </c>
      <c r="S7" s="157">
        <f>SUMIFS('Historical Orders'!$G7, 'Historical Orders'!$D7, "2", 'Historical Orders'!$C7, "B", 'Historical Orders'!$B7, "1")</f>
        <v>0</v>
      </c>
      <c r="T7" s="159">
        <f>SUMIFS('Historical Orders'!$E7, 'Historical Orders'!$D7, "2", 'Historical Orders'!$C7, "A", 'Historical Orders'!$B7, "2")</f>
        <v>0</v>
      </c>
      <c r="U7" s="157">
        <f>SUMIFS('Historical Orders'!$G7, 'Historical Orders'!$D7, "2", 'Historical Orders'!$C7, "A", 'Historical Orders'!$B7, "2")</f>
        <v>0</v>
      </c>
      <c r="V7" s="159">
        <f>SUMIFS('Historical Orders'!$E7, 'Historical Orders'!$D7, "2", 'Historical Orders'!$C7, "B", 'Historical Orders'!$B7, "2")</f>
        <v>0</v>
      </c>
      <c r="W7" s="159">
        <f>SUMIFS('Historical Orders'!$G7, 'Historical Orders'!$D7, "2", 'Historical Orders'!$C7, "B", 'Historical Orders'!$B7, "2")</f>
        <v>0</v>
      </c>
      <c r="X7" s="159">
        <f>SUMIFS('Historical Orders'!$E7, 'Historical Orders'!$D7, "3", 'Historical Orders'!$C7, "A", 'Historical Orders'!$B7, "1")</f>
        <v>0</v>
      </c>
      <c r="Y7" s="159">
        <f>SUMIFS('Historical Orders'!$G7, 'Historical Orders'!$D7, "3", 'Historical Orders'!$C7, "A", 'Historical Orders'!$B7, "1")</f>
        <v>0</v>
      </c>
      <c r="Z7" s="159">
        <f>SUMIFS('Historical Orders'!$E7, 'Historical Orders'!$D7, "3", 'Historical Orders'!$C7, "B", 'Historical Orders'!$B7, "1")</f>
        <v>0</v>
      </c>
      <c r="AA7" s="159">
        <f>SUMIFS('Historical Orders'!$G7, 'Historical Orders'!$D7, "3", 'Historical Orders'!$C7, "B", 'Historical Orders'!$B7, "1")</f>
        <v>0</v>
      </c>
      <c r="AB7" s="159">
        <f>SUMIFS('Historical Orders'!$E7, 'Historical Orders'!$D7, "3", 'Historical Orders'!$C7, "A", 'Historical Orders'!$B7, "2")</f>
        <v>0</v>
      </c>
      <c r="AC7" s="159">
        <f>SUMIFS('Historical Orders'!$G7, 'Historical Orders'!$D7, "3", 'Historical Orders'!$C7, "A", 'Historical Orders'!$B7, "2")</f>
        <v>0</v>
      </c>
      <c r="AD7" s="159">
        <f>SUMIFS('Historical Orders'!$E7, 'Historical Orders'!$D7, "3", 'Historical Orders'!$C7, "B", 'Historical Orders'!$B7, "2")</f>
        <v>2536</v>
      </c>
      <c r="AE7" s="157">
        <f>SUMIFS('Historical Orders'!$G7, 'Historical Orders'!$D7, "3", 'Historical Orders'!$C7, "B", 'Historical Orders'!$B7, "2")</f>
        <v>21048.8</v>
      </c>
      <c r="AF7" s="157">
        <f>SUMIFS('Historical Orders'!$E7, 'Historical Orders'!$D7, "4", 'Historical Orders'!$C7, "A", 'Historical Orders'!$B7, "1")</f>
        <v>0</v>
      </c>
      <c r="AG7" s="157">
        <f>SUMIFS('Historical Orders'!$G7, 'Historical Orders'!$D7, "4", 'Historical Orders'!$C7, "A", 'Historical Orders'!$B7, "1")</f>
        <v>0</v>
      </c>
      <c r="AH7" s="157">
        <f>SUMIFS('Historical Orders'!$E7, 'Historical Orders'!$D7, "4", 'Historical Orders'!$C7, "B", 'Historical Orders'!$B7, "1")</f>
        <v>0</v>
      </c>
      <c r="AI7" s="157">
        <f>SUMIFS('Historical Orders'!$G7, 'Historical Orders'!$D7, "4", 'Historical Orders'!$C7, "B", 'Historical Orders'!$B7, "1")</f>
        <v>0</v>
      </c>
      <c r="AJ7" s="157">
        <f>SUMIFS('Historical Orders'!$E7, 'Historical Orders'!$D7, "4", 'Historical Orders'!$C7, "A", 'Historical Orders'!$B7, "2")</f>
        <v>0</v>
      </c>
      <c r="AK7" s="157">
        <f>SUMIFS('Historical Orders'!$G7, 'Historical Orders'!$D7, "4", 'Historical Orders'!$C7, "A", 'Historical Orders'!$B7, "2")</f>
        <v>0</v>
      </c>
      <c r="AL7" s="171">
        <f>SUMIFS('Historical Orders'!$E7, 'Historical Orders'!$D7, "4", 'Historical Orders'!$C7, "B", 'Historical Orders'!$B7, "2")</f>
        <v>0</v>
      </c>
      <c r="AM7" s="171">
        <f>SUMIFS('Historical Orders'!$G7, 'Historical Orders'!$D7, "4", 'Historical Orders'!$C7, "B", 'Historical Orders'!$B7, "2")</f>
        <v>0</v>
      </c>
      <c r="AN7" s="171">
        <f>SUMIFS('Historical Orders'!$G7, 'Historical Orders'!$C7, "A", 'Historical Orders'!$B7, "1")</f>
        <v>0</v>
      </c>
      <c r="AO7" s="171">
        <f>SUMIFS('Historical Orders'!$G7, 'Historical Orders'!$C7, "B", 'Historical Orders'!$B7, "1")</f>
        <v>0</v>
      </c>
      <c r="AP7" s="171">
        <f>SUMIFS('Historical Orders'!$G7, 'Historical Orders'!$C7, "A", 'Historical Orders'!$B7, "2")</f>
        <v>0</v>
      </c>
      <c r="AQ7" s="171">
        <f>SUMIFS('Historical Orders'!$G7, 'Historical Orders'!$C7, "B", 'Historical Orders'!$B7, "2")</f>
        <v>21048.8</v>
      </c>
      <c r="AR7" s="145"/>
      <c r="AS7" s="146"/>
      <c r="AT7" s="161">
        <v>41890.0</v>
      </c>
      <c r="AU7" s="162"/>
      <c r="AV7" s="163">
        <f t="shared" si="1"/>
        <v>41890</v>
      </c>
      <c r="AW7" s="164">
        <f t="shared" si="2"/>
        <v>20640</v>
      </c>
      <c r="AX7" s="164">
        <f t="shared" si="3"/>
        <v>10432</v>
      </c>
      <c r="AY7" s="164">
        <f t="shared" si="4"/>
        <v>10208</v>
      </c>
      <c r="AZ7" s="164">
        <f t="shared" si="5"/>
        <v>16421</v>
      </c>
      <c r="BA7" s="164">
        <f t="shared" si="6"/>
        <v>4219</v>
      </c>
      <c r="BB7" s="165"/>
      <c r="BC7" s="166">
        <f t="shared" si="7"/>
        <v>60066.9</v>
      </c>
      <c r="BD7" s="166">
        <f t="shared" si="8"/>
        <v>30325.9</v>
      </c>
      <c r="BE7" s="166">
        <f t="shared" si="9"/>
        <v>29741</v>
      </c>
      <c r="BF7" s="167"/>
      <c r="BG7" s="166">
        <f t="shared" si="10"/>
        <v>7233.6</v>
      </c>
      <c r="BH7" s="166">
        <f t="shared" si="11"/>
        <v>6118.8</v>
      </c>
      <c r="BI7" s="166">
        <f t="shared" si="12"/>
        <v>0</v>
      </c>
      <c r="BJ7" s="166">
        <f>SUM('Historical Orders'!$BG7:$BI7)</f>
        <v>13352.4</v>
      </c>
      <c r="BK7" s="167"/>
      <c r="BL7" s="166">
        <f t="shared" si="13"/>
        <v>0</v>
      </c>
      <c r="BM7" s="166">
        <f t="shared" si="14"/>
        <v>0</v>
      </c>
      <c r="BN7" s="166">
        <f t="shared" si="15"/>
        <v>16973.5</v>
      </c>
      <c r="BO7" s="166">
        <f>SUM('Historical Orders'!$BL7:$BN7)</f>
        <v>16973.5</v>
      </c>
      <c r="BP7" s="167"/>
      <c r="BQ7" s="166">
        <f t="shared" si="16"/>
        <v>4523.2</v>
      </c>
      <c r="BR7" s="166">
        <f t="shared" si="17"/>
        <v>7173.6</v>
      </c>
      <c r="BS7" s="166">
        <f t="shared" si="18"/>
        <v>0</v>
      </c>
      <c r="BT7" s="166">
        <f>SUM('Historical Orders'!$BQ7:$BS7)</f>
        <v>11696.8</v>
      </c>
      <c r="BU7" s="167"/>
      <c r="BV7" s="166">
        <f t="shared" si="19"/>
        <v>0</v>
      </c>
      <c r="BW7" s="166">
        <f t="shared" si="20"/>
        <v>0</v>
      </c>
      <c r="BX7" s="166">
        <f t="shared" si="21"/>
        <v>18044.2</v>
      </c>
      <c r="BY7" s="166">
        <f>SUM('Historical Orders'!$BV7:$BX7)</f>
        <v>18044.2</v>
      </c>
      <c r="BZ7" s="167"/>
      <c r="CA7" s="168">
        <f t="shared" si="22"/>
        <v>3</v>
      </c>
      <c r="CB7" s="168">
        <f t="shared" si="23"/>
        <v>3</v>
      </c>
      <c r="CC7" s="168">
        <f t="shared" si="24"/>
        <v>4</v>
      </c>
      <c r="CD7" s="168">
        <f t="shared" si="25"/>
        <v>2</v>
      </c>
      <c r="CE7" s="168">
        <f t="shared" si="26"/>
        <v>2</v>
      </c>
      <c r="CF7" s="169">
        <f t="shared" si="27"/>
        <v>2</v>
      </c>
      <c r="CG7" s="169">
        <f t="shared" si="28"/>
        <v>2</v>
      </c>
      <c r="CH7" s="170"/>
    </row>
    <row r="8">
      <c r="A8" s="151">
        <v>41862.0</v>
      </c>
      <c r="B8" s="152">
        <v>1.0</v>
      </c>
      <c r="C8" s="152" t="s">
        <v>45</v>
      </c>
      <c r="D8" s="152">
        <v>1.0</v>
      </c>
      <c r="E8" s="153">
        <v>4598.0</v>
      </c>
      <c r="F8" s="154">
        <v>2.2</v>
      </c>
      <c r="G8" s="155">
        <v>10115.6</v>
      </c>
      <c r="H8" s="159">
        <f>SUMIFS('Historical Orders'!$E8, 'Historical Orders'!$D8, "1", 'Historical Orders'!$C8, "A", 'Historical Orders'!$B8, "1")</f>
        <v>4598</v>
      </c>
      <c r="I8" s="157">
        <f>SUMIFS('Historical Orders'!$G8, 'Historical Orders'!$D8, "1", 'Historical Orders'!$C8, "A", 'Historical Orders'!$B8, "1")</f>
        <v>10115.6</v>
      </c>
      <c r="J8" s="157">
        <f>SUMIFS('Historical Orders'!$E8, 'Historical Orders'!$D8, "1", 'Historical Orders'!$C8, "B", 'Historical Orders'!$B8, "1")</f>
        <v>0</v>
      </c>
      <c r="K8" s="157">
        <f>SUMIFS('Historical Orders'!$G8, 'Historical Orders'!$D8, "1", 'Historical Orders'!$C8, "B", 'Historical Orders'!$B8, "1")</f>
        <v>0</v>
      </c>
      <c r="L8" s="159">
        <f>SUMIFS('Historical Orders'!$E8, 'Historical Orders'!$D8, "1", 'Historical Orders'!$C8, "A", 'Historical Orders'!$B8, "2")</f>
        <v>0</v>
      </c>
      <c r="M8" s="157">
        <f>SUMIFS('Historical Orders'!$G8, 'Historical Orders'!$D8, "1", 'Historical Orders'!$C8, "A", 'Historical Orders'!$B8, "2")</f>
        <v>0</v>
      </c>
      <c r="N8" s="157">
        <f>SUMIFS('Historical Orders'!$E8, 'Historical Orders'!$D8, "1", 'Historical Orders'!$C8, "B", 'Historical Orders'!$B8, "2")</f>
        <v>0</v>
      </c>
      <c r="O8" s="157">
        <f>SUMIFS('Historical Orders'!$G8, 'Historical Orders'!$D8, "1", 'Historical Orders'!$C8, "B", 'Historical Orders'!$B8, "2")</f>
        <v>0</v>
      </c>
      <c r="P8" s="159">
        <f>SUMIFS('Historical Orders'!$E8, 'Historical Orders'!$D8, "2", 'Historical Orders'!$C8, "A", 'Historical Orders'!$B8, "1")</f>
        <v>0</v>
      </c>
      <c r="Q8" s="157">
        <f>SUMIFS('Historical Orders'!$G8, 'Historical Orders'!$D8, "2", 'Historical Orders'!$C8, "A", 'Historical Orders'!$B8, "1")</f>
        <v>0</v>
      </c>
      <c r="R8" s="159">
        <f>SUMIFS('Historical Orders'!$E8, 'Historical Orders'!$D8, "2", 'Historical Orders'!$C8, "B", 'Historical Orders'!$B8, "1")</f>
        <v>0</v>
      </c>
      <c r="S8" s="157">
        <f>SUMIFS('Historical Orders'!$G8, 'Historical Orders'!$D8, "2", 'Historical Orders'!$C8, "B", 'Historical Orders'!$B8, "1")</f>
        <v>0</v>
      </c>
      <c r="T8" s="159">
        <f>SUMIFS('Historical Orders'!$E8, 'Historical Orders'!$D8, "2", 'Historical Orders'!$C8, "A", 'Historical Orders'!$B8, "2")</f>
        <v>0</v>
      </c>
      <c r="U8" s="157">
        <f>SUMIFS('Historical Orders'!$G8, 'Historical Orders'!$D8, "2", 'Historical Orders'!$C8, "A", 'Historical Orders'!$B8, "2")</f>
        <v>0</v>
      </c>
      <c r="V8" s="159">
        <f>SUMIFS('Historical Orders'!$E8, 'Historical Orders'!$D8, "2", 'Historical Orders'!$C8, "B", 'Historical Orders'!$B8, "2")</f>
        <v>0</v>
      </c>
      <c r="W8" s="159">
        <f>SUMIFS('Historical Orders'!$G8, 'Historical Orders'!$D8, "2", 'Historical Orders'!$C8, "B", 'Historical Orders'!$B8, "2")</f>
        <v>0</v>
      </c>
      <c r="X8" s="159">
        <f>SUMIFS('Historical Orders'!$E8, 'Historical Orders'!$D8, "3", 'Historical Orders'!$C8, "A", 'Historical Orders'!$B8, "1")</f>
        <v>0</v>
      </c>
      <c r="Y8" s="159">
        <f>SUMIFS('Historical Orders'!$G8, 'Historical Orders'!$D8, "3", 'Historical Orders'!$C8, "A", 'Historical Orders'!$B8, "1")</f>
        <v>0</v>
      </c>
      <c r="Z8" s="159">
        <f>SUMIFS('Historical Orders'!$E8, 'Historical Orders'!$D8, "3", 'Historical Orders'!$C8, "B", 'Historical Orders'!$B8, "1")</f>
        <v>0</v>
      </c>
      <c r="AA8" s="159">
        <f>SUMIFS('Historical Orders'!$G8, 'Historical Orders'!$D8, "3", 'Historical Orders'!$C8, "B", 'Historical Orders'!$B8, "1")</f>
        <v>0</v>
      </c>
      <c r="AB8" s="159">
        <f>SUMIFS('Historical Orders'!$E8, 'Historical Orders'!$D8, "3", 'Historical Orders'!$C8, "A", 'Historical Orders'!$B8, "2")</f>
        <v>0</v>
      </c>
      <c r="AC8" s="159">
        <f>SUMIFS('Historical Orders'!$G8, 'Historical Orders'!$D8, "3", 'Historical Orders'!$C8, "A", 'Historical Orders'!$B8, "2")</f>
        <v>0</v>
      </c>
      <c r="AD8" s="159">
        <f>SUMIFS('Historical Orders'!$E8, 'Historical Orders'!$D8, "3", 'Historical Orders'!$C8, "B", 'Historical Orders'!$B8, "2")</f>
        <v>0</v>
      </c>
      <c r="AE8" s="157">
        <f>SUMIFS('Historical Orders'!$G8, 'Historical Orders'!$D8, "3", 'Historical Orders'!$C8, "B", 'Historical Orders'!$B8, "2")</f>
        <v>0</v>
      </c>
      <c r="AF8" s="157">
        <f>SUMIFS('Historical Orders'!$E8, 'Historical Orders'!$D8, "4", 'Historical Orders'!$C8, "A", 'Historical Orders'!$B8, "1")</f>
        <v>0</v>
      </c>
      <c r="AG8" s="157">
        <f>SUMIFS('Historical Orders'!$G8, 'Historical Orders'!$D8, "4", 'Historical Orders'!$C8, "A", 'Historical Orders'!$B8, "1")</f>
        <v>0</v>
      </c>
      <c r="AH8" s="157">
        <f>SUMIFS('Historical Orders'!$E8, 'Historical Orders'!$D8, "4", 'Historical Orders'!$C8, "B", 'Historical Orders'!$B8, "1")</f>
        <v>0</v>
      </c>
      <c r="AI8" s="157">
        <f>SUMIFS('Historical Orders'!$G8, 'Historical Orders'!$D8, "4", 'Historical Orders'!$C8, "B", 'Historical Orders'!$B8, "1")</f>
        <v>0</v>
      </c>
      <c r="AJ8" s="157">
        <f>SUMIFS('Historical Orders'!$E8, 'Historical Orders'!$D8, "4", 'Historical Orders'!$C8, "A", 'Historical Orders'!$B8, "2")</f>
        <v>0</v>
      </c>
      <c r="AK8" s="157">
        <f>SUMIFS('Historical Orders'!$G8, 'Historical Orders'!$D8, "4", 'Historical Orders'!$C8, "A", 'Historical Orders'!$B8, "2")</f>
        <v>0</v>
      </c>
      <c r="AL8" s="171">
        <f>SUMIFS('Historical Orders'!$E8, 'Historical Orders'!$D8, "4", 'Historical Orders'!$C8, "B", 'Historical Orders'!$B8, "2")</f>
        <v>0</v>
      </c>
      <c r="AM8" s="171">
        <f>SUMIFS('Historical Orders'!$G8, 'Historical Orders'!$D8, "4", 'Historical Orders'!$C8, "B", 'Historical Orders'!$B8, "2")</f>
        <v>0</v>
      </c>
      <c r="AN8" s="171">
        <f>SUMIFS('Historical Orders'!$G8, 'Historical Orders'!$C8, "A", 'Historical Orders'!$B8, "1")</f>
        <v>10115.6</v>
      </c>
      <c r="AO8" s="171">
        <f>SUMIFS('Historical Orders'!$G8, 'Historical Orders'!$C8, "B", 'Historical Orders'!$B8, "1")</f>
        <v>0</v>
      </c>
      <c r="AP8" s="171">
        <f>SUMIFS('Historical Orders'!$G8, 'Historical Orders'!$C8, "A", 'Historical Orders'!$B8, "2")</f>
        <v>0</v>
      </c>
      <c r="AQ8" s="171">
        <f>SUMIFS('Historical Orders'!$G8, 'Historical Orders'!$C8, "B", 'Historical Orders'!$B8, "2")</f>
        <v>0</v>
      </c>
      <c r="AR8" s="145"/>
      <c r="AS8" s="146"/>
      <c r="AT8" s="161">
        <v>41897.0</v>
      </c>
      <c r="AU8" s="162"/>
      <c r="AV8" s="163">
        <f t="shared" si="1"/>
        <v>41897</v>
      </c>
      <c r="AW8" s="164">
        <f t="shared" si="2"/>
        <v>24421</v>
      </c>
      <c r="AX8" s="164">
        <f t="shared" si="3"/>
        <v>11791</v>
      </c>
      <c r="AY8" s="164">
        <f t="shared" si="4"/>
        <v>12630</v>
      </c>
      <c r="AZ8" s="164">
        <f t="shared" si="5"/>
        <v>19277</v>
      </c>
      <c r="BA8" s="164">
        <f t="shared" si="6"/>
        <v>5144</v>
      </c>
      <c r="BB8" s="165"/>
      <c r="BC8" s="166">
        <f t="shared" si="7"/>
        <v>73121.6</v>
      </c>
      <c r="BD8" s="166">
        <f t="shared" si="8"/>
        <v>34442.7</v>
      </c>
      <c r="BE8" s="166">
        <f t="shared" si="9"/>
        <v>38678.9</v>
      </c>
      <c r="BF8" s="167"/>
      <c r="BG8" s="166">
        <f t="shared" si="10"/>
        <v>8797.8</v>
      </c>
      <c r="BH8" s="166">
        <f t="shared" si="11"/>
        <v>6596.4</v>
      </c>
      <c r="BI8" s="166">
        <f t="shared" si="12"/>
        <v>0</v>
      </c>
      <c r="BJ8" s="166">
        <f>SUM('Historical Orders'!$BG8:$BI8)</f>
        <v>15394.2</v>
      </c>
      <c r="BK8" s="167"/>
      <c r="BL8" s="166">
        <f t="shared" si="13"/>
        <v>0</v>
      </c>
      <c r="BM8" s="166">
        <f t="shared" si="14"/>
        <v>0</v>
      </c>
      <c r="BN8" s="166">
        <f t="shared" si="15"/>
        <v>19048.5</v>
      </c>
      <c r="BO8" s="166">
        <f>SUM('Historical Orders'!$BL8:$BN8)</f>
        <v>19048.5</v>
      </c>
      <c r="BP8" s="167"/>
      <c r="BQ8" s="166">
        <f t="shared" si="16"/>
        <v>7249</v>
      </c>
      <c r="BR8" s="166">
        <f t="shared" si="17"/>
        <v>7783.2</v>
      </c>
      <c r="BS8" s="166">
        <f t="shared" si="18"/>
        <v>0</v>
      </c>
      <c r="BT8" s="166">
        <f>SUM('Historical Orders'!$BQ8:$BS8)</f>
        <v>15032.2</v>
      </c>
      <c r="BU8" s="167"/>
      <c r="BV8" s="166">
        <f t="shared" si="19"/>
        <v>0</v>
      </c>
      <c r="BW8" s="166">
        <f t="shared" si="20"/>
        <v>0</v>
      </c>
      <c r="BX8" s="166">
        <f t="shared" si="21"/>
        <v>23646.7</v>
      </c>
      <c r="BY8" s="166">
        <f>SUM('Historical Orders'!$BV8:$BX8)</f>
        <v>23646.7</v>
      </c>
      <c r="BZ8" s="167"/>
      <c r="CA8" s="168">
        <f t="shared" si="22"/>
        <v>3</v>
      </c>
      <c r="CB8" s="168">
        <f t="shared" si="23"/>
        <v>3</v>
      </c>
      <c r="CC8" s="168">
        <f t="shared" si="24"/>
        <v>4</v>
      </c>
      <c r="CD8" s="168">
        <f t="shared" si="25"/>
        <v>2</v>
      </c>
      <c r="CE8" s="168">
        <f t="shared" si="26"/>
        <v>2</v>
      </c>
      <c r="CF8" s="169">
        <f t="shared" si="27"/>
        <v>2</v>
      </c>
      <c r="CG8" s="169">
        <f t="shared" si="28"/>
        <v>2</v>
      </c>
      <c r="CH8" s="170"/>
    </row>
    <row r="9">
      <c r="A9" s="151">
        <v>41862.0</v>
      </c>
      <c r="B9" s="152">
        <v>1.0</v>
      </c>
      <c r="C9" s="152" t="s">
        <v>45</v>
      </c>
      <c r="D9" s="152">
        <v>2.0</v>
      </c>
      <c r="E9" s="153">
        <v>5463.0</v>
      </c>
      <c r="F9" s="154">
        <v>1.2</v>
      </c>
      <c r="G9" s="155">
        <v>6555.599999999999</v>
      </c>
      <c r="H9" s="159">
        <f>SUMIFS('Historical Orders'!$E9, 'Historical Orders'!$D9, "1", 'Historical Orders'!$C9, "A", 'Historical Orders'!$B9, "1")</f>
        <v>0</v>
      </c>
      <c r="I9" s="157">
        <f>SUMIFS('Historical Orders'!$G9, 'Historical Orders'!$D9, "1", 'Historical Orders'!$C9, "A", 'Historical Orders'!$B9, "1")</f>
        <v>0</v>
      </c>
      <c r="J9" s="157">
        <f>SUMIFS('Historical Orders'!$E9, 'Historical Orders'!$D9, "1", 'Historical Orders'!$C9, "B", 'Historical Orders'!$B9, "1")</f>
        <v>0</v>
      </c>
      <c r="K9" s="157">
        <f>SUMIFS('Historical Orders'!$G9, 'Historical Orders'!$D9, "1", 'Historical Orders'!$C9, "B", 'Historical Orders'!$B9, "1")</f>
        <v>0</v>
      </c>
      <c r="L9" s="159">
        <f>SUMIFS('Historical Orders'!$E9, 'Historical Orders'!$D9, "1", 'Historical Orders'!$C9, "A", 'Historical Orders'!$B9, "2")</f>
        <v>0</v>
      </c>
      <c r="M9" s="157">
        <f>SUMIFS('Historical Orders'!$G9, 'Historical Orders'!$D9, "1", 'Historical Orders'!$C9, "A", 'Historical Orders'!$B9, "2")</f>
        <v>0</v>
      </c>
      <c r="N9" s="157">
        <f>SUMIFS('Historical Orders'!$E9, 'Historical Orders'!$D9, "1", 'Historical Orders'!$C9, "B", 'Historical Orders'!$B9, "2")</f>
        <v>0</v>
      </c>
      <c r="O9" s="157">
        <f>SUMIFS('Historical Orders'!$G9, 'Historical Orders'!$D9, "1", 'Historical Orders'!$C9, "B", 'Historical Orders'!$B9, "2")</f>
        <v>0</v>
      </c>
      <c r="P9" s="159">
        <f>SUMIFS('Historical Orders'!$E9, 'Historical Orders'!$D9, "2", 'Historical Orders'!$C9, "A", 'Historical Orders'!$B9, "1")</f>
        <v>5463</v>
      </c>
      <c r="Q9" s="157">
        <f>SUMIFS('Historical Orders'!$G9, 'Historical Orders'!$D9, "2", 'Historical Orders'!$C9, "A", 'Historical Orders'!$B9, "1")</f>
        <v>6555.6</v>
      </c>
      <c r="R9" s="159">
        <f>SUMIFS('Historical Orders'!$E9, 'Historical Orders'!$D9, "2", 'Historical Orders'!$C9, "B", 'Historical Orders'!$B9, "1")</f>
        <v>0</v>
      </c>
      <c r="S9" s="157">
        <f>SUMIFS('Historical Orders'!$G9, 'Historical Orders'!$D9, "2", 'Historical Orders'!$C9, "B", 'Historical Orders'!$B9, "1")</f>
        <v>0</v>
      </c>
      <c r="T9" s="159">
        <f>SUMIFS('Historical Orders'!$E9, 'Historical Orders'!$D9, "2", 'Historical Orders'!$C9, "A", 'Historical Orders'!$B9, "2")</f>
        <v>0</v>
      </c>
      <c r="U9" s="157">
        <f>SUMIFS('Historical Orders'!$G9, 'Historical Orders'!$D9, "2", 'Historical Orders'!$C9, "A", 'Historical Orders'!$B9, "2")</f>
        <v>0</v>
      </c>
      <c r="V9" s="159">
        <f>SUMIFS('Historical Orders'!$E9, 'Historical Orders'!$D9, "2", 'Historical Orders'!$C9, "B", 'Historical Orders'!$B9, "2")</f>
        <v>0</v>
      </c>
      <c r="W9" s="159">
        <f>SUMIFS('Historical Orders'!$G9, 'Historical Orders'!$D9, "2", 'Historical Orders'!$C9, "B", 'Historical Orders'!$B9, "2")</f>
        <v>0</v>
      </c>
      <c r="X9" s="159">
        <f>SUMIFS('Historical Orders'!$E9, 'Historical Orders'!$D9, "3", 'Historical Orders'!$C9, "A", 'Historical Orders'!$B9, "1")</f>
        <v>0</v>
      </c>
      <c r="Y9" s="159">
        <f>SUMIFS('Historical Orders'!$G9, 'Historical Orders'!$D9, "3", 'Historical Orders'!$C9, "A", 'Historical Orders'!$B9, "1")</f>
        <v>0</v>
      </c>
      <c r="Z9" s="159">
        <f>SUMIFS('Historical Orders'!$E9, 'Historical Orders'!$D9, "3", 'Historical Orders'!$C9, "B", 'Historical Orders'!$B9, "1")</f>
        <v>0</v>
      </c>
      <c r="AA9" s="159">
        <f>SUMIFS('Historical Orders'!$G9, 'Historical Orders'!$D9, "3", 'Historical Orders'!$C9, "B", 'Historical Orders'!$B9, "1")</f>
        <v>0</v>
      </c>
      <c r="AB9" s="159">
        <f>SUMIFS('Historical Orders'!$E9, 'Historical Orders'!$D9, "3", 'Historical Orders'!$C9, "A", 'Historical Orders'!$B9, "2")</f>
        <v>0</v>
      </c>
      <c r="AC9" s="159">
        <f>SUMIFS('Historical Orders'!$G9, 'Historical Orders'!$D9, "3", 'Historical Orders'!$C9, "A", 'Historical Orders'!$B9, "2")</f>
        <v>0</v>
      </c>
      <c r="AD9" s="159">
        <f>SUMIFS('Historical Orders'!$E9, 'Historical Orders'!$D9, "3", 'Historical Orders'!$C9, "B", 'Historical Orders'!$B9, "2")</f>
        <v>0</v>
      </c>
      <c r="AE9" s="157">
        <f>SUMIFS('Historical Orders'!$G9, 'Historical Orders'!$D9, "3", 'Historical Orders'!$C9, "B", 'Historical Orders'!$B9, "2")</f>
        <v>0</v>
      </c>
      <c r="AF9" s="157">
        <f>SUMIFS('Historical Orders'!$E9, 'Historical Orders'!$D9, "4", 'Historical Orders'!$C9, "A", 'Historical Orders'!$B9, "1")</f>
        <v>0</v>
      </c>
      <c r="AG9" s="157">
        <f>SUMIFS('Historical Orders'!$G9, 'Historical Orders'!$D9, "4", 'Historical Orders'!$C9, "A", 'Historical Orders'!$B9, "1")</f>
        <v>0</v>
      </c>
      <c r="AH9" s="157">
        <f>SUMIFS('Historical Orders'!$E9, 'Historical Orders'!$D9, "4", 'Historical Orders'!$C9, "B", 'Historical Orders'!$B9, "1")</f>
        <v>0</v>
      </c>
      <c r="AI9" s="157">
        <f>SUMIFS('Historical Orders'!$G9, 'Historical Orders'!$D9, "4", 'Historical Orders'!$C9, "B", 'Historical Orders'!$B9, "1")</f>
        <v>0</v>
      </c>
      <c r="AJ9" s="157">
        <f>SUMIFS('Historical Orders'!$E9, 'Historical Orders'!$D9, "4", 'Historical Orders'!$C9, "A", 'Historical Orders'!$B9, "2")</f>
        <v>0</v>
      </c>
      <c r="AK9" s="157">
        <f>SUMIFS('Historical Orders'!$G9, 'Historical Orders'!$D9, "4", 'Historical Orders'!$C9, "A", 'Historical Orders'!$B9, "2")</f>
        <v>0</v>
      </c>
      <c r="AL9" s="171">
        <f>SUMIFS('Historical Orders'!$E9, 'Historical Orders'!$D9, "4", 'Historical Orders'!$C9, "B", 'Historical Orders'!$B9, "2")</f>
        <v>0</v>
      </c>
      <c r="AM9" s="171">
        <f>SUMIFS('Historical Orders'!$G9, 'Historical Orders'!$D9, "4", 'Historical Orders'!$C9, "B", 'Historical Orders'!$B9, "2")</f>
        <v>0</v>
      </c>
      <c r="AN9" s="171">
        <f>SUMIFS('Historical Orders'!$G9, 'Historical Orders'!$C9, "A", 'Historical Orders'!$B9, "1")</f>
        <v>6555.6</v>
      </c>
      <c r="AO9" s="171">
        <f>SUMIFS('Historical Orders'!$G9, 'Historical Orders'!$C9, "B", 'Historical Orders'!$B9, "1")</f>
        <v>0</v>
      </c>
      <c r="AP9" s="171">
        <f>SUMIFS('Historical Orders'!$G9, 'Historical Orders'!$C9, "A", 'Historical Orders'!$B9, "2")</f>
        <v>0</v>
      </c>
      <c r="AQ9" s="171">
        <f>SUMIFS('Historical Orders'!$G9, 'Historical Orders'!$C9, "B", 'Historical Orders'!$B9, "2")</f>
        <v>0</v>
      </c>
      <c r="AR9" s="145"/>
      <c r="AS9" s="146"/>
      <c r="AT9" s="161">
        <v>41904.0</v>
      </c>
      <c r="AU9" s="162"/>
      <c r="AV9" s="163">
        <f t="shared" si="1"/>
        <v>41904</v>
      </c>
      <c r="AW9" s="164">
        <f t="shared" si="2"/>
        <v>20259</v>
      </c>
      <c r="AX9" s="164">
        <f t="shared" si="3"/>
        <v>10864</v>
      </c>
      <c r="AY9" s="164">
        <f t="shared" si="4"/>
        <v>9395</v>
      </c>
      <c r="AZ9" s="164">
        <f t="shared" si="5"/>
        <v>16068</v>
      </c>
      <c r="BA9" s="164">
        <f t="shared" si="6"/>
        <v>4191</v>
      </c>
      <c r="BB9" s="165"/>
      <c r="BC9" s="166">
        <f t="shared" si="7"/>
        <v>60497.9</v>
      </c>
      <c r="BD9" s="166">
        <f t="shared" si="8"/>
        <v>30495.3</v>
      </c>
      <c r="BE9" s="166">
        <f t="shared" si="9"/>
        <v>30002.6</v>
      </c>
      <c r="BF9" s="167"/>
      <c r="BG9" s="166">
        <f t="shared" si="10"/>
        <v>8496.4</v>
      </c>
      <c r="BH9" s="166">
        <f t="shared" si="11"/>
        <v>6104.4</v>
      </c>
      <c r="BI9" s="166">
        <f t="shared" si="12"/>
        <v>0</v>
      </c>
      <c r="BJ9" s="166">
        <f>SUM('Historical Orders'!$BG9:$BI9)</f>
        <v>14600.8</v>
      </c>
      <c r="BK9" s="167"/>
      <c r="BL9" s="166">
        <f t="shared" si="13"/>
        <v>0</v>
      </c>
      <c r="BM9" s="166">
        <f t="shared" si="14"/>
        <v>0</v>
      </c>
      <c r="BN9" s="166">
        <f t="shared" si="15"/>
        <v>15894.5</v>
      </c>
      <c r="BO9" s="166">
        <f>SUM('Historical Orders'!$BL9:$BN9)</f>
        <v>15894.5</v>
      </c>
      <c r="BP9" s="167"/>
      <c r="BQ9" s="166">
        <f t="shared" si="16"/>
        <v>5651.8</v>
      </c>
      <c r="BR9" s="166">
        <f t="shared" si="17"/>
        <v>5460</v>
      </c>
      <c r="BS9" s="166">
        <f t="shared" si="18"/>
        <v>0</v>
      </c>
      <c r="BT9" s="166">
        <f>SUM('Historical Orders'!$BQ9:$BS9)</f>
        <v>11111.8</v>
      </c>
      <c r="BU9" s="167"/>
      <c r="BV9" s="166">
        <f t="shared" si="19"/>
        <v>0</v>
      </c>
      <c r="BW9" s="166">
        <f t="shared" si="20"/>
        <v>0</v>
      </c>
      <c r="BX9" s="166">
        <f t="shared" si="21"/>
        <v>18890.8</v>
      </c>
      <c r="BY9" s="166">
        <f>SUM('Historical Orders'!$BV9:$BX9)</f>
        <v>18890.8</v>
      </c>
      <c r="BZ9" s="167"/>
      <c r="CA9" s="168">
        <f t="shared" si="22"/>
        <v>3</v>
      </c>
      <c r="CB9" s="168">
        <f t="shared" si="23"/>
        <v>3</v>
      </c>
      <c r="CC9" s="168">
        <f t="shared" si="24"/>
        <v>4</v>
      </c>
      <c r="CD9" s="168">
        <f t="shared" si="25"/>
        <v>2</v>
      </c>
      <c r="CE9" s="168">
        <f t="shared" si="26"/>
        <v>2</v>
      </c>
      <c r="CF9" s="169">
        <f t="shared" si="27"/>
        <v>2</v>
      </c>
      <c r="CG9" s="169">
        <f t="shared" si="28"/>
        <v>2</v>
      </c>
      <c r="CH9" s="170"/>
    </row>
    <row r="10">
      <c r="A10" s="151">
        <v>41862.0</v>
      </c>
      <c r="B10" s="152">
        <v>2.0</v>
      </c>
      <c r="C10" s="152" t="s">
        <v>45</v>
      </c>
      <c r="D10" s="152">
        <v>1.0</v>
      </c>
      <c r="E10" s="153">
        <v>3234.0</v>
      </c>
      <c r="F10" s="154">
        <v>2.2</v>
      </c>
      <c r="G10" s="155">
        <v>7114.8</v>
      </c>
      <c r="H10" s="159">
        <f>SUMIFS('Historical Orders'!$E10, 'Historical Orders'!$D10, "1", 'Historical Orders'!$C10, "A", 'Historical Orders'!$B10, "1")</f>
        <v>0</v>
      </c>
      <c r="I10" s="157">
        <f>SUMIFS('Historical Orders'!$G10, 'Historical Orders'!$D10, "1", 'Historical Orders'!$C10, "A", 'Historical Orders'!$B10, "1")</f>
        <v>0</v>
      </c>
      <c r="J10" s="157">
        <f>SUMIFS('Historical Orders'!$E10, 'Historical Orders'!$D10, "1", 'Historical Orders'!$C10, "B", 'Historical Orders'!$B10, "1")</f>
        <v>0</v>
      </c>
      <c r="K10" s="157">
        <f>SUMIFS('Historical Orders'!$G10, 'Historical Orders'!$D10, "1", 'Historical Orders'!$C10, "B", 'Historical Orders'!$B10, "1")</f>
        <v>0</v>
      </c>
      <c r="L10" s="159">
        <f>SUMIFS('Historical Orders'!$E10, 'Historical Orders'!$D10, "1", 'Historical Orders'!$C10, "A", 'Historical Orders'!$B10, "2")</f>
        <v>3234</v>
      </c>
      <c r="M10" s="157">
        <f>SUMIFS('Historical Orders'!$G10, 'Historical Orders'!$D10, "1", 'Historical Orders'!$C10, "A", 'Historical Orders'!$B10, "2")</f>
        <v>7114.8</v>
      </c>
      <c r="N10" s="157">
        <f>SUMIFS('Historical Orders'!$E10, 'Historical Orders'!$D10, "1", 'Historical Orders'!$C10, "B", 'Historical Orders'!$B10, "2")</f>
        <v>0</v>
      </c>
      <c r="O10" s="157">
        <f>SUMIFS('Historical Orders'!$G10, 'Historical Orders'!$D10, "1", 'Historical Orders'!$C10, "B", 'Historical Orders'!$B10, "2")</f>
        <v>0</v>
      </c>
      <c r="P10" s="159">
        <f>SUMIFS('Historical Orders'!$E10, 'Historical Orders'!$D10, "2", 'Historical Orders'!$C10, "A", 'Historical Orders'!$B10, "1")</f>
        <v>0</v>
      </c>
      <c r="Q10" s="157">
        <f>SUMIFS('Historical Orders'!$G10, 'Historical Orders'!$D10, "2", 'Historical Orders'!$C10, "A", 'Historical Orders'!$B10, "1")</f>
        <v>0</v>
      </c>
      <c r="R10" s="159">
        <f>SUMIFS('Historical Orders'!$E10, 'Historical Orders'!$D10, "2", 'Historical Orders'!$C10, "B", 'Historical Orders'!$B10, "1")</f>
        <v>0</v>
      </c>
      <c r="S10" s="157">
        <f>SUMIFS('Historical Orders'!$G10, 'Historical Orders'!$D10, "2", 'Historical Orders'!$C10, "B", 'Historical Orders'!$B10, "1")</f>
        <v>0</v>
      </c>
      <c r="T10" s="159">
        <f>SUMIFS('Historical Orders'!$E10, 'Historical Orders'!$D10, "2", 'Historical Orders'!$C10, "A", 'Historical Orders'!$B10, "2")</f>
        <v>0</v>
      </c>
      <c r="U10" s="157">
        <f>SUMIFS('Historical Orders'!$G10, 'Historical Orders'!$D10, "2", 'Historical Orders'!$C10, "A", 'Historical Orders'!$B10, "2")</f>
        <v>0</v>
      </c>
      <c r="V10" s="159">
        <f>SUMIFS('Historical Orders'!$E10, 'Historical Orders'!$D10, "2", 'Historical Orders'!$C10, "B", 'Historical Orders'!$B10, "2")</f>
        <v>0</v>
      </c>
      <c r="W10" s="159">
        <f>SUMIFS('Historical Orders'!$G10, 'Historical Orders'!$D10, "2", 'Historical Orders'!$C10, "B", 'Historical Orders'!$B10, "2")</f>
        <v>0</v>
      </c>
      <c r="X10" s="159">
        <f>SUMIFS('Historical Orders'!$E10, 'Historical Orders'!$D10, "3", 'Historical Orders'!$C10, "A", 'Historical Orders'!$B10, "1")</f>
        <v>0</v>
      </c>
      <c r="Y10" s="159">
        <f>SUMIFS('Historical Orders'!$G10, 'Historical Orders'!$D10, "3", 'Historical Orders'!$C10, "A", 'Historical Orders'!$B10, "1")</f>
        <v>0</v>
      </c>
      <c r="Z10" s="159">
        <f>SUMIFS('Historical Orders'!$E10, 'Historical Orders'!$D10, "3", 'Historical Orders'!$C10, "B", 'Historical Orders'!$B10, "1")</f>
        <v>0</v>
      </c>
      <c r="AA10" s="159">
        <f>SUMIFS('Historical Orders'!$G10, 'Historical Orders'!$D10, "3", 'Historical Orders'!$C10, "B", 'Historical Orders'!$B10, "1")</f>
        <v>0</v>
      </c>
      <c r="AB10" s="159">
        <f>SUMIFS('Historical Orders'!$E10, 'Historical Orders'!$D10, "3", 'Historical Orders'!$C10, "A", 'Historical Orders'!$B10, "2")</f>
        <v>0</v>
      </c>
      <c r="AC10" s="159">
        <f>SUMIFS('Historical Orders'!$G10, 'Historical Orders'!$D10, "3", 'Historical Orders'!$C10, "A", 'Historical Orders'!$B10, "2")</f>
        <v>0</v>
      </c>
      <c r="AD10" s="159">
        <f>SUMIFS('Historical Orders'!$E10, 'Historical Orders'!$D10, "3", 'Historical Orders'!$C10, "B", 'Historical Orders'!$B10, "2")</f>
        <v>0</v>
      </c>
      <c r="AE10" s="157">
        <f>SUMIFS('Historical Orders'!$G10, 'Historical Orders'!$D10, "3", 'Historical Orders'!$C10, "B", 'Historical Orders'!$B10, "2")</f>
        <v>0</v>
      </c>
      <c r="AF10" s="157">
        <f>SUMIFS('Historical Orders'!$E10, 'Historical Orders'!$D10, "4", 'Historical Orders'!$C10, "A", 'Historical Orders'!$B10, "1")</f>
        <v>0</v>
      </c>
      <c r="AG10" s="157">
        <f>SUMIFS('Historical Orders'!$G10, 'Historical Orders'!$D10, "4", 'Historical Orders'!$C10, "A", 'Historical Orders'!$B10, "1")</f>
        <v>0</v>
      </c>
      <c r="AH10" s="157">
        <f>SUMIFS('Historical Orders'!$E10, 'Historical Orders'!$D10, "4", 'Historical Orders'!$C10, "B", 'Historical Orders'!$B10, "1")</f>
        <v>0</v>
      </c>
      <c r="AI10" s="157">
        <f>SUMIFS('Historical Orders'!$G10, 'Historical Orders'!$D10, "4", 'Historical Orders'!$C10, "B", 'Historical Orders'!$B10, "1")</f>
        <v>0</v>
      </c>
      <c r="AJ10" s="157">
        <f>SUMIFS('Historical Orders'!$E10, 'Historical Orders'!$D10, "4", 'Historical Orders'!$C10, "A", 'Historical Orders'!$B10, "2")</f>
        <v>0</v>
      </c>
      <c r="AK10" s="157">
        <f>SUMIFS('Historical Orders'!$G10, 'Historical Orders'!$D10, "4", 'Historical Orders'!$C10, "A", 'Historical Orders'!$B10, "2")</f>
        <v>0</v>
      </c>
      <c r="AL10" s="171">
        <f>SUMIFS('Historical Orders'!$E10, 'Historical Orders'!$D10, "4", 'Historical Orders'!$C10, "B", 'Historical Orders'!$B10, "2")</f>
        <v>0</v>
      </c>
      <c r="AM10" s="171">
        <f>SUMIFS('Historical Orders'!$G10, 'Historical Orders'!$D10, "4", 'Historical Orders'!$C10, "B", 'Historical Orders'!$B10, "2")</f>
        <v>0</v>
      </c>
      <c r="AN10" s="171">
        <f>SUMIFS('Historical Orders'!$G10, 'Historical Orders'!$C10, "A", 'Historical Orders'!$B10, "1")</f>
        <v>0</v>
      </c>
      <c r="AO10" s="171">
        <f>SUMIFS('Historical Orders'!$G10, 'Historical Orders'!$C10, "B", 'Historical Orders'!$B10, "1")</f>
        <v>0</v>
      </c>
      <c r="AP10" s="171">
        <f>SUMIFS('Historical Orders'!$G10, 'Historical Orders'!$C10, "A", 'Historical Orders'!$B10, "2")</f>
        <v>7114.8</v>
      </c>
      <c r="AQ10" s="171">
        <f>SUMIFS('Historical Orders'!$G10, 'Historical Orders'!$C10, "B", 'Historical Orders'!$B10, "2")</f>
        <v>0</v>
      </c>
      <c r="AR10" s="145"/>
      <c r="AS10" s="146"/>
      <c r="AT10" s="161">
        <v>41911.0</v>
      </c>
      <c r="AU10" s="162"/>
      <c r="AV10" s="163">
        <f t="shared" si="1"/>
        <v>41911</v>
      </c>
      <c r="AW10" s="164">
        <f t="shared" si="2"/>
        <v>19403</v>
      </c>
      <c r="AX10" s="164">
        <f t="shared" si="3"/>
        <v>9996</v>
      </c>
      <c r="AY10" s="164">
        <f t="shared" si="4"/>
        <v>9407</v>
      </c>
      <c r="AZ10" s="164">
        <f t="shared" si="5"/>
        <v>14949</v>
      </c>
      <c r="BA10" s="164">
        <f t="shared" si="6"/>
        <v>4454</v>
      </c>
      <c r="BB10" s="165"/>
      <c r="BC10" s="166">
        <f t="shared" si="7"/>
        <v>60788</v>
      </c>
      <c r="BD10" s="166">
        <f t="shared" si="8"/>
        <v>28743.2</v>
      </c>
      <c r="BE10" s="166">
        <f t="shared" si="9"/>
        <v>32044.8</v>
      </c>
      <c r="BF10" s="167"/>
      <c r="BG10" s="166">
        <f t="shared" si="10"/>
        <v>7167.6</v>
      </c>
      <c r="BH10" s="166">
        <f t="shared" si="11"/>
        <v>5805.6</v>
      </c>
      <c r="BI10" s="166">
        <f t="shared" si="12"/>
        <v>0</v>
      </c>
      <c r="BJ10" s="166">
        <f>SUM('Historical Orders'!$BG10:$BI10)</f>
        <v>12973.2</v>
      </c>
      <c r="BK10" s="167"/>
      <c r="BL10" s="166">
        <f t="shared" si="13"/>
        <v>0</v>
      </c>
      <c r="BM10" s="166">
        <f t="shared" si="14"/>
        <v>0</v>
      </c>
      <c r="BN10" s="166">
        <f t="shared" si="15"/>
        <v>15770</v>
      </c>
      <c r="BO10" s="166">
        <f>SUM('Historical Orders'!$BL10:$BN10)</f>
        <v>15770</v>
      </c>
      <c r="BP10" s="167"/>
      <c r="BQ10" s="166">
        <f t="shared" si="16"/>
        <v>5770.6</v>
      </c>
      <c r="BR10" s="166">
        <f t="shared" si="17"/>
        <v>5076</v>
      </c>
      <c r="BS10" s="166">
        <f t="shared" si="18"/>
        <v>0</v>
      </c>
      <c r="BT10" s="166">
        <f>SUM('Historical Orders'!$BQ10:$BS10)</f>
        <v>10846.6</v>
      </c>
      <c r="BU10" s="167"/>
      <c r="BV10" s="166">
        <f t="shared" si="19"/>
        <v>0</v>
      </c>
      <c r="BW10" s="166">
        <f t="shared" si="20"/>
        <v>0</v>
      </c>
      <c r="BX10" s="166">
        <f t="shared" si="21"/>
        <v>21198.2</v>
      </c>
      <c r="BY10" s="166">
        <f>SUM('Historical Orders'!$BV10:$BX10)</f>
        <v>21198.2</v>
      </c>
      <c r="BZ10" s="167"/>
      <c r="CA10" s="168">
        <f t="shared" si="22"/>
        <v>3</v>
      </c>
      <c r="CB10" s="168">
        <f t="shared" si="23"/>
        <v>3</v>
      </c>
      <c r="CC10" s="168">
        <f t="shared" si="24"/>
        <v>4</v>
      </c>
      <c r="CD10" s="168">
        <f t="shared" si="25"/>
        <v>2</v>
      </c>
      <c r="CE10" s="168">
        <f t="shared" si="26"/>
        <v>2</v>
      </c>
      <c r="CF10" s="169">
        <f t="shared" si="27"/>
        <v>2</v>
      </c>
      <c r="CG10" s="169">
        <f t="shared" si="28"/>
        <v>2</v>
      </c>
      <c r="CH10" s="170"/>
    </row>
    <row r="11">
      <c r="A11" s="151">
        <v>41862.0</v>
      </c>
      <c r="B11" s="152">
        <v>2.0</v>
      </c>
      <c r="C11" s="152" t="s">
        <v>45</v>
      </c>
      <c r="D11" s="152">
        <v>2.0</v>
      </c>
      <c r="E11" s="153">
        <v>5048.0</v>
      </c>
      <c r="F11" s="154">
        <v>1.2</v>
      </c>
      <c r="G11" s="155">
        <v>6057.599999999999</v>
      </c>
      <c r="H11" s="159">
        <f>SUMIFS('Historical Orders'!$E11, 'Historical Orders'!$D11, "1", 'Historical Orders'!$C11, "A", 'Historical Orders'!$B11, "1")</f>
        <v>0</v>
      </c>
      <c r="I11" s="157">
        <f>SUMIFS('Historical Orders'!$G11, 'Historical Orders'!$D11, "1", 'Historical Orders'!$C11, "A", 'Historical Orders'!$B11, "1")</f>
        <v>0</v>
      </c>
      <c r="J11" s="157">
        <f>SUMIFS('Historical Orders'!$E11, 'Historical Orders'!$D11, "1", 'Historical Orders'!$C11, "B", 'Historical Orders'!$B11, "1")</f>
        <v>0</v>
      </c>
      <c r="K11" s="157">
        <f>SUMIFS('Historical Orders'!$G11, 'Historical Orders'!$D11, "1", 'Historical Orders'!$C11, "B", 'Historical Orders'!$B11, "1")</f>
        <v>0</v>
      </c>
      <c r="L11" s="159">
        <f>SUMIFS('Historical Orders'!$E11, 'Historical Orders'!$D11, "1", 'Historical Orders'!$C11, "A", 'Historical Orders'!$B11, "2")</f>
        <v>0</v>
      </c>
      <c r="M11" s="157">
        <f>SUMIFS('Historical Orders'!$G11, 'Historical Orders'!$D11, "1", 'Historical Orders'!$C11, "A", 'Historical Orders'!$B11, "2")</f>
        <v>0</v>
      </c>
      <c r="N11" s="157">
        <f>SUMIFS('Historical Orders'!$E11, 'Historical Orders'!$D11, "1", 'Historical Orders'!$C11, "B", 'Historical Orders'!$B11, "2")</f>
        <v>0</v>
      </c>
      <c r="O11" s="157">
        <f>SUMIFS('Historical Orders'!$G11, 'Historical Orders'!$D11, "1", 'Historical Orders'!$C11, "B", 'Historical Orders'!$B11, "2")</f>
        <v>0</v>
      </c>
      <c r="P11" s="159">
        <f>SUMIFS('Historical Orders'!$E11, 'Historical Orders'!$D11, "2", 'Historical Orders'!$C11, "A", 'Historical Orders'!$B11, "1")</f>
        <v>0</v>
      </c>
      <c r="Q11" s="157">
        <f>SUMIFS('Historical Orders'!$G11, 'Historical Orders'!$D11, "2", 'Historical Orders'!$C11, "A", 'Historical Orders'!$B11, "1")</f>
        <v>0</v>
      </c>
      <c r="R11" s="159">
        <f>SUMIFS('Historical Orders'!$E11, 'Historical Orders'!$D11, "2", 'Historical Orders'!$C11, "B", 'Historical Orders'!$B11, "1")</f>
        <v>0</v>
      </c>
      <c r="S11" s="157">
        <f>SUMIFS('Historical Orders'!$G11, 'Historical Orders'!$D11, "2", 'Historical Orders'!$C11, "B", 'Historical Orders'!$B11, "1")</f>
        <v>0</v>
      </c>
      <c r="T11" s="159">
        <f>SUMIFS('Historical Orders'!$E11, 'Historical Orders'!$D11, "2", 'Historical Orders'!$C11, "A", 'Historical Orders'!$B11, "2")</f>
        <v>5048</v>
      </c>
      <c r="U11" s="157">
        <f>SUMIFS('Historical Orders'!$G11, 'Historical Orders'!$D11, "2", 'Historical Orders'!$C11, "A", 'Historical Orders'!$B11, "2")</f>
        <v>6057.6</v>
      </c>
      <c r="V11" s="159">
        <f>SUMIFS('Historical Orders'!$E11, 'Historical Orders'!$D11, "2", 'Historical Orders'!$C11, "B", 'Historical Orders'!$B11, "2")</f>
        <v>0</v>
      </c>
      <c r="W11" s="159">
        <f>SUMIFS('Historical Orders'!$G11, 'Historical Orders'!$D11, "2", 'Historical Orders'!$C11, "B", 'Historical Orders'!$B11, "2")</f>
        <v>0</v>
      </c>
      <c r="X11" s="159">
        <f>SUMIFS('Historical Orders'!$E11, 'Historical Orders'!$D11, "3", 'Historical Orders'!$C11, "A", 'Historical Orders'!$B11, "1")</f>
        <v>0</v>
      </c>
      <c r="Y11" s="159">
        <f>SUMIFS('Historical Orders'!$G11, 'Historical Orders'!$D11, "3", 'Historical Orders'!$C11, "A", 'Historical Orders'!$B11, "1")</f>
        <v>0</v>
      </c>
      <c r="Z11" s="159">
        <f>SUMIFS('Historical Orders'!$E11, 'Historical Orders'!$D11, "3", 'Historical Orders'!$C11, "B", 'Historical Orders'!$B11, "1")</f>
        <v>0</v>
      </c>
      <c r="AA11" s="159">
        <f>SUMIFS('Historical Orders'!$G11, 'Historical Orders'!$D11, "3", 'Historical Orders'!$C11, "B", 'Historical Orders'!$B11, "1")</f>
        <v>0</v>
      </c>
      <c r="AB11" s="159">
        <f>SUMIFS('Historical Orders'!$E11, 'Historical Orders'!$D11, "3", 'Historical Orders'!$C11, "A", 'Historical Orders'!$B11, "2")</f>
        <v>0</v>
      </c>
      <c r="AC11" s="159">
        <f>SUMIFS('Historical Orders'!$G11, 'Historical Orders'!$D11, "3", 'Historical Orders'!$C11, "A", 'Historical Orders'!$B11, "2")</f>
        <v>0</v>
      </c>
      <c r="AD11" s="159">
        <f>SUMIFS('Historical Orders'!$E11, 'Historical Orders'!$D11, "3", 'Historical Orders'!$C11, "B", 'Historical Orders'!$B11, "2")</f>
        <v>0</v>
      </c>
      <c r="AE11" s="157">
        <f>SUMIFS('Historical Orders'!$G11, 'Historical Orders'!$D11, "3", 'Historical Orders'!$C11, "B", 'Historical Orders'!$B11, "2")</f>
        <v>0</v>
      </c>
      <c r="AF11" s="157">
        <f>SUMIFS('Historical Orders'!$E11, 'Historical Orders'!$D11, "4", 'Historical Orders'!$C11, "A", 'Historical Orders'!$B11, "1")</f>
        <v>0</v>
      </c>
      <c r="AG11" s="157">
        <f>SUMIFS('Historical Orders'!$G11, 'Historical Orders'!$D11, "4", 'Historical Orders'!$C11, "A", 'Historical Orders'!$B11, "1")</f>
        <v>0</v>
      </c>
      <c r="AH11" s="157">
        <f>SUMIFS('Historical Orders'!$E11, 'Historical Orders'!$D11, "4", 'Historical Orders'!$C11, "B", 'Historical Orders'!$B11, "1")</f>
        <v>0</v>
      </c>
      <c r="AI11" s="157">
        <f>SUMIFS('Historical Orders'!$G11, 'Historical Orders'!$D11, "4", 'Historical Orders'!$C11, "B", 'Historical Orders'!$B11, "1")</f>
        <v>0</v>
      </c>
      <c r="AJ11" s="157">
        <f>SUMIFS('Historical Orders'!$E11, 'Historical Orders'!$D11, "4", 'Historical Orders'!$C11, "A", 'Historical Orders'!$B11, "2")</f>
        <v>0</v>
      </c>
      <c r="AK11" s="157">
        <f>SUMIFS('Historical Orders'!$G11, 'Historical Orders'!$D11, "4", 'Historical Orders'!$C11, "A", 'Historical Orders'!$B11, "2")</f>
        <v>0</v>
      </c>
      <c r="AL11" s="171">
        <f>SUMIFS('Historical Orders'!$E11, 'Historical Orders'!$D11, "4", 'Historical Orders'!$C11, "B", 'Historical Orders'!$B11, "2")</f>
        <v>0</v>
      </c>
      <c r="AM11" s="171">
        <f>SUMIFS('Historical Orders'!$G11, 'Historical Orders'!$D11, "4", 'Historical Orders'!$C11, "B", 'Historical Orders'!$B11, "2")</f>
        <v>0</v>
      </c>
      <c r="AN11" s="171">
        <f>SUMIFS('Historical Orders'!$G11, 'Historical Orders'!$C11, "A", 'Historical Orders'!$B11, "1")</f>
        <v>0</v>
      </c>
      <c r="AO11" s="171">
        <f>SUMIFS('Historical Orders'!$G11, 'Historical Orders'!$C11, "B", 'Historical Orders'!$B11, "1")</f>
        <v>0</v>
      </c>
      <c r="AP11" s="171">
        <f>SUMIFS('Historical Orders'!$G11, 'Historical Orders'!$C11, "A", 'Historical Orders'!$B11, "2")</f>
        <v>6057.6</v>
      </c>
      <c r="AQ11" s="171">
        <f>SUMIFS('Historical Orders'!$G11, 'Historical Orders'!$C11, "B", 'Historical Orders'!$B11, "2")</f>
        <v>0</v>
      </c>
      <c r="AR11" s="145"/>
      <c r="AS11" s="146"/>
      <c r="AT11" s="161">
        <v>41918.0</v>
      </c>
      <c r="AU11" s="162"/>
      <c r="AV11" s="163">
        <f t="shared" si="1"/>
        <v>41918</v>
      </c>
      <c r="AW11" s="164">
        <f t="shared" si="2"/>
        <v>21561</v>
      </c>
      <c r="AX11" s="164">
        <f t="shared" si="3"/>
        <v>11608</v>
      </c>
      <c r="AY11" s="164">
        <f t="shared" si="4"/>
        <v>9953</v>
      </c>
      <c r="AZ11" s="164">
        <f t="shared" si="5"/>
        <v>17362</v>
      </c>
      <c r="BA11" s="164">
        <f t="shared" si="6"/>
        <v>4199</v>
      </c>
      <c r="BB11" s="165"/>
      <c r="BC11" s="166">
        <f t="shared" si="7"/>
        <v>62811.1</v>
      </c>
      <c r="BD11" s="166">
        <f t="shared" si="8"/>
        <v>32627.4</v>
      </c>
      <c r="BE11" s="166">
        <f t="shared" si="9"/>
        <v>30183.7</v>
      </c>
      <c r="BF11" s="167"/>
      <c r="BG11" s="166">
        <f t="shared" si="10"/>
        <v>9301.6</v>
      </c>
      <c r="BH11" s="166">
        <f t="shared" si="11"/>
        <v>6410.4</v>
      </c>
      <c r="BI11" s="166">
        <f t="shared" si="12"/>
        <v>0</v>
      </c>
      <c r="BJ11" s="166">
        <f>SUM('Historical Orders'!$BG11:$BI11)</f>
        <v>15712</v>
      </c>
      <c r="BK11" s="167"/>
      <c r="BL11" s="166">
        <f t="shared" si="13"/>
        <v>0</v>
      </c>
      <c r="BM11" s="166">
        <f t="shared" si="14"/>
        <v>0</v>
      </c>
      <c r="BN11" s="166">
        <f t="shared" si="15"/>
        <v>16915.4</v>
      </c>
      <c r="BO11" s="166">
        <f>SUM('Historical Orders'!$BL11:$BN11)</f>
        <v>16915.4</v>
      </c>
      <c r="BP11" s="167"/>
      <c r="BQ11" s="166">
        <f t="shared" si="16"/>
        <v>6373.4</v>
      </c>
      <c r="BR11" s="166">
        <f t="shared" si="17"/>
        <v>5874</v>
      </c>
      <c r="BS11" s="166">
        <f t="shared" si="18"/>
        <v>0</v>
      </c>
      <c r="BT11" s="166">
        <f>SUM('Historical Orders'!$BQ11:$BS11)</f>
        <v>12247.4</v>
      </c>
      <c r="BU11" s="167"/>
      <c r="BV11" s="166">
        <f t="shared" si="19"/>
        <v>0</v>
      </c>
      <c r="BW11" s="166">
        <f t="shared" si="20"/>
        <v>0</v>
      </c>
      <c r="BX11" s="166">
        <f t="shared" si="21"/>
        <v>17936.3</v>
      </c>
      <c r="BY11" s="166">
        <f>SUM('Historical Orders'!$BV11:$BX11)</f>
        <v>17936.3</v>
      </c>
      <c r="BZ11" s="167"/>
      <c r="CA11" s="168">
        <f t="shared" si="22"/>
        <v>3</v>
      </c>
      <c r="CB11" s="168">
        <f t="shared" si="23"/>
        <v>3</v>
      </c>
      <c r="CC11" s="168">
        <f t="shared" si="24"/>
        <v>4</v>
      </c>
      <c r="CD11" s="168">
        <f t="shared" si="25"/>
        <v>2</v>
      </c>
      <c r="CE11" s="168">
        <f t="shared" si="26"/>
        <v>2</v>
      </c>
      <c r="CF11" s="169">
        <f t="shared" si="27"/>
        <v>2</v>
      </c>
      <c r="CG11" s="169">
        <f t="shared" si="28"/>
        <v>2</v>
      </c>
      <c r="CH11" s="170"/>
    </row>
    <row r="12">
      <c r="A12" s="151">
        <v>41862.0</v>
      </c>
      <c r="B12" s="152">
        <v>1.0</v>
      </c>
      <c r="C12" s="152" t="s">
        <v>46</v>
      </c>
      <c r="D12" s="152">
        <v>3.0</v>
      </c>
      <c r="E12" s="153">
        <v>1738.0</v>
      </c>
      <c r="F12" s="154">
        <v>8.3</v>
      </c>
      <c r="G12" s="155">
        <v>14425.400000000001</v>
      </c>
      <c r="H12" s="159">
        <f>SUMIFS('Historical Orders'!$E12, 'Historical Orders'!$D12, "1", 'Historical Orders'!$C12, "A", 'Historical Orders'!$B12, "1")</f>
        <v>0</v>
      </c>
      <c r="I12" s="157">
        <f>SUMIFS('Historical Orders'!$G12, 'Historical Orders'!$D12, "1", 'Historical Orders'!$C12, "A", 'Historical Orders'!$B12, "1")</f>
        <v>0</v>
      </c>
      <c r="J12" s="157">
        <f>SUMIFS('Historical Orders'!$E12, 'Historical Orders'!$D12, "1", 'Historical Orders'!$C12, "B", 'Historical Orders'!$B12, "1")</f>
        <v>0</v>
      </c>
      <c r="K12" s="157">
        <f>SUMIFS('Historical Orders'!$G12, 'Historical Orders'!$D12, "1", 'Historical Orders'!$C12, "B", 'Historical Orders'!$B12, "1")</f>
        <v>0</v>
      </c>
      <c r="L12" s="159">
        <f>SUMIFS('Historical Orders'!$E12, 'Historical Orders'!$D12, "1", 'Historical Orders'!$C12, "A", 'Historical Orders'!$B12, "2")</f>
        <v>0</v>
      </c>
      <c r="M12" s="157">
        <f>SUMIFS('Historical Orders'!$G12, 'Historical Orders'!$D12, "1", 'Historical Orders'!$C12, "A", 'Historical Orders'!$B12, "2")</f>
        <v>0</v>
      </c>
      <c r="N12" s="157">
        <f>SUMIFS('Historical Orders'!$E12, 'Historical Orders'!$D12, "1", 'Historical Orders'!$C12, "B", 'Historical Orders'!$B12, "2")</f>
        <v>0</v>
      </c>
      <c r="O12" s="157">
        <f>SUMIFS('Historical Orders'!$G12, 'Historical Orders'!$D12, "1", 'Historical Orders'!$C12, "B", 'Historical Orders'!$B12, "2")</f>
        <v>0</v>
      </c>
      <c r="P12" s="159">
        <f>SUMIFS('Historical Orders'!$E12, 'Historical Orders'!$D12, "2", 'Historical Orders'!$C12, "A", 'Historical Orders'!$B12, "1")</f>
        <v>0</v>
      </c>
      <c r="Q12" s="157">
        <f>SUMIFS('Historical Orders'!$G12, 'Historical Orders'!$D12, "2", 'Historical Orders'!$C12, "A", 'Historical Orders'!$B12, "1")</f>
        <v>0</v>
      </c>
      <c r="R12" s="159">
        <f>SUMIFS('Historical Orders'!$E12, 'Historical Orders'!$D12, "2", 'Historical Orders'!$C12, "B", 'Historical Orders'!$B12, "1")</f>
        <v>0</v>
      </c>
      <c r="S12" s="157">
        <f>SUMIFS('Historical Orders'!$G12, 'Historical Orders'!$D12, "2", 'Historical Orders'!$C12, "B", 'Historical Orders'!$B12, "1")</f>
        <v>0</v>
      </c>
      <c r="T12" s="159">
        <f>SUMIFS('Historical Orders'!$E12, 'Historical Orders'!$D12, "2", 'Historical Orders'!$C12, "A", 'Historical Orders'!$B12, "2")</f>
        <v>0</v>
      </c>
      <c r="U12" s="157">
        <f>SUMIFS('Historical Orders'!$G12, 'Historical Orders'!$D12, "2", 'Historical Orders'!$C12, "A", 'Historical Orders'!$B12, "2")</f>
        <v>0</v>
      </c>
      <c r="V12" s="159">
        <f>SUMIFS('Historical Orders'!$E12, 'Historical Orders'!$D12, "2", 'Historical Orders'!$C12, "B", 'Historical Orders'!$B12, "2")</f>
        <v>0</v>
      </c>
      <c r="W12" s="159">
        <f>SUMIFS('Historical Orders'!$G12, 'Historical Orders'!$D12, "2", 'Historical Orders'!$C12, "B", 'Historical Orders'!$B12, "2")</f>
        <v>0</v>
      </c>
      <c r="X12" s="159">
        <f>SUMIFS('Historical Orders'!$E12, 'Historical Orders'!$D12, "3", 'Historical Orders'!$C12, "A", 'Historical Orders'!$B12, "1")</f>
        <v>0</v>
      </c>
      <c r="Y12" s="159">
        <f>SUMIFS('Historical Orders'!$G12, 'Historical Orders'!$D12, "3", 'Historical Orders'!$C12, "A", 'Historical Orders'!$B12, "1")</f>
        <v>0</v>
      </c>
      <c r="Z12" s="159">
        <f>SUMIFS('Historical Orders'!$E12, 'Historical Orders'!$D12, "3", 'Historical Orders'!$C12, "B", 'Historical Orders'!$B12, "1")</f>
        <v>1738</v>
      </c>
      <c r="AA12" s="159">
        <f>SUMIFS('Historical Orders'!$G12, 'Historical Orders'!$D12, "3", 'Historical Orders'!$C12, "B", 'Historical Orders'!$B12, "1")</f>
        <v>14425.4</v>
      </c>
      <c r="AB12" s="159">
        <f>SUMIFS('Historical Orders'!$E12, 'Historical Orders'!$D12, "3", 'Historical Orders'!$C12, "A", 'Historical Orders'!$B12, "2")</f>
        <v>0</v>
      </c>
      <c r="AC12" s="159">
        <f>SUMIFS('Historical Orders'!$G12, 'Historical Orders'!$D12, "3", 'Historical Orders'!$C12, "A", 'Historical Orders'!$B12, "2")</f>
        <v>0</v>
      </c>
      <c r="AD12" s="159">
        <f>SUMIFS('Historical Orders'!$E12, 'Historical Orders'!$D12, "3", 'Historical Orders'!$C12, "B", 'Historical Orders'!$B12, "2")</f>
        <v>0</v>
      </c>
      <c r="AE12" s="157">
        <f>SUMIFS('Historical Orders'!$G12, 'Historical Orders'!$D12, "3", 'Historical Orders'!$C12, "B", 'Historical Orders'!$B12, "2")</f>
        <v>0</v>
      </c>
      <c r="AF12" s="157">
        <f>SUMIFS('Historical Orders'!$E12, 'Historical Orders'!$D12, "4", 'Historical Orders'!$C12, "A", 'Historical Orders'!$B12, "1")</f>
        <v>0</v>
      </c>
      <c r="AG12" s="157">
        <f>SUMIFS('Historical Orders'!$G12, 'Historical Orders'!$D12, "4", 'Historical Orders'!$C12, "A", 'Historical Orders'!$B12, "1")</f>
        <v>0</v>
      </c>
      <c r="AH12" s="157">
        <f>SUMIFS('Historical Orders'!$E12, 'Historical Orders'!$D12, "4", 'Historical Orders'!$C12, "B", 'Historical Orders'!$B12, "1")</f>
        <v>0</v>
      </c>
      <c r="AI12" s="157">
        <f>SUMIFS('Historical Orders'!$G12, 'Historical Orders'!$D12, "4", 'Historical Orders'!$C12, "B", 'Historical Orders'!$B12, "1")</f>
        <v>0</v>
      </c>
      <c r="AJ12" s="157">
        <f>SUMIFS('Historical Orders'!$E12, 'Historical Orders'!$D12, "4", 'Historical Orders'!$C12, "A", 'Historical Orders'!$B12, "2")</f>
        <v>0</v>
      </c>
      <c r="AK12" s="157">
        <f>SUMIFS('Historical Orders'!$G12, 'Historical Orders'!$D12, "4", 'Historical Orders'!$C12, "A", 'Historical Orders'!$B12, "2")</f>
        <v>0</v>
      </c>
      <c r="AL12" s="171">
        <f>SUMIFS('Historical Orders'!$E12, 'Historical Orders'!$D12, "4", 'Historical Orders'!$C12, "B", 'Historical Orders'!$B12, "2")</f>
        <v>0</v>
      </c>
      <c r="AM12" s="171">
        <f>SUMIFS('Historical Orders'!$G12, 'Historical Orders'!$D12, "4", 'Historical Orders'!$C12, "B", 'Historical Orders'!$B12, "2")</f>
        <v>0</v>
      </c>
      <c r="AN12" s="171">
        <f>SUMIFS('Historical Orders'!$G12, 'Historical Orders'!$C12, "A", 'Historical Orders'!$B12, "1")</f>
        <v>0</v>
      </c>
      <c r="AO12" s="171">
        <f>SUMIFS('Historical Orders'!$G12, 'Historical Orders'!$C12, "B", 'Historical Orders'!$B12, "1")</f>
        <v>14425.4</v>
      </c>
      <c r="AP12" s="171">
        <f>SUMIFS('Historical Orders'!$G12, 'Historical Orders'!$C12, "A", 'Historical Orders'!$B12, "2")</f>
        <v>0</v>
      </c>
      <c r="AQ12" s="171">
        <f>SUMIFS('Historical Orders'!$G12, 'Historical Orders'!$C12, "B", 'Historical Orders'!$B12, "2")</f>
        <v>0</v>
      </c>
      <c r="AR12" s="145"/>
      <c r="AS12" s="146"/>
      <c r="AT12" s="161">
        <v>41925.0</v>
      </c>
      <c r="AU12" s="162"/>
      <c r="AV12" s="163">
        <f t="shared" si="1"/>
        <v>41925</v>
      </c>
      <c r="AW12" s="164">
        <f t="shared" si="2"/>
        <v>20009</v>
      </c>
      <c r="AX12" s="164">
        <f t="shared" si="3"/>
        <v>10548</v>
      </c>
      <c r="AY12" s="164">
        <f t="shared" si="4"/>
        <v>9461</v>
      </c>
      <c r="AZ12" s="164">
        <f t="shared" si="5"/>
        <v>15780</v>
      </c>
      <c r="BA12" s="164">
        <f t="shared" si="6"/>
        <v>4229</v>
      </c>
      <c r="BB12" s="165"/>
      <c r="BC12" s="166">
        <f t="shared" si="7"/>
        <v>60434.7</v>
      </c>
      <c r="BD12" s="166">
        <f t="shared" si="8"/>
        <v>30742.6</v>
      </c>
      <c r="BE12" s="166">
        <f t="shared" si="9"/>
        <v>29692.1</v>
      </c>
      <c r="BF12" s="167"/>
      <c r="BG12" s="166">
        <f t="shared" si="10"/>
        <v>7766</v>
      </c>
      <c r="BH12" s="166">
        <f t="shared" si="11"/>
        <v>5961.6</v>
      </c>
      <c r="BI12" s="166">
        <f t="shared" si="12"/>
        <v>0</v>
      </c>
      <c r="BJ12" s="166">
        <f>SUM('Historical Orders'!$BG12:$BI12)</f>
        <v>13727.6</v>
      </c>
      <c r="BK12" s="167"/>
      <c r="BL12" s="166">
        <f t="shared" si="13"/>
        <v>0</v>
      </c>
      <c r="BM12" s="166">
        <f t="shared" si="14"/>
        <v>0</v>
      </c>
      <c r="BN12" s="166">
        <f t="shared" si="15"/>
        <v>17015</v>
      </c>
      <c r="BO12" s="166">
        <f>SUM('Historical Orders'!$BL12:$BN12)</f>
        <v>17015</v>
      </c>
      <c r="BP12" s="167"/>
      <c r="BQ12" s="166">
        <f t="shared" si="16"/>
        <v>6309.6</v>
      </c>
      <c r="BR12" s="166">
        <f t="shared" si="17"/>
        <v>5296.8</v>
      </c>
      <c r="BS12" s="166">
        <f t="shared" si="18"/>
        <v>0</v>
      </c>
      <c r="BT12" s="166">
        <f>SUM('Historical Orders'!$BQ12:$BS12)</f>
        <v>11606.4</v>
      </c>
      <c r="BU12" s="167"/>
      <c r="BV12" s="166">
        <f t="shared" si="19"/>
        <v>0</v>
      </c>
      <c r="BW12" s="166">
        <f t="shared" si="20"/>
        <v>0</v>
      </c>
      <c r="BX12" s="166">
        <f t="shared" si="21"/>
        <v>18085.7</v>
      </c>
      <c r="BY12" s="166">
        <f>SUM('Historical Orders'!$BV12:$BX12)</f>
        <v>18085.7</v>
      </c>
      <c r="BZ12" s="167"/>
      <c r="CA12" s="168">
        <f t="shared" si="22"/>
        <v>3</v>
      </c>
      <c r="CB12" s="168">
        <f t="shared" si="23"/>
        <v>3</v>
      </c>
      <c r="CC12" s="168">
        <f t="shared" si="24"/>
        <v>4</v>
      </c>
      <c r="CD12" s="168">
        <f t="shared" si="25"/>
        <v>2</v>
      </c>
      <c r="CE12" s="168">
        <f t="shared" si="26"/>
        <v>2</v>
      </c>
      <c r="CF12" s="169">
        <f t="shared" si="27"/>
        <v>2</v>
      </c>
      <c r="CG12" s="169">
        <f t="shared" si="28"/>
        <v>2</v>
      </c>
      <c r="CH12" s="170"/>
    </row>
    <row r="13">
      <c r="A13" s="151">
        <v>41862.0</v>
      </c>
      <c r="B13" s="152">
        <v>2.0</v>
      </c>
      <c r="C13" s="152" t="s">
        <v>46</v>
      </c>
      <c r="D13" s="152">
        <v>3.0</v>
      </c>
      <c r="E13" s="153">
        <v>2016.0</v>
      </c>
      <c r="F13" s="154">
        <v>8.3</v>
      </c>
      <c r="G13" s="155">
        <v>16732.800000000003</v>
      </c>
      <c r="H13" s="159">
        <f>SUMIFS('Historical Orders'!$E13, 'Historical Orders'!$D13, "1", 'Historical Orders'!$C13, "A", 'Historical Orders'!$B13, "1")</f>
        <v>0</v>
      </c>
      <c r="I13" s="157">
        <f>SUMIFS('Historical Orders'!$G13, 'Historical Orders'!$D13, "1", 'Historical Orders'!$C13, "A", 'Historical Orders'!$B13, "1")</f>
        <v>0</v>
      </c>
      <c r="J13" s="157">
        <f>SUMIFS('Historical Orders'!$E13, 'Historical Orders'!$D13, "1", 'Historical Orders'!$C13, "B", 'Historical Orders'!$B13, "1")</f>
        <v>0</v>
      </c>
      <c r="K13" s="157">
        <f>SUMIFS('Historical Orders'!$G13, 'Historical Orders'!$D13, "1", 'Historical Orders'!$C13, "B", 'Historical Orders'!$B13, "1")</f>
        <v>0</v>
      </c>
      <c r="L13" s="159">
        <f>SUMIFS('Historical Orders'!$E13, 'Historical Orders'!$D13, "1", 'Historical Orders'!$C13, "A", 'Historical Orders'!$B13, "2")</f>
        <v>0</v>
      </c>
      <c r="M13" s="157">
        <f>SUMIFS('Historical Orders'!$G13, 'Historical Orders'!$D13, "1", 'Historical Orders'!$C13, "A", 'Historical Orders'!$B13, "2")</f>
        <v>0</v>
      </c>
      <c r="N13" s="157">
        <f>SUMIFS('Historical Orders'!$E13, 'Historical Orders'!$D13, "1", 'Historical Orders'!$C13, "B", 'Historical Orders'!$B13, "2")</f>
        <v>0</v>
      </c>
      <c r="O13" s="157">
        <f>SUMIFS('Historical Orders'!$G13, 'Historical Orders'!$D13, "1", 'Historical Orders'!$C13, "B", 'Historical Orders'!$B13, "2")</f>
        <v>0</v>
      </c>
      <c r="P13" s="159">
        <f>SUMIFS('Historical Orders'!$E13, 'Historical Orders'!$D13, "2", 'Historical Orders'!$C13, "A", 'Historical Orders'!$B13, "1")</f>
        <v>0</v>
      </c>
      <c r="Q13" s="157">
        <f>SUMIFS('Historical Orders'!$G13, 'Historical Orders'!$D13, "2", 'Historical Orders'!$C13, "A", 'Historical Orders'!$B13, "1")</f>
        <v>0</v>
      </c>
      <c r="R13" s="159">
        <f>SUMIFS('Historical Orders'!$E13, 'Historical Orders'!$D13, "2", 'Historical Orders'!$C13, "B", 'Historical Orders'!$B13, "1")</f>
        <v>0</v>
      </c>
      <c r="S13" s="157">
        <f>SUMIFS('Historical Orders'!$G13, 'Historical Orders'!$D13, "2", 'Historical Orders'!$C13, "B", 'Historical Orders'!$B13, "1")</f>
        <v>0</v>
      </c>
      <c r="T13" s="159">
        <f>SUMIFS('Historical Orders'!$E13, 'Historical Orders'!$D13, "2", 'Historical Orders'!$C13, "A", 'Historical Orders'!$B13, "2")</f>
        <v>0</v>
      </c>
      <c r="U13" s="157">
        <f>SUMIFS('Historical Orders'!$G13, 'Historical Orders'!$D13, "2", 'Historical Orders'!$C13, "A", 'Historical Orders'!$B13, "2")</f>
        <v>0</v>
      </c>
      <c r="V13" s="159">
        <f>SUMIFS('Historical Orders'!$E13, 'Historical Orders'!$D13, "2", 'Historical Orders'!$C13, "B", 'Historical Orders'!$B13, "2")</f>
        <v>0</v>
      </c>
      <c r="W13" s="159">
        <f>SUMIFS('Historical Orders'!$G13, 'Historical Orders'!$D13, "2", 'Historical Orders'!$C13, "B", 'Historical Orders'!$B13, "2")</f>
        <v>0</v>
      </c>
      <c r="X13" s="159">
        <f>SUMIFS('Historical Orders'!$E13, 'Historical Orders'!$D13, "3", 'Historical Orders'!$C13, "A", 'Historical Orders'!$B13, "1")</f>
        <v>0</v>
      </c>
      <c r="Y13" s="159">
        <f>SUMIFS('Historical Orders'!$G13, 'Historical Orders'!$D13, "3", 'Historical Orders'!$C13, "A", 'Historical Orders'!$B13, "1")</f>
        <v>0</v>
      </c>
      <c r="Z13" s="159">
        <f>SUMIFS('Historical Orders'!$E13, 'Historical Orders'!$D13, "3", 'Historical Orders'!$C13, "B", 'Historical Orders'!$B13, "1")</f>
        <v>0</v>
      </c>
      <c r="AA13" s="159">
        <f>SUMIFS('Historical Orders'!$G13, 'Historical Orders'!$D13, "3", 'Historical Orders'!$C13, "B", 'Historical Orders'!$B13, "1")</f>
        <v>0</v>
      </c>
      <c r="AB13" s="159">
        <f>SUMIFS('Historical Orders'!$E13, 'Historical Orders'!$D13, "3", 'Historical Orders'!$C13, "A", 'Historical Orders'!$B13, "2")</f>
        <v>0</v>
      </c>
      <c r="AC13" s="159">
        <f>SUMIFS('Historical Orders'!$G13, 'Historical Orders'!$D13, "3", 'Historical Orders'!$C13, "A", 'Historical Orders'!$B13, "2")</f>
        <v>0</v>
      </c>
      <c r="AD13" s="159">
        <f>SUMIFS('Historical Orders'!$E13, 'Historical Orders'!$D13, "3", 'Historical Orders'!$C13, "B", 'Historical Orders'!$B13, "2")</f>
        <v>2016</v>
      </c>
      <c r="AE13" s="157">
        <f>SUMIFS('Historical Orders'!$G13, 'Historical Orders'!$D13, "3", 'Historical Orders'!$C13, "B", 'Historical Orders'!$B13, "2")</f>
        <v>16732.8</v>
      </c>
      <c r="AF13" s="157">
        <f>SUMIFS('Historical Orders'!$E13, 'Historical Orders'!$D13, "4", 'Historical Orders'!$C13, "A", 'Historical Orders'!$B13, "1")</f>
        <v>0</v>
      </c>
      <c r="AG13" s="157">
        <f>SUMIFS('Historical Orders'!$G13, 'Historical Orders'!$D13, "4", 'Historical Orders'!$C13, "A", 'Historical Orders'!$B13, "1")</f>
        <v>0</v>
      </c>
      <c r="AH13" s="157">
        <f>SUMIFS('Historical Orders'!$E13, 'Historical Orders'!$D13, "4", 'Historical Orders'!$C13, "B", 'Historical Orders'!$B13, "1")</f>
        <v>0</v>
      </c>
      <c r="AI13" s="157">
        <f>SUMIFS('Historical Orders'!$G13, 'Historical Orders'!$D13, "4", 'Historical Orders'!$C13, "B", 'Historical Orders'!$B13, "1")</f>
        <v>0</v>
      </c>
      <c r="AJ13" s="157">
        <f>SUMIFS('Historical Orders'!$E13, 'Historical Orders'!$D13, "4", 'Historical Orders'!$C13, "A", 'Historical Orders'!$B13, "2")</f>
        <v>0</v>
      </c>
      <c r="AK13" s="157">
        <f>SUMIFS('Historical Orders'!$G13, 'Historical Orders'!$D13, "4", 'Historical Orders'!$C13, "A", 'Historical Orders'!$B13, "2")</f>
        <v>0</v>
      </c>
      <c r="AL13" s="171">
        <f>SUMIFS('Historical Orders'!$E13, 'Historical Orders'!$D13, "4", 'Historical Orders'!$C13, "B", 'Historical Orders'!$B13, "2")</f>
        <v>0</v>
      </c>
      <c r="AM13" s="171">
        <f>SUMIFS('Historical Orders'!$G13, 'Historical Orders'!$D13, "4", 'Historical Orders'!$C13, "B", 'Historical Orders'!$B13, "2")</f>
        <v>0</v>
      </c>
      <c r="AN13" s="171">
        <f>SUMIFS('Historical Orders'!$G13, 'Historical Orders'!$C13, "A", 'Historical Orders'!$B13, "1")</f>
        <v>0</v>
      </c>
      <c r="AO13" s="171">
        <f>SUMIFS('Historical Orders'!$G13, 'Historical Orders'!$C13, "B", 'Historical Orders'!$B13, "1")</f>
        <v>0</v>
      </c>
      <c r="AP13" s="171">
        <f>SUMIFS('Historical Orders'!$G13, 'Historical Orders'!$C13, "A", 'Historical Orders'!$B13, "2")</f>
        <v>0</v>
      </c>
      <c r="AQ13" s="171">
        <f>SUMIFS('Historical Orders'!$G13, 'Historical Orders'!$C13, "B", 'Historical Orders'!$B13, "2")</f>
        <v>16732.8</v>
      </c>
      <c r="AR13" s="145"/>
      <c r="AS13" s="146"/>
      <c r="AT13" s="161">
        <v>41932.0</v>
      </c>
      <c r="AU13" s="162"/>
      <c r="AV13" s="163">
        <f t="shared" si="1"/>
        <v>41932</v>
      </c>
      <c r="AW13" s="164">
        <f t="shared" si="2"/>
        <v>23215</v>
      </c>
      <c r="AX13" s="164">
        <f t="shared" si="3"/>
        <v>11640</v>
      </c>
      <c r="AY13" s="164">
        <f t="shared" si="4"/>
        <v>11575</v>
      </c>
      <c r="AZ13" s="164">
        <f t="shared" si="5"/>
        <v>18787</v>
      </c>
      <c r="BA13" s="164">
        <f t="shared" si="6"/>
        <v>4428</v>
      </c>
      <c r="BB13" s="165"/>
      <c r="BC13" s="166">
        <f t="shared" si="7"/>
        <v>66728.8</v>
      </c>
      <c r="BD13" s="166">
        <f t="shared" si="8"/>
        <v>31614</v>
      </c>
      <c r="BE13" s="166">
        <f t="shared" si="9"/>
        <v>35114.8</v>
      </c>
      <c r="BF13" s="167"/>
      <c r="BG13" s="166">
        <f t="shared" si="10"/>
        <v>9299.4</v>
      </c>
      <c r="BH13" s="166">
        <f t="shared" si="11"/>
        <v>6627.6</v>
      </c>
      <c r="BI13" s="166">
        <f t="shared" si="12"/>
        <v>0</v>
      </c>
      <c r="BJ13" s="166">
        <f>SUM('Historical Orders'!$BG13:$BI13)</f>
        <v>15927</v>
      </c>
      <c r="BK13" s="167"/>
      <c r="BL13" s="166">
        <f t="shared" si="13"/>
        <v>0</v>
      </c>
      <c r="BM13" s="166">
        <f t="shared" si="14"/>
        <v>0</v>
      </c>
      <c r="BN13" s="166">
        <f t="shared" si="15"/>
        <v>15687</v>
      </c>
      <c r="BO13" s="166">
        <f>SUM('Historical Orders'!$BL13:$BN13)</f>
        <v>15687</v>
      </c>
      <c r="BP13" s="167"/>
      <c r="BQ13" s="166">
        <f t="shared" si="16"/>
        <v>7051</v>
      </c>
      <c r="BR13" s="166">
        <f t="shared" si="17"/>
        <v>6998.4</v>
      </c>
      <c r="BS13" s="166">
        <f t="shared" si="18"/>
        <v>0</v>
      </c>
      <c r="BT13" s="166">
        <f>SUM('Historical Orders'!$BQ13:$BS13)</f>
        <v>14049.4</v>
      </c>
      <c r="BU13" s="167"/>
      <c r="BV13" s="166">
        <f t="shared" si="19"/>
        <v>0</v>
      </c>
      <c r="BW13" s="166">
        <f t="shared" si="20"/>
        <v>0</v>
      </c>
      <c r="BX13" s="166">
        <f t="shared" si="21"/>
        <v>21065.4</v>
      </c>
      <c r="BY13" s="166">
        <f>SUM('Historical Orders'!$BV13:$BX13)</f>
        <v>21065.4</v>
      </c>
      <c r="BZ13" s="167"/>
      <c r="CA13" s="168">
        <f t="shared" si="22"/>
        <v>3</v>
      </c>
      <c r="CB13" s="168">
        <f t="shared" si="23"/>
        <v>3</v>
      </c>
      <c r="CC13" s="168">
        <f t="shared" si="24"/>
        <v>4</v>
      </c>
      <c r="CD13" s="168">
        <f t="shared" si="25"/>
        <v>2</v>
      </c>
      <c r="CE13" s="168">
        <f t="shared" si="26"/>
        <v>2</v>
      </c>
      <c r="CF13" s="169">
        <f t="shared" si="27"/>
        <v>2</v>
      </c>
      <c r="CG13" s="169">
        <f t="shared" si="28"/>
        <v>2</v>
      </c>
      <c r="CH13" s="170"/>
    </row>
    <row r="14">
      <c r="A14" s="151">
        <v>41869.0</v>
      </c>
      <c r="B14" s="152">
        <v>1.0</v>
      </c>
      <c r="C14" s="152" t="s">
        <v>45</v>
      </c>
      <c r="D14" s="152">
        <v>1.0</v>
      </c>
      <c r="E14" s="153">
        <v>4268.0</v>
      </c>
      <c r="F14" s="154">
        <v>2.2</v>
      </c>
      <c r="G14" s="155">
        <v>9389.6</v>
      </c>
      <c r="H14" s="159">
        <f>SUMIFS('Historical Orders'!$E14, 'Historical Orders'!$D14, "1", 'Historical Orders'!$C14, "A", 'Historical Orders'!$B14, "1")</f>
        <v>4268</v>
      </c>
      <c r="I14" s="157">
        <f>SUMIFS('Historical Orders'!$G14, 'Historical Orders'!$D14, "1", 'Historical Orders'!$C14, "A", 'Historical Orders'!$B14, "1")</f>
        <v>9389.6</v>
      </c>
      <c r="J14" s="157">
        <f>SUMIFS('Historical Orders'!$E14, 'Historical Orders'!$D14, "1", 'Historical Orders'!$C14, "B", 'Historical Orders'!$B14, "1")</f>
        <v>0</v>
      </c>
      <c r="K14" s="157">
        <f>SUMIFS('Historical Orders'!$G14, 'Historical Orders'!$D14, "1", 'Historical Orders'!$C14, "B", 'Historical Orders'!$B14, "1")</f>
        <v>0</v>
      </c>
      <c r="L14" s="159">
        <f>SUMIFS('Historical Orders'!$E14, 'Historical Orders'!$D14, "1", 'Historical Orders'!$C14, "A", 'Historical Orders'!$B14, "2")</f>
        <v>0</v>
      </c>
      <c r="M14" s="157">
        <f>SUMIFS('Historical Orders'!$G14, 'Historical Orders'!$D14, "1", 'Historical Orders'!$C14, "A", 'Historical Orders'!$B14, "2")</f>
        <v>0</v>
      </c>
      <c r="N14" s="157">
        <f>SUMIFS('Historical Orders'!$E14, 'Historical Orders'!$D14, "1", 'Historical Orders'!$C14, "B", 'Historical Orders'!$B14, "2")</f>
        <v>0</v>
      </c>
      <c r="O14" s="157">
        <f>SUMIFS('Historical Orders'!$G14, 'Historical Orders'!$D14, "1", 'Historical Orders'!$C14, "B", 'Historical Orders'!$B14, "2")</f>
        <v>0</v>
      </c>
      <c r="P14" s="159">
        <f>SUMIFS('Historical Orders'!$E14, 'Historical Orders'!$D14, "2", 'Historical Orders'!$C14, "A", 'Historical Orders'!$B14, "1")</f>
        <v>0</v>
      </c>
      <c r="Q14" s="157">
        <f>SUMIFS('Historical Orders'!$G14, 'Historical Orders'!$D14, "2", 'Historical Orders'!$C14, "A", 'Historical Orders'!$B14, "1")</f>
        <v>0</v>
      </c>
      <c r="R14" s="159">
        <f>SUMIFS('Historical Orders'!$E14, 'Historical Orders'!$D14, "2", 'Historical Orders'!$C14, "B", 'Historical Orders'!$B14, "1")</f>
        <v>0</v>
      </c>
      <c r="S14" s="157">
        <f>SUMIFS('Historical Orders'!$G14, 'Historical Orders'!$D14, "2", 'Historical Orders'!$C14, "B", 'Historical Orders'!$B14, "1")</f>
        <v>0</v>
      </c>
      <c r="T14" s="159">
        <f>SUMIFS('Historical Orders'!$E14, 'Historical Orders'!$D14, "2", 'Historical Orders'!$C14, "A", 'Historical Orders'!$B14, "2")</f>
        <v>0</v>
      </c>
      <c r="U14" s="157">
        <f>SUMIFS('Historical Orders'!$G14, 'Historical Orders'!$D14, "2", 'Historical Orders'!$C14, "A", 'Historical Orders'!$B14, "2")</f>
        <v>0</v>
      </c>
      <c r="V14" s="159">
        <f>SUMIFS('Historical Orders'!$E14, 'Historical Orders'!$D14, "2", 'Historical Orders'!$C14, "B", 'Historical Orders'!$B14, "2")</f>
        <v>0</v>
      </c>
      <c r="W14" s="159">
        <f>SUMIFS('Historical Orders'!$G14, 'Historical Orders'!$D14, "2", 'Historical Orders'!$C14, "B", 'Historical Orders'!$B14, "2")</f>
        <v>0</v>
      </c>
      <c r="X14" s="159">
        <f>SUMIFS('Historical Orders'!$E14, 'Historical Orders'!$D14, "3", 'Historical Orders'!$C14, "A", 'Historical Orders'!$B14, "1")</f>
        <v>0</v>
      </c>
      <c r="Y14" s="159">
        <f>SUMIFS('Historical Orders'!$G14, 'Historical Orders'!$D14, "3", 'Historical Orders'!$C14, "A", 'Historical Orders'!$B14, "1")</f>
        <v>0</v>
      </c>
      <c r="Z14" s="159">
        <f>SUMIFS('Historical Orders'!$E14, 'Historical Orders'!$D14, "3", 'Historical Orders'!$C14, "B", 'Historical Orders'!$B14, "1")</f>
        <v>0</v>
      </c>
      <c r="AA14" s="159">
        <f>SUMIFS('Historical Orders'!$G14, 'Historical Orders'!$D14, "3", 'Historical Orders'!$C14, "B", 'Historical Orders'!$B14, "1")</f>
        <v>0</v>
      </c>
      <c r="AB14" s="159">
        <f>SUMIFS('Historical Orders'!$E14, 'Historical Orders'!$D14, "3", 'Historical Orders'!$C14, "A", 'Historical Orders'!$B14, "2")</f>
        <v>0</v>
      </c>
      <c r="AC14" s="159">
        <f>SUMIFS('Historical Orders'!$G14, 'Historical Orders'!$D14, "3", 'Historical Orders'!$C14, "A", 'Historical Orders'!$B14, "2")</f>
        <v>0</v>
      </c>
      <c r="AD14" s="159">
        <f>SUMIFS('Historical Orders'!$E14, 'Historical Orders'!$D14, "3", 'Historical Orders'!$C14, "B", 'Historical Orders'!$B14, "2")</f>
        <v>0</v>
      </c>
      <c r="AE14" s="157">
        <f>SUMIFS('Historical Orders'!$G14, 'Historical Orders'!$D14, "3", 'Historical Orders'!$C14, "B", 'Historical Orders'!$B14, "2")</f>
        <v>0</v>
      </c>
      <c r="AF14" s="157">
        <f>SUMIFS('Historical Orders'!$E14, 'Historical Orders'!$D14, "4", 'Historical Orders'!$C14, "A", 'Historical Orders'!$B14, "1")</f>
        <v>0</v>
      </c>
      <c r="AG14" s="157">
        <f>SUMIFS('Historical Orders'!$G14, 'Historical Orders'!$D14, "4", 'Historical Orders'!$C14, "A", 'Historical Orders'!$B14, "1")</f>
        <v>0</v>
      </c>
      <c r="AH14" s="157">
        <f>SUMIFS('Historical Orders'!$E14, 'Historical Orders'!$D14, "4", 'Historical Orders'!$C14, "B", 'Historical Orders'!$B14, "1")</f>
        <v>0</v>
      </c>
      <c r="AI14" s="157">
        <f>SUMIFS('Historical Orders'!$G14, 'Historical Orders'!$D14, "4", 'Historical Orders'!$C14, "B", 'Historical Orders'!$B14, "1")</f>
        <v>0</v>
      </c>
      <c r="AJ14" s="157">
        <f>SUMIFS('Historical Orders'!$E14, 'Historical Orders'!$D14, "4", 'Historical Orders'!$C14, "A", 'Historical Orders'!$B14, "2")</f>
        <v>0</v>
      </c>
      <c r="AK14" s="157">
        <f>SUMIFS('Historical Orders'!$G14, 'Historical Orders'!$D14, "4", 'Historical Orders'!$C14, "A", 'Historical Orders'!$B14, "2")</f>
        <v>0</v>
      </c>
      <c r="AL14" s="171">
        <f>SUMIFS('Historical Orders'!$E14, 'Historical Orders'!$D14, "4", 'Historical Orders'!$C14, "B", 'Historical Orders'!$B14, "2")</f>
        <v>0</v>
      </c>
      <c r="AM14" s="171">
        <f>SUMIFS('Historical Orders'!$G14, 'Historical Orders'!$D14, "4", 'Historical Orders'!$C14, "B", 'Historical Orders'!$B14, "2")</f>
        <v>0</v>
      </c>
      <c r="AN14" s="171">
        <f>SUMIFS('Historical Orders'!$G14, 'Historical Orders'!$C14, "A", 'Historical Orders'!$B14, "1")</f>
        <v>9389.6</v>
      </c>
      <c r="AO14" s="171">
        <f>SUMIFS('Historical Orders'!$G14, 'Historical Orders'!$C14, "B", 'Historical Orders'!$B14, "1")</f>
        <v>0</v>
      </c>
      <c r="AP14" s="171">
        <f>SUMIFS('Historical Orders'!$G14, 'Historical Orders'!$C14, "A", 'Historical Orders'!$B14, "2")</f>
        <v>0</v>
      </c>
      <c r="AQ14" s="171">
        <f>SUMIFS('Historical Orders'!$G14, 'Historical Orders'!$C14, "B", 'Historical Orders'!$B14, "2")</f>
        <v>0</v>
      </c>
      <c r="AR14" s="145"/>
      <c r="AS14" s="146"/>
      <c r="AT14" s="161">
        <v>41939.0</v>
      </c>
      <c r="AU14" s="162"/>
      <c r="AV14" s="163">
        <f t="shared" si="1"/>
        <v>41939</v>
      </c>
      <c r="AW14" s="164">
        <f t="shared" si="2"/>
        <v>19945</v>
      </c>
      <c r="AX14" s="164">
        <f t="shared" si="3"/>
        <v>10566</v>
      </c>
      <c r="AY14" s="164">
        <f t="shared" si="4"/>
        <v>9379</v>
      </c>
      <c r="AZ14" s="164">
        <f t="shared" si="5"/>
        <v>15026</v>
      </c>
      <c r="BA14" s="164">
        <f t="shared" si="6"/>
        <v>4919</v>
      </c>
      <c r="BB14" s="165"/>
      <c r="BC14" s="166">
        <f t="shared" si="7"/>
        <v>63318.9</v>
      </c>
      <c r="BD14" s="166">
        <f t="shared" si="8"/>
        <v>30479.8</v>
      </c>
      <c r="BE14" s="166">
        <f t="shared" si="9"/>
        <v>32839.1</v>
      </c>
      <c r="BF14" s="167"/>
      <c r="BG14" s="166">
        <f t="shared" si="10"/>
        <v>6578</v>
      </c>
      <c r="BH14" s="166">
        <f t="shared" si="11"/>
        <v>6588</v>
      </c>
      <c r="BI14" s="166">
        <f t="shared" si="12"/>
        <v>0</v>
      </c>
      <c r="BJ14" s="166">
        <f>SUM('Historical Orders'!$BG14:$BI14)</f>
        <v>13166</v>
      </c>
      <c r="BK14" s="167"/>
      <c r="BL14" s="166">
        <f t="shared" si="13"/>
        <v>0</v>
      </c>
      <c r="BM14" s="166">
        <f t="shared" si="14"/>
        <v>0</v>
      </c>
      <c r="BN14" s="166">
        <f t="shared" si="15"/>
        <v>17313.8</v>
      </c>
      <c r="BO14" s="166">
        <f>SUM('Historical Orders'!$BL14:$BN14)</f>
        <v>17313.8</v>
      </c>
      <c r="BP14" s="167"/>
      <c r="BQ14" s="166">
        <f t="shared" si="16"/>
        <v>3234</v>
      </c>
      <c r="BR14" s="166">
        <f t="shared" si="17"/>
        <v>6091.2</v>
      </c>
      <c r="BS14" s="166">
        <f t="shared" si="18"/>
        <v>0</v>
      </c>
      <c r="BT14" s="166">
        <f>SUM('Historical Orders'!$BQ14:$BS14)</f>
        <v>9325.2</v>
      </c>
      <c r="BU14" s="167"/>
      <c r="BV14" s="166">
        <f t="shared" si="19"/>
        <v>0</v>
      </c>
      <c r="BW14" s="166">
        <f t="shared" si="20"/>
        <v>0</v>
      </c>
      <c r="BX14" s="166">
        <f t="shared" si="21"/>
        <v>23513.9</v>
      </c>
      <c r="BY14" s="166">
        <f>SUM('Historical Orders'!$BV14:$BX14)</f>
        <v>23513.9</v>
      </c>
      <c r="BZ14" s="167"/>
      <c r="CA14" s="168">
        <f t="shared" si="22"/>
        <v>3</v>
      </c>
      <c r="CB14" s="168">
        <f t="shared" si="23"/>
        <v>3</v>
      </c>
      <c r="CC14" s="168">
        <f t="shared" si="24"/>
        <v>4</v>
      </c>
      <c r="CD14" s="168">
        <f t="shared" si="25"/>
        <v>2</v>
      </c>
      <c r="CE14" s="168">
        <f t="shared" si="26"/>
        <v>2</v>
      </c>
      <c r="CF14" s="169">
        <f t="shared" si="27"/>
        <v>2</v>
      </c>
      <c r="CG14" s="169">
        <f t="shared" si="28"/>
        <v>2</v>
      </c>
      <c r="CH14" s="170"/>
    </row>
    <row r="15">
      <c r="A15" s="151">
        <v>41869.0</v>
      </c>
      <c r="B15" s="152">
        <v>1.0</v>
      </c>
      <c r="C15" s="152" t="s">
        <v>45</v>
      </c>
      <c r="D15" s="152">
        <v>2.0</v>
      </c>
      <c r="E15" s="153">
        <v>5342.0</v>
      </c>
      <c r="F15" s="154">
        <v>1.2</v>
      </c>
      <c r="G15" s="155">
        <v>6410.4</v>
      </c>
      <c r="H15" s="159">
        <f>SUMIFS('Historical Orders'!$E15, 'Historical Orders'!$D15, "1", 'Historical Orders'!$C15, "A", 'Historical Orders'!$B15, "1")</f>
        <v>0</v>
      </c>
      <c r="I15" s="157">
        <f>SUMIFS('Historical Orders'!$G15, 'Historical Orders'!$D15, "1", 'Historical Orders'!$C15, "A", 'Historical Orders'!$B15, "1")</f>
        <v>0</v>
      </c>
      <c r="J15" s="157">
        <f>SUMIFS('Historical Orders'!$E15, 'Historical Orders'!$D15, "1", 'Historical Orders'!$C15, "B", 'Historical Orders'!$B15, "1")</f>
        <v>0</v>
      </c>
      <c r="K15" s="157">
        <f>SUMIFS('Historical Orders'!$G15, 'Historical Orders'!$D15, "1", 'Historical Orders'!$C15, "B", 'Historical Orders'!$B15, "1")</f>
        <v>0</v>
      </c>
      <c r="L15" s="159">
        <f>SUMIFS('Historical Orders'!$E15, 'Historical Orders'!$D15, "1", 'Historical Orders'!$C15, "A", 'Historical Orders'!$B15, "2")</f>
        <v>0</v>
      </c>
      <c r="M15" s="157">
        <f>SUMIFS('Historical Orders'!$G15, 'Historical Orders'!$D15, "1", 'Historical Orders'!$C15, "A", 'Historical Orders'!$B15, "2")</f>
        <v>0</v>
      </c>
      <c r="N15" s="157">
        <f>SUMIFS('Historical Orders'!$E15, 'Historical Orders'!$D15, "1", 'Historical Orders'!$C15, "B", 'Historical Orders'!$B15, "2")</f>
        <v>0</v>
      </c>
      <c r="O15" s="157">
        <f>SUMIFS('Historical Orders'!$G15, 'Historical Orders'!$D15, "1", 'Historical Orders'!$C15, "B", 'Historical Orders'!$B15, "2")</f>
        <v>0</v>
      </c>
      <c r="P15" s="159">
        <f>SUMIFS('Historical Orders'!$E15, 'Historical Orders'!$D15, "2", 'Historical Orders'!$C15, "A", 'Historical Orders'!$B15, "1")</f>
        <v>5342</v>
      </c>
      <c r="Q15" s="157">
        <f>SUMIFS('Historical Orders'!$G15, 'Historical Orders'!$D15, "2", 'Historical Orders'!$C15, "A", 'Historical Orders'!$B15, "1")</f>
        <v>6410.4</v>
      </c>
      <c r="R15" s="159">
        <f>SUMIFS('Historical Orders'!$E15, 'Historical Orders'!$D15, "2", 'Historical Orders'!$C15, "B", 'Historical Orders'!$B15, "1")</f>
        <v>0</v>
      </c>
      <c r="S15" s="157">
        <f>SUMIFS('Historical Orders'!$G15, 'Historical Orders'!$D15, "2", 'Historical Orders'!$C15, "B", 'Historical Orders'!$B15, "1")</f>
        <v>0</v>
      </c>
      <c r="T15" s="159">
        <f>SUMIFS('Historical Orders'!$E15, 'Historical Orders'!$D15, "2", 'Historical Orders'!$C15, "A", 'Historical Orders'!$B15, "2")</f>
        <v>0</v>
      </c>
      <c r="U15" s="157">
        <f>SUMIFS('Historical Orders'!$G15, 'Historical Orders'!$D15, "2", 'Historical Orders'!$C15, "A", 'Historical Orders'!$B15, "2")</f>
        <v>0</v>
      </c>
      <c r="V15" s="159">
        <f>SUMIFS('Historical Orders'!$E15, 'Historical Orders'!$D15, "2", 'Historical Orders'!$C15, "B", 'Historical Orders'!$B15, "2")</f>
        <v>0</v>
      </c>
      <c r="W15" s="159">
        <f>SUMIFS('Historical Orders'!$G15, 'Historical Orders'!$D15, "2", 'Historical Orders'!$C15, "B", 'Historical Orders'!$B15, "2")</f>
        <v>0</v>
      </c>
      <c r="X15" s="159">
        <f>SUMIFS('Historical Orders'!$E15, 'Historical Orders'!$D15, "3", 'Historical Orders'!$C15, "A", 'Historical Orders'!$B15, "1")</f>
        <v>0</v>
      </c>
      <c r="Y15" s="159">
        <f>SUMIFS('Historical Orders'!$G15, 'Historical Orders'!$D15, "3", 'Historical Orders'!$C15, "A", 'Historical Orders'!$B15, "1")</f>
        <v>0</v>
      </c>
      <c r="Z15" s="159">
        <f>SUMIFS('Historical Orders'!$E15, 'Historical Orders'!$D15, "3", 'Historical Orders'!$C15, "B", 'Historical Orders'!$B15, "1")</f>
        <v>0</v>
      </c>
      <c r="AA15" s="159">
        <f>SUMIFS('Historical Orders'!$G15, 'Historical Orders'!$D15, "3", 'Historical Orders'!$C15, "B", 'Historical Orders'!$B15, "1")</f>
        <v>0</v>
      </c>
      <c r="AB15" s="159">
        <f>SUMIFS('Historical Orders'!$E15, 'Historical Orders'!$D15, "3", 'Historical Orders'!$C15, "A", 'Historical Orders'!$B15, "2")</f>
        <v>0</v>
      </c>
      <c r="AC15" s="159">
        <f>SUMIFS('Historical Orders'!$G15, 'Historical Orders'!$D15, "3", 'Historical Orders'!$C15, "A", 'Historical Orders'!$B15, "2")</f>
        <v>0</v>
      </c>
      <c r="AD15" s="159">
        <f>SUMIFS('Historical Orders'!$E15, 'Historical Orders'!$D15, "3", 'Historical Orders'!$C15, "B", 'Historical Orders'!$B15, "2")</f>
        <v>0</v>
      </c>
      <c r="AE15" s="157">
        <f>SUMIFS('Historical Orders'!$G15, 'Historical Orders'!$D15, "3", 'Historical Orders'!$C15, "B", 'Historical Orders'!$B15, "2")</f>
        <v>0</v>
      </c>
      <c r="AF15" s="157">
        <f>SUMIFS('Historical Orders'!$E15, 'Historical Orders'!$D15, "4", 'Historical Orders'!$C15, "A", 'Historical Orders'!$B15, "1")</f>
        <v>0</v>
      </c>
      <c r="AG15" s="157">
        <f>SUMIFS('Historical Orders'!$G15, 'Historical Orders'!$D15, "4", 'Historical Orders'!$C15, "A", 'Historical Orders'!$B15, "1")</f>
        <v>0</v>
      </c>
      <c r="AH15" s="157">
        <f>SUMIFS('Historical Orders'!$E15, 'Historical Orders'!$D15, "4", 'Historical Orders'!$C15, "B", 'Historical Orders'!$B15, "1")</f>
        <v>0</v>
      </c>
      <c r="AI15" s="157">
        <f>SUMIFS('Historical Orders'!$G15, 'Historical Orders'!$D15, "4", 'Historical Orders'!$C15, "B", 'Historical Orders'!$B15, "1")</f>
        <v>0</v>
      </c>
      <c r="AJ15" s="157">
        <f>SUMIFS('Historical Orders'!$E15, 'Historical Orders'!$D15, "4", 'Historical Orders'!$C15, "A", 'Historical Orders'!$B15, "2")</f>
        <v>0</v>
      </c>
      <c r="AK15" s="157">
        <f>SUMIFS('Historical Orders'!$G15, 'Historical Orders'!$D15, "4", 'Historical Orders'!$C15, "A", 'Historical Orders'!$B15, "2")</f>
        <v>0</v>
      </c>
      <c r="AL15" s="171">
        <f>SUMIFS('Historical Orders'!$E15, 'Historical Orders'!$D15, "4", 'Historical Orders'!$C15, "B", 'Historical Orders'!$B15, "2")</f>
        <v>0</v>
      </c>
      <c r="AM15" s="171">
        <f>SUMIFS('Historical Orders'!$G15, 'Historical Orders'!$D15, "4", 'Historical Orders'!$C15, "B", 'Historical Orders'!$B15, "2")</f>
        <v>0</v>
      </c>
      <c r="AN15" s="171">
        <f>SUMIFS('Historical Orders'!$G15, 'Historical Orders'!$C15, "A", 'Historical Orders'!$B15, "1")</f>
        <v>6410.4</v>
      </c>
      <c r="AO15" s="171">
        <f>SUMIFS('Historical Orders'!$G15, 'Historical Orders'!$C15, "B", 'Historical Orders'!$B15, "1")</f>
        <v>0</v>
      </c>
      <c r="AP15" s="171">
        <f>SUMIFS('Historical Orders'!$G15, 'Historical Orders'!$C15, "A", 'Historical Orders'!$B15, "2")</f>
        <v>0</v>
      </c>
      <c r="AQ15" s="171">
        <f>SUMIFS('Historical Orders'!$G15, 'Historical Orders'!$C15, "B", 'Historical Orders'!$B15, "2")</f>
        <v>0</v>
      </c>
      <c r="AR15" s="145"/>
      <c r="AS15" s="146"/>
      <c r="AT15" s="161">
        <v>41946.0</v>
      </c>
      <c r="AU15" s="162"/>
      <c r="AV15" s="163">
        <f t="shared" si="1"/>
        <v>41946</v>
      </c>
      <c r="AW15" s="164">
        <f t="shared" si="2"/>
        <v>21565</v>
      </c>
      <c r="AX15" s="164">
        <f t="shared" si="3"/>
        <v>11077</v>
      </c>
      <c r="AY15" s="164">
        <f t="shared" si="4"/>
        <v>10488</v>
      </c>
      <c r="AZ15" s="164">
        <f t="shared" si="5"/>
        <v>17246</v>
      </c>
      <c r="BA15" s="164">
        <f t="shared" si="6"/>
        <v>4319</v>
      </c>
      <c r="BB15" s="165"/>
      <c r="BC15" s="166">
        <f t="shared" si="7"/>
        <v>62877.9</v>
      </c>
      <c r="BD15" s="166">
        <f t="shared" si="8"/>
        <v>30744</v>
      </c>
      <c r="BE15" s="166">
        <f t="shared" si="9"/>
        <v>32133.9</v>
      </c>
      <c r="BF15" s="167"/>
      <c r="BG15" s="166">
        <f t="shared" si="10"/>
        <v>7684.6</v>
      </c>
      <c r="BH15" s="166">
        <f t="shared" si="11"/>
        <v>6741.6</v>
      </c>
      <c r="BI15" s="166">
        <f t="shared" si="12"/>
        <v>0</v>
      </c>
      <c r="BJ15" s="166">
        <f>SUM('Historical Orders'!$BG15:$BI15)</f>
        <v>14426.2</v>
      </c>
      <c r="BK15" s="167"/>
      <c r="BL15" s="166">
        <f t="shared" si="13"/>
        <v>0</v>
      </c>
      <c r="BM15" s="166">
        <f t="shared" si="14"/>
        <v>0</v>
      </c>
      <c r="BN15" s="166">
        <f t="shared" si="15"/>
        <v>16317.8</v>
      </c>
      <c r="BO15" s="166">
        <f>SUM('Historical Orders'!$BL15:$BN15)</f>
        <v>16317.8</v>
      </c>
      <c r="BP15" s="167"/>
      <c r="BQ15" s="166">
        <f t="shared" si="16"/>
        <v>6252.4</v>
      </c>
      <c r="BR15" s="166">
        <f t="shared" si="17"/>
        <v>6351.6</v>
      </c>
      <c r="BS15" s="166">
        <f t="shared" si="18"/>
        <v>0</v>
      </c>
      <c r="BT15" s="166">
        <f>SUM('Historical Orders'!$BQ15:$BS15)</f>
        <v>12604</v>
      </c>
      <c r="BU15" s="167"/>
      <c r="BV15" s="166">
        <f t="shared" si="19"/>
        <v>0</v>
      </c>
      <c r="BW15" s="166">
        <f t="shared" si="20"/>
        <v>0</v>
      </c>
      <c r="BX15" s="166">
        <f t="shared" si="21"/>
        <v>19529.9</v>
      </c>
      <c r="BY15" s="166">
        <f>SUM('Historical Orders'!$BV15:$BX15)</f>
        <v>19529.9</v>
      </c>
      <c r="BZ15" s="167"/>
      <c r="CA15" s="168">
        <f t="shared" si="22"/>
        <v>3</v>
      </c>
      <c r="CB15" s="168">
        <f t="shared" si="23"/>
        <v>3</v>
      </c>
      <c r="CC15" s="168">
        <f t="shared" si="24"/>
        <v>4</v>
      </c>
      <c r="CD15" s="168">
        <f t="shared" si="25"/>
        <v>2</v>
      </c>
      <c r="CE15" s="168">
        <f t="shared" si="26"/>
        <v>2</v>
      </c>
      <c r="CF15" s="169">
        <f t="shared" si="27"/>
        <v>2</v>
      </c>
      <c r="CG15" s="169">
        <f t="shared" si="28"/>
        <v>2</v>
      </c>
      <c r="CH15" s="170"/>
    </row>
    <row r="16">
      <c r="A16" s="151">
        <v>41869.0</v>
      </c>
      <c r="B16" s="152">
        <v>2.0</v>
      </c>
      <c r="C16" s="152" t="s">
        <v>45</v>
      </c>
      <c r="D16" s="152">
        <v>1.0</v>
      </c>
      <c r="E16" s="153">
        <v>2623.0</v>
      </c>
      <c r="F16" s="154">
        <v>2.2</v>
      </c>
      <c r="G16" s="155">
        <v>5770.6</v>
      </c>
      <c r="H16" s="159">
        <f>SUMIFS('Historical Orders'!$E16, 'Historical Orders'!$D16, "1", 'Historical Orders'!$C16, "A", 'Historical Orders'!$B16, "1")</f>
        <v>0</v>
      </c>
      <c r="I16" s="157">
        <f>SUMIFS('Historical Orders'!$G16, 'Historical Orders'!$D16, "1", 'Historical Orders'!$C16, "A", 'Historical Orders'!$B16, "1")</f>
        <v>0</v>
      </c>
      <c r="J16" s="157">
        <f>SUMIFS('Historical Orders'!$E16, 'Historical Orders'!$D16, "1", 'Historical Orders'!$C16, "B", 'Historical Orders'!$B16, "1")</f>
        <v>0</v>
      </c>
      <c r="K16" s="157">
        <f>SUMIFS('Historical Orders'!$G16, 'Historical Orders'!$D16, "1", 'Historical Orders'!$C16, "B", 'Historical Orders'!$B16, "1")</f>
        <v>0</v>
      </c>
      <c r="L16" s="159">
        <f>SUMIFS('Historical Orders'!$E16, 'Historical Orders'!$D16, "1", 'Historical Orders'!$C16, "A", 'Historical Orders'!$B16, "2")</f>
        <v>2623</v>
      </c>
      <c r="M16" s="157">
        <f>SUMIFS('Historical Orders'!$G16, 'Historical Orders'!$D16, "1", 'Historical Orders'!$C16, "A", 'Historical Orders'!$B16, "2")</f>
        <v>5770.6</v>
      </c>
      <c r="N16" s="157">
        <f>SUMIFS('Historical Orders'!$E16, 'Historical Orders'!$D16, "1", 'Historical Orders'!$C16, "B", 'Historical Orders'!$B16, "2")</f>
        <v>0</v>
      </c>
      <c r="O16" s="157">
        <f>SUMIFS('Historical Orders'!$G16, 'Historical Orders'!$D16, "1", 'Historical Orders'!$C16, "B", 'Historical Orders'!$B16, "2")</f>
        <v>0</v>
      </c>
      <c r="P16" s="159">
        <f>SUMIFS('Historical Orders'!$E16, 'Historical Orders'!$D16, "2", 'Historical Orders'!$C16, "A", 'Historical Orders'!$B16, "1")</f>
        <v>0</v>
      </c>
      <c r="Q16" s="157">
        <f>SUMIFS('Historical Orders'!$G16, 'Historical Orders'!$D16, "2", 'Historical Orders'!$C16, "A", 'Historical Orders'!$B16, "1")</f>
        <v>0</v>
      </c>
      <c r="R16" s="159">
        <f>SUMIFS('Historical Orders'!$E16, 'Historical Orders'!$D16, "2", 'Historical Orders'!$C16, "B", 'Historical Orders'!$B16, "1")</f>
        <v>0</v>
      </c>
      <c r="S16" s="157">
        <f>SUMIFS('Historical Orders'!$G16, 'Historical Orders'!$D16, "2", 'Historical Orders'!$C16, "B", 'Historical Orders'!$B16, "1")</f>
        <v>0</v>
      </c>
      <c r="T16" s="159">
        <f>SUMIFS('Historical Orders'!$E16, 'Historical Orders'!$D16, "2", 'Historical Orders'!$C16, "A", 'Historical Orders'!$B16, "2")</f>
        <v>0</v>
      </c>
      <c r="U16" s="157">
        <f>SUMIFS('Historical Orders'!$G16, 'Historical Orders'!$D16, "2", 'Historical Orders'!$C16, "A", 'Historical Orders'!$B16, "2")</f>
        <v>0</v>
      </c>
      <c r="V16" s="159">
        <f>SUMIFS('Historical Orders'!$E16, 'Historical Orders'!$D16, "2", 'Historical Orders'!$C16, "B", 'Historical Orders'!$B16, "2")</f>
        <v>0</v>
      </c>
      <c r="W16" s="159">
        <f>SUMIFS('Historical Orders'!$G16, 'Historical Orders'!$D16, "2", 'Historical Orders'!$C16, "B", 'Historical Orders'!$B16, "2")</f>
        <v>0</v>
      </c>
      <c r="X16" s="159">
        <f>SUMIFS('Historical Orders'!$E16, 'Historical Orders'!$D16, "3", 'Historical Orders'!$C16, "A", 'Historical Orders'!$B16, "1")</f>
        <v>0</v>
      </c>
      <c r="Y16" s="159">
        <f>SUMIFS('Historical Orders'!$G16, 'Historical Orders'!$D16, "3", 'Historical Orders'!$C16, "A", 'Historical Orders'!$B16, "1")</f>
        <v>0</v>
      </c>
      <c r="Z16" s="159">
        <f>SUMIFS('Historical Orders'!$E16, 'Historical Orders'!$D16, "3", 'Historical Orders'!$C16, "B", 'Historical Orders'!$B16, "1")</f>
        <v>0</v>
      </c>
      <c r="AA16" s="159">
        <f>SUMIFS('Historical Orders'!$G16, 'Historical Orders'!$D16, "3", 'Historical Orders'!$C16, "B", 'Historical Orders'!$B16, "1")</f>
        <v>0</v>
      </c>
      <c r="AB16" s="159">
        <f>SUMIFS('Historical Orders'!$E16, 'Historical Orders'!$D16, "3", 'Historical Orders'!$C16, "A", 'Historical Orders'!$B16, "2")</f>
        <v>0</v>
      </c>
      <c r="AC16" s="159">
        <f>SUMIFS('Historical Orders'!$G16, 'Historical Orders'!$D16, "3", 'Historical Orders'!$C16, "A", 'Historical Orders'!$B16, "2")</f>
        <v>0</v>
      </c>
      <c r="AD16" s="159">
        <f>SUMIFS('Historical Orders'!$E16, 'Historical Orders'!$D16, "3", 'Historical Orders'!$C16, "B", 'Historical Orders'!$B16, "2")</f>
        <v>0</v>
      </c>
      <c r="AE16" s="157">
        <f>SUMIFS('Historical Orders'!$G16, 'Historical Orders'!$D16, "3", 'Historical Orders'!$C16, "B", 'Historical Orders'!$B16, "2")</f>
        <v>0</v>
      </c>
      <c r="AF16" s="157">
        <f>SUMIFS('Historical Orders'!$E16, 'Historical Orders'!$D16, "4", 'Historical Orders'!$C16, "A", 'Historical Orders'!$B16, "1")</f>
        <v>0</v>
      </c>
      <c r="AG16" s="157">
        <f>SUMIFS('Historical Orders'!$G16, 'Historical Orders'!$D16, "4", 'Historical Orders'!$C16, "A", 'Historical Orders'!$B16, "1")</f>
        <v>0</v>
      </c>
      <c r="AH16" s="157">
        <f>SUMIFS('Historical Orders'!$E16, 'Historical Orders'!$D16, "4", 'Historical Orders'!$C16, "B", 'Historical Orders'!$B16, "1")</f>
        <v>0</v>
      </c>
      <c r="AI16" s="157">
        <f>SUMIFS('Historical Orders'!$G16, 'Historical Orders'!$D16, "4", 'Historical Orders'!$C16, "B", 'Historical Orders'!$B16, "1")</f>
        <v>0</v>
      </c>
      <c r="AJ16" s="157">
        <f>SUMIFS('Historical Orders'!$E16, 'Historical Orders'!$D16, "4", 'Historical Orders'!$C16, "A", 'Historical Orders'!$B16, "2")</f>
        <v>0</v>
      </c>
      <c r="AK16" s="157">
        <f>SUMIFS('Historical Orders'!$G16, 'Historical Orders'!$D16, "4", 'Historical Orders'!$C16, "A", 'Historical Orders'!$B16, "2")</f>
        <v>0</v>
      </c>
      <c r="AL16" s="171">
        <f>SUMIFS('Historical Orders'!$E16, 'Historical Orders'!$D16, "4", 'Historical Orders'!$C16, "B", 'Historical Orders'!$B16, "2")</f>
        <v>0</v>
      </c>
      <c r="AM16" s="171">
        <f>SUMIFS('Historical Orders'!$G16, 'Historical Orders'!$D16, "4", 'Historical Orders'!$C16, "B", 'Historical Orders'!$B16, "2")</f>
        <v>0</v>
      </c>
      <c r="AN16" s="171">
        <f>SUMIFS('Historical Orders'!$G16, 'Historical Orders'!$C16, "A", 'Historical Orders'!$B16, "1")</f>
        <v>0</v>
      </c>
      <c r="AO16" s="171">
        <f>SUMIFS('Historical Orders'!$G16, 'Historical Orders'!$C16, "B", 'Historical Orders'!$B16, "1")</f>
        <v>0</v>
      </c>
      <c r="AP16" s="171">
        <f>SUMIFS('Historical Orders'!$G16, 'Historical Orders'!$C16, "A", 'Historical Orders'!$B16, "2")</f>
        <v>5770.6</v>
      </c>
      <c r="AQ16" s="171">
        <f>SUMIFS('Historical Orders'!$G16, 'Historical Orders'!$C16, "B", 'Historical Orders'!$B16, "2")</f>
        <v>0</v>
      </c>
      <c r="AR16" s="145"/>
      <c r="AS16" s="146"/>
      <c r="AT16" s="161">
        <v>41953.0</v>
      </c>
      <c r="AU16" s="162"/>
      <c r="AV16" s="163">
        <f t="shared" si="1"/>
        <v>41953</v>
      </c>
      <c r="AW16" s="164">
        <f t="shared" si="2"/>
        <v>25741</v>
      </c>
      <c r="AX16" s="164">
        <f t="shared" si="3"/>
        <v>13151</v>
      </c>
      <c r="AY16" s="164">
        <f t="shared" si="4"/>
        <v>12590</v>
      </c>
      <c r="AZ16" s="164">
        <f t="shared" si="5"/>
        <v>21351</v>
      </c>
      <c r="BA16" s="164">
        <f t="shared" si="6"/>
        <v>4390</v>
      </c>
      <c r="BB16" s="165"/>
      <c r="BC16" s="166">
        <f t="shared" si="7"/>
        <v>70646.2</v>
      </c>
      <c r="BD16" s="166">
        <f t="shared" si="8"/>
        <v>33931.7</v>
      </c>
      <c r="BE16" s="166">
        <f t="shared" si="9"/>
        <v>36714.5</v>
      </c>
      <c r="BF16" s="167"/>
      <c r="BG16" s="166">
        <f t="shared" si="10"/>
        <v>10643.6</v>
      </c>
      <c r="BH16" s="166">
        <f t="shared" si="11"/>
        <v>7725.6</v>
      </c>
      <c r="BI16" s="166">
        <f t="shared" si="12"/>
        <v>0</v>
      </c>
      <c r="BJ16" s="166">
        <f>SUM('Historical Orders'!$BG16:$BI16)</f>
        <v>18369.2</v>
      </c>
      <c r="BK16" s="167"/>
      <c r="BL16" s="166">
        <f t="shared" si="13"/>
        <v>0</v>
      </c>
      <c r="BM16" s="166">
        <f t="shared" si="14"/>
        <v>0</v>
      </c>
      <c r="BN16" s="166">
        <f t="shared" si="15"/>
        <v>15562.5</v>
      </c>
      <c r="BO16" s="166">
        <f>SUM('Historical Orders'!$BL16:$BN16)</f>
        <v>15562.5</v>
      </c>
      <c r="BP16" s="167"/>
      <c r="BQ16" s="166">
        <f t="shared" si="16"/>
        <v>8250</v>
      </c>
      <c r="BR16" s="166">
        <f t="shared" si="17"/>
        <v>7590</v>
      </c>
      <c r="BS16" s="166">
        <f t="shared" si="18"/>
        <v>0</v>
      </c>
      <c r="BT16" s="166">
        <f>SUM('Historical Orders'!$BQ16:$BS16)</f>
        <v>15840</v>
      </c>
      <c r="BU16" s="167"/>
      <c r="BV16" s="166">
        <f t="shared" si="19"/>
        <v>0</v>
      </c>
      <c r="BW16" s="166">
        <f t="shared" si="20"/>
        <v>0</v>
      </c>
      <c r="BX16" s="166">
        <f t="shared" si="21"/>
        <v>20874.5</v>
      </c>
      <c r="BY16" s="166">
        <f>SUM('Historical Orders'!$BV16:$BX16)</f>
        <v>20874.5</v>
      </c>
      <c r="BZ16" s="167"/>
      <c r="CA16" s="168">
        <f t="shared" si="22"/>
        <v>3</v>
      </c>
      <c r="CB16" s="168">
        <f t="shared" si="23"/>
        <v>3</v>
      </c>
      <c r="CC16" s="168">
        <f t="shared" si="24"/>
        <v>4</v>
      </c>
      <c r="CD16" s="168">
        <f t="shared" si="25"/>
        <v>2</v>
      </c>
      <c r="CE16" s="168">
        <f t="shared" si="26"/>
        <v>2</v>
      </c>
      <c r="CF16" s="169">
        <f t="shared" si="27"/>
        <v>2</v>
      </c>
      <c r="CG16" s="169">
        <f t="shared" si="28"/>
        <v>2</v>
      </c>
      <c r="CH16" s="170"/>
    </row>
    <row r="17">
      <c r="A17" s="151">
        <v>41869.0</v>
      </c>
      <c r="B17" s="152">
        <v>2.0</v>
      </c>
      <c r="C17" s="152" t="s">
        <v>45</v>
      </c>
      <c r="D17" s="152">
        <v>2.0</v>
      </c>
      <c r="E17" s="153">
        <v>4908.0</v>
      </c>
      <c r="F17" s="154">
        <v>1.2</v>
      </c>
      <c r="G17" s="155">
        <v>5889.599999999999</v>
      </c>
      <c r="H17" s="159">
        <f>SUMIFS('Historical Orders'!$E17, 'Historical Orders'!$D17, "1", 'Historical Orders'!$C17, "A", 'Historical Orders'!$B17, "1")</f>
        <v>0</v>
      </c>
      <c r="I17" s="157">
        <f>SUMIFS('Historical Orders'!$G17, 'Historical Orders'!$D17, "1", 'Historical Orders'!$C17, "A", 'Historical Orders'!$B17, "1")</f>
        <v>0</v>
      </c>
      <c r="J17" s="157">
        <f>SUMIFS('Historical Orders'!$E17, 'Historical Orders'!$D17, "1", 'Historical Orders'!$C17, "B", 'Historical Orders'!$B17, "1")</f>
        <v>0</v>
      </c>
      <c r="K17" s="157">
        <f>SUMIFS('Historical Orders'!$G17, 'Historical Orders'!$D17, "1", 'Historical Orders'!$C17, "B", 'Historical Orders'!$B17, "1")</f>
        <v>0</v>
      </c>
      <c r="L17" s="159">
        <f>SUMIFS('Historical Orders'!$E17, 'Historical Orders'!$D17, "1", 'Historical Orders'!$C17, "A", 'Historical Orders'!$B17, "2")</f>
        <v>0</v>
      </c>
      <c r="M17" s="157">
        <f>SUMIFS('Historical Orders'!$G17, 'Historical Orders'!$D17, "1", 'Historical Orders'!$C17, "A", 'Historical Orders'!$B17, "2")</f>
        <v>0</v>
      </c>
      <c r="N17" s="157">
        <f>SUMIFS('Historical Orders'!$E17, 'Historical Orders'!$D17, "1", 'Historical Orders'!$C17, "B", 'Historical Orders'!$B17, "2")</f>
        <v>0</v>
      </c>
      <c r="O17" s="157">
        <f>SUMIFS('Historical Orders'!$G17, 'Historical Orders'!$D17, "1", 'Historical Orders'!$C17, "B", 'Historical Orders'!$B17, "2")</f>
        <v>0</v>
      </c>
      <c r="P17" s="159">
        <f>SUMIFS('Historical Orders'!$E17, 'Historical Orders'!$D17, "2", 'Historical Orders'!$C17, "A", 'Historical Orders'!$B17, "1")</f>
        <v>0</v>
      </c>
      <c r="Q17" s="157">
        <f>SUMIFS('Historical Orders'!$G17, 'Historical Orders'!$D17, "2", 'Historical Orders'!$C17, "A", 'Historical Orders'!$B17, "1")</f>
        <v>0</v>
      </c>
      <c r="R17" s="159">
        <f>SUMIFS('Historical Orders'!$E17, 'Historical Orders'!$D17, "2", 'Historical Orders'!$C17, "B", 'Historical Orders'!$B17, "1")</f>
        <v>0</v>
      </c>
      <c r="S17" s="157">
        <f>SUMIFS('Historical Orders'!$G17, 'Historical Orders'!$D17, "2", 'Historical Orders'!$C17, "B", 'Historical Orders'!$B17, "1")</f>
        <v>0</v>
      </c>
      <c r="T17" s="159">
        <f>SUMIFS('Historical Orders'!$E17, 'Historical Orders'!$D17, "2", 'Historical Orders'!$C17, "A", 'Historical Orders'!$B17, "2")</f>
        <v>4908</v>
      </c>
      <c r="U17" s="157">
        <f>SUMIFS('Historical Orders'!$G17, 'Historical Orders'!$D17, "2", 'Historical Orders'!$C17, "A", 'Historical Orders'!$B17, "2")</f>
        <v>5889.6</v>
      </c>
      <c r="V17" s="159">
        <f>SUMIFS('Historical Orders'!$E17, 'Historical Orders'!$D17, "2", 'Historical Orders'!$C17, "B", 'Historical Orders'!$B17, "2")</f>
        <v>0</v>
      </c>
      <c r="W17" s="159">
        <f>SUMIFS('Historical Orders'!$G17, 'Historical Orders'!$D17, "2", 'Historical Orders'!$C17, "B", 'Historical Orders'!$B17, "2")</f>
        <v>0</v>
      </c>
      <c r="X17" s="159">
        <f>SUMIFS('Historical Orders'!$E17, 'Historical Orders'!$D17, "3", 'Historical Orders'!$C17, "A", 'Historical Orders'!$B17, "1")</f>
        <v>0</v>
      </c>
      <c r="Y17" s="159">
        <f>SUMIFS('Historical Orders'!$G17, 'Historical Orders'!$D17, "3", 'Historical Orders'!$C17, "A", 'Historical Orders'!$B17, "1")</f>
        <v>0</v>
      </c>
      <c r="Z17" s="159">
        <f>SUMIFS('Historical Orders'!$E17, 'Historical Orders'!$D17, "3", 'Historical Orders'!$C17, "B", 'Historical Orders'!$B17, "1")</f>
        <v>0</v>
      </c>
      <c r="AA17" s="159">
        <f>SUMIFS('Historical Orders'!$G17, 'Historical Orders'!$D17, "3", 'Historical Orders'!$C17, "B", 'Historical Orders'!$B17, "1")</f>
        <v>0</v>
      </c>
      <c r="AB17" s="159">
        <f>SUMIFS('Historical Orders'!$E17, 'Historical Orders'!$D17, "3", 'Historical Orders'!$C17, "A", 'Historical Orders'!$B17, "2")</f>
        <v>0</v>
      </c>
      <c r="AC17" s="159">
        <f>SUMIFS('Historical Orders'!$G17, 'Historical Orders'!$D17, "3", 'Historical Orders'!$C17, "A", 'Historical Orders'!$B17, "2")</f>
        <v>0</v>
      </c>
      <c r="AD17" s="159">
        <f>SUMIFS('Historical Orders'!$E17, 'Historical Orders'!$D17, "3", 'Historical Orders'!$C17, "B", 'Historical Orders'!$B17, "2")</f>
        <v>0</v>
      </c>
      <c r="AE17" s="157">
        <f>SUMIFS('Historical Orders'!$G17, 'Historical Orders'!$D17, "3", 'Historical Orders'!$C17, "B", 'Historical Orders'!$B17, "2")</f>
        <v>0</v>
      </c>
      <c r="AF17" s="157">
        <f>SUMIFS('Historical Orders'!$E17, 'Historical Orders'!$D17, "4", 'Historical Orders'!$C17, "A", 'Historical Orders'!$B17, "1")</f>
        <v>0</v>
      </c>
      <c r="AG17" s="157">
        <f>SUMIFS('Historical Orders'!$G17, 'Historical Orders'!$D17, "4", 'Historical Orders'!$C17, "A", 'Historical Orders'!$B17, "1")</f>
        <v>0</v>
      </c>
      <c r="AH17" s="157">
        <f>SUMIFS('Historical Orders'!$E17, 'Historical Orders'!$D17, "4", 'Historical Orders'!$C17, "B", 'Historical Orders'!$B17, "1")</f>
        <v>0</v>
      </c>
      <c r="AI17" s="157">
        <f>SUMIFS('Historical Orders'!$G17, 'Historical Orders'!$D17, "4", 'Historical Orders'!$C17, "B", 'Historical Orders'!$B17, "1")</f>
        <v>0</v>
      </c>
      <c r="AJ17" s="157">
        <f>SUMIFS('Historical Orders'!$E17, 'Historical Orders'!$D17, "4", 'Historical Orders'!$C17, "A", 'Historical Orders'!$B17, "2")</f>
        <v>0</v>
      </c>
      <c r="AK17" s="157">
        <f>SUMIFS('Historical Orders'!$G17, 'Historical Orders'!$D17, "4", 'Historical Orders'!$C17, "A", 'Historical Orders'!$B17, "2")</f>
        <v>0</v>
      </c>
      <c r="AL17" s="171">
        <f>SUMIFS('Historical Orders'!$E17, 'Historical Orders'!$D17, "4", 'Historical Orders'!$C17, "B", 'Historical Orders'!$B17, "2")</f>
        <v>0</v>
      </c>
      <c r="AM17" s="171">
        <f>SUMIFS('Historical Orders'!$G17, 'Historical Orders'!$D17, "4", 'Historical Orders'!$C17, "B", 'Historical Orders'!$B17, "2")</f>
        <v>0</v>
      </c>
      <c r="AN17" s="171">
        <f>SUMIFS('Historical Orders'!$G17, 'Historical Orders'!$C17, "A", 'Historical Orders'!$B17, "1")</f>
        <v>0</v>
      </c>
      <c r="AO17" s="171">
        <f>SUMIFS('Historical Orders'!$G17, 'Historical Orders'!$C17, "B", 'Historical Orders'!$B17, "1")</f>
        <v>0</v>
      </c>
      <c r="AP17" s="171">
        <f>SUMIFS('Historical Orders'!$G17, 'Historical Orders'!$C17, "A", 'Historical Orders'!$B17, "2")</f>
        <v>5889.6</v>
      </c>
      <c r="AQ17" s="171">
        <f>SUMIFS('Historical Orders'!$G17, 'Historical Orders'!$C17, "B", 'Historical Orders'!$B17, "2")</f>
        <v>0</v>
      </c>
      <c r="AR17" s="145"/>
      <c r="AS17" s="146"/>
      <c r="AT17" s="161">
        <v>41960.0</v>
      </c>
      <c r="AU17" s="162"/>
      <c r="AV17" s="163">
        <f t="shared" si="1"/>
        <v>41960</v>
      </c>
      <c r="AW17" s="164">
        <f t="shared" si="2"/>
        <v>22045</v>
      </c>
      <c r="AX17" s="164">
        <f t="shared" si="3"/>
        <v>11104</v>
      </c>
      <c r="AY17" s="164">
        <f t="shared" si="4"/>
        <v>10941</v>
      </c>
      <c r="AZ17" s="164">
        <f t="shared" si="5"/>
        <v>18441</v>
      </c>
      <c r="BA17" s="164">
        <f t="shared" si="6"/>
        <v>3604</v>
      </c>
      <c r="BB17" s="165"/>
      <c r="BC17" s="166">
        <f t="shared" si="7"/>
        <v>57895.4</v>
      </c>
      <c r="BD17" s="166">
        <f t="shared" si="8"/>
        <v>29650.6</v>
      </c>
      <c r="BE17" s="166">
        <f t="shared" si="9"/>
        <v>28244.8</v>
      </c>
      <c r="BF17" s="167"/>
      <c r="BG17" s="166">
        <f t="shared" si="10"/>
        <v>7832</v>
      </c>
      <c r="BH17" s="166">
        <f t="shared" si="11"/>
        <v>6895.2</v>
      </c>
      <c r="BI17" s="166">
        <f t="shared" si="12"/>
        <v>0</v>
      </c>
      <c r="BJ17" s="166">
        <f>SUM('Historical Orders'!$BG17:$BI17)</f>
        <v>14727.2</v>
      </c>
      <c r="BK17" s="167"/>
      <c r="BL17" s="166">
        <f t="shared" si="13"/>
        <v>0</v>
      </c>
      <c r="BM17" s="166">
        <f t="shared" si="14"/>
        <v>0</v>
      </c>
      <c r="BN17" s="166">
        <f t="shared" si="15"/>
        <v>14923.4</v>
      </c>
      <c r="BO17" s="166">
        <f>SUM('Historical Orders'!$BL17:$BN17)</f>
        <v>14923.4</v>
      </c>
      <c r="BP17" s="167"/>
      <c r="BQ17" s="166">
        <f t="shared" si="16"/>
        <v>5044.6</v>
      </c>
      <c r="BR17" s="166">
        <f t="shared" si="17"/>
        <v>8210.4</v>
      </c>
      <c r="BS17" s="166">
        <f t="shared" si="18"/>
        <v>0</v>
      </c>
      <c r="BT17" s="166">
        <f>SUM('Historical Orders'!$BQ17:$BS17)</f>
        <v>13255</v>
      </c>
      <c r="BU17" s="167"/>
      <c r="BV17" s="166">
        <f t="shared" si="19"/>
        <v>0</v>
      </c>
      <c r="BW17" s="166">
        <f t="shared" si="20"/>
        <v>0</v>
      </c>
      <c r="BX17" s="166">
        <f t="shared" si="21"/>
        <v>14989.8</v>
      </c>
      <c r="BY17" s="166">
        <f>SUM('Historical Orders'!$BV17:$BX17)</f>
        <v>14989.8</v>
      </c>
      <c r="BZ17" s="167"/>
      <c r="CA17" s="168">
        <f t="shared" si="22"/>
        <v>3</v>
      </c>
      <c r="CB17" s="168">
        <f t="shared" si="23"/>
        <v>3</v>
      </c>
      <c r="CC17" s="168">
        <f t="shared" si="24"/>
        <v>4</v>
      </c>
      <c r="CD17" s="168">
        <f t="shared" si="25"/>
        <v>2</v>
      </c>
      <c r="CE17" s="168">
        <f t="shared" si="26"/>
        <v>2</v>
      </c>
      <c r="CF17" s="169">
        <f t="shared" si="27"/>
        <v>2</v>
      </c>
      <c r="CG17" s="169">
        <f t="shared" si="28"/>
        <v>2</v>
      </c>
      <c r="CH17" s="170"/>
    </row>
    <row r="18">
      <c r="A18" s="151">
        <v>41869.0</v>
      </c>
      <c r="B18" s="152">
        <v>1.0</v>
      </c>
      <c r="C18" s="152" t="s">
        <v>46</v>
      </c>
      <c r="D18" s="152">
        <v>3.0</v>
      </c>
      <c r="E18" s="153">
        <v>1782.0</v>
      </c>
      <c r="F18" s="154">
        <v>8.3</v>
      </c>
      <c r="G18" s="155">
        <v>14790.6</v>
      </c>
      <c r="H18" s="159">
        <f>SUMIFS('Historical Orders'!$E18, 'Historical Orders'!$D18, "1", 'Historical Orders'!$C18, "A", 'Historical Orders'!$B18, "1")</f>
        <v>0</v>
      </c>
      <c r="I18" s="157">
        <f>SUMIFS('Historical Orders'!$G18, 'Historical Orders'!$D18, "1", 'Historical Orders'!$C18, "A", 'Historical Orders'!$B18, "1")</f>
        <v>0</v>
      </c>
      <c r="J18" s="157">
        <f>SUMIFS('Historical Orders'!$E18, 'Historical Orders'!$D18, "1", 'Historical Orders'!$C18, "B", 'Historical Orders'!$B18, "1")</f>
        <v>0</v>
      </c>
      <c r="K18" s="157">
        <f>SUMIFS('Historical Orders'!$G18, 'Historical Orders'!$D18, "1", 'Historical Orders'!$C18, "B", 'Historical Orders'!$B18, "1")</f>
        <v>0</v>
      </c>
      <c r="L18" s="159">
        <f>SUMIFS('Historical Orders'!$E18, 'Historical Orders'!$D18, "1", 'Historical Orders'!$C18, "A", 'Historical Orders'!$B18, "2")</f>
        <v>0</v>
      </c>
      <c r="M18" s="157">
        <f>SUMIFS('Historical Orders'!$G18, 'Historical Orders'!$D18, "1", 'Historical Orders'!$C18, "A", 'Historical Orders'!$B18, "2")</f>
        <v>0</v>
      </c>
      <c r="N18" s="157">
        <f>SUMIFS('Historical Orders'!$E18, 'Historical Orders'!$D18, "1", 'Historical Orders'!$C18, "B", 'Historical Orders'!$B18, "2")</f>
        <v>0</v>
      </c>
      <c r="O18" s="157">
        <f>SUMIFS('Historical Orders'!$G18, 'Historical Orders'!$D18, "1", 'Historical Orders'!$C18, "B", 'Historical Orders'!$B18, "2")</f>
        <v>0</v>
      </c>
      <c r="P18" s="159">
        <f>SUMIFS('Historical Orders'!$E18, 'Historical Orders'!$D18, "2", 'Historical Orders'!$C18, "A", 'Historical Orders'!$B18, "1")</f>
        <v>0</v>
      </c>
      <c r="Q18" s="157">
        <f>SUMIFS('Historical Orders'!$G18, 'Historical Orders'!$D18, "2", 'Historical Orders'!$C18, "A", 'Historical Orders'!$B18, "1")</f>
        <v>0</v>
      </c>
      <c r="R18" s="159">
        <f>SUMIFS('Historical Orders'!$E18, 'Historical Orders'!$D18, "2", 'Historical Orders'!$C18, "B", 'Historical Orders'!$B18, "1")</f>
        <v>0</v>
      </c>
      <c r="S18" s="157">
        <f>SUMIFS('Historical Orders'!$G18, 'Historical Orders'!$D18, "2", 'Historical Orders'!$C18, "B", 'Historical Orders'!$B18, "1")</f>
        <v>0</v>
      </c>
      <c r="T18" s="159">
        <f>SUMIFS('Historical Orders'!$E18, 'Historical Orders'!$D18, "2", 'Historical Orders'!$C18, "A", 'Historical Orders'!$B18, "2")</f>
        <v>0</v>
      </c>
      <c r="U18" s="157">
        <f>SUMIFS('Historical Orders'!$G18, 'Historical Orders'!$D18, "2", 'Historical Orders'!$C18, "A", 'Historical Orders'!$B18, "2")</f>
        <v>0</v>
      </c>
      <c r="V18" s="159">
        <f>SUMIFS('Historical Orders'!$E18, 'Historical Orders'!$D18, "2", 'Historical Orders'!$C18, "B", 'Historical Orders'!$B18, "2")</f>
        <v>0</v>
      </c>
      <c r="W18" s="159">
        <f>SUMIFS('Historical Orders'!$G18, 'Historical Orders'!$D18, "2", 'Historical Orders'!$C18, "B", 'Historical Orders'!$B18, "2")</f>
        <v>0</v>
      </c>
      <c r="X18" s="159">
        <f>SUMIFS('Historical Orders'!$E18, 'Historical Orders'!$D18, "3", 'Historical Orders'!$C18, "A", 'Historical Orders'!$B18, "1")</f>
        <v>0</v>
      </c>
      <c r="Y18" s="159">
        <f>SUMIFS('Historical Orders'!$G18, 'Historical Orders'!$D18, "3", 'Historical Orders'!$C18, "A", 'Historical Orders'!$B18, "1")</f>
        <v>0</v>
      </c>
      <c r="Z18" s="159">
        <f>SUMIFS('Historical Orders'!$E18, 'Historical Orders'!$D18, "3", 'Historical Orders'!$C18, "B", 'Historical Orders'!$B18, "1")</f>
        <v>1782</v>
      </c>
      <c r="AA18" s="159">
        <f>SUMIFS('Historical Orders'!$G18, 'Historical Orders'!$D18, "3", 'Historical Orders'!$C18, "B", 'Historical Orders'!$B18, "1")</f>
        <v>14790.6</v>
      </c>
      <c r="AB18" s="159">
        <f>SUMIFS('Historical Orders'!$E18, 'Historical Orders'!$D18, "3", 'Historical Orders'!$C18, "A", 'Historical Orders'!$B18, "2")</f>
        <v>0</v>
      </c>
      <c r="AC18" s="159">
        <f>SUMIFS('Historical Orders'!$G18, 'Historical Orders'!$D18, "3", 'Historical Orders'!$C18, "A", 'Historical Orders'!$B18, "2")</f>
        <v>0</v>
      </c>
      <c r="AD18" s="159">
        <f>SUMIFS('Historical Orders'!$E18, 'Historical Orders'!$D18, "3", 'Historical Orders'!$C18, "B", 'Historical Orders'!$B18, "2")</f>
        <v>0</v>
      </c>
      <c r="AE18" s="157">
        <f>SUMIFS('Historical Orders'!$G18, 'Historical Orders'!$D18, "3", 'Historical Orders'!$C18, "B", 'Historical Orders'!$B18, "2")</f>
        <v>0</v>
      </c>
      <c r="AF18" s="157">
        <f>SUMIFS('Historical Orders'!$E18, 'Historical Orders'!$D18, "4", 'Historical Orders'!$C18, "A", 'Historical Orders'!$B18, "1")</f>
        <v>0</v>
      </c>
      <c r="AG18" s="157">
        <f>SUMIFS('Historical Orders'!$G18, 'Historical Orders'!$D18, "4", 'Historical Orders'!$C18, "A", 'Historical Orders'!$B18, "1")</f>
        <v>0</v>
      </c>
      <c r="AH18" s="157">
        <f>SUMIFS('Historical Orders'!$E18, 'Historical Orders'!$D18, "4", 'Historical Orders'!$C18, "B", 'Historical Orders'!$B18, "1")</f>
        <v>0</v>
      </c>
      <c r="AI18" s="157">
        <f>SUMIFS('Historical Orders'!$G18, 'Historical Orders'!$D18, "4", 'Historical Orders'!$C18, "B", 'Historical Orders'!$B18, "1")</f>
        <v>0</v>
      </c>
      <c r="AJ18" s="157">
        <f>SUMIFS('Historical Orders'!$E18, 'Historical Orders'!$D18, "4", 'Historical Orders'!$C18, "A", 'Historical Orders'!$B18, "2")</f>
        <v>0</v>
      </c>
      <c r="AK18" s="157">
        <f>SUMIFS('Historical Orders'!$G18, 'Historical Orders'!$D18, "4", 'Historical Orders'!$C18, "A", 'Historical Orders'!$B18, "2")</f>
        <v>0</v>
      </c>
      <c r="AL18" s="171">
        <f>SUMIFS('Historical Orders'!$E18, 'Historical Orders'!$D18, "4", 'Historical Orders'!$C18, "B", 'Historical Orders'!$B18, "2")</f>
        <v>0</v>
      </c>
      <c r="AM18" s="171">
        <f>SUMIFS('Historical Orders'!$G18, 'Historical Orders'!$D18, "4", 'Historical Orders'!$C18, "B", 'Historical Orders'!$B18, "2")</f>
        <v>0</v>
      </c>
      <c r="AN18" s="171">
        <f>SUMIFS('Historical Orders'!$G18, 'Historical Orders'!$C18, "A", 'Historical Orders'!$B18, "1")</f>
        <v>0</v>
      </c>
      <c r="AO18" s="171">
        <f>SUMIFS('Historical Orders'!$G18, 'Historical Orders'!$C18, "B", 'Historical Orders'!$B18, "1")</f>
        <v>14790.6</v>
      </c>
      <c r="AP18" s="171">
        <f>SUMIFS('Historical Orders'!$G18, 'Historical Orders'!$C18, "A", 'Historical Orders'!$B18, "2")</f>
        <v>0</v>
      </c>
      <c r="AQ18" s="171">
        <f>SUMIFS('Historical Orders'!$G18, 'Historical Orders'!$C18, "B", 'Historical Orders'!$B18, "2")</f>
        <v>0</v>
      </c>
      <c r="AR18" s="145"/>
      <c r="AS18" s="146"/>
      <c r="AT18" s="161">
        <v>41967.0</v>
      </c>
      <c r="AU18" s="162"/>
      <c r="AV18" s="163">
        <f t="shared" si="1"/>
        <v>41967</v>
      </c>
      <c r="AW18" s="164">
        <f t="shared" si="2"/>
        <v>20862</v>
      </c>
      <c r="AX18" s="164">
        <f t="shared" si="3"/>
        <v>11206</v>
      </c>
      <c r="AY18" s="164">
        <f t="shared" si="4"/>
        <v>9656</v>
      </c>
      <c r="AZ18" s="164">
        <f t="shared" si="5"/>
        <v>16935</v>
      </c>
      <c r="BA18" s="164">
        <f t="shared" si="6"/>
        <v>3927</v>
      </c>
      <c r="BB18" s="165"/>
      <c r="BC18" s="166">
        <f t="shared" si="7"/>
        <v>60540.1</v>
      </c>
      <c r="BD18" s="166">
        <f t="shared" si="8"/>
        <v>31457.9</v>
      </c>
      <c r="BE18" s="166">
        <f t="shared" si="9"/>
        <v>29082.2</v>
      </c>
      <c r="BF18" s="167"/>
      <c r="BG18" s="166">
        <f t="shared" si="10"/>
        <v>9523.8</v>
      </c>
      <c r="BH18" s="166">
        <f t="shared" si="11"/>
        <v>5940</v>
      </c>
      <c r="BI18" s="166">
        <f t="shared" si="12"/>
        <v>0</v>
      </c>
      <c r="BJ18" s="166">
        <f>SUM('Historical Orders'!$BG18:$BI18)</f>
        <v>15463.8</v>
      </c>
      <c r="BK18" s="167"/>
      <c r="BL18" s="166">
        <f t="shared" si="13"/>
        <v>0</v>
      </c>
      <c r="BM18" s="166">
        <f t="shared" si="14"/>
        <v>0</v>
      </c>
      <c r="BN18" s="166">
        <f t="shared" si="15"/>
        <v>15994.1</v>
      </c>
      <c r="BO18" s="166">
        <f>SUM('Historical Orders'!$BL18:$BN18)</f>
        <v>15994.1</v>
      </c>
      <c r="BP18" s="167"/>
      <c r="BQ18" s="166">
        <f t="shared" si="16"/>
        <v>7249</v>
      </c>
      <c r="BR18" s="166">
        <f t="shared" si="17"/>
        <v>5233.2</v>
      </c>
      <c r="BS18" s="166">
        <f t="shared" si="18"/>
        <v>0</v>
      </c>
      <c r="BT18" s="166">
        <f>SUM('Historical Orders'!$BQ18:$BS18)</f>
        <v>12482.2</v>
      </c>
      <c r="BU18" s="167"/>
      <c r="BV18" s="166">
        <f t="shared" si="19"/>
        <v>0</v>
      </c>
      <c r="BW18" s="166">
        <f t="shared" si="20"/>
        <v>0</v>
      </c>
      <c r="BX18" s="166">
        <f t="shared" si="21"/>
        <v>16600</v>
      </c>
      <c r="BY18" s="166">
        <f>SUM('Historical Orders'!$BV18:$BX18)</f>
        <v>16600</v>
      </c>
      <c r="BZ18" s="167"/>
      <c r="CA18" s="168">
        <f t="shared" si="22"/>
        <v>3</v>
      </c>
      <c r="CB18" s="168">
        <f t="shared" si="23"/>
        <v>3</v>
      </c>
      <c r="CC18" s="168">
        <f t="shared" si="24"/>
        <v>4</v>
      </c>
      <c r="CD18" s="168">
        <f t="shared" si="25"/>
        <v>2</v>
      </c>
      <c r="CE18" s="168">
        <f t="shared" si="26"/>
        <v>2</v>
      </c>
      <c r="CF18" s="169">
        <f t="shared" si="27"/>
        <v>2</v>
      </c>
      <c r="CG18" s="169">
        <f t="shared" si="28"/>
        <v>2</v>
      </c>
      <c r="CH18" s="170"/>
    </row>
    <row r="19">
      <c r="A19" s="151">
        <v>41869.0</v>
      </c>
      <c r="B19" s="152">
        <v>2.0</v>
      </c>
      <c r="C19" s="152" t="s">
        <v>46</v>
      </c>
      <c r="D19" s="152">
        <v>3.0</v>
      </c>
      <c r="E19" s="153">
        <v>2377.0</v>
      </c>
      <c r="F19" s="154">
        <v>8.3</v>
      </c>
      <c r="G19" s="155">
        <v>19729.100000000002</v>
      </c>
      <c r="H19" s="159">
        <f>SUMIFS('Historical Orders'!$E19, 'Historical Orders'!$D19, "1", 'Historical Orders'!$C19, "A", 'Historical Orders'!$B19, "1")</f>
        <v>0</v>
      </c>
      <c r="I19" s="157">
        <f>SUMIFS('Historical Orders'!$G19, 'Historical Orders'!$D19, "1", 'Historical Orders'!$C19, "A", 'Historical Orders'!$B19, "1")</f>
        <v>0</v>
      </c>
      <c r="J19" s="157">
        <f>SUMIFS('Historical Orders'!$E19, 'Historical Orders'!$D19, "1", 'Historical Orders'!$C19, "B", 'Historical Orders'!$B19, "1")</f>
        <v>0</v>
      </c>
      <c r="K19" s="157">
        <f>SUMIFS('Historical Orders'!$G19, 'Historical Orders'!$D19, "1", 'Historical Orders'!$C19, "B", 'Historical Orders'!$B19, "1")</f>
        <v>0</v>
      </c>
      <c r="L19" s="159">
        <f>SUMIFS('Historical Orders'!$E19, 'Historical Orders'!$D19, "1", 'Historical Orders'!$C19, "A", 'Historical Orders'!$B19, "2")</f>
        <v>0</v>
      </c>
      <c r="M19" s="157">
        <f>SUMIFS('Historical Orders'!$G19, 'Historical Orders'!$D19, "1", 'Historical Orders'!$C19, "A", 'Historical Orders'!$B19, "2")</f>
        <v>0</v>
      </c>
      <c r="N19" s="157">
        <f>SUMIFS('Historical Orders'!$E19, 'Historical Orders'!$D19, "1", 'Historical Orders'!$C19, "B", 'Historical Orders'!$B19, "2")</f>
        <v>0</v>
      </c>
      <c r="O19" s="157">
        <f>SUMIFS('Historical Orders'!$G19, 'Historical Orders'!$D19, "1", 'Historical Orders'!$C19, "B", 'Historical Orders'!$B19, "2")</f>
        <v>0</v>
      </c>
      <c r="P19" s="159">
        <f>SUMIFS('Historical Orders'!$E19, 'Historical Orders'!$D19, "2", 'Historical Orders'!$C19, "A", 'Historical Orders'!$B19, "1")</f>
        <v>0</v>
      </c>
      <c r="Q19" s="157">
        <f>SUMIFS('Historical Orders'!$G19, 'Historical Orders'!$D19, "2", 'Historical Orders'!$C19, "A", 'Historical Orders'!$B19, "1")</f>
        <v>0</v>
      </c>
      <c r="R19" s="159">
        <f>SUMIFS('Historical Orders'!$E19, 'Historical Orders'!$D19, "2", 'Historical Orders'!$C19, "B", 'Historical Orders'!$B19, "1")</f>
        <v>0</v>
      </c>
      <c r="S19" s="157">
        <f>SUMIFS('Historical Orders'!$G19, 'Historical Orders'!$D19, "2", 'Historical Orders'!$C19, "B", 'Historical Orders'!$B19, "1")</f>
        <v>0</v>
      </c>
      <c r="T19" s="159">
        <f>SUMIFS('Historical Orders'!$E19, 'Historical Orders'!$D19, "2", 'Historical Orders'!$C19, "A", 'Historical Orders'!$B19, "2")</f>
        <v>0</v>
      </c>
      <c r="U19" s="157">
        <f>SUMIFS('Historical Orders'!$G19, 'Historical Orders'!$D19, "2", 'Historical Orders'!$C19, "A", 'Historical Orders'!$B19, "2")</f>
        <v>0</v>
      </c>
      <c r="V19" s="159">
        <f>SUMIFS('Historical Orders'!$E19, 'Historical Orders'!$D19, "2", 'Historical Orders'!$C19, "B", 'Historical Orders'!$B19, "2")</f>
        <v>0</v>
      </c>
      <c r="W19" s="159">
        <f>SUMIFS('Historical Orders'!$G19, 'Historical Orders'!$D19, "2", 'Historical Orders'!$C19, "B", 'Historical Orders'!$B19, "2")</f>
        <v>0</v>
      </c>
      <c r="X19" s="159">
        <f>SUMIFS('Historical Orders'!$E19, 'Historical Orders'!$D19, "3", 'Historical Orders'!$C19, "A", 'Historical Orders'!$B19, "1")</f>
        <v>0</v>
      </c>
      <c r="Y19" s="159">
        <f>SUMIFS('Historical Orders'!$G19, 'Historical Orders'!$D19, "3", 'Historical Orders'!$C19, "A", 'Historical Orders'!$B19, "1")</f>
        <v>0</v>
      </c>
      <c r="Z19" s="159">
        <f>SUMIFS('Historical Orders'!$E19, 'Historical Orders'!$D19, "3", 'Historical Orders'!$C19, "B", 'Historical Orders'!$B19, "1")</f>
        <v>0</v>
      </c>
      <c r="AA19" s="159">
        <f>SUMIFS('Historical Orders'!$G19, 'Historical Orders'!$D19, "3", 'Historical Orders'!$C19, "B", 'Historical Orders'!$B19, "1")</f>
        <v>0</v>
      </c>
      <c r="AB19" s="159">
        <f>SUMIFS('Historical Orders'!$E19, 'Historical Orders'!$D19, "3", 'Historical Orders'!$C19, "A", 'Historical Orders'!$B19, "2")</f>
        <v>0</v>
      </c>
      <c r="AC19" s="159">
        <f>SUMIFS('Historical Orders'!$G19, 'Historical Orders'!$D19, "3", 'Historical Orders'!$C19, "A", 'Historical Orders'!$B19, "2")</f>
        <v>0</v>
      </c>
      <c r="AD19" s="159">
        <f>SUMIFS('Historical Orders'!$E19, 'Historical Orders'!$D19, "3", 'Historical Orders'!$C19, "B", 'Historical Orders'!$B19, "2")</f>
        <v>2377</v>
      </c>
      <c r="AE19" s="157">
        <f>SUMIFS('Historical Orders'!$G19, 'Historical Orders'!$D19, "3", 'Historical Orders'!$C19, "B", 'Historical Orders'!$B19, "2")</f>
        <v>19729.1</v>
      </c>
      <c r="AF19" s="157">
        <f>SUMIFS('Historical Orders'!$E19, 'Historical Orders'!$D19, "4", 'Historical Orders'!$C19, "A", 'Historical Orders'!$B19, "1")</f>
        <v>0</v>
      </c>
      <c r="AG19" s="157">
        <f>SUMIFS('Historical Orders'!$G19, 'Historical Orders'!$D19, "4", 'Historical Orders'!$C19, "A", 'Historical Orders'!$B19, "1")</f>
        <v>0</v>
      </c>
      <c r="AH19" s="157">
        <f>SUMIFS('Historical Orders'!$E19, 'Historical Orders'!$D19, "4", 'Historical Orders'!$C19, "B", 'Historical Orders'!$B19, "1")</f>
        <v>0</v>
      </c>
      <c r="AI19" s="157">
        <f>SUMIFS('Historical Orders'!$G19, 'Historical Orders'!$D19, "4", 'Historical Orders'!$C19, "B", 'Historical Orders'!$B19, "1")</f>
        <v>0</v>
      </c>
      <c r="AJ19" s="157">
        <f>SUMIFS('Historical Orders'!$E19, 'Historical Orders'!$D19, "4", 'Historical Orders'!$C19, "A", 'Historical Orders'!$B19, "2")</f>
        <v>0</v>
      </c>
      <c r="AK19" s="157">
        <f>SUMIFS('Historical Orders'!$G19, 'Historical Orders'!$D19, "4", 'Historical Orders'!$C19, "A", 'Historical Orders'!$B19, "2")</f>
        <v>0</v>
      </c>
      <c r="AL19" s="171">
        <f>SUMIFS('Historical Orders'!$E19, 'Historical Orders'!$D19, "4", 'Historical Orders'!$C19, "B", 'Historical Orders'!$B19, "2")</f>
        <v>0</v>
      </c>
      <c r="AM19" s="171">
        <f>SUMIFS('Historical Orders'!$G19, 'Historical Orders'!$D19, "4", 'Historical Orders'!$C19, "B", 'Historical Orders'!$B19, "2")</f>
        <v>0</v>
      </c>
      <c r="AN19" s="171">
        <f>SUMIFS('Historical Orders'!$G19, 'Historical Orders'!$C19, "A", 'Historical Orders'!$B19, "1")</f>
        <v>0</v>
      </c>
      <c r="AO19" s="171">
        <f>SUMIFS('Historical Orders'!$G19, 'Historical Orders'!$C19, "B", 'Historical Orders'!$B19, "1")</f>
        <v>0</v>
      </c>
      <c r="AP19" s="171">
        <f>SUMIFS('Historical Orders'!$G19, 'Historical Orders'!$C19, "A", 'Historical Orders'!$B19, "2")</f>
        <v>0</v>
      </c>
      <c r="AQ19" s="171">
        <f>SUMIFS('Historical Orders'!$G19, 'Historical Orders'!$C19, "B", 'Historical Orders'!$B19, "2")</f>
        <v>19729.1</v>
      </c>
      <c r="AR19" s="145"/>
      <c r="AS19" s="146"/>
      <c r="AT19" s="161">
        <v>41974.0</v>
      </c>
      <c r="AU19" s="162"/>
      <c r="AV19" s="163">
        <f t="shared" si="1"/>
        <v>41974</v>
      </c>
      <c r="AW19" s="164">
        <f t="shared" si="2"/>
        <v>24332</v>
      </c>
      <c r="AX19" s="164">
        <f t="shared" si="3"/>
        <v>11935</v>
      </c>
      <c r="AY19" s="164">
        <f t="shared" si="4"/>
        <v>12397</v>
      </c>
      <c r="AZ19" s="164">
        <f t="shared" si="5"/>
        <v>20140</v>
      </c>
      <c r="BA19" s="164">
        <f t="shared" si="6"/>
        <v>4192</v>
      </c>
      <c r="BB19" s="165"/>
      <c r="BC19" s="166">
        <f t="shared" si="7"/>
        <v>68030.6</v>
      </c>
      <c r="BD19" s="166">
        <f t="shared" si="8"/>
        <v>32848.4</v>
      </c>
      <c r="BE19" s="166">
        <f t="shared" si="9"/>
        <v>35182.2</v>
      </c>
      <c r="BF19" s="167"/>
      <c r="BG19" s="166">
        <f t="shared" si="10"/>
        <v>10861.4</v>
      </c>
      <c r="BH19" s="166">
        <f t="shared" si="11"/>
        <v>6100.8</v>
      </c>
      <c r="BI19" s="166">
        <f t="shared" si="12"/>
        <v>0</v>
      </c>
      <c r="BJ19" s="166">
        <f>SUM('Historical Orders'!$BG19:$BI19)</f>
        <v>16962.2</v>
      </c>
      <c r="BK19" s="167"/>
      <c r="BL19" s="166">
        <f t="shared" si="13"/>
        <v>0</v>
      </c>
      <c r="BM19" s="166">
        <f t="shared" si="14"/>
        <v>0</v>
      </c>
      <c r="BN19" s="166">
        <f t="shared" si="15"/>
        <v>15886.2</v>
      </c>
      <c r="BO19" s="166">
        <f>SUM('Historical Orders'!$BL19:$BN19)</f>
        <v>15886.2</v>
      </c>
      <c r="BP19" s="167"/>
      <c r="BQ19" s="166">
        <f t="shared" si="16"/>
        <v>9090.4</v>
      </c>
      <c r="BR19" s="166">
        <f t="shared" si="17"/>
        <v>7184.4</v>
      </c>
      <c r="BS19" s="166">
        <f t="shared" si="18"/>
        <v>0</v>
      </c>
      <c r="BT19" s="166">
        <f>SUM('Historical Orders'!$BQ19:$BS19)</f>
        <v>16274.8</v>
      </c>
      <c r="BU19" s="167"/>
      <c r="BV19" s="166">
        <f t="shared" si="19"/>
        <v>0</v>
      </c>
      <c r="BW19" s="166">
        <f t="shared" si="20"/>
        <v>0</v>
      </c>
      <c r="BX19" s="166">
        <f t="shared" si="21"/>
        <v>18907.4</v>
      </c>
      <c r="BY19" s="166">
        <f>SUM('Historical Orders'!$BV19:$BX19)</f>
        <v>18907.4</v>
      </c>
      <c r="BZ19" s="167"/>
      <c r="CA19" s="168">
        <f t="shared" si="22"/>
        <v>3</v>
      </c>
      <c r="CB19" s="168">
        <f t="shared" si="23"/>
        <v>3</v>
      </c>
      <c r="CC19" s="168">
        <f t="shared" si="24"/>
        <v>4</v>
      </c>
      <c r="CD19" s="168">
        <f t="shared" si="25"/>
        <v>2</v>
      </c>
      <c r="CE19" s="168">
        <f t="shared" si="26"/>
        <v>2</v>
      </c>
      <c r="CF19" s="169">
        <f t="shared" si="27"/>
        <v>2</v>
      </c>
      <c r="CG19" s="169">
        <f t="shared" si="28"/>
        <v>2</v>
      </c>
      <c r="CH19" s="170"/>
    </row>
    <row r="20">
      <c r="A20" s="151">
        <v>41876.0</v>
      </c>
      <c r="B20" s="152">
        <v>1.0</v>
      </c>
      <c r="C20" s="152" t="s">
        <v>45</v>
      </c>
      <c r="D20" s="152">
        <v>1.0</v>
      </c>
      <c r="E20" s="153">
        <v>3453.0</v>
      </c>
      <c r="F20" s="154">
        <v>2.2</v>
      </c>
      <c r="G20" s="155">
        <v>7596.6</v>
      </c>
      <c r="H20" s="159">
        <f>SUMIFS('Historical Orders'!$E20, 'Historical Orders'!$D20, "1", 'Historical Orders'!$C20, "A", 'Historical Orders'!$B20, "1")</f>
        <v>3453</v>
      </c>
      <c r="I20" s="157">
        <f>SUMIFS('Historical Orders'!$G20, 'Historical Orders'!$D20, "1", 'Historical Orders'!$C20, "A", 'Historical Orders'!$B20, "1")</f>
        <v>7596.6</v>
      </c>
      <c r="J20" s="157">
        <f>SUMIFS('Historical Orders'!$E20, 'Historical Orders'!$D20, "1", 'Historical Orders'!$C20, "B", 'Historical Orders'!$B20, "1")</f>
        <v>0</v>
      </c>
      <c r="K20" s="157">
        <f>SUMIFS('Historical Orders'!$G20, 'Historical Orders'!$D20, "1", 'Historical Orders'!$C20, "B", 'Historical Orders'!$B20, "1")</f>
        <v>0</v>
      </c>
      <c r="L20" s="159">
        <f>SUMIFS('Historical Orders'!$E20, 'Historical Orders'!$D20, "1", 'Historical Orders'!$C20, "A", 'Historical Orders'!$B20, "2")</f>
        <v>0</v>
      </c>
      <c r="M20" s="157">
        <f>SUMIFS('Historical Orders'!$G20, 'Historical Orders'!$D20, "1", 'Historical Orders'!$C20, "A", 'Historical Orders'!$B20, "2")</f>
        <v>0</v>
      </c>
      <c r="N20" s="157">
        <f>SUMIFS('Historical Orders'!$E20, 'Historical Orders'!$D20, "1", 'Historical Orders'!$C20, "B", 'Historical Orders'!$B20, "2")</f>
        <v>0</v>
      </c>
      <c r="O20" s="157">
        <f>SUMIFS('Historical Orders'!$G20, 'Historical Orders'!$D20, "1", 'Historical Orders'!$C20, "B", 'Historical Orders'!$B20, "2")</f>
        <v>0</v>
      </c>
      <c r="P20" s="159">
        <f>SUMIFS('Historical Orders'!$E20, 'Historical Orders'!$D20, "2", 'Historical Orders'!$C20, "A", 'Historical Orders'!$B20, "1")</f>
        <v>0</v>
      </c>
      <c r="Q20" s="157">
        <f>SUMIFS('Historical Orders'!$G20, 'Historical Orders'!$D20, "2", 'Historical Orders'!$C20, "A", 'Historical Orders'!$B20, "1")</f>
        <v>0</v>
      </c>
      <c r="R20" s="159">
        <f>SUMIFS('Historical Orders'!$E20, 'Historical Orders'!$D20, "2", 'Historical Orders'!$C20, "B", 'Historical Orders'!$B20, "1")</f>
        <v>0</v>
      </c>
      <c r="S20" s="157">
        <f>SUMIFS('Historical Orders'!$G20, 'Historical Orders'!$D20, "2", 'Historical Orders'!$C20, "B", 'Historical Orders'!$B20, "1")</f>
        <v>0</v>
      </c>
      <c r="T20" s="159">
        <f>SUMIFS('Historical Orders'!$E20, 'Historical Orders'!$D20, "2", 'Historical Orders'!$C20, "A", 'Historical Orders'!$B20, "2")</f>
        <v>0</v>
      </c>
      <c r="U20" s="157">
        <f>SUMIFS('Historical Orders'!$G20, 'Historical Orders'!$D20, "2", 'Historical Orders'!$C20, "A", 'Historical Orders'!$B20, "2")</f>
        <v>0</v>
      </c>
      <c r="V20" s="159">
        <f>SUMIFS('Historical Orders'!$E20, 'Historical Orders'!$D20, "2", 'Historical Orders'!$C20, "B", 'Historical Orders'!$B20, "2")</f>
        <v>0</v>
      </c>
      <c r="W20" s="159">
        <f>SUMIFS('Historical Orders'!$G20, 'Historical Orders'!$D20, "2", 'Historical Orders'!$C20, "B", 'Historical Orders'!$B20, "2")</f>
        <v>0</v>
      </c>
      <c r="X20" s="159">
        <f>SUMIFS('Historical Orders'!$E20, 'Historical Orders'!$D20, "3", 'Historical Orders'!$C20, "A", 'Historical Orders'!$B20, "1")</f>
        <v>0</v>
      </c>
      <c r="Y20" s="159">
        <f>SUMIFS('Historical Orders'!$G20, 'Historical Orders'!$D20, "3", 'Historical Orders'!$C20, "A", 'Historical Orders'!$B20, "1")</f>
        <v>0</v>
      </c>
      <c r="Z20" s="159">
        <f>SUMIFS('Historical Orders'!$E20, 'Historical Orders'!$D20, "3", 'Historical Orders'!$C20, "B", 'Historical Orders'!$B20, "1")</f>
        <v>0</v>
      </c>
      <c r="AA20" s="159">
        <f>SUMIFS('Historical Orders'!$G20, 'Historical Orders'!$D20, "3", 'Historical Orders'!$C20, "B", 'Historical Orders'!$B20, "1")</f>
        <v>0</v>
      </c>
      <c r="AB20" s="159">
        <f>SUMIFS('Historical Orders'!$E20, 'Historical Orders'!$D20, "3", 'Historical Orders'!$C20, "A", 'Historical Orders'!$B20, "2")</f>
        <v>0</v>
      </c>
      <c r="AC20" s="159">
        <f>SUMIFS('Historical Orders'!$G20, 'Historical Orders'!$D20, "3", 'Historical Orders'!$C20, "A", 'Historical Orders'!$B20, "2")</f>
        <v>0</v>
      </c>
      <c r="AD20" s="159">
        <f>SUMIFS('Historical Orders'!$E20, 'Historical Orders'!$D20, "3", 'Historical Orders'!$C20, "B", 'Historical Orders'!$B20, "2")</f>
        <v>0</v>
      </c>
      <c r="AE20" s="157">
        <f>SUMIFS('Historical Orders'!$G20, 'Historical Orders'!$D20, "3", 'Historical Orders'!$C20, "B", 'Historical Orders'!$B20, "2")</f>
        <v>0</v>
      </c>
      <c r="AF20" s="157">
        <f>SUMIFS('Historical Orders'!$E20, 'Historical Orders'!$D20, "4", 'Historical Orders'!$C20, "A", 'Historical Orders'!$B20, "1")</f>
        <v>0</v>
      </c>
      <c r="AG20" s="157">
        <f>SUMIFS('Historical Orders'!$G20, 'Historical Orders'!$D20, "4", 'Historical Orders'!$C20, "A", 'Historical Orders'!$B20, "1")</f>
        <v>0</v>
      </c>
      <c r="AH20" s="157">
        <f>SUMIFS('Historical Orders'!$E20, 'Historical Orders'!$D20, "4", 'Historical Orders'!$C20, "B", 'Historical Orders'!$B20, "1")</f>
        <v>0</v>
      </c>
      <c r="AI20" s="157">
        <f>SUMIFS('Historical Orders'!$G20, 'Historical Orders'!$D20, "4", 'Historical Orders'!$C20, "B", 'Historical Orders'!$B20, "1")</f>
        <v>0</v>
      </c>
      <c r="AJ20" s="157">
        <f>SUMIFS('Historical Orders'!$E20, 'Historical Orders'!$D20, "4", 'Historical Orders'!$C20, "A", 'Historical Orders'!$B20, "2")</f>
        <v>0</v>
      </c>
      <c r="AK20" s="157">
        <f>SUMIFS('Historical Orders'!$G20, 'Historical Orders'!$D20, "4", 'Historical Orders'!$C20, "A", 'Historical Orders'!$B20, "2")</f>
        <v>0</v>
      </c>
      <c r="AL20" s="171">
        <f>SUMIFS('Historical Orders'!$E20, 'Historical Orders'!$D20, "4", 'Historical Orders'!$C20, "B", 'Historical Orders'!$B20, "2")</f>
        <v>0</v>
      </c>
      <c r="AM20" s="171">
        <f>SUMIFS('Historical Orders'!$G20, 'Historical Orders'!$D20, "4", 'Historical Orders'!$C20, "B", 'Historical Orders'!$B20, "2")</f>
        <v>0</v>
      </c>
      <c r="AN20" s="171">
        <f>SUMIFS('Historical Orders'!$G20, 'Historical Orders'!$C20, "A", 'Historical Orders'!$B20, "1")</f>
        <v>7596.6</v>
      </c>
      <c r="AO20" s="171">
        <f>SUMIFS('Historical Orders'!$G20, 'Historical Orders'!$C20, "B", 'Historical Orders'!$B20, "1")</f>
        <v>0</v>
      </c>
      <c r="AP20" s="171">
        <f>SUMIFS('Historical Orders'!$G20, 'Historical Orders'!$C20, "A", 'Historical Orders'!$B20, "2")</f>
        <v>0</v>
      </c>
      <c r="AQ20" s="171">
        <f>SUMIFS('Historical Orders'!$G20, 'Historical Orders'!$C20, "B", 'Historical Orders'!$B20, "2")</f>
        <v>0</v>
      </c>
      <c r="AR20" s="145"/>
      <c r="AS20" s="146"/>
      <c r="AT20" s="161">
        <v>41981.0</v>
      </c>
      <c r="AU20" s="162"/>
      <c r="AV20" s="163">
        <f t="shared" si="1"/>
        <v>41981</v>
      </c>
      <c r="AW20" s="164">
        <f t="shared" si="2"/>
        <v>20494</v>
      </c>
      <c r="AX20" s="164">
        <f t="shared" si="3"/>
        <v>10797</v>
      </c>
      <c r="AY20" s="164">
        <f t="shared" si="4"/>
        <v>9697</v>
      </c>
      <c r="AZ20" s="164">
        <f t="shared" si="5"/>
        <v>16322</v>
      </c>
      <c r="BA20" s="164">
        <f t="shared" si="6"/>
        <v>4172</v>
      </c>
      <c r="BB20" s="165"/>
      <c r="BC20" s="166">
        <f t="shared" si="7"/>
        <v>61900</v>
      </c>
      <c r="BD20" s="166">
        <f t="shared" si="8"/>
        <v>29998</v>
      </c>
      <c r="BE20" s="166">
        <f t="shared" si="9"/>
        <v>31902</v>
      </c>
      <c r="BF20" s="167"/>
      <c r="BG20" s="166">
        <f t="shared" si="10"/>
        <v>9594.2</v>
      </c>
      <c r="BH20" s="166">
        <f t="shared" si="11"/>
        <v>5580</v>
      </c>
      <c r="BI20" s="166">
        <f t="shared" si="12"/>
        <v>0</v>
      </c>
      <c r="BJ20" s="166">
        <f>SUM('Historical Orders'!$BG20:$BI20)</f>
        <v>15174.2</v>
      </c>
      <c r="BK20" s="167"/>
      <c r="BL20" s="166">
        <f t="shared" si="13"/>
        <v>0</v>
      </c>
      <c r="BM20" s="166">
        <f t="shared" si="14"/>
        <v>0</v>
      </c>
      <c r="BN20" s="166">
        <f t="shared" si="15"/>
        <v>14823.8</v>
      </c>
      <c r="BO20" s="166">
        <f>SUM('Historical Orders'!$BL20:$BN20)</f>
        <v>14823.8</v>
      </c>
      <c r="BP20" s="167"/>
      <c r="BQ20" s="166">
        <f t="shared" si="16"/>
        <v>7315</v>
      </c>
      <c r="BR20" s="166">
        <f t="shared" si="17"/>
        <v>4783.2</v>
      </c>
      <c r="BS20" s="166">
        <f t="shared" si="18"/>
        <v>0</v>
      </c>
      <c r="BT20" s="166">
        <f>SUM('Historical Orders'!$BQ20:$BS20)</f>
        <v>12098.2</v>
      </c>
      <c r="BU20" s="167"/>
      <c r="BV20" s="166">
        <f t="shared" si="19"/>
        <v>0</v>
      </c>
      <c r="BW20" s="166">
        <f t="shared" si="20"/>
        <v>0</v>
      </c>
      <c r="BX20" s="166">
        <f t="shared" si="21"/>
        <v>19803.8</v>
      </c>
      <c r="BY20" s="166">
        <f>SUM('Historical Orders'!$BV20:$BX20)</f>
        <v>19803.8</v>
      </c>
      <c r="BZ20" s="167"/>
      <c r="CA20" s="168">
        <f t="shared" si="22"/>
        <v>3</v>
      </c>
      <c r="CB20" s="168">
        <f t="shared" si="23"/>
        <v>3</v>
      </c>
      <c r="CC20" s="168">
        <f t="shared" si="24"/>
        <v>4</v>
      </c>
      <c r="CD20" s="168">
        <f t="shared" si="25"/>
        <v>2</v>
      </c>
      <c r="CE20" s="168">
        <f t="shared" si="26"/>
        <v>2</v>
      </c>
      <c r="CF20" s="169">
        <f t="shared" si="27"/>
        <v>2</v>
      </c>
      <c r="CG20" s="169">
        <f t="shared" si="28"/>
        <v>2</v>
      </c>
      <c r="CH20" s="170"/>
    </row>
    <row r="21" ht="15.75" customHeight="1">
      <c r="A21" s="151">
        <v>41876.0</v>
      </c>
      <c r="B21" s="152">
        <v>1.0</v>
      </c>
      <c r="C21" s="152" t="s">
        <v>45</v>
      </c>
      <c r="D21" s="152">
        <v>2.0</v>
      </c>
      <c r="E21" s="153">
        <v>6115.0</v>
      </c>
      <c r="F21" s="154">
        <v>1.2</v>
      </c>
      <c r="G21" s="155">
        <v>7338.0</v>
      </c>
      <c r="H21" s="159">
        <f>SUMIFS('Historical Orders'!$E21, 'Historical Orders'!$D21, "1", 'Historical Orders'!$C21, "A", 'Historical Orders'!$B21, "1")</f>
        <v>0</v>
      </c>
      <c r="I21" s="157">
        <f>SUMIFS('Historical Orders'!$G21, 'Historical Orders'!$D21, "1", 'Historical Orders'!$C21, "A", 'Historical Orders'!$B21, "1")</f>
        <v>0</v>
      </c>
      <c r="J21" s="157">
        <f>SUMIFS('Historical Orders'!$E21, 'Historical Orders'!$D21, "1", 'Historical Orders'!$C21, "B", 'Historical Orders'!$B21, "1")</f>
        <v>0</v>
      </c>
      <c r="K21" s="157">
        <f>SUMIFS('Historical Orders'!$G21, 'Historical Orders'!$D21, "1", 'Historical Orders'!$C21, "B", 'Historical Orders'!$B21, "1")</f>
        <v>0</v>
      </c>
      <c r="L21" s="159">
        <f>SUMIFS('Historical Orders'!$E21, 'Historical Orders'!$D21, "1", 'Historical Orders'!$C21, "A", 'Historical Orders'!$B21, "2")</f>
        <v>0</v>
      </c>
      <c r="M21" s="157">
        <f>SUMIFS('Historical Orders'!$G21, 'Historical Orders'!$D21, "1", 'Historical Orders'!$C21, "A", 'Historical Orders'!$B21, "2")</f>
        <v>0</v>
      </c>
      <c r="N21" s="157">
        <f>SUMIFS('Historical Orders'!$E21, 'Historical Orders'!$D21, "1", 'Historical Orders'!$C21, "B", 'Historical Orders'!$B21, "2")</f>
        <v>0</v>
      </c>
      <c r="O21" s="157">
        <f>SUMIFS('Historical Orders'!$G21, 'Historical Orders'!$D21, "1", 'Historical Orders'!$C21, "B", 'Historical Orders'!$B21, "2")</f>
        <v>0</v>
      </c>
      <c r="P21" s="159">
        <f>SUMIFS('Historical Orders'!$E21, 'Historical Orders'!$D21, "2", 'Historical Orders'!$C21, "A", 'Historical Orders'!$B21, "1")</f>
        <v>6115</v>
      </c>
      <c r="Q21" s="157">
        <f>SUMIFS('Historical Orders'!$G21, 'Historical Orders'!$D21, "2", 'Historical Orders'!$C21, "A", 'Historical Orders'!$B21, "1")</f>
        <v>7338</v>
      </c>
      <c r="R21" s="159">
        <f>SUMIFS('Historical Orders'!$E21, 'Historical Orders'!$D21, "2", 'Historical Orders'!$C21, "B", 'Historical Orders'!$B21, "1")</f>
        <v>0</v>
      </c>
      <c r="S21" s="157">
        <f>SUMIFS('Historical Orders'!$G21, 'Historical Orders'!$D21, "2", 'Historical Orders'!$C21, "B", 'Historical Orders'!$B21, "1")</f>
        <v>0</v>
      </c>
      <c r="T21" s="159">
        <f>SUMIFS('Historical Orders'!$E21, 'Historical Orders'!$D21, "2", 'Historical Orders'!$C21, "A", 'Historical Orders'!$B21, "2")</f>
        <v>0</v>
      </c>
      <c r="U21" s="157">
        <f>SUMIFS('Historical Orders'!$G21, 'Historical Orders'!$D21, "2", 'Historical Orders'!$C21, "A", 'Historical Orders'!$B21, "2")</f>
        <v>0</v>
      </c>
      <c r="V21" s="159">
        <f>SUMIFS('Historical Orders'!$E21, 'Historical Orders'!$D21, "2", 'Historical Orders'!$C21, "B", 'Historical Orders'!$B21, "2")</f>
        <v>0</v>
      </c>
      <c r="W21" s="159">
        <f>SUMIFS('Historical Orders'!$G21, 'Historical Orders'!$D21, "2", 'Historical Orders'!$C21, "B", 'Historical Orders'!$B21, "2")</f>
        <v>0</v>
      </c>
      <c r="X21" s="159">
        <f>SUMIFS('Historical Orders'!$E21, 'Historical Orders'!$D21, "3", 'Historical Orders'!$C21, "A", 'Historical Orders'!$B21, "1")</f>
        <v>0</v>
      </c>
      <c r="Y21" s="159">
        <f>SUMIFS('Historical Orders'!$G21, 'Historical Orders'!$D21, "3", 'Historical Orders'!$C21, "A", 'Historical Orders'!$B21, "1")</f>
        <v>0</v>
      </c>
      <c r="Z21" s="159">
        <f>SUMIFS('Historical Orders'!$E21, 'Historical Orders'!$D21, "3", 'Historical Orders'!$C21, "B", 'Historical Orders'!$B21, "1")</f>
        <v>0</v>
      </c>
      <c r="AA21" s="159">
        <f>SUMIFS('Historical Orders'!$G21, 'Historical Orders'!$D21, "3", 'Historical Orders'!$C21, "B", 'Historical Orders'!$B21, "1")</f>
        <v>0</v>
      </c>
      <c r="AB21" s="159">
        <f>SUMIFS('Historical Orders'!$E21, 'Historical Orders'!$D21, "3", 'Historical Orders'!$C21, "A", 'Historical Orders'!$B21, "2")</f>
        <v>0</v>
      </c>
      <c r="AC21" s="159">
        <f>SUMIFS('Historical Orders'!$G21, 'Historical Orders'!$D21, "3", 'Historical Orders'!$C21, "A", 'Historical Orders'!$B21, "2")</f>
        <v>0</v>
      </c>
      <c r="AD21" s="159">
        <f>SUMIFS('Historical Orders'!$E21, 'Historical Orders'!$D21, "3", 'Historical Orders'!$C21, "B", 'Historical Orders'!$B21, "2")</f>
        <v>0</v>
      </c>
      <c r="AE21" s="157">
        <f>SUMIFS('Historical Orders'!$G21, 'Historical Orders'!$D21, "3", 'Historical Orders'!$C21, "B", 'Historical Orders'!$B21, "2")</f>
        <v>0</v>
      </c>
      <c r="AF21" s="157">
        <f>SUMIFS('Historical Orders'!$E21, 'Historical Orders'!$D21, "4", 'Historical Orders'!$C21, "A", 'Historical Orders'!$B21, "1")</f>
        <v>0</v>
      </c>
      <c r="AG21" s="157">
        <f>SUMIFS('Historical Orders'!$G21, 'Historical Orders'!$D21, "4", 'Historical Orders'!$C21, "A", 'Historical Orders'!$B21, "1")</f>
        <v>0</v>
      </c>
      <c r="AH21" s="157">
        <f>SUMIFS('Historical Orders'!$E21, 'Historical Orders'!$D21, "4", 'Historical Orders'!$C21, "B", 'Historical Orders'!$B21, "1")</f>
        <v>0</v>
      </c>
      <c r="AI21" s="157">
        <f>SUMIFS('Historical Orders'!$G21, 'Historical Orders'!$D21, "4", 'Historical Orders'!$C21, "B", 'Historical Orders'!$B21, "1")</f>
        <v>0</v>
      </c>
      <c r="AJ21" s="157">
        <f>SUMIFS('Historical Orders'!$E21, 'Historical Orders'!$D21, "4", 'Historical Orders'!$C21, "A", 'Historical Orders'!$B21, "2")</f>
        <v>0</v>
      </c>
      <c r="AK21" s="157">
        <f>SUMIFS('Historical Orders'!$G21, 'Historical Orders'!$D21, "4", 'Historical Orders'!$C21, "A", 'Historical Orders'!$B21, "2")</f>
        <v>0</v>
      </c>
      <c r="AL21" s="171">
        <f>SUMIFS('Historical Orders'!$E21, 'Historical Orders'!$D21, "4", 'Historical Orders'!$C21, "B", 'Historical Orders'!$B21, "2")</f>
        <v>0</v>
      </c>
      <c r="AM21" s="171">
        <f>SUMIFS('Historical Orders'!$G21, 'Historical Orders'!$D21, "4", 'Historical Orders'!$C21, "B", 'Historical Orders'!$B21, "2")</f>
        <v>0</v>
      </c>
      <c r="AN21" s="171">
        <f>SUMIFS('Historical Orders'!$G21, 'Historical Orders'!$C21, "A", 'Historical Orders'!$B21, "1")</f>
        <v>7338</v>
      </c>
      <c r="AO21" s="171">
        <f>SUMIFS('Historical Orders'!$G21, 'Historical Orders'!$C21, "B", 'Historical Orders'!$B21, "1")</f>
        <v>0</v>
      </c>
      <c r="AP21" s="171">
        <f>SUMIFS('Historical Orders'!$G21, 'Historical Orders'!$C21, "A", 'Historical Orders'!$B21, "2")</f>
        <v>0</v>
      </c>
      <c r="AQ21" s="171">
        <f>SUMIFS('Historical Orders'!$G21, 'Historical Orders'!$C21, "B", 'Historical Orders'!$B21, "2")</f>
        <v>0</v>
      </c>
      <c r="AR21" s="145"/>
      <c r="AS21" s="146"/>
      <c r="AT21" s="161">
        <v>41988.0</v>
      </c>
      <c r="AU21" s="162"/>
      <c r="AV21" s="163">
        <f t="shared" si="1"/>
        <v>41988</v>
      </c>
      <c r="AW21" s="164">
        <f t="shared" si="2"/>
        <v>23808</v>
      </c>
      <c r="AX21" s="164">
        <f t="shared" si="3"/>
        <v>12499</v>
      </c>
      <c r="AY21" s="164">
        <f t="shared" si="4"/>
        <v>11309</v>
      </c>
      <c r="AZ21" s="164">
        <f t="shared" si="5"/>
        <v>19561</v>
      </c>
      <c r="BA21" s="164">
        <f t="shared" si="6"/>
        <v>4247</v>
      </c>
      <c r="BB21" s="165"/>
      <c r="BC21" s="166">
        <f t="shared" si="7"/>
        <v>66800.3</v>
      </c>
      <c r="BD21" s="166">
        <f t="shared" si="8"/>
        <v>34165.4</v>
      </c>
      <c r="BE21" s="166">
        <f t="shared" si="9"/>
        <v>32634.9</v>
      </c>
      <c r="BF21" s="167"/>
      <c r="BG21" s="166">
        <f t="shared" si="10"/>
        <v>10051.8</v>
      </c>
      <c r="BH21" s="166">
        <f t="shared" si="11"/>
        <v>7048.8</v>
      </c>
      <c r="BI21" s="166">
        <f t="shared" si="12"/>
        <v>0</v>
      </c>
      <c r="BJ21" s="166">
        <f>SUM('Historical Orders'!$BG21:$BI21)</f>
        <v>17100.6</v>
      </c>
      <c r="BK21" s="167"/>
      <c r="BL21" s="166">
        <f t="shared" si="13"/>
        <v>0</v>
      </c>
      <c r="BM21" s="166">
        <f t="shared" si="14"/>
        <v>0</v>
      </c>
      <c r="BN21" s="166">
        <f t="shared" si="15"/>
        <v>17064.8</v>
      </c>
      <c r="BO21" s="166">
        <f>SUM('Historical Orders'!$BL21:$BN21)</f>
        <v>17064.8</v>
      </c>
      <c r="BP21" s="167"/>
      <c r="BQ21" s="166">
        <f t="shared" si="16"/>
        <v>7717.6</v>
      </c>
      <c r="BR21" s="166">
        <f t="shared" si="17"/>
        <v>6732</v>
      </c>
      <c r="BS21" s="166">
        <f t="shared" si="18"/>
        <v>0</v>
      </c>
      <c r="BT21" s="166">
        <f>SUM('Historical Orders'!$BQ21:$BS21)</f>
        <v>14449.6</v>
      </c>
      <c r="BU21" s="167"/>
      <c r="BV21" s="166">
        <f t="shared" si="19"/>
        <v>0</v>
      </c>
      <c r="BW21" s="166">
        <f t="shared" si="20"/>
        <v>0</v>
      </c>
      <c r="BX21" s="166">
        <f t="shared" si="21"/>
        <v>18185.3</v>
      </c>
      <c r="BY21" s="166">
        <f>SUM('Historical Orders'!$BV21:$BX21)</f>
        <v>18185.3</v>
      </c>
      <c r="BZ21" s="167"/>
      <c r="CA21" s="168">
        <f t="shared" si="22"/>
        <v>3</v>
      </c>
      <c r="CB21" s="168">
        <f t="shared" si="23"/>
        <v>3</v>
      </c>
      <c r="CC21" s="168">
        <f t="shared" si="24"/>
        <v>4</v>
      </c>
      <c r="CD21" s="168">
        <f t="shared" si="25"/>
        <v>2</v>
      </c>
      <c r="CE21" s="168">
        <f t="shared" si="26"/>
        <v>2</v>
      </c>
      <c r="CF21" s="169">
        <f t="shared" si="27"/>
        <v>2</v>
      </c>
      <c r="CG21" s="169">
        <f t="shared" si="28"/>
        <v>2</v>
      </c>
      <c r="CH21" s="170"/>
    </row>
    <row r="22" ht="15.75" customHeight="1">
      <c r="A22" s="151">
        <v>41876.0</v>
      </c>
      <c r="B22" s="152">
        <v>2.0</v>
      </c>
      <c r="C22" s="152" t="s">
        <v>45</v>
      </c>
      <c r="D22" s="152">
        <v>1.0</v>
      </c>
      <c r="E22" s="153">
        <v>1902.0</v>
      </c>
      <c r="F22" s="154">
        <v>2.2</v>
      </c>
      <c r="G22" s="155">
        <v>4184.400000000001</v>
      </c>
      <c r="H22" s="159">
        <f>SUMIFS('Historical Orders'!$E22, 'Historical Orders'!$D22, "1", 'Historical Orders'!$C22, "A", 'Historical Orders'!$B22, "1")</f>
        <v>0</v>
      </c>
      <c r="I22" s="157">
        <f>SUMIFS('Historical Orders'!$G22, 'Historical Orders'!$D22, "1", 'Historical Orders'!$C22, "A", 'Historical Orders'!$B22, "1")</f>
        <v>0</v>
      </c>
      <c r="J22" s="157">
        <f>SUMIFS('Historical Orders'!$E22, 'Historical Orders'!$D22, "1", 'Historical Orders'!$C22, "B", 'Historical Orders'!$B22, "1")</f>
        <v>0</v>
      </c>
      <c r="K22" s="157">
        <f>SUMIFS('Historical Orders'!$G22, 'Historical Orders'!$D22, "1", 'Historical Orders'!$C22, "B", 'Historical Orders'!$B22, "1")</f>
        <v>0</v>
      </c>
      <c r="L22" s="159">
        <f>SUMIFS('Historical Orders'!$E22, 'Historical Orders'!$D22, "1", 'Historical Orders'!$C22, "A", 'Historical Orders'!$B22, "2")</f>
        <v>1902</v>
      </c>
      <c r="M22" s="157">
        <f>SUMIFS('Historical Orders'!$G22, 'Historical Orders'!$D22, "1", 'Historical Orders'!$C22, "A", 'Historical Orders'!$B22, "2")</f>
        <v>4184.4</v>
      </c>
      <c r="N22" s="157">
        <f>SUMIFS('Historical Orders'!$E22, 'Historical Orders'!$D22, "1", 'Historical Orders'!$C22, "B", 'Historical Orders'!$B22, "2")</f>
        <v>0</v>
      </c>
      <c r="O22" s="157">
        <f>SUMIFS('Historical Orders'!$G22, 'Historical Orders'!$D22, "1", 'Historical Orders'!$C22, "B", 'Historical Orders'!$B22, "2")</f>
        <v>0</v>
      </c>
      <c r="P22" s="159">
        <f>SUMIFS('Historical Orders'!$E22, 'Historical Orders'!$D22, "2", 'Historical Orders'!$C22, "A", 'Historical Orders'!$B22, "1")</f>
        <v>0</v>
      </c>
      <c r="Q22" s="157">
        <f>SUMIFS('Historical Orders'!$G22, 'Historical Orders'!$D22, "2", 'Historical Orders'!$C22, "A", 'Historical Orders'!$B22, "1")</f>
        <v>0</v>
      </c>
      <c r="R22" s="159">
        <f>SUMIFS('Historical Orders'!$E22, 'Historical Orders'!$D22, "2", 'Historical Orders'!$C22, "B", 'Historical Orders'!$B22, "1")</f>
        <v>0</v>
      </c>
      <c r="S22" s="157">
        <f>SUMIFS('Historical Orders'!$G22, 'Historical Orders'!$D22, "2", 'Historical Orders'!$C22, "B", 'Historical Orders'!$B22, "1")</f>
        <v>0</v>
      </c>
      <c r="T22" s="159">
        <f>SUMIFS('Historical Orders'!$E22, 'Historical Orders'!$D22, "2", 'Historical Orders'!$C22, "A", 'Historical Orders'!$B22, "2")</f>
        <v>0</v>
      </c>
      <c r="U22" s="157">
        <f>SUMIFS('Historical Orders'!$G22, 'Historical Orders'!$D22, "2", 'Historical Orders'!$C22, "A", 'Historical Orders'!$B22, "2")</f>
        <v>0</v>
      </c>
      <c r="V22" s="159">
        <f>SUMIFS('Historical Orders'!$E22, 'Historical Orders'!$D22, "2", 'Historical Orders'!$C22, "B", 'Historical Orders'!$B22, "2")</f>
        <v>0</v>
      </c>
      <c r="W22" s="159">
        <f>SUMIFS('Historical Orders'!$G22, 'Historical Orders'!$D22, "2", 'Historical Orders'!$C22, "B", 'Historical Orders'!$B22, "2")</f>
        <v>0</v>
      </c>
      <c r="X22" s="159">
        <f>SUMIFS('Historical Orders'!$E22, 'Historical Orders'!$D22, "3", 'Historical Orders'!$C22, "A", 'Historical Orders'!$B22, "1")</f>
        <v>0</v>
      </c>
      <c r="Y22" s="159">
        <f>SUMIFS('Historical Orders'!$G22, 'Historical Orders'!$D22, "3", 'Historical Orders'!$C22, "A", 'Historical Orders'!$B22, "1")</f>
        <v>0</v>
      </c>
      <c r="Z22" s="159">
        <f>SUMIFS('Historical Orders'!$E22, 'Historical Orders'!$D22, "3", 'Historical Orders'!$C22, "B", 'Historical Orders'!$B22, "1")</f>
        <v>0</v>
      </c>
      <c r="AA22" s="159">
        <f>SUMIFS('Historical Orders'!$G22, 'Historical Orders'!$D22, "3", 'Historical Orders'!$C22, "B", 'Historical Orders'!$B22, "1")</f>
        <v>0</v>
      </c>
      <c r="AB22" s="159">
        <f>SUMIFS('Historical Orders'!$E22, 'Historical Orders'!$D22, "3", 'Historical Orders'!$C22, "A", 'Historical Orders'!$B22, "2")</f>
        <v>0</v>
      </c>
      <c r="AC22" s="159">
        <f>SUMIFS('Historical Orders'!$G22, 'Historical Orders'!$D22, "3", 'Historical Orders'!$C22, "A", 'Historical Orders'!$B22, "2")</f>
        <v>0</v>
      </c>
      <c r="AD22" s="159">
        <f>SUMIFS('Historical Orders'!$E22, 'Historical Orders'!$D22, "3", 'Historical Orders'!$C22, "B", 'Historical Orders'!$B22, "2")</f>
        <v>0</v>
      </c>
      <c r="AE22" s="157">
        <f>SUMIFS('Historical Orders'!$G22, 'Historical Orders'!$D22, "3", 'Historical Orders'!$C22, "B", 'Historical Orders'!$B22, "2")</f>
        <v>0</v>
      </c>
      <c r="AF22" s="157">
        <f>SUMIFS('Historical Orders'!$E22, 'Historical Orders'!$D22, "4", 'Historical Orders'!$C22, "A", 'Historical Orders'!$B22, "1")</f>
        <v>0</v>
      </c>
      <c r="AG22" s="157">
        <f>SUMIFS('Historical Orders'!$G22, 'Historical Orders'!$D22, "4", 'Historical Orders'!$C22, "A", 'Historical Orders'!$B22, "1")</f>
        <v>0</v>
      </c>
      <c r="AH22" s="157">
        <f>SUMIFS('Historical Orders'!$E22, 'Historical Orders'!$D22, "4", 'Historical Orders'!$C22, "B", 'Historical Orders'!$B22, "1")</f>
        <v>0</v>
      </c>
      <c r="AI22" s="157">
        <f>SUMIFS('Historical Orders'!$G22, 'Historical Orders'!$D22, "4", 'Historical Orders'!$C22, "B", 'Historical Orders'!$B22, "1")</f>
        <v>0</v>
      </c>
      <c r="AJ22" s="157">
        <f>SUMIFS('Historical Orders'!$E22, 'Historical Orders'!$D22, "4", 'Historical Orders'!$C22, "A", 'Historical Orders'!$B22, "2")</f>
        <v>0</v>
      </c>
      <c r="AK22" s="157">
        <f>SUMIFS('Historical Orders'!$G22, 'Historical Orders'!$D22, "4", 'Historical Orders'!$C22, "A", 'Historical Orders'!$B22, "2")</f>
        <v>0</v>
      </c>
      <c r="AL22" s="171">
        <f>SUMIFS('Historical Orders'!$E22, 'Historical Orders'!$D22, "4", 'Historical Orders'!$C22, "B", 'Historical Orders'!$B22, "2")</f>
        <v>0</v>
      </c>
      <c r="AM22" s="171">
        <f>SUMIFS('Historical Orders'!$G22, 'Historical Orders'!$D22, "4", 'Historical Orders'!$C22, "B", 'Historical Orders'!$B22, "2")</f>
        <v>0</v>
      </c>
      <c r="AN22" s="171">
        <f>SUMIFS('Historical Orders'!$G22, 'Historical Orders'!$C22, "A", 'Historical Orders'!$B22, "1")</f>
        <v>0</v>
      </c>
      <c r="AO22" s="171">
        <f>SUMIFS('Historical Orders'!$G22, 'Historical Orders'!$C22, "B", 'Historical Orders'!$B22, "1")</f>
        <v>0</v>
      </c>
      <c r="AP22" s="171">
        <f>SUMIFS('Historical Orders'!$G22, 'Historical Orders'!$C22, "A", 'Historical Orders'!$B22, "2")</f>
        <v>4184.4</v>
      </c>
      <c r="AQ22" s="171">
        <f>SUMIFS('Historical Orders'!$G22, 'Historical Orders'!$C22, "B", 'Historical Orders'!$B22, "2")</f>
        <v>0</v>
      </c>
      <c r="AR22" s="145"/>
      <c r="AS22" s="146"/>
      <c r="AT22" s="161">
        <v>41995.0</v>
      </c>
      <c r="AU22" s="162"/>
      <c r="AV22" s="163">
        <f t="shared" si="1"/>
        <v>41995</v>
      </c>
      <c r="AW22" s="164">
        <f t="shared" si="2"/>
        <v>25614</v>
      </c>
      <c r="AX22" s="164">
        <f t="shared" si="3"/>
        <v>12381</v>
      </c>
      <c r="AY22" s="164">
        <f t="shared" si="4"/>
        <v>13233</v>
      </c>
      <c r="AZ22" s="164">
        <f t="shared" si="5"/>
        <v>20914</v>
      </c>
      <c r="BA22" s="164">
        <f t="shared" si="6"/>
        <v>4700</v>
      </c>
      <c r="BB22" s="165"/>
      <c r="BC22" s="166">
        <f t="shared" si="7"/>
        <v>71965.8</v>
      </c>
      <c r="BD22" s="166">
        <f t="shared" si="8"/>
        <v>34196</v>
      </c>
      <c r="BE22" s="166">
        <f t="shared" si="9"/>
        <v>37769.8</v>
      </c>
      <c r="BF22" s="167"/>
      <c r="BG22" s="166">
        <f t="shared" si="10"/>
        <v>9462.2</v>
      </c>
      <c r="BH22" s="166">
        <f t="shared" si="11"/>
        <v>7154.4</v>
      </c>
      <c r="BI22" s="166">
        <f t="shared" si="12"/>
        <v>0</v>
      </c>
      <c r="BJ22" s="166">
        <f>SUM('Historical Orders'!$BG22:$BI22)</f>
        <v>16616.6</v>
      </c>
      <c r="BK22" s="167"/>
      <c r="BL22" s="166">
        <f t="shared" si="13"/>
        <v>0</v>
      </c>
      <c r="BM22" s="166">
        <f t="shared" si="14"/>
        <v>0</v>
      </c>
      <c r="BN22" s="166">
        <f t="shared" si="15"/>
        <v>17579.4</v>
      </c>
      <c r="BO22" s="166">
        <f>SUM('Historical Orders'!$BL22:$BN22)</f>
        <v>17579.4</v>
      </c>
      <c r="BP22" s="167"/>
      <c r="BQ22" s="166">
        <f t="shared" si="16"/>
        <v>7827.6</v>
      </c>
      <c r="BR22" s="166">
        <f t="shared" si="17"/>
        <v>8511.6</v>
      </c>
      <c r="BS22" s="166">
        <f t="shared" si="18"/>
        <v>0</v>
      </c>
      <c r="BT22" s="166">
        <f>SUM('Historical Orders'!$BQ22:$BS22)</f>
        <v>16339.2</v>
      </c>
      <c r="BU22" s="167"/>
      <c r="BV22" s="166">
        <f t="shared" si="19"/>
        <v>0</v>
      </c>
      <c r="BW22" s="166">
        <f t="shared" si="20"/>
        <v>0</v>
      </c>
      <c r="BX22" s="166">
        <f t="shared" si="21"/>
        <v>21430.6</v>
      </c>
      <c r="BY22" s="166">
        <f>SUM('Historical Orders'!$BV22:$BX22)</f>
        <v>21430.6</v>
      </c>
      <c r="BZ22" s="167"/>
      <c r="CA22" s="168">
        <f t="shared" si="22"/>
        <v>3</v>
      </c>
      <c r="CB22" s="168">
        <f t="shared" si="23"/>
        <v>3</v>
      </c>
      <c r="CC22" s="168">
        <f t="shared" si="24"/>
        <v>4</v>
      </c>
      <c r="CD22" s="168">
        <f t="shared" si="25"/>
        <v>2</v>
      </c>
      <c r="CE22" s="168">
        <f t="shared" si="26"/>
        <v>2</v>
      </c>
      <c r="CF22" s="169">
        <f t="shared" si="27"/>
        <v>2</v>
      </c>
      <c r="CG22" s="169">
        <f t="shared" si="28"/>
        <v>2</v>
      </c>
      <c r="CH22" s="170"/>
    </row>
    <row r="23" ht="15.75" customHeight="1">
      <c r="A23" s="151">
        <v>41876.0</v>
      </c>
      <c r="B23" s="152">
        <v>2.0</v>
      </c>
      <c r="C23" s="152" t="s">
        <v>45</v>
      </c>
      <c r="D23" s="152">
        <v>2.0</v>
      </c>
      <c r="E23" s="153">
        <v>5904.0</v>
      </c>
      <c r="F23" s="154">
        <v>1.2</v>
      </c>
      <c r="G23" s="155">
        <v>7084.8</v>
      </c>
      <c r="H23" s="159">
        <f>SUMIFS('Historical Orders'!$E23, 'Historical Orders'!$D23, "1", 'Historical Orders'!$C23, "A", 'Historical Orders'!$B23, "1")</f>
        <v>0</v>
      </c>
      <c r="I23" s="157">
        <f>SUMIFS('Historical Orders'!$G23, 'Historical Orders'!$D23, "1", 'Historical Orders'!$C23, "A", 'Historical Orders'!$B23, "1")</f>
        <v>0</v>
      </c>
      <c r="J23" s="157">
        <f>SUMIFS('Historical Orders'!$E23, 'Historical Orders'!$D23, "1", 'Historical Orders'!$C23, "B", 'Historical Orders'!$B23, "1")</f>
        <v>0</v>
      </c>
      <c r="K23" s="157">
        <f>SUMIFS('Historical Orders'!$G23, 'Historical Orders'!$D23, "1", 'Historical Orders'!$C23, "B", 'Historical Orders'!$B23, "1")</f>
        <v>0</v>
      </c>
      <c r="L23" s="159">
        <f>SUMIFS('Historical Orders'!$E23, 'Historical Orders'!$D23, "1", 'Historical Orders'!$C23, "A", 'Historical Orders'!$B23, "2")</f>
        <v>0</v>
      </c>
      <c r="M23" s="157">
        <f>SUMIFS('Historical Orders'!$G23, 'Historical Orders'!$D23, "1", 'Historical Orders'!$C23, "A", 'Historical Orders'!$B23, "2")</f>
        <v>0</v>
      </c>
      <c r="N23" s="157">
        <f>SUMIFS('Historical Orders'!$E23, 'Historical Orders'!$D23, "1", 'Historical Orders'!$C23, "B", 'Historical Orders'!$B23, "2")</f>
        <v>0</v>
      </c>
      <c r="O23" s="157">
        <f>SUMIFS('Historical Orders'!$G23, 'Historical Orders'!$D23, "1", 'Historical Orders'!$C23, "B", 'Historical Orders'!$B23, "2")</f>
        <v>0</v>
      </c>
      <c r="P23" s="159">
        <f>SUMIFS('Historical Orders'!$E23, 'Historical Orders'!$D23, "2", 'Historical Orders'!$C23, "A", 'Historical Orders'!$B23, "1")</f>
        <v>0</v>
      </c>
      <c r="Q23" s="157">
        <f>SUMIFS('Historical Orders'!$G23, 'Historical Orders'!$D23, "2", 'Historical Orders'!$C23, "A", 'Historical Orders'!$B23, "1")</f>
        <v>0</v>
      </c>
      <c r="R23" s="159">
        <f>SUMIFS('Historical Orders'!$E23, 'Historical Orders'!$D23, "2", 'Historical Orders'!$C23, "B", 'Historical Orders'!$B23, "1")</f>
        <v>0</v>
      </c>
      <c r="S23" s="157">
        <f>SUMIFS('Historical Orders'!$G23, 'Historical Orders'!$D23, "2", 'Historical Orders'!$C23, "B", 'Historical Orders'!$B23, "1")</f>
        <v>0</v>
      </c>
      <c r="T23" s="159">
        <f>SUMIFS('Historical Orders'!$E23, 'Historical Orders'!$D23, "2", 'Historical Orders'!$C23, "A", 'Historical Orders'!$B23, "2")</f>
        <v>5904</v>
      </c>
      <c r="U23" s="157">
        <f>SUMIFS('Historical Orders'!$G23, 'Historical Orders'!$D23, "2", 'Historical Orders'!$C23, "A", 'Historical Orders'!$B23, "2")</f>
        <v>7084.8</v>
      </c>
      <c r="V23" s="159">
        <f>SUMIFS('Historical Orders'!$E23, 'Historical Orders'!$D23, "2", 'Historical Orders'!$C23, "B", 'Historical Orders'!$B23, "2")</f>
        <v>0</v>
      </c>
      <c r="W23" s="159">
        <f>SUMIFS('Historical Orders'!$G23, 'Historical Orders'!$D23, "2", 'Historical Orders'!$C23, "B", 'Historical Orders'!$B23, "2")</f>
        <v>0</v>
      </c>
      <c r="X23" s="159">
        <f>SUMIFS('Historical Orders'!$E23, 'Historical Orders'!$D23, "3", 'Historical Orders'!$C23, "A", 'Historical Orders'!$B23, "1")</f>
        <v>0</v>
      </c>
      <c r="Y23" s="159">
        <f>SUMIFS('Historical Orders'!$G23, 'Historical Orders'!$D23, "3", 'Historical Orders'!$C23, "A", 'Historical Orders'!$B23, "1")</f>
        <v>0</v>
      </c>
      <c r="Z23" s="159">
        <f>SUMIFS('Historical Orders'!$E23, 'Historical Orders'!$D23, "3", 'Historical Orders'!$C23, "B", 'Historical Orders'!$B23, "1")</f>
        <v>0</v>
      </c>
      <c r="AA23" s="159">
        <f>SUMIFS('Historical Orders'!$G23, 'Historical Orders'!$D23, "3", 'Historical Orders'!$C23, "B", 'Historical Orders'!$B23, "1")</f>
        <v>0</v>
      </c>
      <c r="AB23" s="159">
        <f>SUMIFS('Historical Orders'!$E23, 'Historical Orders'!$D23, "3", 'Historical Orders'!$C23, "A", 'Historical Orders'!$B23, "2")</f>
        <v>0</v>
      </c>
      <c r="AC23" s="159">
        <f>SUMIFS('Historical Orders'!$G23, 'Historical Orders'!$D23, "3", 'Historical Orders'!$C23, "A", 'Historical Orders'!$B23, "2")</f>
        <v>0</v>
      </c>
      <c r="AD23" s="159">
        <f>SUMIFS('Historical Orders'!$E23, 'Historical Orders'!$D23, "3", 'Historical Orders'!$C23, "B", 'Historical Orders'!$B23, "2")</f>
        <v>0</v>
      </c>
      <c r="AE23" s="157">
        <f>SUMIFS('Historical Orders'!$G23, 'Historical Orders'!$D23, "3", 'Historical Orders'!$C23, "B", 'Historical Orders'!$B23, "2")</f>
        <v>0</v>
      </c>
      <c r="AF23" s="157">
        <f>SUMIFS('Historical Orders'!$E23, 'Historical Orders'!$D23, "4", 'Historical Orders'!$C23, "A", 'Historical Orders'!$B23, "1")</f>
        <v>0</v>
      </c>
      <c r="AG23" s="157">
        <f>SUMIFS('Historical Orders'!$G23, 'Historical Orders'!$D23, "4", 'Historical Orders'!$C23, "A", 'Historical Orders'!$B23, "1")</f>
        <v>0</v>
      </c>
      <c r="AH23" s="157">
        <f>SUMIFS('Historical Orders'!$E23, 'Historical Orders'!$D23, "4", 'Historical Orders'!$C23, "B", 'Historical Orders'!$B23, "1")</f>
        <v>0</v>
      </c>
      <c r="AI23" s="157">
        <f>SUMIFS('Historical Orders'!$G23, 'Historical Orders'!$D23, "4", 'Historical Orders'!$C23, "B", 'Historical Orders'!$B23, "1")</f>
        <v>0</v>
      </c>
      <c r="AJ23" s="157">
        <f>SUMIFS('Historical Orders'!$E23, 'Historical Orders'!$D23, "4", 'Historical Orders'!$C23, "A", 'Historical Orders'!$B23, "2")</f>
        <v>0</v>
      </c>
      <c r="AK23" s="157">
        <f>SUMIFS('Historical Orders'!$G23, 'Historical Orders'!$D23, "4", 'Historical Orders'!$C23, "A", 'Historical Orders'!$B23, "2")</f>
        <v>0</v>
      </c>
      <c r="AL23" s="171">
        <f>SUMIFS('Historical Orders'!$E23, 'Historical Orders'!$D23, "4", 'Historical Orders'!$C23, "B", 'Historical Orders'!$B23, "2")</f>
        <v>0</v>
      </c>
      <c r="AM23" s="171">
        <f>SUMIFS('Historical Orders'!$G23, 'Historical Orders'!$D23, "4", 'Historical Orders'!$C23, "B", 'Historical Orders'!$B23, "2")</f>
        <v>0</v>
      </c>
      <c r="AN23" s="171">
        <f>SUMIFS('Historical Orders'!$G23, 'Historical Orders'!$C23, "A", 'Historical Orders'!$B23, "1")</f>
        <v>0</v>
      </c>
      <c r="AO23" s="171">
        <f>SUMIFS('Historical Orders'!$G23, 'Historical Orders'!$C23, "B", 'Historical Orders'!$B23, "1")</f>
        <v>0</v>
      </c>
      <c r="AP23" s="171">
        <f>SUMIFS('Historical Orders'!$G23, 'Historical Orders'!$C23, "A", 'Historical Orders'!$B23, "2")</f>
        <v>7084.8</v>
      </c>
      <c r="AQ23" s="171">
        <f>SUMIFS('Historical Orders'!$G23, 'Historical Orders'!$C23, "B", 'Historical Orders'!$B23, "2")</f>
        <v>0</v>
      </c>
      <c r="AR23" s="145"/>
      <c r="AS23" s="146"/>
      <c r="AT23" s="161">
        <v>42002.0</v>
      </c>
      <c r="AU23" s="162"/>
      <c r="AV23" s="163">
        <f t="shared" si="1"/>
        <v>42002</v>
      </c>
      <c r="AW23" s="164">
        <f t="shared" si="2"/>
        <v>28752</v>
      </c>
      <c r="AX23" s="164">
        <f t="shared" si="3"/>
        <v>13730</v>
      </c>
      <c r="AY23" s="164">
        <f t="shared" si="4"/>
        <v>15022</v>
      </c>
      <c r="AZ23" s="164">
        <f t="shared" si="5"/>
        <v>23795</v>
      </c>
      <c r="BA23" s="164">
        <f t="shared" si="6"/>
        <v>4957</v>
      </c>
      <c r="BB23" s="165"/>
      <c r="BC23" s="166">
        <f t="shared" si="7"/>
        <v>79097.1</v>
      </c>
      <c r="BD23" s="166">
        <f t="shared" si="8"/>
        <v>36506.2</v>
      </c>
      <c r="BE23" s="166">
        <f t="shared" si="9"/>
        <v>42590.9</v>
      </c>
      <c r="BF23" s="167"/>
      <c r="BG23" s="166">
        <f t="shared" si="10"/>
        <v>11233.2</v>
      </c>
      <c r="BH23" s="166">
        <f t="shared" si="11"/>
        <v>7826.4</v>
      </c>
      <c r="BI23" s="166">
        <f t="shared" si="12"/>
        <v>0</v>
      </c>
      <c r="BJ23" s="166">
        <f>SUM('Historical Orders'!$BG23:$BI23)</f>
        <v>19059.6</v>
      </c>
      <c r="BK23" s="167"/>
      <c r="BL23" s="166">
        <f t="shared" si="13"/>
        <v>0</v>
      </c>
      <c r="BM23" s="166">
        <f t="shared" si="14"/>
        <v>0</v>
      </c>
      <c r="BN23" s="166">
        <f t="shared" si="15"/>
        <v>17446.6</v>
      </c>
      <c r="BO23" s="166">
        <f>SUM('Historical Orders'!$BL23:$BN23)</f>
        <v>17446.6</v>
      </c>
      <c r="BP23" s="167"/>
      <c r="BQ23" s="166">
        <f t="shared" si="16"/>
        <v>9446.8</v>
      </c>
      <c r="BR23" s="166">
        <f t="shared" si="17"/>
        <v>9447.6</v>
      </c>
      <c r="BS23" s="166">
        <f t="shared" si="18"/>
        <v>0</v>
      </c>
      <c r="BT23" s="166">
        <f>SUM('Historical Orders'!$BQ23:$BS23)</f>
        <v>18894.4</v>
      </c>
      <c r="BU23" s="167"/>
      <c r="BV23" s="166">
        <f t="shared" si="19"/>
        <v>0</v>
      </c>
      <c r="BW23" s="166">
        <f t="shared" si="20"/>
        <v>0</v>
      </c>
      <c r="BX23" s="166">
        <f t="shared" si="21"/>
        <v>23696.5</v>
      </c>
      <c r="BY23" s="166">
        <f>SUM('Historical Orders'!$BV23:$BX23)</f>
        <v>23696.5</v>
      </c>
      <c r="BZ23" s="167"/>
      <c r="CA23" s="168">
        <f t="shared" si="22"/>
        <v>3</v>
      </c>
      <c r="CB23" s="168">
        <f t="shared" si="23"/>
        <v>3</v>
      </c>
      <c r="CC23" s="168">
        <f t="shared" si="24"/>
        <v>4</v>
      </c>
      <c r="CD23" s="168">
        <f t="shared" si="25"/>
        <v>2</v>
      </c>
      <c r="CE23" s="168">
        <f t="shared" si="26"/>
        <v>2</v>
      </c>
      <c r="CF23" s="169">
        <f t="shared" si="27"/>
        <v>2</v>
      </c>
      <c r="CG23" s="169">
        <f t="shared" si="28"/>
        <v>2</v>
      </c>
      <c r="CH23" s="170"/>
    </row>
    <row r="24" ht="15.75" customHeight="1">
      <c r="A24" s="151">
        <v>41876.0</v>
      </c>
      <c r="B24" s="152">
        <v>1.0</v>
      </c>
      <c r="C24" s="152" t="s">
        <v>46</v>
      </c>
      <c r="D24" s="152">
        <v>3.0</v>
      </c>
      <c r="E24" s="153">
        <v>2503.0</v>
      </c>
      <c r="F24" s="154">
        <v>8.3</v>
      </c>
      <c r="G24" s="155">
        <v>20774.9</v>
      </c>
      <c r="H24" s="159">
        <f>SUMIFS('Historical Orders'!$E24, 'Historical Orders'!$D24, "1", 'Historical Orders'!$C24, "A", 'Historical Orders'!$B24, "1")</f>
        <v>0</v>
      </c>
      <c r="I24" s="157">
        <f>SUMIFS('Historical Orders'!$G24, 'Historical Orders'!$D24, "1", 'Historical Orders'!$C24, "A", 'Historical Orders'!$B24, "1")</f>
        <v>0</v>
      </c>
      <c r="J24" s="157">
        <f>SUMIFS('Historical Orders'!$E24, 'Historical Orders'!$D24, "1", 'Historical Orders'!$C24, "B", 'Historical Orders'!$B24, "1")</f>
        <v>0</v>
      </c>
      <c r="K24" s="157">
        <f>SUMIFS('Historical Orders'!$G24, 'Historical Orders'!$D24, "1", 'Historical Orders'!$C24, "B", 'Historical Orders'!$B24, "1")</f>
        <v>0</v>
      </c>
      <c r="L24" s="159">
        <f>SUMIFS('Historical Orders'!$E24, 'Historical Orders'!$D24, "1", 'Historical Orders'!$C24, "A", 'Historical Orders'!$B24, "2")</f>
        <v>0</v>
      </c>
      <c r="M24" s="157">
        <f>SUMIFS('Historical Orders'!$G24, 'Historical Orders'!$D24, "1", 'Historical Orders'!$C24, "A", 'Historical Orders'!$B24, "2")</f>
        <v>0</v>
      </c>
      <c r="N24" s="157">
        <f>SUMIFS('Historical Orders'!$E24, 'Historical Orders'!$D24, "1", 'Historical Orders'!$C24, "B", 'Historical Orders'!$B24, "2")</f>
        <v>0</v>
      </c>
      <c r="O24" s="157">
        <f>SUMIFS('Historical Orders'!$G24, 'Historical Orders'!$D24, "1", 'Historical Orders'!$C24, "B", 'Historical Orders'!$B24, "2")</f>
        <v>0</v>
      </c>
      <c r="P24" s="159">
        <f>SUMIFS('Historical Orders'!$E24, 'Historical Orders'!$D24, "2", 'Historical Orders'!$C24, "A", 'Historical Orders'!$B24, "1")</f>
        <v>0</v>
      </c>
      <c r="Q24" s="157">
        <f>SUMIFS('Historical Orders'!$G24, 'Historical Orders'!$D24, "2", 'Historical Orders'!$C24, "A", 'Historical Orders'!$B24, "1")</f>
        <v>0</v>
      </c>
      <c r="R24" s="159">
        <f>SUMIFS('Historical Orders'!$E24, 'Historical Orders'!$D24, "2", 'Historical Orders'!$C24, "B", 'Historical Orders'!$B24, "1")</f>
        <v>0</v>
      </c>
      <c r="S24" s="157">
        <f>SUMIFS('Historical Orders'!$G24, 'Historical Orders'!$D24, "2", 'Historical Orders'!$C24, "B", 'Historical Orders'!$B24, "1")</f>
        <v>0</v>
      </c>
      <c r="T24" s="159">
        <f>SUMIFS('Historical Orders'!$E24, 'Historical Orders'!$D24, "2", 'Historical Orders'!$C24, "A", 'Historical Orders'!$B24, "2")</f>
        <v>0</v>
      </c>
      <c r="U24" s="157">
        <f>SUMIFS('Historical Orders'!$G24, 'Historical Orders'!$D24, "2", 'Historical Orders'!$C24, "A", 'Historical Orders'!$B24, "2")</f>
        <v>0</v>
      </c>
      <c r="V24" s="159">
        <f>SUMIFS('Historical Orders'!$E24, 'Historical Orders'!$D24, "2", 'Historical Orders'!$C24, "B", 'Historical Orders'!$B24, "2")</f>
        <v>0</v>
      </c>
      <c r="W24" s="159">
        <f>SUMIFS('Historical Orders'!$G24, 'Historical Orders'!$D24, "2", 'Historical Orders'!$C24, "B", 'Historical Orders'!$B24, "2")</f>
        <v>0</v>
      </c>
      <c r="X24" s="159">
        <f>SUMIFS('Historical Orders'!$E24, 'Historical Orders'!$D24, "3", 'Historical Orders'!$C24, "A", 'Historical Orders'!$B24, "1")</f>
        <v>0</v>
      </c>
      <c r="Y24" s="159">
        <f>SUMIFS('Historical Orders'!$G24, 'Historical Orders'!$D24, "3", 'Historical Orders'!$C24, "A", 'Historical Orders'!$B24, "1")</f>
        <v>0</v>
      </c>
      <c r="Z24" s="159">
        <f>SUMIFS('Historical Orders'!$E24, 'Historical Orders'!$D24, "3", 'Historical Orders'!$C24, "B", 'Historical Orders'!$B24, "1")</f>
        <v>2503</v>
      </c>
      <c r="AA24" s="159">
        <f>SUMIFS('Historical Orders'!$G24, 'Historical Orders'!$D24, "3", 'Historical Orders'!$C24, "B", 'Historical Orders'!$B24, "1")</f>
        <v>20774.9</v>
      </c>
      <c r="AB24" s="159">
        <f>SUMIFS('Historical Orders'!$E24, 'Historical Orders'!$D24, "3", 'Historical Orders'!$C24, "A", 'Historical Orders'!$B24, "2")</f>
        <v>0</v>
      </c>
      <c r="AC24" s="159">
        <f>SUMIFS('Historical Orders'!$G24, 'Historical Orders'!$D24, "3", 'Historical Orders'!$C24, "A", 'Historical Orders'!$B24, "2")</f>
        <v>0</v>
      </c>
      <c r="AD24" s="159">
        <f>SUMIFS('Historical Orders'!$E24, 'Historical Orders'!$D24, "3", 'Historical Orders'!$C24, "B", 'Historical Orders'!$B24, "2")</f>
        <v>0</v>
      </c>
      <c r="AE24" s="157">
        <f>SUMIFS('Historical Orders'!$G24, 'Historical Orders'!$D24, "3", 'Historical Orders'!$C24, "B", 'Historical Orders'!$B24, "2")</f>
        <v>0</v>
      </c>
      <c r="AF24" s="157">
        <f>SUMIFS('Historical Orders'!$E24, 'Historical Orders'!$D24, "4", 'Historical Orders'!$C24, "A", 'Historical Orders'!$B24, "1")</f>
        <v>0</v>
      </c>
      <c r="AG24" s="157">
        <f>SUMIFS('Historical Orders'!$G24, 'Historical Orders'!$D24, "4", 'Historical Orders'!$C24, "A", 'Historical Orders'!$B24, "1")</f>
        <v>0</v>
      </c>
      <c r="AH24" s="157">
        <f>SUMIFS('Historical Orders'!$E24, 'Historical Orders'!$D24, "4", 'Historical Orders'!$C24, "B", 'Historical Orders'!$B24, "1")</f>
        <v>0</v>
      </c>
      <c r="AI24" s="157">
        <f>SUMIFS('Historical Orders'!$G24, 'Historical Orders'!$D24, "4", 'Historical Orders'!$C24, "B", 'Historical Orders'!$B24, "1")</f>
        <v>0</v>
      </c>
      <c r="AJ24" s="157">
        <f>SUMIFS('Historical Orders'!$E24, 'Historical Orders'!$D24, "4", 'Historical Orders'!$C24, "A", 'Historical Orders'!$B24, "2")</f>
        <v>0</v>
      </c>
      <c r="AK24" s="157">
        <f>SUMIFS('Historical Orders'!$G24, 'Historical Orders'!$D24, "4", 'Historical Orders'!$C24, "A", 'Historical Orders'!$B24, "2")</f>
        <v>0</v>
      </c>
      <c r="AL24" s="171">
        <f>SUMIFS('Historical Orders'!$E24, 'Historical Orders'!$D24, "4", 'Historical Orders'!$C24, "B", 'Historical Orders'!$B24, "2")</f>
        <v>0</v>
      </c>
      <c r="AM24" s="171">
        <f>SUMIFS('Historical Orders'!$G24, 'Historical Orders'!$D24, "4", 'Historical Orders'!$C24, "B", 'Historical Orders'!$B24, "2")</f>
        <v>0</v>
      </c>
      <c r="AN24" s="171">
        <f>SUMIFS('Historical Orders'!$G24, 'Historical Orders'!$C24, "A", 'Historical Orders'!$B24, "1")</f>
        <v>0</v>
      </c>
      <c r="AO24" s="171">
        <f>SUMIFS('Historical Orders'!$G24, 'Historical Orders'!$C24, "B", 'Historical Orders'!$B24, "1")</f>
        <v>20774.9</v>
      </c>
      <c r="AP24" s="171">
        <f>SUMIFS('Historical Orders'!$G24, 'Historical Orders'!$C24, "A", 'Historical Orders'!$B24, "2")</f>
        <v>0</v>
      </c>
      <c r="AQ24" s="171">
        <f>SUMIFS('Historical Orders'!$G24, 'Historical Orders'!$C24, "B", 'Historical Orders'!$B24, "2")</f>
        <v>0</v>
      </c>
      <c r="AR24" s="145"/>
      <c r="AS24" s="146"/>
      <c r="AT24" s="161">
        <v>42009.0</v>
      </c>
      <c r="AU24" s="162"/>
      <c r="AV24" s="163">
        <f t="shared" si="1"/>
        <v>42009</v>
      </c>
      <c r="AW24" s="164">
        <f t="shared" si="2"/>
        <v>24662</v>
      </c>
      <c r="AX24" s="164">
        <f t="shared" si="3"/>
        <v>12582</v>
      </c>
      <c r="AY24" s="164">
        <f t="shared" si="4"/>
        <v>12080</v>
      </c>
      <c r="AZ24" s="164">
        <f t="shared" si="5"/>
        <v>19434</v>
      </c>
      <c r="BA24" s="164">
        <f t="shared" si="6"/>
        <v>5228</v>
      </c>
      <c r="BB24" s="165"/>
      <c r="BC24" s="166">
        <f t="shared" si="7"/>
        <v>74734.2</v>
      </c>
      <c r="BD24" s="166">
        <f t="shared" si="8"/>
        <v>36343.4</v>
      </c>
      <c r="BE24" s="166">
        <f t="shared" si="9"/>
        <v>38390.8</v>
      </c>
      <c r="BF24" s="167"/>
      <c r="BG24" s="166">
        <f t="shared" si="10"/>
        <v>10344.4</v>
      </c>
      <c r="BH24" s="166">
        <f t="shared" si="11"/>
        <v>6660</v>
      </c>
      <c r="BI24" s="166">
        <f t="shared" si="12"/>
        <v>0</v>
      </c>
      <c r="BJ24" s="166">
        <f>SUM('Historical Orders'!$BG24:$BI24)</f>
        <v>17004.4</v>
      </c>
      <c r="BK24" s="167"/>
      <c r="BL24" s="166">
        <f t="shared" si="13"/>
        <v>0</v>
      </c>
      <c r="BM24" s="166">
        <f t="shared" si="14"/>
        <v>0</v>
      </c>
      <c r="BN24" s="166">
        <f t="shared" si="15"/>
        <v>19339</v>
      </c>
      <c r="BO24" s="166">
        <f>SUM('Historical Orders'!$BL24:$BN24)</f>
        <v>19339</v>
      </c>
      <c r="BP24" s="167"/>
      <c r="BQ24" s="166">
        <f t="shared" si="16"/>
        <v>7301.8</v>
      </c>
      <c r="BR24" s="166">
        <f t="shared" si="17"/>
        <v>7035.6</v>
      </c>
      <c r="BS24" s="166">
        <f t="shared" si="18"/>
        <v>0</v>
      </c>
      <c r="BT24" s="166">
        <f>SUM('Historical Orders'!$BQ24:$BS24)</f>
        <v>14337.4</v>
      </c>
      <c r="BU24" s="167"/>
      <c r="BV24" s="166">
        <f t="shared" si="19"/>
        <v>0</v>
      </c>
      <c r="BW24" s="166">
        <f t="shared" si="20"/>
        <v>0</v>
      </c>
      <c r="BX24" s="166">
        <f t="shared" si="21"/>
        <v>24053.4</v>
      </c>
      <c r="BY24" s="166">
        <f>SUM('Historical Orders'!$BV24:$BX24)</f>
        <v>24053.4</v>
      </c>
      <c r="BZ24" s="167"/>
      <c r="CA24" s="168">
        <f t="shared" si="22"/>
        <v>3</v>
      </c>
      <c r="CB24" s="168">
        <f t="shared" si="23"/>
        <v>3</v>
      </c>
      <c r="CC24" s="168">
        <f t="shared" si="24"/>
        <v>4</v>
      </c>
      <c r="CD24" s="168">
        <f t="shared" si="25"/>
        <v>2</v>
      </c>
      <c r="CE24" s="168">
        <f t="shared" si="26"/>
        <v>2</v>
      </c>
      <c r="CF24" s="169">
        <f t="shared" si="27"/>
        <v>2</v>
      </c>
      <c r="CG24" s="169">
        <f t="shared" si="28"/>
        <v>2</v>
      </c>
      <c r="CH24" s="170"/>
    </row>
    <row r="25" ht="15.75" customHeight="1">
      <c r="A25" s="151">
        <v>41876.0</v>
      </c>
      <c r="B25" s="152">
        <v>2.0</v>
      </c>
      <c r="C25" s="152" t="s">
        <v>46</v>
      </c>
      <c r="D25" s="152">
        <v>3.0</v>
      </c>
      <c r="E25" s="153">
        <v>3457.0</v>
      </c>
      <c r="F25" s="154">
        <v>8.3</v>
      </c>
      <c r="G25" s="155">
        <v>28693.100000000002</v>
      </c>
      <c r="H25" s="159">
        <f>SUMIFS('Historical Orders'!$E25, 'Historical Orders'!$D25, "1", 'Historical Orders'!$C25, "A", 'Historical Orders'!$B25, "1")</f>
        <v>0</v>
      </c>
      <c r="I25" s="157">
        <f>SUMIFS('Historical Orders'!$G25, 'Historical Orders'!$D25, "1", 'Historical Orders'!$C25, "A", 'Historical Orders'!$B25, "1")</f>
        <v>0</v>
      </c>
      <c r="J25" s="157">
        <f>SUMIFS('Historical Orders'!$E25, 'Historical Orders'!$D25, "1", 'Historical Orders'!$C25, "B", 'Historical Orders'!$B25, "1")</f>
        <v>0</v>
      </c>
      <c r="K25" s="157">
        <f>SUMIFS('Historical Orders'!$G25, 'Historical Orders'!$D25, "1", 'Historical Orders'!$C25, "B", 'Historical Orders'!$B25, "1")</f>
        <v>0</v>
      </c>
      <c r="L25" s="159">
        <f>SUMIFS('Historical Orders'!$E25, 'Historical Orders'!$D25, "1", 'Historical Orders'!$C25, "A", 'Historical Orders'!$B25, "2")</f>
        <v>0</v>
      </c>
      <c r="M25" s="157">
        <f>SUMIFS('Historical Orders'!$G25, 'Historical Orders'!$D25, "1", 'Historical Orders'!$C25, "A", 'Historical Orders'!$B25, "2")</f>
        <v>0</v>
      </c>
      <c r="N25" s="157">
        <f>SUMIFS('Historical Orders'!$E25, 'Historical Orders'!$D25, "1", 'Historical Orders'!$C25, "B", 'Historical Orders'!$B25, "2")</f>
        <v>0</v>
      </c>
      <c r="O25" s="157">
        <f>SUMIFS('Historical Orders'!$G25, 'Historical Orders'!$D25, "1", 'Historical Orders'!$C25, "B", 'Historical Orders'!$B25, "2")</f>
        <v>0</v>
      </c>
      <c r="P25" s="159">
        <f>SUMIFS('Historical Orders'!$E25, 'Historical Orders'!$D25, "2", 'Historical Orders'!$C25, "A", 'Historical Orders'!$B25, "1")</f>
        <v>0</v>
      </c>
      <c r="Q25" s="157">
        <f>SUMIFS('Historical Orders'!$G25, 'Historical Orders'!$D25, "2", 'Historical Orders'!$C25, "A", 'Historical Orders'!$B25, "1")</f>
        <v>0</v>
      </c>
      <c r="R25" s="159">
        <f>SUMIFS('Historical Orders'!$E25, 'Historical Orders'!$D25, "2", 'Historical Orders'!$C25, "B", 'Historical Orders'!$B25, "1")</f>
        <v>0</v>
      </c>
      <c r="S25" s="157">
        <f>SUMIFS('Historical Orders'!$G25, 'Historical Orders'!$D25, "2", 'Historical Orders'!$C25, "B", 'Historical Orders'!$B25, "1")</f>
        <v>0</v>
      </c>
      <c r="T25" s="159">
        <f>SUMIFS('Historical Orders'!$E25, 'Historical Orders'!$D25, "2", 'Historical Orders'!$C25, "A", 'Historical Orders'!$B25, "2")</f>
        <v>0</v>
      </c>
      <c r="U25" s="157">
        <f>SUMIFS('Historical Orders'!$G25, 'Historical Orders'!$D25, "2", 'Historical Orders'!$C25, "A", 'Historical Orders'!$B25, "2")</f>
        <v>0</v>
      </c>
      <c r="V25" s="159">
        <f>SUMIFS('Historical Orders'!$E25, 'Historical Orders'!$D25, "2", 'Historical Orders'!$C25, "B", 'Historical Orders'!$B25, "2")</f>
        <v>0</v>
      </c>
      <c r="W25" s="159">
        <f>SUMIFS('Historical Orders'!$G25, 'Historical Orders'!$D25, "2", 'Historical Orders'!$C25, "B", 'Historical Orders'!$B25, "2")</f>
        <v>0</v>
      </c>
      <c r="X25" s="159">
        <f>SUMIFS('Historical Orders'!$E25, 'Historical Orders'!$D25, "3", 'Historical Orders'!$C25, "A", 'Historical Orders'!$B25, "1")</f>
        <v>0</v>
      </c>
      <c r="Y25" s="159">
        <f>SUMIFS('Historical Orders'!$G25, 'Historical Orders'!$D25, "3", 'Historical Orders'!$C25, "A", 'Historical Orders'!$B25, "1")</f>
        <v>0</v>
      </c>
      <c r="Z25" s="159">
        <f>SUMIFS('Historical Orders'!$E25, 'Historical Orders'!$D25, "3", 'Historical Orders'!$C25, "B", 'Historical Orders'!$B25, "1")</f>
        <v>0</v>
      </c>
      <c r="AA25" s="159">
        <f>SUMIFS('Historical Orders'!$G25, 'Historical Orders'!$D25, "3", 'Historical Orders'!$C25, "B", 'Historical Orders'!$B25, "1")</f>
        <v>0</v>
      </c>
      <c r="AB25" s="159">
        <f>SUMIFS('Historical Orders'!$E25, 'Historical Orders'!$D25, "3", 'Historical Orders'!$C25, "A", 'Historical Orders'!$B25, "2")</f>
        <v>0</v>
      </c>
      <c r="AC25" s="159">
        <f>SUMIFS('Historical Orders'!$G25, 'Historical Orders'!$D25, "3", 'Historical Orders'!$C25, "A", 'Historical Orders'!$B25, "2")</f>
        <v>0</v>
      </c>
      <c r="AD25" s="159">
        <f>SUMIFS('Historical Orders'!$E25, 'Historical Orders'!$D25, "3", 'Historical Orders'!$C25, "B", 'Historical Orders'!$B25, "2")</f>
        <v>3457</v>
      </c>
      <c r="AE25" s="157">
        <f>SUMIFS('Historical Orders'!$G25, 'Historical Orders'!$D25, "3", 'Historical Orders'!$C25, "B", 'Historical Orders'!$B25, "2")</f>
        <v>28693.1</v>
      </c>
      <c r="AF25" s="157">
        <f>SUMIFS('Historical Orders'!$E25, 'Historical Orders'!$D25, "4", 'Historical Orders'!$C25, "A", 'Historical Orders'!$B25, "1")</f>
        <v>0</v>
      </c>
      <c r="AG25" s="157">
        <f>SUMIFS('Historical Orders'!$G25, 'Historical Orders'!$D25, "4", 'Historical Orders'!$C25, "A", 'Historical Orders'!$B25, "1")</f>
        <v>0</v>
      </c>
      <c r="AH25" s="157">
        <f>SUMIFS('Historical Orders'!$E25, 'Historical Orders'!$D25, "4", 'Historical Orders'!$C25, "B", 'Historical Orders'!$B25, "1")</f>
        <v>0</v>
      </c>
      <c r="AI25" s="157">
        <f>SUMIFS('Historical Orders'!$G25, 'Historical Orders'!$D25, "4", 'Historical Orders'!$C25, "B", 'Historical Orders'!$B25, "1")</f>
        <v>0</v>
      </c>
      <c r="AJ25" s="157">
        <f>SUMIFS('Historical Orders'!$E25, 'Historical Orders'!$D25, "4", 'Historical Orders'!$C25, "A", 'Historical Orders'!$B25, "2")</f>
        <v>0</v>
      </c>
      <c r="AK25" s="157">
        <f>SUMIFS('Historical Orders'!$G25, 'Historical Orders'!$D25, "4", 'Historical Orders'!$C25, "A", 'Historical Orders'!$B25, "2")</f>
        <v>0</v>
      </c>
      <c r="AL25" s="171">
        <f>SUMIFS('Historical Orders'!$E25, 'Historical Orders'!$D25, "4", 'Historical Orders'!$C25, "B", 'Historical Orders'!$B25, "2")</f>
        <v>0</v>
      </c>
      <c r="AM25" s="171">
        <f>SUMIFS('Historical Orders'!$G25, 'Historical Orders'!$D25, "4", 'Historical Orders'!$C25, "B", 'Historical Orders'!$B25, "2")</f>
        <v>0</v>
      </c>
      <c r="AN25" s="171">
        <f>SUMIFS('Historical Orders'!$G25, 'Historical Orders'!$C25, "A", 'Historical Orders'!$B25, "1")</f>
        <v>0</v>
      </c>
      <c r="AO25" s="171">
        <f>SUMIFS('Historical Orders'!$G25, 'Historical Orders'!$C25, "B", 'Historical Orders'!$B25, "1")</f>
        <v>0</v>
      </c>
      <c r="AP25" s="171">
        <f>SUMIFS('Historical Orders'!$G25, 'Historical Orders'!$C25, "A", 'Historical Orders'!$B25, "2")</f>
        <v>0</v>
      </c>
      <c r="AQ25" s="171">
        <f>SUMIFS('Historical Orders'!$G25, 'Historical Orders'!$C25, "B", 'Historical Orders'!$B25, "2")</f>
        <v>28693.1</v>
      </c>
      <c r="AR25" s="145"/>
      <c r="AS25" s="146"/>
      <c r="AT25" s="161">
        <v>42016.0</v>
      </c>
      <c r="AU25" s="162"/>
      <c r="AV25" s="163">
        <f t="shared" si="1"/>
        <v>42016</v>
      </c>
      <c r="AW25" s="164">
        <f t="shared" si="2"/>
        <v>18171</v>
      </c>
      <c r="AX25" s="164">
        <f t="shared" si="3"/>
        <v>9995</v>
      </c>
      <c r="AY25" s="164">
        <f t="shared" si="4"/>
        <v>8176</v>
      </c>
      <c r="AZ25" s="164">
        <f t="shared" si="5"/>
        <v>14675</v>
      </c>
      <c r="BA25" s="164">
        <f t="shared" si="6"/>
        <v>3496</v>
      </c>
      <c r="BB25" s="165"/>
      <c r="BC25" s="166">
        <f t="shared" si="7"/>
        <v>53681.8</v>
      </c>
      <c r="BD25" s="166">
        <f t="shared" si="8"/>
        <v>28478.4</v>
      </c>
      <c r="BE25" s="166">
        <f t="shared" si="9"/>
        <v>25203.4</v>
      </c>
      <c r="BF25" s="167"/>
      <c r="BG25" s="166">
        <f t="shared" si="10"/>
        <v>8868.2</v>
      </c>
      <c r="BH25" s="166">
        <f t="shared" si="11"/>
        <v>5052</v>
      </c>
      <c r="BI25" s="166">
        <f t="shared" si="12"/>
        <v>0</v>
      </c>
      <c r="BJ25" s="166">
        <f>SUM('Historical Orders'!$BG25:$BI25)</f>
        <v>13920.2</v>
      </c>
      <c r="BK25" s="167"/>
      <c r="BL25" s="166">
        <f t="shared" si="13"/>
        <v>0</v>
      </c>
      <c r="BM25" s="166">
        <f t="shared" si="14"/>
        <v>0</v>
      </c>
      <c r="BN25" s="166">
        <f t="shared" si="15"/>
        <v>14558.2</v>
      </c>
      <c r="BO25" s="166">
        <f>SUM('Historical Orders'!$BL25:$BN25)</f>
        <v>14558.2</v>
      </c>
      <c r="BP25" s="167"/>
      <c r="BQ25" s="166">
        <f t="shared" si="16"/>
        <v>6652.8</v>
      </c>
      <c r="BR25" s="166">
        <f t="shared" si="17"/>
        <v>4092</v>
      </c>
      <c r="BS25" s="166">
        <f t="shared" si="18"/>
        <v>0</v>
      </c>
      <c r="BT25" s="166">
        <f>SUM('Historical Orders'!$BQ25:$BS25)</f>
        <v>10744.8</v>
      </c>
      <c r="BU25" s="167"/>
      <c r="BV25" s="166">
        <f t="shared" si="19"/>
        <v>0</v>
      </c>
      <c r="BW25" s="166">
        <f t="shared" si="20"/>
        <v>0</v>
      </c>
      <c r="BX25" s="166">
        <f t="shared" si="21"/>
        <v>14458.6</v>
      </c>
      <c r="BY25" s="166">
        <f>SUM('Historical Orders'!$BV25:$BX25)</f>
        <v>14458.6</v>
      </c>
      <c r="BZ25" s="167"/>
      <c r="CA25" s="168">
        <f t="shared" si="22"/>
        <v>3</v>
      </c>
      <c r="CB25" s="168">
        <f t="shared" si="23"/>
        <v>3</v>
      </c>
      <c r="CC25" s="168">
        <f t="shared" si="24"/>
        <v>4</v>
      </c>
      <c r="CD25" s="168">
        <f t="shared" si="25"/>
        <v>2</v>
      </c>
      <c r="CE25" s="168">
        <f t="shared" si="26"/>
        <v>2</v>
      </c>
      <c r="CF25" s="169">
        <f t="shared" si="27"/>
        <v>2</v>
      </c>
      <c r="CG25" s="169">
        <f t="shared" si="28"/>
        <v>2</v>
      </c>
      <c r="CH25" s="170"/>
    </row>
    <row r="26" ht="15.75" customHeight="1">
      <c r="A26" s="151">
        <v>41883.0</v>
      </c>
      <c r="B26" s="152">
        <v>1.0</v>
      </c>
      <c r="C26" s="152" t="s">
        <v>45</v>
      </c>
      <c r="D26" s="152">
        <v>1.0</v>
      </c>
      <c r="E26" s="153">
        <v>3530.0</v>
      </c>
      <c r="F26" s="154">
        <v>2.2</v>
      </c>
      <c r="G26" s="155">
        <v>7766.000000000001</v>
      </c>
      <c r="H26" s="159">
        <f>SUMIFS('Historical Orders'!$E26, 'Historical Orders'!$D26, "1", 'Historical Orders'!$C26, "A", 'Historical Orders'!$B26, "1")</f>
        <v>3530</v>
      </c>
      <c r="I26" s="157">
        <f>SUMIFS('Historical Orders'!$G26, 'Historical Orders'!$D26, "1", 'Historical Orders'!$C26, "A", 'Historical Orders'!$B26, "1")</f>
        <v>7766</v>
      </c>
      <c r="J26" s="157">
        <f>SUMIFS('Historical Orders'!$E26, 'Historical Orders'!$D26, "1", 'Historical Orders'!$C26, "B", 'Historical Orders'!$B26, "1")</f>
        <v>0</v>
      </c>
      <c r="K26" s="157">
        <f>SUMIFS('Historical Orders'!$G26, 'Historical Orders'!$D26, "1", 'Historical Orders'!$C26, "B", 'Historical Orders'!$B26, "1")</f>
        <v>0</v>
      </c>
      <c r="L26" s="159">
        <f>SUMIFS('Historical Orders'!$E26, 'Historical Orders'!$D26, "1", 'Historical Orders'!$C26, "A", 'Historical Orders'!$B26, "2")</f>
        <v>0</v>
      </c>
      <c r="M26" s="157">
        <f>SUMIFS('Historical Orders'!$G26, 'Historical Orders'!$D26, "1", 'Historical Orders'!$C26, "A", 'Historical Orders'!$B26, "2")</f>
        <v>0</v>
      </c>
      <c r="N26" s="157">
        <f>SUMIFS('Historical Orders'!$E26, 'Historical Orders'!$D26, "1", 'Historical Orders'!$C26, "B", 'Historical Orders'!$B26, "2")</f>
        <v>0</v>
      </c>
      <c r="O26" s="157">
        <f>SUMIFS('Historical Orders'!$G26, 'Historical Orders'!$D26, "1", 'Historical Orders'!$C26, "B", 'Historical Orders'!$B26, "2")</f>
        <v>0</v>
      </c>
      <c r="P26" s="159">
        <f>SUMIFS('Historical Orders'!$E26, 'Historical Orders'!$D26, "2", 'Historical Orders'!$C26, "A", 'Historical Orders'!$B26, "1")</f>
        <v>0</v>
      </c>
      <c r="Q26" s="157">
        <f>SUMIFS('Historical Orders'!$G26, 'Historical Orders'!$D26, "2", 'Historical Orders'!$C26, "A", 'Historical Orders'!$B26, "1")</f>
        <v>0</v>
      </c>
      <c r="R26" s="159">
        <f>SUMIFS('Historical Orders'!$E26, 'Historical Orders'!$D26, "2", 'Historical Orders'!$C26, "B", 'Historical Orders'!$B26, "1")</f>
        <v>0</v>
      </c>
      <c r="S26" s="157">
        <f>SUMIFS('Historical Orders'!$G26, 'Historical Orders'!$D26, "2", 'Historical Orders'!$C26, "B", 'Historical Orders'!$B26, "1")</f>
        <v>0</v>
      </c>
      <c r="T26" s="159">
        <f>SUMIFS('Historical Orders'!$E26, 'Historical Orders'!$D26, "2", 'Historical Orders'!$C26, "A", 'Historical Orders'!$B26, "2")</f>
        <v>0</v>
      </c>
      <c r="U26" s="157">
        <f>SUMIFS('Historical Orders'!$G26, 'Historical Orders'!$D26, "2", 'Historical Orders'!$C26, "A", 'Historical Orders'!$B26, "2")</f>
        <v>0</v>
      </c>
      <c r="V26" s="159">
        <f>SUMIFS('Historical Orders'!$E26, 'Historical Orders'!$D26, "2", 'Historical Orders'!$C26, "B", 'Historical Orders'!$B26, "2")</f>
        <v>0</v>
      </c>
      <c r="W26" s="159">
        <f>SUMIFS('Historical Orders'!$G26, 'Historical Orders'!$D26, "2", 'Historical Orders'!$C26, "B", 'Historical Orders'!$B26, "2")</f>
        <v>0</v>
      </c>
      <c r="X26" s="159">
        <f>SUMIFS('Historical Orders'!$E26, 'Historical Orders'!$D26, "3", 'Historical Orders'!$C26, "A", 'Historical Orders'!$B26, "1")</f>
        <v>0</v>
      </c>
      <c r="Y26" s="159">
        <f>SUMIFS('Historical Orders'!$G26, 'Historical Orders'!$D26, "3", 'Historical Orders'!$C26, "A", 'Historical Orders'!$B26, "1")</f>
        <v>0</v>
      </c>
      <c r="Z26" s="159">
        <f>SUMIFS('Historical Orders'!$E26, 'Historical Orders'!$D26, "3", 'Historical Orders'!$C26, "B", 'Historical Orders'!$B26, "1")</f>
        <v>0</v>
      </c>
      <c r="AA26" s="159">
        <f>SUMIFS('Historical Orders'!$G26, 'Historical Orders'!$D26, "3", 'Historical Orders'!$C26, "B", 'Historical Orders'!$B26, "1")</f>
        <v>0</v>
      </c>
      <c r="AB26" s="159">
        <f>SUMIFS('Historical Orders'!$E26, 'Historical Orders'!$D26, "3", 'Historical Orders'!$C26, "A", 'Historical Orders'!$B26, "2")</f>
        <v>0</v>
      </c>
      <c r="AC26" s="159">
        <f>SUMIFS('Historical Orders'!$G26, 'Historical Orders'!$D26, "3", 'Historical Orders'!$C26, "A", 'Historical Orders'!$B26, "2")</f>
        <v>0</v>
      </c>
      <c r="AD26" s="159">
        <f>SUMIFS('Historical Orders'!$E26, 'Historical Orders'!$D26, "3", 'Historical Orders'!$C26, "B", 'Historical Orders'!$B26, "2")</f>
        <v>0</v>
      </c>
      <c r="AE26" s="157">
        <f>SUMIFS('Historical Orders'!$G26, 'Historical Orders'!$D26, "3", 'Historical Orders'!$C26, "B", 'Historical Orders'!$B26, "2")</f>
        <v>0</v>
      </c>
      <c r="AF26" s="157">
        <f>SUMIFS('Historical Orders'!$E26, 'Historical Orders'!$D26, "4", 'Historical Orders'!$C26, "A", 'Historical Orders'!$B26, "1")</f>
        <v>0</v>
      </c>
      <c r="AG26" s="157">
        <f>SUMIFS('Historical Orders'!$G26, 'Historical Orders'!$D26, "4", 'Historical Orders'!$C26, "A", 'Historical Orders'!$B26, "1")</f>
        <v>0</v>
      </c>
      <c r="AH26" s="157">
        <f>SUMIFS('Historical Orders'!$E26, 'Historical Orders'!$D26, "4", 'Historical Orders'!$C26, "B", 'Historical Orders'!$B26, "1")</f>
        <v>0</v>
      </c>
      <c r="AI26" s="157">
        <f>SUMIFS('Historical Orders'!$G26, 'Historical Orders'!$D26, "4", 'Historical Orders'!$C26, "B", 'Historical Orders'!$B26, "1")</f>
        <v>0</v>
      </c>
      <c r="AJ26" s="157">
        <f>SUMIFS('Historical Orders'!$E26, 'Historical Orders'!$D26, "4", 'Historical Orders'!$C26, "A", 'Historical Orders'!$B26, "2")</f>
        <v>0</v>
      </c>
      <c r="AK26" s="157">
        <f>SUMIFS('Historical Orders'!$G26, 'Historical Orders'!$D26, "4", 'Historical Orders'!$C26, "A", 'Historical Orders'!$B26, "2")</f>
        <v>0</v>
      </c>
      <c r="AL26" s="171">
        <f>SUMIFS('Historical Orders'!$E26, 'Historical Orders'!$D26, "4", 'Historical Orders'!$C26, "B", 'Historical Orders'!$B26, "2")</f>
        <v>0</v>
      </c>
      <c r="AM26" s="171">
        <f>SUMIFS('Historical Orders'!$G26, 'Historical Orders'!$D26, "4", 'Historical Orders'!$C26, "B", 'Historical Orders'!$B26, "2")</f>
        <v>0</v>
      </c>
      <c r="AN26" s="171">
        <f>SUMIFS('Historical Orders'!$G26, 'Historical Orders'!$C26, "A", 'Historical Orders'!$B26, "1")</f>
        <v>7766</v>
      </c>
      <c r="AO26" s="171">
        <f>SUMIFS('Historical Orders'!$G26, 'Historical Orders'!$C26, "B", 'Historical Orders'!$B26, "1")</f>
        <v>0</v>
      </c>
      <c r="AP26" s="171">
        <f>SUMIFS('Historical Orders'!$G26, 'Historical Orders'!$C26, "A", 'Historical Orders'!$B26, "2")</f>
        <v>0</v>
      </c>
      <c r="AQ26" s="171">
        <f>SUMIFS('Historical Orders'!$G26, 'Historical Orders'!$C26, "B", 'Historical Orders'!$B26, "2")</f>
        <v>0</v>
      </c>
      <c r="AR26" s="145"/>
      <c r="AS26" s="146"/>
      <c r="AT26" s="161">
        <v>42023.0</v>
      </c>
      <c r="AU26" s="162"/>
      <c r="AV26" s="163">
        <f t="shared" si="1"/>
        <v>42023</v>
      </c>
      <c r="AW26" s="164">
        <f t="shared" si="2"/>
        <v>19602</v>
      </c>
      <c r="AX26" s="164">
        <f t="shared" si="3"/>
        <v>10079</v>
      </c>
      <c r="AY26" s="164">
        <f t="shared" si="4"/>
        <v>9523</v>
      </c>
      <c r="AZ26" s="164">
        <f t="shared" si="5"/>
        <v>16115</v>
      </c>
      <c r="BA26" s="164">
        <f t="shared" si="6"/>
        <v>3487</v>
      </c>
      <c r="BB26" s="165"/>
      <c r="BC26" s="166">
        <f t="shared" si="7"/>
        <v>55306.1</v>
      </c>
      <c r="BD26" s="166">
        <f t="shared" si="8"/>
        <v>27182.2</v>
      </c>
      <c r="BE26" s="166">
        <f t="shared" si="9"/>
        <v>28123.9</v>
      </c>
      <c r="BF26" s="167"/>
      <c r="BG26" s="166">
        <f t="shared" si="10"/>
        <v>9543.6</v>
      </c>
      <c r="BH26" s="166">
        <f t="shared" si="11"/>
        <v>5072.4</v>
      </c>
      <c r="BI26" s="166">
        <f t="shared" si="12"/>
        <v>0</v>
      </c>
      <c r="BJ26" s="166">
        <f>SUM('Historical Orders'!$BG26:$BI26)</f>
        <v>14616</v>
      </c>
      <c r="BK26" s="167"/>
      <c r="BL26" s="166">
        <f t="shared" si="13"/>
        <v>0</v>
      </c>
      <c r="BM26" s="166">
        <f t="shared" si="14"/>
        <v>0</v>
      </c>
      <c r="BN26" s="166">
        <f t="shared" si="15"/>
        <v>12566.2</v>
      </c>
      <c r="BO26" s="166">
        <f>SUM('Historical Orders'!$BL26:$BN26)</f>
        <v>12566.2</v>
      </c>
      <c r="BP26" s="167"/>
      <c r="BQ26" s="166">
        <f t="shared" si="16"/>
        <v>5913.6</v>
      </c>
      <c r="BR26" s="166">
        <f t="shared" si="17"/>
        <v>5834.4</v>
      </c>
      <c r="BS26" s="166">
        <f t="shared" si="18"/>
        <v>0</v>
      </c>
      <c r="BT26" s="166">
        <f>SUM('Historical Orders'!$BQ26:$BS26)</f>
        <v>11748</v>
      </c>
      <c r="BU26" s="167"/>
      <c r="BV26" s="166">
        <f t="shared" si="19"/>
        <v>0</v>
      </c>
      <c r="BW26" s="166">
        <f t="shared" si="20"/>
        <v>0</v>
      </c>
      <c r="BX26" s="166">
        <f t="shared" si="21"/>
        <v>16375.9</v>
      </c>
      <c r="BY26" s="166">
        <f>SUM('Historical Orders'!$BV26:$BX26)</f>
        <v>16375.9</v>
      </c>
      <c r="BZ26" s="167"/>
      <c r="CA26" s="168">
        <f t="shared" si="22"/>
        <v>3</v>
      </c>
      <c r="CB26" s="168">
        <f t="shared" si="23"/>
        <v>3</v>
      </c>
      <c r="CC26" s="168">
        <f t="shared" si="24"/>
        <v>4</v>
      </c>
      <c r="CD26" s="168">
        <f t="shared" si="25"/>
        <v>2</v>
      </c>
      <c r="CE26" s="168">
        <f t="shared" si="26"/>
        <v>2</v>
      </c>
      <c r="CF26" s="169">
        <f t="shared" si="27"/>
        <v>2</v>
      </c>
      <c r="CG26" s="169">
        <f t="shared" si="28"/>
        <v>2</v>
      </c>
      <c r="CH26" s="170"/>
    </row>
    <row r="27" ht="15.75" customHeight="1">
      <c r="A27" s="151">
        <v>41883.0</v>
      </c>
      <c r="B27" s="152">
        <v>1.0</v>
      </c>
      <c r="C27" s="152" t="s">
        <v>45</v>
      </c>
      <c r="D27" s="152">
        <v>2.0</v>
      </c>
      <c r="E27" s="153">
        <v>6097.0</v>
      </c>
      <c r="F27" s="154">
        <v>1.2</v>
      </c>
      <c r="G27" s="155">
        <v>7316.4</v>
      </c>
      <c r="H27" s="159">
        <f>SUMIFS('Historical Orders'!$E27, 'Historical Orders'!$D27, "1", 'Historical Orders'!$C27, "A", 'Historical Orders'!$B27, "1")</f>
        <v>0</v>
      </c>
      <c r="I27" s="157">
        <f>SUMIFS('Historical Orders'!$G27, 'Historical Orders'!$D27, "1", 'Historical Orders'!$C27, "A", 'Historical Orders'!$B27, "1")</f>
        <v>0</v>
      </c>
      <c r="J27" s="157">
        <f>SUMIFS('Historical Orders'!$E27, 'Historical Orders'!$D27, "1", 'Historical Orders'!$C27, "B", 'Historical Orders'!$B27, "1")</f>
        <v>0</v>
      </c>
      <c r="K27" s="157">
        <f>SUMIFS('Historical Orders'!$G27, 'Historical Orders'!$D27, "1", 'Historical Orders'!$C27, "B", 'Historical Orders'!$B27, "1")</f>
        <v>0</v>
      </c>
      <c r="L27" s="159">
        <f>SUMIFS('Historical Orders'!$E27, 'Historical Orders'!$D27, "1", 'Historical Orders'!$C27, "A", 'Historical Orders'!$B27, "2")</f>
        <v>0</v>
      </c>
      <c r="M27" s="157">
        <f>SUMIFS('Historical Orders'!$G27, 'Historical Orders'!$D27, "1", 'Historical Orders'!$C27, "A", 'Historical Orders'!$B27, "2")</f>
        <v>0</v>
      </c>
      <c r="N27" s="157">
        <f>SUMIFS('Historical Orders'!$E27, 'Historical Orders'!$D27, "1", 'Historical Orders'!$C27, "B", 'Historical Orders'!$B27, "2")</f>
        <v>0</v>
      </c>
      <c r="O27" s="157">
        <f>SUMIFS('Historical Orders'!$G27, 'Historical Orders'!$D27, "1", 'Historical Orders'!$C27, "B", 'Historical Orders'!$B27, "2")</f>
        <v>0</v>
      </c>
      <c r="P27" s="159">
        <f>SUMIFS('Historical Orders'!$E27, 'Historical Orders'!$D27, "2", 'Historical Orders'!$C27, "A", 'Historical Orders'!$B27, "1")</f>
        <v>6097</v>
      </c>
      <c r="Q27" s="157">
        <f>SUMIFS('Historical Orders'!$G27, 'Historical Orders'!$D27, "2", 'Historical Orders'!$C27, "A", 'Historical Orders'!$B27, "1")</f>
        <v>7316.4</v>
      </c>
      <c r="R27" s="159">
        <f>SUMIFS('Historical Orders'!$E27, 'Historical Orders'!$D27, "2", 'Historical Orders'!$C27, "B", 'Historical Orders'!$B27, "1")</f>
        <v>0</v>
      </c>
      <c r="S27" s="157">
        <f>SUMIFS('Historical Orders'!$G27, 'Historical Orders'!$D27, "2", 'Historical Orders'!$C27, "B", 'Historical Orders'!$B27, "1")</f>
        <v>0</v>
      </c>
      <c r="T27" s="159">
        <f>SUMIFS('Historical Orders'!$E27, 'Historical Orders'!$D27, "2", 'Historical Orders'!$C27, "A", 'Historical Orders'!$B27, "2")</f>
        <v>0</v>
      </c>
      <c r="U27" s="157">
        <f>SUMIFS('Historical Orders'!$G27, 'Historical Orders'!$D27, "2", 'Historical Orders'!$C27, "A", 'Historical Orders'!$B27, "2")</f>
        <v>0</v>
      </c>
      <c r="V27" s="159">
        <f>SUMIFS('Historical Orders'!$E27, 'Historical Orders'!$D27, "2", 'Historical Orders'!$C27, "B", 'Historical Orders'!$B27, "2")</f>
        <v>0</v>
      </c>
      <c r="W27" s="159">
        <f>SUMIFS('Historical Orders'!$G27, 'Historical Orders'!$D27, "2", 'Historical Orders'!$C27, "B", 'Historical Orders'!$B27, "2")</f>
        <v>0</v>
      </c>
      <c r="X27" s="159">
        <f>SUMIFS('Historical Orders'!$E27, 'Historical Orders'!$D27, "3", 'Historical Orders'!$C27, "A", 'Historical Orders'!$B27, "1")</f>
        <v>0</v>
      </c>
      <c r="Y27" s="159">
        <f>SUMIFS('Historical Orders'!$G27, 'Historical Orders'!$D27, "3", 'Historical Orders'!$C27, "A", 'Historical Orders'!$B27, "1")</f>
        <v>0</v>
      </c>
      <c r="Z27" s="159">
        <f>SUMIFS('Historical Orders'!$E27, 'Historical Orders'!$D27, "3", 'Historical Orders'!$C27, "B", 'Historical Orders'!$B27, "1")</f>
        <v>0</v>
      </c>
      <c r="AA27" s="159">
        <f>SUMIFS('Historical Orders'!$G27, 'Historical Orders'!$D27, "3", 'Historical Orders'!$C27, "B", 'Historical Orders'!$B27, "1")</f>
        <v>0</v>
      </c>
      <c r="AB27" s="159">
        <f>SUMIFS('Historical Orders'!$E27, 'Historical Orders'!$D27, "3", 'Historical Orders'!$C27, "A", 'Historical Orders'!$B27, "2")</f>
        <v>0</v>
      </c>
      <c r="AC27" s="159">
        <f>SUMIFS('Historical Orders'!$G27, 'Historical Orders'!$D27, "3", 'Historical Orders'!$C27, "A", 'Historical Orders'!$B27, "2")</f>
        <v>0</v>
      </c>
      <c r="AD27" s="159">
        <f>SUMIFS('Historical Orders'!$E27, 'Historical Orders'!$D27, "3", 'Historical Orders'!$C27, "B", 'Historical Orders'!$B27, "2")</f>
        <v>0</v>
      </c>
      <c r="AE27" s="157">
        <f>SUMIFS('Historical Orders'!$G27, 'Historical Orders'!$D27, "3", 'Historical Orders'!$C27, "B", 'Historical Orders'!$B27, "2")</f>
        <v>0</v>
      </c>
      <c r="AF27" s="157">
        <f>SUMIFS('Historical Orders'!$E27, 'Historical Orders'!$D27, "4", 'Historical Orders'!$C27, "A", 'Historical Orders'!$B27, "1")</f>
        <v>0</v>
      </c>
      <c r="AG27" s="157">
        <f>SUMIFS('Historical Orders'!$G27, 'Historical Orders'!$D27, "4", 'Historical Orders'!$C27, "A", 'Historical Orders'!$B27, "1")</f>
        <v>0</v>
      </c>
      <c r="AH27" s="157">
        <f>SUMIFS('Historical Orders'!$E27, 'Historical Orders'!$D27, "4", 'Historical Orders'!$C27, "B", 'Historical Orders'!$B27, "1")</f>
        <v>0</v>
      </c>
      <c r="AI27" s="157">
        <f>SUMIFS('Historical Orders'!$G27, 'Historical Orders'!$D27, "4", 'Historical Orders'!$C27, "B", 'Historical Orders'!$B27, "1")</f>
        <v>0</v>
      </c>
      <c r="AJ27" s="157">
        <f>SUMIFS('Historical Orders'!$E27, 'Historical Orders'!$D27, "4", 'Historical Orders'!$C27, "A", 'Historical Orders'!$B27, "2")</f>
        <v>0</v>
      </c>
      <c r="AK27" s="157">
        <f>SUMIFS('Historical Orders'!$G27, 'Historical Orders'!$D27, "4", 'Historical Orders'!$C27, "A", 'Historical Orders'!$B27, "2")</f>
        <v>0</v>
      </c>
      <c r="AL27" s="171">
        <f>SUMIFS('Historical Orders'!$E27, 'Historical Orders'!$D27, "4", 'Historical Orders'!$C27, "B", 'Historical Orders'!$B27, "2")</f>
        <v>0</v>
      </c>
      <c r="AM27" s="171">
        <f>SUMIFS('Historical Orders'!$G27, 'Historical Orders'!$D27, "4", 'Historical Orders'!$C27, "B", 'Historical Orders'!$B27, "2")</f>
        <v>0</v>
      </c>
      <c r="AN27" s="171">
        <f>SUMIFS('Historical Orders'!$G27, 'Historical Orders'!$C27, "A", 'Historical Orders'!$B27, "1")</f>
        <v>7316.4</v>
      </c>
      <c r="AO27" s="171">
        <f>SUMIFS('Historical Orders'!$G27, 'Historical Orders'!$C27, "B", 'Historical Orders'!$B27, "1")</f>
        <v>0</v>
      </c>
      <c r="AP27" s="171">
        <f>SUMIFS('Historical Orders'!$G27, 'Historical Orders'!$C27, "A", 'Historical Orders'!$B27, "2")</f>
        <v>0</v>
      </c>
      <c r="AQ27" s="171">
        <f>SUMIFS('Historical Orders'!$G27, 'Historical Orders'!$C27, "B", 'Historical Orders'!$B27, "2")</f>
        <v>0</v>
      </c>
      <c r="AR27" s="145"/>
      <c r="AS27" s="146"/>
      <c r="AT27" s="161">
        <v>42030.0</v>
      </c>
      <c r="AU27" s="162"/>
      <c r="AV27" s="163">
        <f t="shared" si="1"/>
        <v>42030</v>
      </c>
      <c r="AW27" s="164">
        <f t="shared" si="2"/>
        <v>22901</v>
      </c>
      <c r="AX27" s="164">
        <f t="shared" si="3"/>
        <v>11574</v>
      </c>
      <c r="AY27" s="164">
        <f t="shared" si="4"/>
        <v>11327</v>
      </c>
      <c r="AZ27" s="164">
        <f t="shared" si="5"/>
        <v>18848</v>
      </c>
      <c r="BA27" s="164">
        <f t="shared" si="6"/>
        <v>4053</v>
      </c>
      <c r="BB27" s="165"/>
      <c r="BC27" s="166">
        <f t="shared" si="7"/>
        <v>64200.5</v>
      </c>
      <c r="BD27" s="166">
        <f t="shared" si="8"/>
        <v>30752</v>
      </c>
      <c r="BE27" s="166">
        <f t="shared" si="9"/>
        <v>33448.5</v>
      </c>
      <c r="BF27" s="167"/>
      <c r="BG27" s="166">
        <f t="shared" si="10"/>
        <v>9889</v>
      </c>
      <c r="BH27" s="166">
        <f t="shared" si="11"/>
        <v>6404.4</v>
      </c>
      <c r="BI27" s="166">
        <f t="shared" si="12"/>
        <v>0</v>
      </c>
      <c r="BJ27" s="166">
        <f>SUM('Historical Orders'!$BG27:$BI27)</f>
        <v>16293.4</v>
      </c>
      <c r="BK27" s="167"/>
      <c r="BL27" s="166">
        <f t="shared" si="13"/>
        <v>0</v>
      </c>
      <c r="BM27" s="166">
        <f t="shared" si="14"/>
        <v>0</v>
      </c>
      <c r="BN27" s="166">
        <f t="shared" si="15"/>
        <v>14458.6</v>
      </c>
      <c r="BO27" s="166">
        <f>SUM('Historical Orders'!$BL27:$BN27)</f>
        <v>14458.6</v>
      </c>
      <c r="BP27" s="167"/>
      <c r="BQ27" s="166">
        <f t="shared" si="16"/>
        <v>7585.6</v>
      </c>
      <c r="BR27" s="166">
        <f t="shared" si="17"/>
        <v>6681.6</v>
      </c>
      <c r="BS27" s="166">
        <f t="shared" si="18"/>
        <v>0</v>
      </c>
      <c r="BT27" s="166">
        <f>SUM('Historical Orders'!$BQ27:$BS27)</f>
        <v>14267.2</v>
      </c>
      <c r="BU27" s="167"/>
      <c r="BV27" s="166">
        <f t="shared" si="19"/>
        <v>0</v>
      </c>
      <c r="BW27" s="166">
        <f t="shared" si="20"/>
        <v>0</v>
      </c>
      <c r="BX27" s="166">
        <f t="shared" si="21"/>
        <v>19181.3</v>
      </c>
      <c r="BY27" s="166">
        <f>SUM('Historical Orders'!$BV27:$BX27)</f>
        <v>19181.3</v>
      </c>
      <c r="BZ27" s="167"/>
      <c r="CA27" s="168">
        <f t="shared" si="22"/>
        <v>3</v>
      </c>
      <c r="CB27" s="168">
        <f t="shared" si="23"/>
        <v>3</v>
      </c>
      <c r="CC27" s="168">
        <f t="shared" si="24"/>
        <v>4</v>
      </c>
      <c r="CD27" s="168">
        <f t="shared" si="25"/>
        <v>2</v>
      </c>
      <c r="CE27" s="168">
        <f t="shared" si="26"/>
        <v>2</v>
      </c>
      <c r="CF27" s="169">
        <f t="shared" si="27"/>
        <v>2</v>
      </c>
      <c r="CG27" s="169">
        <f t="shared" si="28"/>
        <v>2</v>
      </c>
      <c r="CH27" s="170"/>
    </row>
    <row r="28" ht="15.75" customHeight="1">
      <c r="A28" s="151">
        <v>41883.0</v>
      </c>
      <c r="B28" s="152">
        <v>2.0</v>
      </c>
      <c r="C28" s="152" t="s">
        <v>45</v>
      </c>
      <c r="D28" s="152">
        <v>1.0</v>
      </c>
      <c r="E28" s="153">
        <v>2567.0</v>
      </c>
      <c r="F28" s="154">
        <v>2.2</v>
      </c>
      <c r="G28" s="155">
        <v>5647.400000000001</v>
      </c>
      <c r="H28" s="159">
        <f>SUMIFS('Historical Orders'!$E28, 'Historical Orders'!$D28, "1", 'Historical Orders'!$C28, "A", 'Historical Orders'!$B28, "1")</f>
        <v>0</v>
      </c>
      <c r="I28" s="157">
        <f>SUMIFS('Historical Orders'!$G28, 'Historical Orders'!$D28, "1", 'Historical Orders'!$C28, "A", 'Historical Orders'!$B28, "1")</f>
        <v>0</v>
      </c>
      <c r="J28" s="157">
        <f>SUMIFS('Historical Orders'!$E28, 'Historical Orders'!$D28, "1", 'Historical Orders'!$C28, "B", 'Historical Orders'!$B28, "1")</f>
        <v>0</v>
      </c>
      <c r="K28" s="157">
        <f>SUMIFS('Historical Orders'!$G28, 'Historical Orders'!$D28, "1", 'Historical Orders'!$C28, "B", 'Historical Orders'!$B28, "1")</f>
        <v>0</v>
      </c>
      <c r="L28" s="159">
        <f>SUMIFS('Historical Orders'!$E28, 'Historical Orders'!$D28, "1", 'Historical Orders'!$C28, "A", 'Historical Orders'!$B28, "2")</f>
        <v>2567</v>
      </c>
      <c r="M28" s="157">
        <f>SUMIFS('Historical Orders'!$G28, 'Historical Orders'!$D28, "1", 'Historical Orders'!$C28, "A", 'Historical Orders'!$B28, "2")</f>
        <v>5647.4</v>
      </c>
      <c r="N28" s="157">
        <f>SUMIFS('Historical Orders'!$E28, 'Historical Orders'!$D28, "1", 'Historical Orders'!$C28, "B", 'Historical Orders'!$B28, "2")</f>
        <v>0</v>
      </c>
      <c r="O28" s="157">
        <f>SUMIFS('Historical Orders'!$G28, 'Historical Orders'!$D28, "1", 'Historical Orders'!$C28, "B", 'Historical Orders'!$B28, "2")</f>
        <v>0</v>
      </c>
      <c r="P28" s="159">
        <f>SUMIFS('Historical Orders'!$E28, 'Historical Orders'!$D28, "2", 'Historical Orders'!$C28, "A", 'Historical Orders'!$B28, "1")</f>
        <v>0</v>
      </c>
      <c r="Q28" s="157">
        <f>SUMIFS('Historical Orders'!$G28, 'Historical Orders'!$D28, "2", 'Historical Orders'!$C28, "A", 'Historical Orders'!$B28, "1")</f>
        <v>0</v>
      </c>
      <c r="R28" s="159">
        <f>SUMIFS('Historical Orders'!$E28, 'Historical Orders'!$D28, "2", 'Historical Orders'!$C28, "B", 'Historical Orders'!$B28, "1")</f>
        <v>0</v>
      </c>
      <c r="S28" s="157">
        <f>SUMIFS('Historical Orders'!$G28, 'Historical Orders'!$D28, "2", 'Historical Orders'!$C28, "B", 'Historical Orders'!$B28, "1")</f>
        <v>0</v>
      </c>
      <c r="T28" s="159">
        <f>SUMIFS('Historical Orders'!$E28, 'Historical Orders'!$D28, "2", 'Historical Orders'!$C28, "A", 'Historical Orders'!$B28, "2")</f>
        <v>0</v>
      </c>
      <c r="U28" s="157">
        <f>SUMIFS('Historical Orders'!$G28, 'Historical Orders'!$D28, "2", 'Historical Orders'!$C28, "A", 'Historical Orders'!$B28, "2")</f>
        <v>0</v>
      </c>
      <c r="V28" s="159">
        <f>SUMIFS('Historical Orders'!$E28, 'Historical Orders'!$D28, "2", 'Historical Orders'!$C28, "B", 'Historical Orders'!$B28, "2")</f>
        <v>0</v>
      </c>
      <c r="W28" s="159">
        <f>SUMIFS('Historical Orders'!$G28, 'Historical Orders'!$D28, "2", 'Historical Orders'!$C28, "B", 'Historical Orders'!$B28, "2")</f>
        <v>0</v>
      </c>
      <c r="X28" s="159">
        <f>SUMIFS('Historical Orders'!$E28, 'Historical Orders'!$D28, "3", 'Historical Orders'!$C28, "A", 'Historical Orders'!$B28, "1")</f>
        <v>0</v>
      </c>
      <c r="Y28" s="159">
        <f>SUMIFS('Historical Orders'!$G28, 'Historical Orders'!$D28, "3", 'Historical Orders'!$C28, "A", 'Historical Orders'!$B28, "1")</f>
        <v>0</v>
      </c>
      <c r="Z28" s="159">
        <f>SUMIFS('Historical Orders'!$E28, 'Historical Orders'!$D28, "3", 'Historical Orders'!$C28, "B", 'Historical Orders'!$B28, "1")</f>
        <v>0</v>
      </c>
      <c r="AA28" s="159">
        <f>SUMIFS('Historical Orders'!$G28, 'Historical Orders'!$D28, "3", 'Historical Orders'!$C28, "B", 'Historical Orders'!$B28, "1")</f>
        <v>0</v>
      </c>
      <c r="AB28" s="159">
        <f>SUMIFS('Historical Orders'!$E28, 'Historical Orders'!$D28, "3", 'Historical Orders'!$C28, "A", 'Historical Orders'!$B28, "2")</f>
        <v>0</v>
      </c>
      <c r="AC28" s="159">
        <f>SUMIFS('Historical Orders'!$G28, 'Historical Orders'!$D28, "3", 'Historical Orders'!$C28, "A", 'Historical Orders'!$B28, "2")</f>
        <v>0</v>
      </c>
      <c r="AD28" s="159">
        <f>SUMIFS('Historical Orders'!$E28, 'Historical Orders'!$D28, "3", 'Historical Orders'!$C28, "B", 'Historical Orders'!$B28, "2")</f>
        <v>0</v>
      </c>
      <c r="AE28" s="157">
        <f>SUMIFS('Historical Orders'!$G28, 'Historical Orders'!$D28, "3", 'Historical Orders'!$C28, "B", 'Historical Orders'!$B28, "2")</f>
        <v>0</v>
      </c>
      <c r="AF28" s="157">
        <f>SUMIFS('Historical Orders'!$E28, 'Historical Orders'!$D28, "4", 'Historical Orders'!$C28, "A", 'Historical Orders'!$B28, "1")</f>
        <v>0</v>
      </c>
      <c r="AG28" s="157">
        <f>SUMIFS('Historical Orders'!$G28, 'Historical Orders'!$D28, "4", 'Historical Orders'!$C28, "A", 'Historical Orders'!$B28, "1")</f>
        <v>0</v>
      </c>
      <c r="AH28" s="157">
        <f>SUMIFS('Historical Orders'!$E28, 'Historical Orders'!$D28, "4", 'Historical Orders'!$C28, "B", 'Historical Orders'!$B28, "1")</f>
        <v>0</v>
      </c>
      <c r="AI28" s="157">
        <f>SUMIFS('Historical Orders'!$G28, 'Historical Orders'!$D28, "4", 'Historical Orders'!$C28, "B", 'Historical Orders'!$B28, "1")</f>
        <v>0</v>
      </c>
      <c r="AJ28" s="157">
        <f>SUMIFS('Historical Orders'!$E28, 'Historical Orders'!$D28, "4", 'Historical Orders'!$C28, "A", 'Historical Orders'!$B28, "2")</f>
        <v>0</v>
      </c>
      <c r="AK28" s="157">
        <f>SUMIFS('Historical Orders'!$G28, 'Historical Orders'!$D28, "4", 'Historical Orders'!$C28, "A", 'Historical Orders'!$B28, "2")</f>
        <v>0</v>
      </c>
      <c r="AL28" s="171">
        <f>SUMIFS('Historical Orders'!$E28, 'Historical Orders'!$D28, "4", 'Historical Orders'!$C28, "B", 'Historical Orders'!$B28, "2")</f>
        <v>0</v>
      </c>
      <c r="AM28" s="171">
        <f>SUMIFS('Historical Orders'!$G28, 'Historical Orders'!$D28, "4", 'Historical Orders'!$C28, "B", 'Historical Orders'!$B28, "2")</f>
        <v>0</v>
      </c>
      <c r="AN28" s="171">
        <f>SUMIFS('Historical Orders'!$G28, 'Historical Orders'!$C28, "A", 'Historical Orders'!$B28, "1")</f>
        <v>0</v>
      </c>
      <c r="AO28" s="171">
        <f>SUMIFS('Historical Orders'!$G28, 'Historical Orders'!$C28, "B", 'Historical Orders'!$B28, "1")</f>
        <v>0</v>
      </c>
      <c r="AP28" s="171">
        <f>SUMIFS('Historical Orders'!$G28, 'Historical Orders'!$C28, "A", 'Historical Orders'!$B28, "2")</f>
        <v>5647.4</v>
      </c>
      <c r="AQ28" s="171">
        <f>SUMIFS('Historical Orders'!$G28, 'Historical Orders'!$C28, "B", 'Historical Orders'!$B28, "2")</f>
        <v>0</v>
      </c>
      <c r="AR28" s="145"/>
      <c r="AS28" s="146"/>
      <c r="AT28" s="161">
        <v>42037.0</v>
      </c>
      <c r="AU28" s="162"/>
      <c r="AV28" s="163">
        <f t="shared" si="1"/>
        <v>42037</v>
      </c>
      <c r="AW28" s="164">
        <f t="shared" si="2"/>
        <v>22645</v>
      </c>
      <c r="AX28" s="164">
        <f t="shared" si="3"/>
        <v>11469</v>
      </c>
      <c r="AY28" s="164">
        <f t="shared" si="4"/>
        <v>11176</v>
      </c>
      <c r="AZ28" s="164">
        <f t="shared" si="5"/>
        <v>18609</v>
      </c>
      <c r="BA28" s="164">
        <f t="shared" si="6"/>
        <v>4036</v>
      </c>
      <c r="BB28" s="165"/>
      <c r="BC28" s="166">
        <f t="shared" si="7"/>
        <v>62846.6</v>
      </c>
      <c r="BD28" s="166">
        <f t="shared" si="8"/>
        <v>31930.9</v>
      </c>
      <c r="BE28" s="166">
        <f t="shared" si="9"/>
        <v>30915.7</v>
      </c>
      <c r="BF28" s="167"/>
      <c r="BG28" s="166">
        <f t="shared" si="10"/>
        <v>9182.8</v>
      </c>
      <c r="BH28" s="166">
        <f t="shared" si="11"/>
        <v>6388.8</v>
      </c>
      <c r="BI28" s="166">
        <f t="shared" si="12"/>
        <v>0</v>
      </c>
      <c r="BJ28" s="166">
        <f>SUM('Historical Orders'!$BG28:$BI28)</f>
        <v>15571.6</v>
      </c>
      <c r="BK28" s="167"/>
      <c r="BL28" s="166">
        <f t="shared" si="13"/>
        <v>0</v>
      </c>
      <c r="BM28" s="166">
        <f t="shared" si="14"/>
        <v>0</v>
      </c>
      <c r="BN28" s="166">
        <f t="shared" si="15"/>
        <v>16359.3</v>
      </c>
      <c r="BO28" s="166">
        <f>SUM('Historical Orders'!$BL28:$BN28)</f>
        <v>16359.3</v>
      </c>
      <c r="BP28" s="167"/>
      <c r="BQ28" s="166">
        <f t="shared" si="16"/>
        <v>6254.6</v>
      </c>
      <c r="BR28" s="166">
        <f t="shared" si="17"/>
        <v>7521.6</v>
      </c>
      <c r="BS28" s="166">
        <f t="shared" si="18"/>
        <v>0</v>
      </c>
      <c r="BT28" s="166">
        <f>SUM('Historical Orders'!$BQ28:$BS28)</f>
        <v>13776.2</v>
      </c>
      <c r="BU28" s="167"/>
      <c r="BV28" s="166">
        <f t="shared" si="19"/>
        <v>0</v>
      </c>
      <c r="BW28" s="166">
        <f t="shared" si="20"/>
        <v>0</v>
      </c>
      <c r="BX28" s="166">
        <f t="shared" si="21"/>
        <v>17139.5</v>
      </c>
      <c r="BY28" s="166">
        <f>SUM('Historical Orders'!$BV28:$BX28)</f>
        <v>17139.5</v>
      </c>
      <c r="BZ28" s="167"/>
      <c r="CA28" s="168">
        <f t="shared" si="22"/>
        <v>3</v>
      </c>
      <c r="CB28" s="168">
        <f t="shared" si="23"/>
        <v>3</v>
      </c>
      <c r="CC28" s="168">
        <f t="shared" si="24"/>
        <v>4</v>
      </c>
      <c r="CD28" s="168">
        <f t="shared" si="25"/>
        <v>2</v>
      </c>
      <c r="CE28" s="168">
        <f t="shared" si="26"/>
        <v>2</v>
      </c>
      <c r="CF28" s="169">
        <f t="shared" si="27"/>
        <v>2</v>
      </c>
      <c r="CG28" s="169">
        <f t="shared" si="28"/>
        <v>2</v>
      </c>
      <c r="CH28" s="170"/>
    </row>
    <row r="29" ht="15.75" customHeight="1">
      <c r="A29" s="151">
        <v>41883.0</v>
      </c>
      <c r="B29" s="152">
        <v>2.0</v>
      </c>
      <c r="C29" s="152" t="s">
        <v>45</v>
      </c>
      <c r="D29" s="152">
        <v>2.0</v>
      </c>
      <c r="E29" s="153">
        <v>7325.0</v>
      </c>
      <c r="F29" s="154">
        <v>1.2</v>
      </c>
      <c r="G29" s="155">
        <v>8790.0</v>
      </c>
      <c r="H29" s="159">
        <f>SUMIFS('Historical Orders'!$E29, 'Historical Orders'!$D29, "1", 'Historical Orders'!$C29, "A", 'Historical Orders'!$B29, "1")</f>
        <v>0</v>
      </c>
      <c r="I29" s="157">
        <f>SUMIFS('Historical Orders'!$G29, 'Historical Orders'!$D29, "1", 'Historical Orders'!$C29, "A", 'Historical Orders'!$B29, "1")</f>
        <v>0</v>
      </c>
      <c r="J29" s="157">
        <f>SUMIFS('Historical Orders'!$E29, 'Historical Orders'!$D29, "1", 'Historical Orders'!$C29, "B", 'Historical Orders'!$B29, "1")</f>
        <v>0</v>
      </c>
      <c r="K29" s="157">
        <f>SUMIFS('Historical Orders'!$G29, 'Historical Orders'!$D29, "1", 'Historical Orders'!$C29, "B", 'Historical Orders'!$B29, "1")</f>
        <v>0</v>
      </c>
      <c r="L29" s="159">
        <f>SUMIFS('Historical Orders'!$E29, 'Historical Orders'!$D29, "1", 'Historical Orders'!$C29, "A", 'Historical Orders'!$B29, "2")</f>
        <v>0</v>
      </c>
      <c r="M29" s="157">
        <f>SUMIFS('Historical Orders'!$G29, 'Historical Orders'!$D29, "1", 'Historical Orders'!$C29, "A", 'Historical Orders'!$B29, "2")</f>
        <v>0</v>
      </c>
      <c r="N29" s="157">
        <f>SUMIFS('Historical Orders'!$E29, 'Historical Orders'!$D29, "1", 'Historical Orders'!$C29, "B", 'Historical Orders'!$B29, "2")</f>
        <v>0</v>
      </c>
      <c r="O29" s="157">
        <f>SUMIFS('Historical Orders'!$G29, 'Historical Orders'!$D29, "1", 'Historical Orders'!$C29, "B", 'Historical Orders'!$B29, "2")</f>
        <v>0</v>
      </c>
      <c r="P29" s="159">
        <f>SUMIFS('Historical Orders'!$E29, 'Historical Orders'!$D29, "2", 'Historical Orders'!$C29, "A", 'Historical Orders'!$B29, "1")</f>
        <v>0</v>
      </c>
      <c r="Q29" s="157">
        <f>SUMIFS('Historical Orders'!$G29, 'Historical Orders'!$D29, "2", 'Historical Orders'!$C29, "A", 'Historical Orders'!$B29, "1")</f>
        <v>0</v>
      </c>
      <c r="R29" s="159">
        <f>SUMIFS('Historical Orders'!$E29, 'Historical Orders'!$D29, "2", 'Historical Orders'!$C29, "B", 'Historical Orders'!$B29, "1")</f>
        <v>0</v>
      </c>
      <c r="S29" s="157">
        <f>SUMIFS('Historical Orders'!$G29, 'Historical Orders'!$D29, "2", 'Historical Orders'!$C29, "B", 'Historical Orders'!$B29, "1")</f>
        <v>0</v>
      </c>
      <c r="T29" s="159">
        <f>SUMIFS('Historical Orders'!$E29, 'Historical Orders'!$D29, "2", 'Historical Orders'!$C29, "A", 'Historical Orders'!$B29, "2")</f>
        <v>7325</v>
      </c>
      <c r="U29" s="157">
        <f>SUMIFS('Historical Orders'!$G29, 'Historical Orders'!$D29, "2", 'Historical Orders'!$C29, "A", 'Historical Orders'!$B29, "2")</f>
        <v>8790</v>
      </c>
      <c r="V29" s="159">
        <f>SUMIFS('Historical Orders'!$E29, 'Historical Orders'!$D29, "2", 'Historical Orders'!$C29, "B", 'Historical Orders'!$B29, "2")</f>
        <v>0</v>
      </c>
      <c r="W29" s="159">
        <f>SUMIFS('Historical Orders'!$G29, 'Historical Orders'!$D29, "2", 'Historical Orders'!$C29, "B", 'Historical Orders'!$B29, "2")</f>
        <v>0</v>
      </c>
      <c r="X29" s="159">
        <f>SUMIFS('Historical Orders'!$E29, 'Historical Orders'!$D29, "3", 'Historical Orders'!$C29, "A", 'Historical Orders'!$B29, "1")</f>
        <v>0</v>
      </c>
      <c r="Y29" s="159">
        <f>SUMIFS('Historical Orders'!$G29, 'Historical Orders'!$D29, "3", 'Historical Orders'!$C29, "A", 'Historical Orders'!$B29, "1")</f>
        <v>0</v>
      </c>
      <c r="Z29" s="159">
        <f>SUMIFS('Historical Orders'!$E29, 'Historical Orders'!$D29, "3", 'Historical Orders'!$C29, "B", 'Historical Orders'!$B29, "1")</f>
        <v>0</v>
      </c>
      <c r="AA29" s="159">
        <f>SUMIFS('Historical Orders'!$G29, 'Historical Orders'!$D29, "3", 'Historical Orders'!$C29, "B", 'Historical Orders'!$B29, "1")</f>
        <v>0</v>
      </c>
      <c r="AB29" s="159">
        <f>SUMIFS('Historical Orders'!$E29, 'Historical Orders'!$D29, "3", 'Historical Orders'!$C29, "A", 'Historical Orders'!$B29, "2")</f>
        <v>0</v>
      </c>
      <c r="AC29" s="159">
        <f>SUMIFS('Historical Orders'!$G29, 'Historical Orders'!$D29, "3", 'Historical Orders'!$C29, "A", 'Historical Orders'!$B29, "2")</f>
        <v>0</v>
      </c>
      <c r="AD29" s="159">
        <f>SUMIFS('Historical Orders'!$E29, 'Historical Orders'!$D29, "3", 'Historical Orders'!$C29, "B", 'Historical Orders'!$B29, "2")</f>
        <v>0</v>
      </c>
      <c r="AE29" s="157">
        <f>SUMIFS('Historical Orders'!$G29, 'Historical Orders'!$D29, "3", 'Historical Orders'!$C29, "B", 'Historical Orders'!$B29, "2")</f>
        <v>0</v>
      </c>
      <c r="AF29" s="157">
        <f>SUMIFS('Historical Orders'!$E29, 'Historical Orders'!$D29, "4", 'Historical Orders'!$C29, "A", 'Historical Orders'!$B29, "1")</f>
        <v>0</v>
      </c>
      <c r="AG29" s="157">
        <f>SUMIFS('Historical Orders'!$G29, 'Historical Orders'!$D29, "4", 'Historical Orders'!$C29, "A", 'Historical Orders'!$B29, "1")</f>
        <v>0</v>
      </c>
      <c r="AH29" s="157">
        <f>SUMIFS('Historical Orders'!$E29, 'Historical Orders'!$D29, "4", 'Historical Orders'!$C29, "B", 'Historical Orders'!$B29, "1")</f>
        <v>0</v>
      </c>
      <c r="AI29" s="157">
        <f>SUMIFS('Historical Orders'!$G29, 'Historical Orders'!$D29, "4", 'Historical Orders'!$C29, "B", 'Historical Orders'!$B29, "1")</f>
        <v>0</v>
      </c>
      <c r="AJ29" s="157">
        <f>SUMIFS('Historical Orders'!$E29, 'Historical Orders'!$D29, "4", 'Historical Orders'!$C29, "A", 'Historical Orders'!$B29, "2")</f>
        <v>0</v>
      </c>
      <c r="AK29" s="157">
        <f>SUMIFS('Historical Orders'!$G29, 'Historical Orders'!$D29, "4", 'Historical Orders'!$C29, "A", 'Historical Orders'!$B29, "2")</f>
        <v>0</v>
      </c>
      <c r="AL29" s="171">
        <f>SUMIFS('Historical Orders'!$E29, 'Historical Orders'!$D29, "4", 'Historical Orders'!$C29, "B", 'Historical Orders'!$B29, "2")</f>
        <v>0</v>
      </c>
      <c r="AM29" s="171">
        <f>SUMIFS('Historical Orders'!$G29, 'Historical Orders'!$D29, "4", 'Historical Orders'!$C29, "B", 'Historical Orders'!$B29, "2")</f>
        <v>0</v>
      </c>
      <c r="AN29" s="171">
        <f>SUMIFS('Historical Orders'!$G29, 'Historical Orders'!$C29, "A", 'Historical Orders'!$B29, "1")</f>
        <v>0</v>
      </c>
      <c r="AO29" s="171">
        <f>SUMIFS('Historical Orders'!$G29, 'Historical Orders'!$C29, "B", 'Historical Orders'!$B29, "1")</f>
        <v>0</v>
      </c>
      <c r="AP29" s="171">
        <f>SUMIFS('Historical Orders'!$G29, 'Historical Orders'!$C29, "A", 'Historical Orders'!$B29, "2")</f>
        <v>8790</v>
      </c>
      <c r="AQ29" s="171">
        <f>SUMIFS('Historical Orders'!$G29, 'Historical Orders'!$C29, "B", 'Historical Orders'!$B29, "2")</f>
        <v>0</v>
      </c>
      <c r="AS29" s="146"/>
      <c r="AT29" s="161">
        <v>42044.0</v>
      </c>
      <c r="AU29" s="162"/>
      <c r="AV29" s="163">
        <f t="shared" si="1"/>
        <v>42044</v>
      </c>
      <c r="AW29" s="164">
        <f t="shared" si="2"/>
        <v>25257</v>
      </c>
      <c r="AX29" s="164">
        <f t="shared" si="3"/>
        <v>12615</v>
      </c>
      <c r="AY29" s="164">
        <f t="shared" si="4"/>
        <v>12642</v>
      </c>
      <c r="AZ29" s="164">
        <f t="shared" si="5"/>
        <v>20414</v>
      </c>
      <c r="BA29" s="164">
        <f t="shared" si="6"/>
        <v>4843</v>
      </c>
      <c r="BB29" s="165"/>
      <c r="BC29" s="166">
        <f t="shared" si="7"/>
        <v>73656.7</v>
      </c>
      <c r="BD29" s="166">
        <f t="shared" si="8"/>
        <v>35455.4</v>
      </c>
      <c r="BE29" s="166">
        <f t="shared" si="9"/>
        <v>38201.3</v>
      </c>
      <c r="BF29" s="167"/>
      <c r="BG29" s="166">
        <f t="shared" si="10"/>
        <v>10740.4</v>
      </c>
      <c r="BH29" s="166">
        <f t="shared" si="11"/>
        <v>6670.8</v>
      </c>
      <c r="BI29" s="166">
        <f t="shared" si="12"/>
        <v>0</v>
      </c>
      <c r="BJ29" s="166">
        <f>SUM('Historical Orders'!$BG29:$BI29)</f>
        <v>17411.2</v>
      </c>
      <c r="BK29" s="167"/>
      <c r="BL29" s="166">
        <f t="shared" si="13"/>
        <v>0</v>
      </c>
      <c r="BM29" s="166">
        <f t="shared" si="14"/>
        <v>0</v>
      </c>
      <c r="BN29" s="166">
        <f t="shared" si="15"/>
        <v>18044.2</v>
      </c>
      <c r="BO29" s="166">
        <f>SUM('Historical Orders'!$BL29:$BN29)</f>
        <v>18044.2</v>
      </c>
      <c r="BP29" s="167"/>
      <c r="BQ29" s="166">
        <f t="shared" si="16"/>
        <v>8978.2</v>
      </c>
      <c r="BR29" s="166">
        <f t="shared" si="17"/>
        <v>7070.4</v>
      </c>
      <c r="BS29" s="166">
        <f t="shared" si="18"/>
        <v>0</v>
      </c>
      <c r="BT29" s="166">
        <f>SUM('Historical Orders'!$BQ29:$BS29)</f>
        <v>16048.6</v>
      </c>
      <c r="BU29" s="167"/>
      <c r="BV29" s="166">
        <f t="shared" si="19"/>
        <v>0</v>
      </c>
      <c r="BW29" s="166">
        <f t="shared" si="20"/>
        <v>0</v>
      </c>
      <c r="BX29" s="166">
        <f t="shared" si="21"/>
        <v>22152.7</v>
      </c>
      <c r="BY29" s="166">
        <f>SUM('Historical Orders'!$BV29:$BX29)</f>
        <v>22152.7</v>
      </c>
      <c r="BZ29" s="167"/>
      <c r="CA29" s="168">
        <f t="shared" si="22"/>
        <v>3</v>
      </c>
      <c r="CB29" s="168">
        <f t="shared" si="23"/>
        <v>3</v>
      </c>
      <c r="CC29" s="168">
        <f t="shared" si="24"/>
        <v>4</v>
      </c>
      <c r="CD29" s="168">
        <f t="shared" si="25"/>
        <v>2</v>
      </c>
      <c r="CE29" s="168">
        <f t="shared" si="26"/>
        <v>2</v>
      </c>
      <c r="CF29" s="169">
        <f t="shared" si="27"/>
        <v>2</v>
      </c>
      <c r="CG29" s="169">
        <f t="shared" si="28"/>
        <v>2</v>
      </c>
      <c r="CH29" s="170"/>
    </row>
    <row r="30" ht="15.75" customHeight="1">
      <c r="A30" s="151">
        <v>41883.0</v>
      </c>
      <c r="B30" s="152">
        <v>1.0</v>
      </c>
      <c r="C30" s="152" t="s">
        <v>46</v>
      </c>
      <c r="D30" s="152">
        <v>3.0</v>
      </c>
      <c r="E30" s="153">
        <v>1946.0</v>
      </c>
      <c r="F30" s="154">
        <v>8.3</v>
      </c>
      <c r="G30" s="155">
        <v>16151.800000000001</v>
      </c>
      <c r="H30" s="159">
        <f>SUMIFS('Historical Orders'!$E30, 'Historical Orders'!$D30, "1", 'Historical Orders'!$C30, "A", 'Historical Orders'!$B30, "1")</f>
        <v>0</v>
      </c>
      <c r="I30" s="157">
        <f>SUMIFS('Historical Orders'!$G30, 'Historical Orders'!$D30, "1", 'Historical Orders'!$C30, "A", 'Historical Orders'!$B30, "1")</f>
        <v>0</v>
      </c>
      <c r="J30" s="157">
        <f>SUMIFS('Historical Orders'!$E30, 'Historical Orders'!$D30, "1", 'Historical Orders'!$C30, "B", 'Historical Orders'!$B30, "1")</f>
        <v>0</v>
      </c>
      <c r="K30" s="157">
        <f>SUMIFS('Historical Orders'!$G30, 'Historical Orders'!$D30, "1", 'Historical Orders'!$C30, "B", 'Historical Orders'!$B30, "1")</f>
        <v>0</v>
      </c>
      <c r="L30" s="159">
        <f>SUMIFS('Historical Orders'!$E30, 'Historical Orders'!$D30, "1", 'Historical Orders'!$C30, "A", 'Historical Orders'!$B30, "2")</f>
        <v>0</v>
      </c>
      <c r="M30" s="157">
        <f>SUMIFS('Historical Orders'!$G30, 'Historical Orders'!$D30, "1", 'Historical Orders'!$C30, "A", 'Historical Orders'!$B30, "2")</f>
        <v>0</v>
      </c>
      <c r="N30" s="157">
        <f>SUMIFS('Historical Orders'!$E30, 'Historical Orders'!$D30, "1", 'Historical Orders'!$C30, "B", 'Historical Orders'!$B30, "2")</f>
        <v>0</v>
      </c>
      <c r="O30" s="157">
        <f>SUMIFS('Historical Orders'!$G30, 'Historical Orders'!$D30, "1", 'Historical Orders'!$C30, "B", 'Historical Orders'!$B30, "2")</f>
        <v>0</v>
      </c>
      <c r="P30" s="159">
        <f>SUMIFS('Historical Orders'!$E30, 'Historical Orders'!$D30, "2", 'Historical Orders'!$C30, "A", 'Historical Orders'!$B30, "1")</f>
        <v>0</v>
      </c>
      <c r="Q30" s="157">
        <f>SUMIFS('Historical Orders'!$G30, 'Historical Orders'!$D30, "2", 'Historical Orders'!$C30, "A", 'Historical Orders'!$B30, "1")</f>
        <v>0</v>
      </c>
      <c r="R30" s="159">
        <f>SUMIFS('Historical Orders'!$E30, 'Historical Orders'!$D30, "2", 'Historical Orders'!$C30, "B", 'Historical Orders'!$B30, "1")</f>
        <v>0</v>
      </c>
      <c r="S30" s="157">
        <f>SUMIFS('Historical Orders'!$G30, 'Historical Orders'!$D30, "2", 'Historical Orders'!$C30, "B", 'Historical Orders'!$B30, "1")</f>
        <v>0</v>
      </c>
      <c r="T30" s="159">
        <f>SUMIFS('Historical Orders'!$E30, 'Historical Orders'!$D30, "2", 'Historical Orders'!$C30, "A", 'Historical Orders'!$B30, "2")</f>
        <v>0</v>
      </c>
      <c r="U30" s="157">
        <f>SUMIFS('Historical Orders'!$G30, 'Historical Orders'!$D30, "2", 'Historical Orders'!$C30, "A", 'Historical Orders'!$B30, "2")</f>
        <v>0</v>
      </c>
      <c r="V30" s="159">
        <f>SUMIFS('Historical Orders'!$E30, 'Historical Orders'!$D30, "2", 'Historical Orders'!$C30, "B", 'Historical Orders'!$B30, "2")</f>
        <v>0</v>
      </c>
      <c r="W30" s="159">
        <f>SUMIFS('Historical Orders'!$G30, 'Historical Orders'!$D30, "2", 'Historical Orders'!$C30, "B", 'Historical Orders'!$B30, "2")</f>
        <v>0</v>
      </c>
      <c r="X30" s="159">
        <f>SUMIFS('Historical Orders'!$E30, 'Historical Orders'!$D30, "3", 'Historical Orders'!$C30, "A", 'Historical Orders'!$B30, "1")</f>
        <v>0</v>
      </c>
      <c r="Y30" s="159">
        <f>SUMIFS('Historical Orders'!$G30, 'Historical Orders'!$D30, "3", 'Historical Orders'!$C30, "A", 'Historical Orders'!$B30, "1")</f>
        <v>0</v>
      </c>
      <c r="Z30" s="159">
        <f>SUMIFS('Historical Orders'!$E30, 'Historical Orders'!$D30, "3", 'Historical Orders'!$C30, "B", 'Historical Orders'!$B30, "1")</f>
        <v>1946</v>
      </c>
      <c r="AA30" s="159">
        <f>SUMIFS('Historical Orders'!$G30, 'Historical Orders'!$D30, "3", 'Historical Orders'!$C30, "B", 'Historical Orders'!$B30, "1")</f>
        <v>16151.8</v>
      </c>
      <c r="AB30" s="159">
        <f>SUMIFS('Historical Orders'!$E30, 'Historical Orders'!$D30, "3", 'Historical Orders'!$C30, "A", 'Historical Orders'!$B30, "2")</f>
        <v>0</v>
      </c>
      <c r="AC30" s="159">
        <f>SUMIFS('Historical Orders'!$G30, 'Historical Orders'!$D30, "3", 'Historical Orders'!$C30, "A", 'Historical Orders'!$B30, "2")</f>
        <v>0</v>
      </c>
      <c r="AD30" s="159">
        <f>SUMIFS('Historical Orders'!$E30, 'Historical Orders'!$D30, "3", 'Historical Orders'!$C30, "B", 'Historical Orders'!$B30, "2")</f>
        <v>0</v>
      </c>
      <c r="AE30" s="157">
        <f>SUMIFS('Historical Orders'!$G30, 'Historical Orders'!$D30, "3", 'Historical Orders'!$C30, "B", 'Historical Orders'!$B30, "2")</f>
        <v>0</v>
      </c>
      <c r="AF30" s="157">
        <f>SUMIFS('Historical Orders'!$E30, 'Historical Orders'!$D30, "4", 'Historical Orders'!$C30, "A", 'Historical Orders'!$B30, "1")</f>
        <v>0</v>
      </c>
      <c r="AG30" s="157">
        <f>SUMIFS('Historical Orders'!$G30, 'Historical Orders'!$D30, "4", 'Historical Orders'!$C30, "A", 'Historical Orders'!$B30, "1")</f>
        <v>0</v>
      </c>
      <c r="AH30" s="157">
        <f>SUMIFS('Historical Orders'!$E30, 'Historical Orders'!$D30, "4", 'Historical Orders'!$C30, "B", 'Historical Orders'!$B30, "1")</f>
        <v>0</v>
      </c>
      <c r="AI30" s="157">
        <f>SUMIFS('Historical Orders'!$G30, 'Historical Orders'!$D30, "4", 'Historical Orders'!$C30, "B", 'Historical Orders'!$B30, "1")</f>
        <v>0</v>
      </c>
      <c r="AJ30" s="157">
        <f>SUMIFS('Historical Orders'!$E30, 'Historical Orders'!$D30, "4", 'Historical Orders'!$C30, "A", 'Historical Orders'!$B30, "2")</f>
        <v>0</v>
      </c>
      <c r="AK30" s="157">
        <f>SUMIFS('Historical Orders'!$G30, 'Historical Orders'!$D30, "4", 'Historical Orders'!$C30, "A", 'Historical Orders'!$B30, "2")</f>
        <v>0</v>
      </c>
      <c r="AL30" s="171">
        <f>SUMIFS('Historical Orders'!$E30, 'Historical Orders'!$D30, "4", 'Historical Orders'!$C30, "B", 'Historical Orders'!$B30, "2")</f>
        <v>0</v>
      </c>
      <c r="AM30" s="171">
        <f>SUMIFS('Historical Orders'!$G30, 'Historical Orders'!$D30, "4", 'Historical Orders'!$C30, "B", 'Historical Orders'!$B30, "2")</f>
        <v>0</v>
      </c>
      <c r="AN30" s="171">
        <f>SUMIFS('Historical Orders'!$G30, 'Historical Orders'!$C30, "A", 'Historical Orders'!$B30, "1")</f>
        <v>0</v>
      </c>
      <c r="AO30" s="171">
        <f>SUMIFS('Historical Orders'!$G30, 'Historical Orders'!$C30, "B", 'Historical Orders'!$B30, "1")</f>
        <v>16151.8</v>
      </c>
      <c r="AP30" s="171">
        <f>SUMIFS('Historical Orders'!$G30, 'Historical Orders'!$C30, "A", 'Historical Orders'!$B30, "2")</f>
        <v>0</v>
      </c>
      <c r="AQ30" s="171">
        <f>SUMIFS('Historical Orders'!$G30, 'Historical Orders'!$C30, "B", 'Historical Orders'!$B30, "2")</f>
        <v>0</v>
      </c>
      <c r="AR30" s="145"/>
      <c r="AS30" s="146"/>
      <c r="AT30" s="161">
        <v>42051.0</v>
      </c>
      <c r="AU30" s="162"/>
      <c r="AV30" s="163">
        <f t="shared" si="1"/>
        <v>42051</v>
      </c>
      <c r="AW30" s="164">
        <f t="shared" si="2"/>
        <v>22377</v>
      </c>
      <c r="AX30" s="164">
        <f t="shared" si="3"/>
        <v>11391</v>
      </c>
      <c r="AY30" s="164">
        <f t="shared" si="4"/>
        <v>10986</v>
      </c>
      <c r="AZ30" s="164">
        <f t="shared" si="5"/>
        <v>16833</v>
      </c>
      <c r="BA30" s="164">
        <f t="shared" si="6"/>
        <v>5544</v>
      </c>
      <c r="BB30" s="165"/>
      <c r="BC30" s="166">
        <f t="shared" si="7"/>
        <v>73703.8</v>
      </c>
      <c r="BD30" s="166">
        <f t="shared" si="8"/>
        <v>34368</v>
      </c>
      <c r="BE30" s="166">
        <f t="shared" si="9"/>
        <v>39335.8</v>
      </c>
      <c r="BF30" s="167"/>
      <c r="BG30" s="166">
        <f t="shared" si="10"/>
        <v>9017.8</v>
      </c>
      <c r="BH30" s="166">
        <f t="shared" si="11"/>
        <v>5944.8</v>
      </c>
      <c r="BI30" s="166">
        <f t="shared" si="12"/>
        <v>0</v>
      </c>
      <c r="BJ30" s="166">
        <f>SUM('Historical Orders'!$BG30:$BI30)</f>
        <v>14962.6</v>
      </c>
      <c r="BK30" s="167"/>
      <c r="BL30" s="166">
        <f t="shared" si="13"/>
        <v>0</v>
      </c>
      <c r="BM30" s="166">
        <f t="shared" si="14"/>
        <v>0</v>
      </c>
      <c r="BN30" s="166">
        <f t="shared" si="15"/>
        <v>19405.4</v>
      </c>
      <c r="BO30" s="166">
        <f>SUM('Historical Orders'!$BL30:$BN30)</f>
        <v>19405.4</v>
      </c>
      <c r="BP30" s="167"/>
      <c r="BQ30" s="166">
        <f t="shared" si="16"/>
        <v>7458</v>
      </c>
      <c r="BR30" s="166">
        <f t="shared" si="17"/>
        <v>5268</v>
      </c>
      <c r="BS30" s="166">
        <f t="shared" si="18"/>
        <v>0</v>
      </c>
      <c r="BT30" s="166">
        <f>SUM('Historical Orders'!$BQ30:$BS30)</f>
        <v>12726</v>
      </c>
      <c r="BU30" s="167"/>
      <c r="BV30" s="166">
        <f t="shared" si="19"/>
        <v>0</v>
      </c>
      <c r="BW30" s="166">
        <f t="shared" si="20"/>
        <v>0</v>
      </c>
      <c r="BX30" s="166">
        <f t="shared" si="21"/>
        <v>26609.8</v>
      </c>
      <c r="BY30" s="166">
        <f>SUM('Historical Orders'!$BV30:$BX30)</f>
        <v>26609.8</v>
      </c>
      <c r="BZ30" s="167"/>
      <c r="CA30" s="168">
        <f t="shared" si="22"/>
        <v>3</v>
      </c>
      <c r="CB30" s="168">
        <f t="shared" si="23"/>
        <v>3</v>
      </c>
      <c r="CC30" s="168">
        <f t="shared" si="24"/>
        <v>4</v>
      </c>
      <c r="CD30" s="168">
        <f t="shared" si="25"/>
        <v>2</v>
      </c>
      <c r="CE30" s="168">
        <f t="shared" si="26"/>
        <v>2</v>
      </c>
      <c r="CF30" s="169">
        <f t="shared" si="27"/>
        <v>2</v>
      </c>
      <c r="CG30" s="169">
        <f t="shared" si="28"/>
        <v>2</v>
      </c>
      <c r="CH30" s="170"/>
    </row>
    <row r="31" ht="15.75" customHeight="1">
      <c r="A31" s="151">
        <v>41883.0</v>
      </c>
      <c r="B31" s="152">
        <v>2.0</v>
      </c>
      <c r="C31" s="152" t="s">
        <v>46</v>
      </c>
      <c r="D31" s="152">
        <v>3.0</v>
      </c>
      <c r="E31" s="153">
        <v>2027.0</v>
      </c>
      <c r="F31" s="154">
        <v>8.3</v>
      </c>
      <c r="G31" s="155">
        <v>16824.100000000002</v>
      </c>
      <c r="H31" s="159">
        <f>SUMIFS('Historical Orders'!$E31, 'Historical Orders'!$D31, "1", 'Historical Orders'!$C31, "A", 'Historical Orders'!$B31, "1")</f>
        <v>0</v>
      </c>
      <c r="I31" s="157">
        <f>SUMIFS('Historical Orders'!$G31, 'Historical Orders'!$D31, "1", 'Historical Orders'!$C31, "A", 'Historical Orders'!$B31, "1")</f>
        <v>0</v>
      </c>
      <c r="J31" s="157">
        <f>SUMIFS('Historical Orders'!$E31, 'Historical Orders'!$D31, "1", 'Historical Orders'!$C31, "B", 'Historical Orders'!$B31, "1")</f>
        <v>0</v>
      </c>
      <c r="K31" s="157">
        <f>SUMIFS('Historical Orders'!$G31, 'Historical Orders'!$D31, "1", 'Historical Orders'!$C31, "B", 'Historical Orders'!$B31, "1")</f>
        <v>0</v>
      </c>
      <c r="L31" s="159">
        <f>SUMIFS('Historical Orders'!$E31, 'Historical Orders'!$D31, "1", 'Historical Orders'!$C31, "A", 'Historical Orders'!$B31, "2")</f>
        <v>0</v>
      </c>
      <c r="M31" s="157">
        <f>SUMIFS('Historical Orders'!$G31, 'Historical Orders'!$D31, "1", 'Historical Orders'!$C31, "A", 'Historical Orders'!$B31, "2")</f>
        <v>0</v>
      </c>
      <c r="N31" s="157">
        <f>SUMIFS('Historical Orders'!$E31, 'Historical Orders'!$D31, "1", 'Historical Orders'!$C31, "B", 'Historical Orders'!$B31, "2")</f>
        <v>0</v>
      </c>
      <c r="O31" s="157">
        <f>SUMIFS('Historical Orders'!$G31, 'Historical Orders'!$D31, "1", 'Historical Orders'!$C31, "B", 'Historical Orders'!$B31, "2")</f>
        <v>0</v>
      </c>
      <c r="P31" s="159">
        <f>SUMIFS('Historical Orders'!$E31, 'Historical Orders'!$D31, "2", 'Historical Orders'!$C31, "A", 'Historical Orders'!$B31, "1")</f>
        <v>0</v>
      </c>
      <c r="Q31" s="157">
        <f>SUMIFS('Historical Orders'!$G31, 'Historical Orders'!$D31, "2", 'Historical Orders'!$C31, "A", 'Historical Orders'!$B31, "1")</f>
        <v>0</v>
      </c>
      <c r="R31" s="159">
        <f>SUMIFS('Historical Orders'!$E31, 'Historical Orders'!$D31, "2", 'Historical Orders'!$C31, "B", 'Historical Orders'!$B31, "1")</f>
        <v>0</v>
      </c>
      <c r="S31" s="157">
        <f>SUMIFS('Historical Orders'!$G31, 'Historical Orders'!$D31, "2", 'Historical Orders'!$C31, "B", 'Historical Orders'!$B31, "1")</f>
        <v>0</v>
      </c>
      <c r="T31" s="159">
        <f>SUMIFS('Historical Orders'!$E31, 'Historical Orders'!$D31, "2", 'Historical Orders'!$C31, "A", 'Historical Orders'!$B31, "2")</f>
        <v>0</v>
      </c>
      <c r="U31" s="157">
        <f>SUMIFS('Historical Orders'!$G31, 'Historical Orders'!$D31, "2", 'Historical Orders'!$C31, "A", 'Historical Orders'!$B31, "2")</f>
        <v>0</v>
      </c>
      <c r="V31" s="159">
        <f>SUMIFS('Historical Orders'!$E31, 'Historical Orders'!$D31, "2", 'Historical Orders'!$C31, "B", 'Historical Orders'!$B31, "2")</f>
        <v>0</v>
      </c>
      <c r="W31" s="159">
        <f>SUMIFS('Historical Orders'!$G31, 'Historical Orders'!$D31, "2", 'Historical Orders'!$C31, "B", 'Historical Orders'!$B31, "2")</f>
        <v>0</v>
      </c>
      <c r="X31" s="159">
        <f>SUMIFS('Historical Orders'!$E31, 'Historical Orders'!$D31, "3", 'Historical Orders'!$C31, "A", 'Historical Orders'!$B31, "1")</f>
        <v>0</v>
      </c>
      <c r="Y31" s="159">
        <f>SUMIFS('Historical Orders'!$G31, 'Historical Orders'!$D31, "3", 'Historical Orders'!$C31, "A", 'Historical Orders'!$B31, "1")</f>
        <v>0</v>
      </c>
      <c r="Z31" s="159">
        <f>SUMIFS('Historical Orders'!$E31, 'Historical Orders'!$D31, "3", 'Historical Orders'!$C31, "B", 'Historical Orders'!$B31, "1")</f>
        <v>0</v>
      </c>
      <c r="AA31" s="159">
        <f>SUMIFS('Historical Orders'!$G31, 'Historical Orders'!$D31, "3", 'Historical Orders'!$C31, "B", 'Historical Orders'!$B31, "1")</f>
        <v>0</v>
      </c>
      <c r="AB31" s="159">
        <f>SUMIFS('Historical Orders'!$E31, 'Historical Orders'!$D31, "3", 'Historical Orders'!$C31, "A", 'Historical Orders'!$B31, "2")</f>
        <v>0</v>
      </c>
      <c r="AC31" s="159">
        <f>SUMIFS('Historical Orders'!$G31, 'Historical Orders'!$D31, "3", 'Historical Orders'!$C31, "A", 'Historical Orders'!$B31, "2")</f>
        <v>0</v>
      </c>
      <c r="AD31" s="159">
        <f>SUMIFS('Historical Orders'!$E31, 'Historical Orders'!$D31, "3", 'Historical Orders'!$C31, "B", 'Historical Orders'!$B31, "2")</f>
        <v>2027</v>
      </c>
      <c r="AE31" s="157">
        <f>SUMIFS('Historical Orders'!$G31, 'Historical Orders'!$D31, "3", 'Historical Orders'!$C31, "B", 'Historical Orders'!$B31, "2")</f>
        <v>16824.1</v>
      </c>
      <c r="AF31" s="157">
        <f>SUMIFS('Historical Orders'!$E31, 'Historical Orders'!$D31, "4", 'Historical Orders'!$C31, "A", 'Historical Orders'!$B31, "1")</f>
        <v>0</v>
      </c>
      <c r="AG31" s="157">
        <f>SUMIFS('Historical Orders'!$G31, 'Historical Orders'!$D31, "4", 'Historical Orders'!$C31, "A", 'Historical Orders'!$B31, "1")</f>
        <v>0</v>
      </c>
      <c r="AH31" s="157">
        <f>SUMIFS('Historical Orders'!$E31, 'Historical Orders'!$D31, "4", 'Historical Orders'!$C31, "B", 'Historical Orders'!$B31, "1")</f>
        <v>0</v>
      </c>
      <c r="AI31" s="157">
        <f>SUMIFS('Historical Orders'!$G31, 'Historical Orders'!$D31, "4", 'Historical Orders'!$C31, "B", 'Historical Orders'!$B31, "1")</f>
        <v>0</v>
      </c>
      <c r="AJ31" s="157">
        <f>SUMIFS('Historical Orders'!$E31, 'Historical Orders'!$D31, "4", 'Historical Orders'!$C31, "A", 'Historical Orders'!$B31, "2")</f>
        <v>0</v>
      </c>
      <c r="AK31" s="157">
        <f>SUMIFS('Historical Orders'!$G31, 'Historical Orders'!$D31, "4", 'Historical Orders'!$C31, "A", 'Historical Orders'!$B31, "2")</f>
        <v>0</v>
      </c>
      <c r="AL31" s="171">
        <f>SUMIFS('Historical Orders'!$E31, 'Historical Orders'!$D31, "4", 'Historical Orders'!$C31, "B", 'Historical Orders'!$B31, "2")</f>
        <v>0</v>
      </c>
      <c r="AM31" s="171">
        <f>SUMIFS('Historical Orders'!$G31, 'Historical Orders'!$D31, "4", 'Historical Orders'!$C31, "B", 'Historical Orders'!$B31, "2")</f>
        <v>0</v>
      </c>
      <c r="AN31" s="171">
        <f>SUMIFS('Historical Orders'!$G31, 'Historical Orders'!$C31, "A", 'Historical Orders'!$B31, "1")</f>
        <v>0</v>
      </c>
      <c r="AO31" s="171">
        <f>SUMIFS('Historical Orders'!$G31, 'Historical Orders'!$C31, "B", 'Historical Orders'!$B31, "1")</f>
        <v>0</v>
      </c>
      <c r="AP31" s="171">
        <f>SUMIFS('Historical Orders'!$G31, 'Historical Orders'!$C31, "A", 'Historical Orders'!$B31, "2")</f>
        <v>0</v>
      </c>
      <c r="AQ31" s="171">
        <f>SUMIFS('Historical Orders'!$G31, 'Historical Orders'!$C31, "B", 'Historical Orders'!$B31, "2")</f>
        <v>16824.1</v>
      </c>
      <c r="AR31" s="145"/>
      <c r="AS31" s="146"/>
      <c r="AT31" s="161">
        <v>42058.0</v>
      </c>
      <c r="AU31" s="162"/>
      <c r="AV31" s="163">
        <f t="shared" si="1"/>
        <v>42058</v>
      </c>
      <c r="AW31" s="164">
        <f t="shared" si="2"/>
        <v>21206</v>
      </c>
      <c r="AX31" s="164">
        <f t="shared" si="3"/>
        <v>11419</v>
      </c>
      <c r="AY31" s="164">
        <f t="shared" si="4"/>
        <v>9787</v>
      </c>
      <c r="AZ31" s="164">
        <f t="shared" si="5"/>
        <v>16622</v>
      </c>
      <c r="BA31" s="164">
        <f t="shared" si="6"/>
        <v>4584</v>
      </c>
      <c r="BB31" s="165"/>
      <c r="BC31" s="166">
        <f t="shared" si="7"/>
        <v>64490.6</v>
      </c>
      <c r="BD31" s="166">
        <f t="shared" si="8"/>
        <v>32458.8</v>
      </c>
      <c r="BE31" s="166">
        <f t="shared" si="9"/>
        <v>32031.8</v>
      </c>
      <c r="BF31" s="167"/>
      <c r="BG31" s="166">
        <f t="shared" si="10"/>
        <v>8929.8</v>
      </c>
      <c r="BH31" s="166">
        <f t="shared" si="11"/>
        <v>6348</v>
      </c>
      <c r="BI31" s="166">
        <f t="shared" si="12"/>
        <v>0</v>
      </c>
      <c r="BJ31" s="166">
        <f>SUM('Historical Orders'!$BG31:$BI31)</f>
        <v>15277.8</v>
      </c>
      <c r="BK31" s="167"/>
      <c r="BL31" s="166">
        <f t="shared" si="13"/>
        <v>0</v>
      </c>
      <c r="BM31" s="166">
        <f t="shared" si="14"/>
        <v>0</v>
      </c>
      <c r="BN31" s="166">
        <f t="shared" si="15"/>
        <v>17181</v>
      </c>
      <c r="BO31" s="166">
        <f>SUM('Historical Orders'!$BL31:$BN31)</f>
        <v>17181</v>
      </c>
      <c r="BP31" s="167"/>
      <c r="BQ31" s="166">
        <f t="shared" si="16"/>
        <v>5363.6</v>
      </c>
      <c r="BR31" s="166">
        <f t="shared" si="17"/>
        <v>5802</v>
      </c>
      <c r="BS31" s="166">
        <f t="shared" si="18"/>
        <v>0</v>
      </c>
      <c r="BT31" s="166">
        <f>SUM('Historical Orders'!$BQ31:$BS31)</f>
        <v>11165.6</v>
      </c>
      <c r="BU31" s="167"/>
      <c r="BV31" s="166">
        <f t="shared" si="19"/>
        <v>0</v>
      </c>
      <c r="BW31" s="166">
        <f t="shared" si="20"/>
        <v>0</v>
      </c>
      <c r="BX31" s="166">
        <f t="shared" si="21"/>
        <v>20866.2</v>
      </c>
      <c r="BY31" s="166">
        <f>SUM('Historical Orders'!$BV31:$BX31)</f>
        <v>20866.2</v>
      </c>
      <c r="BZ31" s="167"/>
      <c r="CA31" s="168">
        <f t="shared" si="22"/>
        <v>3</v>
      </c>
      <c r="CB31" s="168">
        <f t="shared" si="23"/>
        <v>3</v>
      </c>
      <c r="CC31" s="168">
        <f t="shared" si="24"/>
        <v>4</v>
      </c>
      <c r="CD31" s="168">
        <f t="shared" si="25"/>
        <v>2</v>
      </c>
      <c r="CE31" s="168">
        <f t="shared" si="26"/>
        <v>2</v>
      </c>
      <c r="CF31" s="169">
        <f t="shared" si="27"/>
        <v>2</v>
      </c>
      <c r="CG31" s="169">
        <f t="shared" si="28"/>
        <v>2</v>
      </c>
      <c r="CH31" s="170"/>
    </row>
    <row r="32" ht="15.75" customHeight="1">
      <c r="A32" s="151">
        <v>41890.0</v>
      </c>
      <c r="B32" s="152">
        <v>1.0</v>
      </c>
      <c r="C32" s="152" t="s">
        <v>45</v>
      </c>
      <c r="D32" s="152">
        <v>1.0</v>
      </c>
      <c r="E32" s="153">
        <v>3288.0</v>
      </c>
      <c r="F32" s="154">
        <v>2.2</v>
      </c>
      <c r="G32" s="155">
        <v>7233.6</v>
      </c>
      <c r="H32" s="159">
        <f>SUMIFS('Historical Orders'!$E32, 'Historical Orders'!$D32, "1", 'Historical Orders'!$C32, "A", 'Historical Orders'!$B32, "1")</f>
        <v>3288</v>
      </c>
      <c r="I32" s="157">
        <f>SUMIFS('Historical Orders'!$G32, 'Historical Orders'!$D32, "1", 'Historical Orders'!$C32, "A", 'Historical Orders'!$B32, "1")</f>
        <v>7233.6</v>
      </c>
      <c r="J32" s="157">
        <f>SUMIFS('Historical Orders'!$E32, 'Historical Orders'!$D32, "1", 'Historical Orders'!$C32, "B", 'Historical Orders'!$B32, "1")</f>
        <v>0</v>
      </c>
      <c r="K32" s="157">
        <f>SUMIFS('Historical Orders'!$G32, 'Historical Orders'!$D32, "1", 'Historical Orders'!$C32, "B", 'Historical Orders'!$B32, "1")</f>
        <v>0</v>
      </c>
      <c r="L32" s="159">
        <f>SUMIFS('Historical Orders'!$E32, 'Historical Orders'!$D32, "1", 'Historical Orders'!$C32, "A", 'Historical Orders'!$B32, "2")</f>
        <v>0</v>
      </c>
      <c r="M32" s="157">
        <f>SUMIFS('Historical Orders'!$G32, 'Historical Orders'!$D32, "1", 'Historical Orders'!$C32, "A", 'Historical Orders'!$B32, "2")</f>
        <v>0</v>
      </c>
      <c r="N32" s="157">
        <f>SUMIFS('Historical Orders'!$E32, 'Historical Orders'!$D32, "1", 'Historical Orders'!$C32, "B", 'Historical Orders'!$B32, "2")</f>
        <v>0</v>
      </c>
      <c r="O32" s="157">
        <f>SUMIFS('Historical Orders'!$G32, 'Historical Orders'!$D32, "1", 'Historical Orders'!$C32, "B", 'Historical Orders'!$B32, "2")</f>
        <v>0</v>
      </c>
      <c r="P32" s="159">
        <f>SUMIFS('Historical Orders'!$E32, 'Historical Orders'!$D32, "2", 'Historical Orders'!$C32, "A", 'Historical Orders'!$B32, "1")</f>
        <v>0</v>
      </c>
      <c r="Q32" s="157">
        <f>SUMIFS('Historical Orders'!$G32, 'Historical Orders'!$D32, "2", 'Historical Orders'!$C32, "A", 'Historical Orders'!$B32, "1")</f>
        <v>0</v>
      </c>
      <c r="R32" s="159">
        <f>SUMIFS('Historical Orders'!$E32, 'Historical Orders'!$D32, "2", 'Historical Orders'!$C32, "B", 'Historical Orders'!$B32, "1")</f>
        <v>0</v>
      </c>
      <c r="S32" s="157">
        <f>SUMIFS('Historical Orders'!$G32, 'Historical Orders'!$D32, "2", 'Historical Orders'!$C32, "B", 'Historical Orders'!$B32, "1")</f>
        <v>0</v>
      </c>
      <c r="T32" s="159">
        <f>SUMIFS('Historical Orders'!$E32, 'Historical Orders'!$D32, "2", 'Historical Orders'!$C32, "A", 'Historical Orders'!$B32, "2")</f>
        <v>0</v>
      </c>
      <c r="U32" s="157">
        <f>SUMIFS('Historical Orders'!$G32, 'Historical Orders'!$D32, "2", 'Historical Orders'!$C32, "A", 'Historical Orders'!$B32, "2")</f>
        <v>0</v>
      </c>
      <c r="V32" s="159">
        <f>SUMIFS('Historical Orders'!$E32, 'Historical Orders'!$D32, "2", 'Historical Orders'!$C32, "B", 'Historical Orders'!$B32, "2")</f>
        <v>0</v>
      </c>
      <c r="W32" s="159">
        <f>SUMIFS('Historical Orders'!$G32, 'Historical Orders'!$D32, "2", 'Historical Orders'!$C32, "B", 'Historical Orders'!$B32, "2")</f>
        <v>0</v>
      </c>
      <c r="X32" s="159">
        <f>SUMIFS('Historical Orders'!$E32, 'Historical Orders'!$D32, "3", 'Historical Orders'!$C32, "A", 'Historical Orders'!$B32, "1")</f>
        <v>0</v>
      </c>
      <c r="Y32" s="159">
        <f>SUMIFS('Historical Orders'!$G32, 'Historical Orders'!$D32, "3", 'Historical Orders'!$C32, "A", 'Historical Orders'!$B32, "1")</f>
        <v>0</v>
      </c>
      <c r="Z32" s="159">
        <f>SUMIFS('Historical Orders'!$E32, 'Historical Orders'!$D32, "3", 'Historical Orders'!$C32, "B", 'Historical Orders'!$B32, "1")</f>
        <v>0</v>
      </c>
      <c r="AA32" s="159">
        <f>SUMIFS('Historical Orders'!$G32, 'Historical Orders'!$D32, "3", 'Historical Orders'!$C32, "B", 'Historical Orders'!$B32, "1")</f>
        <v>0</v>
      </c>
      <c r="AB32" s="159">
        <f>SUMIFS('Historical Orders'!$E32, 'Historical Orders'!$D32, "3", 'Historical Orders'!$C32, "A", 'Historical Orders'!$B32, "2")</f>
        <v>0</v>
      </c>
      <c r="AC32" s="159">
        <f>SUMIFS('Historical Orders'!$G32, 'Historical Orders'!$D32, "3", 'Historical Orders'!$C32, "A", 'Historical Orders'!$B32, "2")</f>
        <v>0</v>
      </c>
      <c r="AD32" s="159">
        <f>SUMIFS('Historical Orders'!$E32, 'Historical Orders'!$D32, "3", 'Historical Orders'!$C32, "B", 'Historical Orders'!$B32, "2")</f>
        <v>0</v>
      </c>
      <c r="AE32" s="157">
        <f>SUMIFS('Historical Orders'!$G32, 'Historical Orders'!$D32, "3", 'Historical Orders'!$C32, "B", 'Historical Orders'!$B32, "2")</f>
        <v>0</v>
      </c>
      <c r="AF32" s="157">
        <f>SUMIFS('Historical Orders'!$E32, 'Historical Orders'!$D32, "4", 'Historical Orders'!$C32, "A", 'Historical Orders'!$B32, "1")</f>
        <v>0</v>
      </c>
      <c r="AG32" s="157">
        <f>SUMIFS('Historical Orders'!$G32, 'Historical Orders'!$D32, "4", 'Historical Orders'!$C32, "A", 'Historical Orders'!$B32, "1")</f>
        <v>0</v>
      </c>
      <c r="AH32" s="157">
        <f>SUMIFS('Historical Orders'!$E32, 'Historical Orders'!$D32, "4", 'Historical Orders'!$C32, "B", 'Historical Orders'!$B32, "1")</f>
        <v>0</v>
      </c>
      <c r="AI32" s="157">
        <f>SUMIFS('Historical Orders'!$G32, 'Historical Orders'!$D32, "4", 'Historical Orders'!$C32, "B", 'Historical Orders'!$B32, "1")</f>
        <v>0</v>
      </c>
      <c r="AJ32" s="157">
        <f>SUMIFS('Historical Orders'!$E32, 'Historical Orders'!$D32, "4", 'Historical Orders'!$C32, "A", 'Historical Orders'!$B32, "2")</f>
        <v>0</v>
      </c>
      <c r="AK32" s="157">
        <f>SUMIFS('Historical Orders'!$G32, 'Historical Orders'!$D32, "4", 'Historical Orders'!$C32, "A", 'Historical Orders'!$B32, "2")</f>
        <v>0</v>
      </c>
      <c r="AL32" s="171">
        <f>SUMIFS('Historical Orders'!$E32, 'Historical Orders'!$D32, "4", 'Historical Orders'!$C32, "B", 'Historical Orders'!$B32, "2")</f>
        <v>0</v>
      </c>
      <c r="AM32" s="171">
        <f>SUMIFS('Historical Orders'!$G32, 'Historical Orders'!$D32, "4", 'Historical Orders'!$C32, "B", 'Historical Orders'!$B32, "2")</f>
        <v>0</v>
      </c>
      <c r="AN32" s="171">
        <f>SUMIFS('Historical Orders'!$G32, 'Historical Orders'!$C32, "A", 'Historical Orders'!$B32, "1")</f>
        <v>7233.6</v>
      </c>
      <c r="AO32" s="171">
        <f>SUMIFS('Historical Orders'!$G32, 'Historical Orders'!$C32, "B", 'Historical Orders'!$B32, "1")</f>
        <v>0</v>
      </c>
      <c r="AP32" s="171">
        <f>SUMIFS('Historical Orders'!$G32, 'Historical Orders'!$C32, "A", 'Historical Orders'!$B32, "2")</f>
        <v>0</v>
      </c>
      <c r="AQ32" s="171">
        <f>SUMIFS('Historical Orders'!$G32, 'Historical Orders'!$C32, "B", 'Historical Orders'!$B32, "2")</f>
        <v>0</v>
      </c>
      <c r="AR32" s="145"/>
      <c r="AS32" s="146"/>
      <c r="AT32" s="161">
        <v>42065.0</v>
      </c>
      <c r="AU32" s="162"/>
      <c r="AV32" s="163">
        <f t="shared" si="1"/>
        <v>42065</v>
      </c>
      <c r="AW32" s="164">
        <f t="shared" si="2"/>
        <v>22814</v>
      </c>
      <c r="AX32" s="164">
        <f t="shared" si="3"/>
        <v>11695</v>
      </c>
      <c r="AY32" s="164">
        <f t="shared" si="4"/>
        <v>11119</v>
      </c>
      <c r="AZ32" s="164">
        <f t="shared" si="5"/>
        <v>17408</v>
      </c>
      <c r="BA32" s="164">
        <f t="shared" si="6"/>
        <v>5406</v>
      </c>
      <c r="BB32" s="165"/>
      <c r="BC32" s="166">
        <f t="shared" si="7"/>
        <v>72559.4</v>
      </c>
      <c r="BD32" s="166">
        <f t="shared" si="8"/>
        <v>34441.1</v>
      </c>
      <c r="BE32" s="166">
        <f t="shared" si="9"/>
        <v>38118.3</v>
      </c>
      <c r="BF32" s="167"/>
      <c r="BG32" s="166">
        <f t="shared" si="10"/>
        <v>9266.4</v>
      </c>
      <c r="BH32" s="166">
        <f t="shared" si="11"/>
        <v>6242.4</v>
      </c>
      <c r="BI32" s="166">
        <f t="shared" si="12"/>
        <v>0</v>
      </c>
      <c r="BJ32" s="166">
        <f>SUM('Historical Orders'!$BG32:$BI32)</f>
        <v>15508.8</v>
      </c>
      <c r="BK32" s="167"/>
      <c r="BL32" s="166">
        <f t="shared" si="13"/>
        <v>0</v>
      </c>
      <c r="BM32" s="166">
        <f t="shared" si="14"/>
        <v>0</v>
      </c>
      <c r="BN32" s="166">
        <f t="shared" si="15"/>
        <v>18932.3</v>
      </c>
      <c r="BO32" s="166">
        <f>SUM('Historical Orders'!$BL32:$BN32)</f>
        <v>18932.3</v>
      </c>
      <c r="BP32" s="167"/>
      <c r="BQ32" s="166">
        <f t="shared" si="16"/>
        <v>5693.6</v>
      </c>
      <c r="BR32" s="166">
        <f t="shared" si="17"/>
        <v>6487.2</v>
      </c>
      <c r="BS32" s="166">
        <f t="shared" si="18"/>
        <v>0</v>
      </c>
      <c r="BT32" s="166">
        <f>SUM('Historical Orders'!$BQ32:$BS32)</f>
        <v>12180.8</v>
      </c>
      <c r="BU32" s="167"/>
      <c r="BV32" s="166">
        <f t="shared" si="19"/>
        <v>0</v>
      </c>
      <c r="BW32" s="166">
        <f t="shared" si="20"/>
        <v>0</v>
      </c>
      <c r="BX32" s="166">
        <f t="shared" si="21"/>
        <v>25937.5</v>
      </c>
      <c r="BY32" s="166">
        <f>SUM('Historical Orders'!$BV32:$BX32)</f>
        <v>25937.5</v>
      </c>
      <c r="BZ32" s="167"/>
      <c r="CA32" s="168">
        <f t="shared" si="22"/>
        <v>3</v>
      </c>
      <c r="CB32" s="168">
        <f t="shared" si="23"/>
        <v>3</v>
      </c>
      <c r="CC32" s="168">
        <f t="shared" si="24"/>
        <v>4</v>
      </c>
      <c r="CD32" s="168">
        <f t="shared" si="25"/>
        <v>2</v>
      </c>
      <c r="CE32" s="168">
        <f t="shared" si="26"/>
        <v>2</v>
      </c>
      <c r="CF32" s="169">
        <f t="shared" si="27"/>
        <v>2</v>
      </c>
      <c r="CG32" s="169">
        <f t="shared" si="28"/>
        <v>2</v>
      </c>
      <c r="CH32" s="170"/>
    </row>
    <row r="33" ht="15.75" customHeight="1">
      <c r="A33" s="151">
        <v>41890.0</v>
      </c>
      <c r="B33" s="152">
        <v>1.0</v>
      </c>
      <c r="C33" s="152" t="s">
        <v>45</v>
      </c>
      <c r="D33" s="152">
        <v>2.0</v>
      </c>
      <c r="E33" s="153">
        <v>5099.0</v>
      </c>
      <c r="F33" s="154">
        <v>1.2</v>
      </c>
      <c r="G33" s="155">
        <v>6118.8</v>
      </c>
      <c r="H33" s="159">
        <f>SUMIFS('Historical Orders'!$E33, 'Historical Orders'!$D33, "1", 'Historical Orders'!$C33, "A", 'Historical Orders'!$B33, "1")</f>
        <v>0</v>
      </c>
      <c r="I33" s="157">
        <f>SUMIFS('Historical Orders'!$G33, 'Historical Orders'!$D33, "1", 'Historical Orders'!$C33, "A", 'Historical Orders'!$B33, "1")</f>
        <v>0</v>
      </c>
      <c r="J33" s="157">
        <f>SUMIFS('Historical Orders'!$E33, 'Historical Orders'!$D33, "1", 'Historical Orders'!$C33, "B", 'Historical Orders'!$B33, "1")</f>
        <v>0</v>
      </c>
      <c r="K33" s="157">
        <f>SUMIFS('Historical Orders'!$G33, 'Historical Orders'!$D33, "1", 'Historical Orders'!$C33, "B", 'Historical Orders'!$B33, "1")</f>
        <v>0</v>
      </c>
      <c r="L33" s="159">
        <f>SUMIFS('Historical Orders'!$E33, 'Historical Orders'!$D33, "1", 'Historical Orders'!$C33, "A", 'Historical Orders'!$B33, "2")</f>
        <v>0</v>
      </c>
      <c r="M33" s="157">
        <f>SUMIFS('Historical Orders'!$G33, 'Historical Orders'!$D33, "1", 'Historical Orders'!$C33, "A", 'Historical Orders'!$B33, "2")</f>
        <v>0</v>
      </c>
      <c r="N33" s="157">
        <f>SUMIFS('Historical Orders'!$E33, 'Historical Orders'!$D33, "1", 'Historical Orders'!$C33, "B", 'Historical Orders'!$B33, "2")</f>
        <v>0</v>
      </c>
      <c r="O33" s="157">
        <f>SUMIFS('Historical Orders'!$G33, 'Historical Orders'!$D33, "1", 'Historical Orders'!$C33, "B", 'Historical Orders'!$B33, "2")</f>
        <v>0</v>
      </c>
      <c r="P33" s="159">
        <f>SUMIFS('Historical Orders'!$E33, 'Historical Orders'!$D33, "2", 'Historical Orders'!$C33, "A", 'Historical Orders'!$B33, "1")</f>
        <v>5099</v>
      </c>
      <c r="Q33" s="157">
        <f>SUMIFS('Historical Orders'!$G33, 'Historical Orders'!$D33, "2", 'Historical Orders'!$C33, "A", 'Historical Orders'!$B33, "1")</f>
        <v>6118.8</v>
      </c>
      <c r="R33" s="159">
        <f>SUMIFS('Historical Orders'!$E33, 'Historical Orders'!$D33, "2", 'Historical Orders'!$C33, "B", 'Historical Orders'!$B33, "1")</f>
        <v>0</v>
      </c>
      <c r="S33" s="157">
        <f>SUMIFS('Historical Orders'!$G33, 'Historical Orders'!$D33, "2", 'Historical Orders'!$C33, "B", 'Historical Orders'!$B33, "1")</f>
        <v>0</v>
      </c>
      <c r="T33" s="159">
        <f>SUMIFS('Historical Orders'!$E33, 'Historical Orders'!$D33, "2", 'Historical Orders'!$C33, "A", 'Historical Orders'!$B33, "2")</f>
        <v>0</v>
      </c>
      <c r="U33" s="157">
        <f>SUMIFS('Historical Orders'!$G33, 'Historical Orders'!$D33, "2", 'Historical Orders'!$C33, "A", 'Historical Orders'!$B33, "2")</f>
        <v>0</v>
      </c>
      <c r="V33" s="159">
        <f>SUMIFS('Historical Orders'!$E33, 'Historical Orders'!$D33, "2", 'Historical Orders'!$C33, "B", 'Historical Orders'!$B33, "2")</f>
        <v>0</v>
      </c>
      <c r="W33" s="159">
        <f>SUMIFS('Historical Orders'!$G33, 'Historical Orders'!$D33, "2", 'Historical Orders'!$C33, "B", 'Historical Orders'!$B33, "2")</f>
        <v>0</v>
      </c>
      <c r="X33" s="159">
        <f>SUMIFS('Historical Orders'!$E33, 'Historical Orders'!$D33, "3", 'Historical Orders'!$C33, "A", 'Historical Orders'!$B33, "1")</f>
        <v>0</v>
      </c>
      <c r="Y33" s="159">
        <f>SUMIFS('Historical Orders'!$G33, 'Historical Orders'!$D33, "3", 'Historical Orders'!$C33, "A", 'Historical Orders'!$B33, "1")</f>
        <v>0</v>
      </c>
      <c r="Z33" s="159">
        <f>SUMIFS('Historical Orders'!$E33, 'Historical Orders'!$D33, "3", 'Historical Orders'!$C33, "B", 'Historical Orders'!$B33, "1")</f>
        <v>0</v>
      </c>
      <c r="AA33" s="159">
        <f>SUMIFS('Historical Orders'!$G33, 'Historical Orders'!$D33, "3", 'Historical Orders'!$C33, "B", 'Historical Orders'!$B33, "1")</f>
        <v>0</v>
      </c>
      <c r="AB33" s="159">
        <f>SUMIFS('Historical Orders'!$E33, 'Historical Orders'!$D33, "3", 'Historical Orders'!$C33, "A", 'Historical Orders'!$B33, "2")</f>
        <v>0</v>
      </c>
      <c r="AC33" s="159">
        <f>SUMIFS('Historical Orders'!$G33, 'Historical Orders'!$D33, "3", 'Historical Orders'!$C33, "A", 'Historical Orders'!$B33, "2")</f>
        <v>0</v>
      </c>
      <c r="AD33" s="159">
        <f>SUMIFS('Historical Orders'!$E33, 'Historical Orders'!$D33, "3", 'Historical Orders'!$C33, "B", 'Historical Orders'!$B33, "2")</f>
        <v>0</v>
      </c>
      <c r="AE33" s="157">
        <f>SUMIFS('Historical Orders'!$G33, 'Historical Orders'!$D33, "3", 'Historical Orders'!$C33, "B", 'Historical Orders'!$B33, "2")</f>
        <v>0</v>
      </c>
      <c r="AF33" s="157">
        <f>SUMIFS('Historical Orders'!$E33, 'Historical Orders'!$D33, "4", 'Historical Orders'!$C33, "A", 'Historical Orders'!$B33, "1")</f>
        <v>0</v>
      </c>
      <c r="AG33" s="157">
        <f>SUMIFS('Historical Orders'!$G33, 'Historical Orders'!$D33, "4", 'Historical Orders'!$C33, "A", 'Historical Orders'!$B33, "1")</f>
        <v>0</v>
      </c>
      <c r="AH33" s="157">
        <f>SUMIFS('Historical Orders'!$E33, 'Historical Orders'!$D33, "4", 'Historical Orders'!$C33, "B", 'Historical Orders'!$B33, "1")</f>
        <v>0</v>
      </c>
      <c r="AI33" s="157">
        <f>SUMIFS('Historical Orders'!$G33, 'Historical Orders'!$D33, "4", 'Historical Orders'!$C33, "B", 'Historical Orders'!$B33, "1")</f>
        <v>0</v>
      </c>
      <c r="AJ33" s="157">
        <f>SUMIFS('Historical Orders'!$E33, 'Historical Orders'!$D33, "4", 'Historical Orders'!$C33, "A", 'Historical Orders'!$B33, "2")</f>
        <v>0</v>
      </c>
      <c r="AK33" s="157">
        <f>SUMIFS('Historical Orders'!$G33, 'Historical Orders'!$D33, "4", 'Historical Orders'!$C33, "A", 'Historical Orders'!$B33, "2")</f>
        <v>0</v>
      </c>
      <c r="AL33" s="171">
        <f>SUMIFS('Historical Orders'!$E33, 'Historical Orders'!$D33, "4", 'Historical Orders'!$C33, "B", 'Historical Orders'!$B33, "2")</f>
        <v>0</v>
      </c>
      <c r="AM33" s="171">
        <f>SUMIFS('Historical Orders'!$G33, 'Historical Orders'!$D33, "4", 'Historical Orders'!$C33, "B", 'Historical Orders'!$B33, "2")</f>
        <v>0</v>
      </c>
      <c r="AN33" s="171">
        <f>SUMIFS('Historical Orders'!$G33, 'Historical Orders'!$C33, "A", 'Historical Orders'!$B33, "1")</f>
        <v>6118.8</v>
      </c>
      <c r="AO33" s="171">
        <f>SUMIFS('Historical Orders'!$G33, 'Historical Orders'!$C33, "B", 'Historical Orders'!$B33, "1")</f>
        <v>0</v>
      </c>
      <c r="AP33" s="171">
        <f>SUMIFS('Historical Orders'!$G33, 'Historical Orders'!$C33, "A", 'Historical Orders'!$B33, "2")</f>
        <v>0</v>
      </c>
      <c r="AQ33" s="171">
        <f>SUMIFS('Historical Orders'!$G33, 'Historical Orders'!$C33, "B", 'Historical Orders'!$B33, "2")</f>
        <v>0</v>
      </c>
      <c r="AR33" s="145"/>
      <c r="AS33" s="146"/>
      <c r="AT33" s="161">
        <v>42072.0</v>
      </c>
      <c r="AU33" s="162"/>
      <c r="AV33" s="163">
        <f t="shared" si="1"/>
        <v>42072</v>
      </c>
      <c r="AW33" s="164">
        <f t="shared" si="2"/>
        <v>27340</v>
      </c>
      <c r="AX33" s="164">
        <f t="shared" si="3"/>
        <v>14063</v>
      </c>
      <c r="AY33" s="164">
        <f t="shared" si="4"/>
        <v>13277</v>
      </c>
      <c r="AZ33" s="164">
        <f t="shared" si="5"/>
        <v>23398</v>
      </c>
      <c r="BA33" s="164">
        <f t="shared" si="6"/>
        <v>3942</v>
      </c>
      <c r="BB33" s="165"/>
      <c r="BC33" s="166">
        <f t="shared" si="7"/>
        <v>71998.2</v>
      </c>
      <c r="BD33" s="166">
        <f t="shared" si="8"/>
        <v>35824.2</v>
      </c>
      <c r="BE33" s="166">
        <f t="shared" si="9"/>
        <v>36174</v>
      </c>
      <c r="BF33" s="167"/>
      <c r="BG33" s="166">
        <f t="shared" si="10"/>
        <v>13321</v>
      </c>
      <c r="BH33" s="166">
        <f t="shared" si="11"/>
        <v>7430.4</v>
      </c>
      <c r="BI33" s="166">
        <f t="shared" si="12"/>
        <v>0</v>
      </c>
      <c r="BJ33" s="166">
        <f>SUM('Historical Orders'!$BG33:$BI33)</f>
        <v>20751.4</v>
      </c>
      <c r="BK33" s="167"/>
      <c r="BL33" s="166">
        <f t="shared" si="13"/>
        <v>0</v>
      </c>
      <c r="BM33" s="166">
        <f t="shared" si="14"/>
        <v>0</v>
      </c>
      <c r="BN33" s="166">
        <f t="shared" si="15"/>
        <v>15072.8</v>
      </c>
      <c r="BO33" s="166">
        <f>SUM('Historical Orders'!$BL33:$BN33)</f>
        <v>15072.8</v>
      </c>
      <c r="BP33" s="167"/>
      <c r="BQ33" s="166">
        <f t="shared" si="16"/>
        <v>11323.4</v>
      </c>
      <c r="BR33" s="166">
        <f t="shared" si="17"/>
        <v>7204.8</v>
      </c>
      <c r="BS33" s="166">
        <f t="shared" si="18"/>
        <v>0</v>
      </c>
      <c r="BT33" s="166">
        <f>SUM('Historical Orders'!$BQ33:$BS33)</f>
        <v>18528.2</v>
      </c>
      <c r="BU33" s="167"/>
      <c r="BV33" s="166">
        <f t="shared" si="19"/>
        <v>0</v>
      </c>
      <c r="BW33" s="166">
        <f t="shared" si="20"/>
        <v>0</v>
      </c>
      <c r="BX33" s="166">
        <f t="shared" si="21"/>
        <v>17645.8</v>
      </c>
      <c r="BY33" s="166">
        <f>SUM('Historical Orders'!$BV33:$BX33)</f>
        <v>17645.8</v>
      </c>
      <c r="BZ33" s="167"/>
      <c r="CA33" s="168">
        <f t="shared" si="22"/>
        <v>3</v>
      </c>
      <c r="CB33" s="168">
        <f t="shared" si="23"/>
        <v>3</v>
      </c>
      <c r="CC33" s="168">
        <f t="shared" si="24"/>
        <v>4</v>
      </c>
      <c r="CD33" s="168">
        <f t="shared" si="25"/>
        <v>2</v>
      </c>
      <c r="CE33" s="168">
        <f t="shared" si="26"/>
        <v>2</v>
      </c>
      <c r="CF33" s="169">
        <f t="shared" si="27"/>
        <v>2</v>
      </c>
      <c r="CG33" s="169">
        <f t="shared" si="28"/>
        <v>2</v>
      </c>
      <c r="CH33" s="170"/>
    </row>
    <row r="34" ht="15.75" customHeight="1">
      <c r="A34" s="151">
        <v>41890.0</v>
      </c>
      <c r="B34" s="152">
        <v>2.0</v>
      </c>
      <c r="C34" s="152" t="s">
        <v>45</v>
      </c>
      <c r="D34" s="152">
        <v>1.0</v>
      </c>
      <c r="E34" s="153">
        <v>2056.0</v>
      </c>
      <c r="F34" s="154">
        <v>2.2</v>
      </c>
      <c r="G34" s="155">
        <v>4523.200000000001</v>
      </c>
      <c r="H34" s="159">
        <f>SUMIFS('Historical Orders'!$E34, 'Historical Orders'!$D34, "1", 'Historical Orders'!$C34, "A", 'Historical Orders'!$B34, "1")</f>
        <v>0</v>
      </c>
      <c r="I34" s="157">
        <f>SUMIFS('Historical Orders'!$G34, 'Historical Orders'!$D34, "1", 'Historical Orders'!$C34, "A", 'Historical Orders'!$B34, "1")</f>
        <v>0</v>
      </c>
      <c r="J34" s="157">
        <f>SUMIFS('Historical Orders'!$E34, 'Historical Orders'!$D34, "1", 'Historical Orders'!$C34, "B", 'Historical Orders'!$B34, "1")</f>
        <v>0</v>
      </c>
      <c r="K34" s="157">
        <f>SUMIFS('Historical Orders'!$G34, 'Historical Orders'!$D34, "1", 'Historical Orders'!$C34, "B", 'Historical Orders'!$B34, "1")</f>
        <v>0</v>
      </c>
      <c r="L34" s="159">
        <f>SUMIFS('Historical Orders'!$E34, 'Historical Orders'!$D34, "1", 'Historical Orders'!$C34, "A", 'Historical Orders'!$B34, "2")</f>
        <v>2056</v>
      </c>
      <c r="M34" s="157">
        <f>SUMIFS('Historical Orders'!$G34, 'Historical Orders'!$D34, "1", 'Historical Orders'!$C34, "A", 'Historical Orders'!$B34, "2")</f>
        <v>4523.2</v>
      </c>
      <c r="N34" s="157">
        <f>SUMIFS('Historical Orders'!$E34, 'Historical Orders'!$D34, "1", 'Historical Orders'!$C34, "B", 'Historical Orders'!$B34, "2")</f>
        <v>0</v>
      </c>
      <c r="O34" s="157">
        <f>SUMIFS('Historical Orders'!$G34, 'Historical Orders'!$D34, "1", 'Historical Orders'!$C34, "B", 'Historical Orders'!$B34, "2")</f>
        <v>0</v>
      </c>
      <c r="P34" s="159">
        <f>SUMIFS('Historical Orders'!$E34, 'Historical Orders'!$D34, "2", 'Historical Orders'!$C34, "A", 'Historical Orders'!$B34, "1")</f>
        <v>0</v>
      </c>
      <c r="Q34" s="157">
        <f>SUMIFS('Historical Orders'!$G34, 'Historical Orders'!$D34, "2", 'Historical Orders'!$C34, "A", 'Historical Orders'!$B34, "1")</f>
        <v>0</v>
      </c>
      <c r="R34" s="159">
        <f>SUMIFS('Historical Orders'!$E34, 'Historical Orders'!$D34, "2", 'Historical Orders'!$C34, "B", 'Historical Orders'!$B34, "1")</f>
        <v>0</v>
      </c>
      <c r="S34" s="157">
        <f>SUMIFS('Historical Orders'!$G34, 'Historical Orders'!$D34, "2", 'Historical Orders'!$C34, "B", 'Historical Orders'!$B34, "1")</f>
        <v>0</v>
      </c>
      <c r="T34" s="159">
        <f>SUMIFS('Historical Orders'!$E34, 'Historical Orders'!$D34, "2", 'Historical Orders'!$C34, "A", 'Historical Orders'!$B34, "2")</f>
        <v>0</v>
      </c>
      <c r="U34" s="157">
        <f>SUMIFS('Historical Orders'!$G34, 'Historical Orders'!$D34, "2", 'Historical Orders'!$C34, "A", 'Historical Orders'!$B34, "2")</f>
        <v>0</v>
      </c>
      <c r="V34" s="159">
        <f>SUMIFS('Historical Orders'!$E34, 'Historical Orders'!$D34, "2", 'Historical Orders'!$C34, "B", 'Historical Orders'!$B34, "2")</f>
        <v>0</v>
      </c>
      <c r="W34" s="159">
        <f>SUMIFS('Historical Orders'!$G34, 'Historical Orders'!$D34, "2", 'Historical Orders'!$C34, "B", 'Historical Orders'!$B34, "2")</f>
        <v>0</v>
      </c>
      <c r="X34" s="159">
        <f>SUMIFS('Historical Orders'!$E34, 'Historical Orders'!$D34, "3", 'Historical Orders'!$C34, "A", 'Historical Orders'!$B34, "1")</f>
        <v>0</v>
      </c>
      <c r="Y34" s="159">
        <f>SUMIFS('Historical Orders'!$G34, 'Historical Orders'!$D34, "3", 'Historical Orders'!$C34, "A", 'Historical Orders'!$B34, "1")</f>
        <v>0</v>
      </c>
      <c r="Z34" s="159">
        <f>SUMIFS('Historical Orders'!$E34, 'Historical Orders'!$D34, "3", 'Historical Orders'!$C34, "B", 'Historical Orders'!$B34, "1")</f>
        <v>0</v>
      </c>
      <c r="AA34" s="159">
        <f>SUMIFS('Historical Orders'!$G34, 'Historical Orders'!$D34, "3", 'Historical Orders'!$C34, "B", 'Historical Orders'!$B34, "1")</f>
        <v>0</v>
      </c>
      <c r="AB34" s="159">
        <f>SUMIFS('Historical Orders'!$E34, 'Historical Orders'!$D34, "3", 'Historical Orders'!$C34, "A", 'Historical Orders'!$B34, "2")</f>
        <v>0</v>
      </c>
      <c r="AC34" s="159">
        <f>SUMIFS('Historical Orders'!$G34, 'Historical Orders'!$D34, "3", 'Historical Orders'!$C34, "A", 'Historical Orders'!$B34, "2")</f>
        <v>0</v>
      </c>
      <c r="AD34" s="159">
        <f>SUMIFS('Historical Orders'!$E34, 'Historical Orders'!$D34, "3", 'Historical Orders'!$C34, "B", 'Historical Orders'!$B34, "2")</f>
        <v>0</v>
      </c>
      <c r="AE34" s="157">
        <f>SUMIFS('Historical Orders'!$G34, 'Historical Orders'!$D34, "3", 'Historical Orders'!$C34, "B", 'Historical Orders'!$B34, "2")</f>
        <v>0</v>
      </c>
      <c r="AF34" s="157">
        <f>SUMIFS('Historical Orders'!$E34, 'Historical Orders'!$D34, "4", 'Historical Orders'!$C34, "A", 'Historical Orders'!$B34, "1")</f>
        <v>0</v>
      </c>
      <c r="AG34" s="157">
        <f>SUMIFS('Historical Orders'!$G34, 'Historical Orders'!$D34, "4", 'Historical Orders'!$C34, "A", 'Historical Orders'!$B34, "1")</f>
        <v>0</v>
      </c>
      <c r="AH34" s="157">
        <f>SUMIFS('Historical Orders'!$E34, 'Historical Orders'!$D34, "4", 'Historical Orders'!$C34, "B", 'Historical Orders'!$B34, "1")</f>
        <v>0</v>
      </c>
      <c r="AI34" s="157">
        <f>SUMIFS('Historical Orders'!$G34, 'Historical Orders'!$D34, "4", 'Historical Orders'!$C34, "B", 'Historical Orders'!$B34, "1")</f>
        <v>0</v>
      </c>
      <c r="AJ34" s="157">
        <f>SUMIFS('Historical Orders'!$E34, 'Historical Orders'!$D34, "4", 'Historical Orders'!$C34, "A", 'Historical Orders'!$B34, "2")</f>
        <v>0</v>
      </c>
      <c r="AK34" s="157">
        <f>SUMIFS('Historical Orders'!$G34, 'Historical Orders'!$D34, "4", 'Historical Orders'!$C34, "A", 'Historical Orders'!$B34, "2")</f>
        <v>0</v>
      </c>
      <c r="AL34" s="171">
        <f>SUMIFS('Historical Orders'!$E34, 'Historical Orders'!$D34, "4", 'Historical Orders'!$C34, "B", 'Historical Orders'!$B34, "2")</f>
        <v>0</v>
      </c>
      <c r="AM34" s="171">
        <f>SUMIFS('Historical Orders'!$G34, 'Historical Orders'!$D34, "4", 'Historical Orders'!$C34, "B", 'Historical Orders'!$B34, "2")</f>
        <v>0</v>
      </c>
      <c r="AN34" s="171">
        <f>SUMIFS('Historical Orders'!$G34, 'Historical Orders'!$C34, "A", 'Historical Orders'!$B34, "1")</f>
        <v>0</v>
      </c>
      <c r="AO34" s="171">
        <f>SUMIFS('Historical Orders'!$G34, 'Historical Orders'!$C34, "B", 'Historical Orders'!$B34, "1")</f>
        <v>0</v>
      </c>
      <c r="AP34" s="171">
        <f>SUMIFS('Historical Orders'!$G34, 'Historical Orders'!$C34, "A", 'Historical Orders'!$B34, "2")</f>
        <v>4523.2</v>
      </c>
      <c r="AQ34" s="171">
        <f>SUMIFS('Historical Orders'!$G34, 'Historical Orders'!$C34, "B", 'Historical Orders'!$B34, "2")</f>
        <v>0</v>
      </c>
      <c r="AR34" s="145"/>
      <c r="AS34" s="146"/>
      <c r="AT34" s="161">
        <v>42079.0</v>
      </c>
      <c r="AU34" s="162"/>
      <c r="AV34" s="163">
        <f t="shared" si="1"/>
        <v>42079</v>
      </c>
      <c r="AW34" s="164">
        <f t="shared" si="2"/>
        <v>23834</v>
      </c>
      <c r="AX34" s="164">
        <f t="shared" si="3"/>
        <v>11924</v>
      </c>
      <c r="AY34" s="164">
        <f t="shared" si="4"/>
        <v>11910</v>
      </c>
      <c r="AZ34" s="164">
        <f t="shared" si="5"/>
        <v>19064</v>
      </c>
      <c r="BA34" s="164">
        <f t="shared" si="6"/>
        <v>4770</v>
      </c>
      <c r="BB34" s="165"/>
      <c r="BC34" s="166">
        <f t="shared" si="7"/>
        <v>71741.8</v>
      </c>
      <c r="BD34" s="166">
        <f t="shared" si="8"/>
        <v>33749.6</v>
      </c>
      <c r="BE34" s="166">
        <f t="shared" si="9"/>
        <v>37992.2</v>
      </c>
      <c r="BF34" s="167"/>
      <c r="BG34" s="166">
        <f t="shared" si="10"/>
        <v>11092.4</v>
      </c>
      <c r="BH34" s="166">
        <f t="shared" si="11"/>
        <v>5824.8</v>
      </c>
      <c r="BI34" s="166">
        <f t="shared" si="12"/>
        <v>0</v>
      </c>
      <c r="BJ34" s="166">
        <f>SUM('Historical Orders'!$BG34:$BI34)</f>
        <v>16917.2</v>
      </c>
      <c r="BK34" s="167"/>
      <c r="BL34" s="166">
        <f t="shared" si="13"/>
        <v>0</v>
      </c>
      <c r="BM34" s="166">
        <f t="shared" si="14"/>
        <v>0</v>
      </c>
      <c r="BN34" s="166">
        <f t="shared" si="15"/>
        <v>16832.4</v>
      </c>
      <c r="BO34" s="166">
        <f>SUM('Historical Orders'!$BL34:$BN34)</f>
        <v>16832.4</v>
      </c>
      <c r="BP34" s="167"/>
      <c r="BQ34" s="166">
        <f t="shared" si="16"/>
        <v>9310.4</v>
      </c>
      <c r="BR34" s="166">
        <f t="shared" si="17"/>
        <v>5923.2</v>
      </c>
      <c r="BS34" s="166">
        <f t="shared" si="18"/>
        <v>0</v>
      </c>
      <c r="BT34" s="166">
        <f>SUM('Historical Orders'!$BQ34:$BS34)</f>
        <v>15233.6</v>
      </c>
      <c r="BU34" s="167"/>
      <c r="BV34" s="166">
        <f t="shared" si="19"/>
        <v>0</v>
      </c>
      <c r="BW34" s="166">
        <f t="shared" si="20"/>
        <v>0</v>
      </c>
      <c r="BX34" s="166">
        <f t="shared" si="21"/>
        <v>22758.6</v>
      </c>
      <c r="BY34" s="166">
        <f>SUM('Historical Orders'!$BV34:$BX34)</f>
        <v>22758.6</v>
      </c>
      <c r="BZ34" s="167"/>
      <c r="CA34" s="168">
        <f t="shared" si="22"/>
        <v>3</v>
      </c>
      <c r="CB34" s="168">
        <f t="shared" si="23"/>
        <v>3</v>
      </c>
      <c r="CC34" s="168">
        <f t="shared" si="24"/>
        <v>4</v>
      </c>
      <c r="CD34" s="168">
        <f t="shared" si="25"/>
        <v>2</v>
      </c>
      <c r="CE34" s="168">
        <f t="shared" si="26"/>
        <v>2</v>
      </c>
      <c r="CF34" s="169">
        <f t="shared" si="27"/>
        <v>2</v>
      </c>
      <c r="CG34" s="169">
        <f t="shared" si="28"/>
        <v>2</v>
      </c>
      <c r="CH34" s="170"/>
    </row>
    <row r="35" ht="15.75" customHeight="1">
      <c r="A35" s="151">
        <v>41890.0</v>
      </c>
      <c r="B35" s="152">
        <v>2.0</v>
      </c>
      <c r="C35" s="152" t="s">
        <v>45</v>
      </c>
      <c r="D35" s="152">
        <v>2.0</v>
      </c>
      <c r="E35" s="153">
        <v>5978.0</v>
      </c>
      <c r="F35" s="154">
        <v>1.2</v>
      </c>
      <c r="G35" s="155">
        <v>7173.599999999999</v>
      </c>
      <c r="H35" s="159">
        <f>SUMIFS('Historical Orders'!$E35, 'Historical Orders'!$D35, "1", 'Historical Orders'!$C35, "A", 'Historical Orders'!$B35, "1")</f>
        <v>0</v>
      </c>
      <c r="I35" s="157">
        <f>SUMIFS('Historical Orders'!$G35, 'Historical Orders'!$D35, "1", 'Historical Orders'!$C35, "A", 'Historical Orders'!$B35, "1")</f>
        <v>0</v>
      </c>
      <c r="J35" s="157">
        <f>SUMIFS('Historical Orders'!$E35, 'Historical Orders'!$D35, "1", 'Historical Orders'!$C35, "B", 'Historical Orders'!$B35, "1")</f>
        <v>0</v>
      </c>
      <c r="K35" s="157">
        <f>SUMIFS('Historical Orders'!$G35, 'Historical Orders'!$D35, "1", 'Historical Orders'!$C35, "B", 'Historical Orders'!$B35, "1")</f>
        <v>0</v>
      </c>
      <c r="L35" s="159">
        <f>SUMIFS('Historical Orders'!$E35, 'Historical Orders'!$D35, "1", 'Historical Orders'!$C35, "A", 'Historical Orders'!$B35, "2")</f>
        <v>0</v>
      </c>
      <c r="M35" s="157">
        <f>SUMIFS('Historical Orders'!$G35, 'Historical Orders'!$D35, "1", 'Historical Orders'!$C35, "A", 'Historical Orders'!$B35, "2")</f>
        <v>0</v>
      </c>
      <c r="N35" s="157">
        <f>SUMIFS('Historical Orders'!$E35, 'Historical Orders'!$D35, "1", 'Historical Orders'!$C35, "B", 'Historical Orders'!$B35, "2")</f>
        <v>0</v>
      </c>
      <c r="O35" s="157">
        <f>SUMIFS('Historical Orders'!$G35, 'Historical Orders'!$D35, "1", 'Historical Orders'!$C35, "B", 'Historical Orders'!$B35, "2")</f>
        <v>0</v>
      </c>
      <c r="P35" s="159">
        <f>SUMIFS('Historical Orders'!$E35, 'Historical Orders'!$D35, "2", 'Historical Orders'!$C35, "A", 'Historical Orders'!$B35, "1")</f>
        <v>0</v>
      </c>
      <c r="Q35" s="157">
        <f>SUMIFS('Historical Orders'!$G35, 'Historical Orders'!$D35, "2", 'Historical Orders'!$C35, "A", 'Historical Orders'!$B35, "1")</f>
        <v>0</v>
      </c>
      <c r="R35" s="159">
        <f>SUMIFS('Historical Orders'!$E35, 'Historical Orders'!$D35, "2", 'Historical Orders'!$C35, "B", 'Historical Orders'!$B35, "1")</f>
        <v>0</v>
      </c>
      <c r="S35" s="157">
        <f>SUMIFS('Historical Orders'!$G35, 'Historical Orders'!$D35, "2", 'Historical Orders'!$C35, "B", 'Historical Orders'!$B35, "1")</f>
        <v>0</v>
      </c>
      <c r="T35" s="159">
        <f>SUMIFS('Historical Orders'!$E35, 'Historical Orders'!$D35, "2", 'Historical Orders'!$C35, "A", 'Historical Orders'!$B35, "2")</f>
        <v>5978</v>
      </c>
      <c r="U35" s="157">
        <f>SUMIFS('Historical Orders'!$G35, 'Historical Orders'!$D35, "2", 'Historical Orders'!$C35, "A", 'Historical Orders'!$B35, "2")</f>
        <v>7173.6</v>
      </c>
      <c r="V35" s="159">
        <f>SUMIFS('Historical Orders'!$E35, 'Historical Orders'!$D35, "2", 'Historical Orders'!$C35, "B", 'Historical Orders'!$B35, "2")</f>
        <v>0</v>
      </c>
      <c r="W35" s="159">
        <f>SUMIFS('Historical Orders'!$G35, 'Historical Orders'!$D35, "2", 'Historical Orders'!$C35, "B", 'Historical Orders'!$B35, "2")</f>
        <v>0</v>
      </c>
      <c r="X35" s="159">
        <f>SUMIFS('Historical Orders'!$E35, 'Historical Orders'!$D35, "3", 'Historical Orders'!$C35, "A", 'Historical Orders'!$B35, "1")</f>
        <v>0</v>
      </c>
      <c r="Y35" s="159">
        <f>SUMIFS('Historical Orders'!$G35, 'Historical Orders'!$D35, "3", 'Historical Orders'!$C35, "A", 'Historical Orders'!$B35, "1")</f>
        <v>0</v>
      </c>
      <c r="Z35" s="159">
        <f>SUMIFS('Historical Orders'!$E35, 'Historical Orders'!$D35, "3", 'Historical Orders'!$C35, "B", 'Historical Orders'!$B35, "1")</f>
        <v>0</v>
      </c>
      <c r="AA35" s="159">
        <f>SUMIFS('Historical Orders'!$G35, 'Historical Orders'!$D35, "3", 'Historical Orders'!$C35, "B", 'Historical Orders'!$B35, "1")</f>
        <v>0</v>
      </c>
      <c r="AB35" s="159">
        <f>SUMIFS('Historical Orders'!$E35, 'Historical Orders'!$D35, "3", 'Historical Orders'!$C35, "A", 'Historical Orders'!$B35, "2")</f>
        <v>0</v>
      </c>
      <c r="AC35" s="159">
        <f>SUMIFS('Historical Orders'!$G35, 'Historical Orders'!$D35, "3", 'Historical Orders'!$C35, "A", 'Historical Orders'!$B35, "2")</f>
        <v>0</v>
      </c>
      <c r="AD35" s="159">
        <f>SUMIFS('Historical Orders'!$E35, 'Historical Orders'!$D35, "3", 'Historical Orders'!$C35, "B", 'Historical Orders'!$B35, "2")</f>
        <v>0</v>
      </c>
      <c r="AE35" s="157">
        <f>SUMIFS('Historical Orders'!$G35, 'Historical Orders'!$D35, "3", 'Historical Orders'!$C35, "B", 'Historical Orders'!$B35, "2")</f>
        <v>0</v>
      </c>
      <c r="AF35" s="157">
        <f>SUMIFS('Historical Orders'!$E35, 'Historical Orders'!$D35, "4", 'Historical Orders'!$C35, "A", 'Historical Orders'!$B35, "1")</f>
        <v>0</v>
      </c>
      <c r="AG35" s="157">
        <f>SUMIFS('Historical Orders'!$G35, 'Historical Orders'!$D35, "4", 'Historical Orders'!$C35, "A", 'Historical Orders'!$B35, "1")</f>
        <v>0</v>
      </c>
      <c r="AH35" s="157">
        <f>SUMIFS('Historical Orders'!$E35, 'Historical Orders'!$D35, "4", 'Historical Orders'!$C35, "B", 'Historical Orders'!$B35, "1")</f>
        <v>0</v>
      </c>
      <c r="AI35" s="157">
        <f>SUMIFS('Historical Orders'!$G35, 'Historical Orders'!$D35, "4", 'Historical Orders'!$C35, "B", 'Historical Orders'!$B35, "1")</f>
        <v>0</v>
      </c>
      <c r="AJ35" s="157">
        <f>SUMIFS('Historical Orders'!$E35, 'Historical Orders'!$D35, "4", 'Historical Orders'!$C35, "A", 'Historical Orders'!$B35, "2")</f>
        <v>0</v>
      </c>
      <c r="AK35" s="157">
        <f>SUMIFS('Historical Orders'!$G35, 'Historical Orders'!$D35, "4", 'Historical Orders'!$C35, "A", 'Historical Orders'!$B35, "2")</f>
        <v>0</v>
      </c>
      <c r="AL35" s="171">
        <f>SUMIFS('Historical Orders'!$E35, 'Historical Orders'!$D35, "4", 'Historical Orders'!$C35, "B", 'Historical Orders'!$B35, "2")</f>
        <v>0</v>
      </c>
      <c r="AM35" s="171">
        <f>SUMIFS('Historical Orders'!$G35, 'Historical Orders'!$D35, "4", 'Historical Orders'!$C35, "B", 'Historical Orders'!$B35, "2")</f>
        <v>0</v>
      </c>
      <c r="AN35" s="171">
        <f>SUMIFS('Historical Orders'!$G35, 'Historical Orders'!$C35, "A", 'Historical Orders'!$B35, "1")</f>
        <v>0</v>
      </c>
      <c r="AO35" s="171">
        <f>SUMIFS('Historical Orders'!$G35, 'Historical Orders'!$C35, "B", 'Historical Orders'!$B35, "1")</f>
        <v>0</v>
      </c>
      <c r="AP35" s="171">
        <f>SUMIFS('Historical Orders'!$G35, 'Historical Orders'!$C35, "A", 'Historical Orders'!$B35, "2")</f>
        <v>7173.6</v>
      </c>
      <c r="AQ35" s="171">
        <f>SUMIFS('Historical Orders'!$G35, 'Historical Orders'!$C35, "B", 'Historical Orders'!$B35, "2")</f>
        <v>0</v>
      </c>
      <c r="AR35" s="145"/>
      <c r="AS35" s="146"/>
      <c r="AT35" s="161">
        <v>42086.0</v>
      </c>
      <c r="AU35" s="162"/>
      <c r="AV35" s="163">
        <f t="shared" si="1"/>
        <v>42086</v>
      </c>
      <c r="AW35" s="164">
        <f t="shared" si="2"/>
        <v>24282</v>
      </c>
      <c r="AX35" s="164">
        <f t="shared" si="3"/>
        <v>11815</v>
      </c>
      <c r="AY35" s="164">
        <f t="shared" si="4"/>
        <v>12467</v>
      </c>
      <c r="AZ35" s="164">
        <f t="shared" si="5"/>
        <v>19067</v>
      </c>
      <c r="BA35" s="164">
        <f t="shared" si="6"/>
        <v>5215</v>
      </c>
      <c r="BB35" s="165"/>
      <c r="BC35" s="166">
        <f t="shared" si="7"/>
        <v>72789.9</v>
      </c>
      <c r="BD35" s="166">
        <f t="shared" si="8"/>
        <v>34477.3</v>
      </c>
      <c r="BE35" s="166">
        <f t="shared" si="9"/>
        <v>38312.6</v>
      </c>
      <c r="BF35" s="167"/>
      <c r="BG35" s="166">
        <f t="shared" si="10"/>
        <v>8373.2</v>
      </c>
      <c r="BH35" s="166">
        <f t="shared" si="11"/>
        <v>6823.2</v>
      </c>
      <c r="BI35" s="166">
        <f t="shared" si="12"/>
        <v>0</v>
      </c>
      <c r="BJ35" s="166">
        <f>SUM('Historical Orders'!$BG35:$BI35)</f>
        <v>15196.4</v>
      </c>
      <c r="BK35" s="167"/>
      <c r="BL35" s="166">
        <f t="shared" si="13"/>
        <v>0</v>
      </c>
      <c r="BM35" s="166">
        <f t="shared" si="14"/>
        <v>0</v>
      </c>
      <c r="BN35" s="166">
        <f t="shared" si="15"/>
        <v>19280.9</v>
      </c>
      <c r="BO35" s="166">
        <f>SUM('Historical Orders'!$BL35:$BN35)</f>
        <v>19280.9</v>
      </c>
      <c r="BP35" s="167"/>
      <c r="BQ35" s="166">
        <f t="shared" si="16"/>
        <v>6201.8</v>
      </c>
      <c r="BR35" s="166">
        <f t="shared" si="17"/>
        <v>8107.2</v>
      </c>
      <c r="BS35" s="166">
        <f t="shared" si="18"/>
        <v>0</v>
      </c>
      <c r="BT35" s="166">
        <f>SUM('Historical Orders'!$BQ35:$BS35)</f>
        <v>14309</v>
      </c>
      <c r="BU35" s="167"/>
      <c r="BV35" s="166">
        <f t="shared" si="19"/>
        <v>0</v>
      </c>
      <c r="BW35" s="166">
        <f t="shared" si="20"/>
        <v>0</v>
      </c>
      <c r="BX35" s="166">
        <f t="shared" si="21"/>
        <v>24003.6</v>
      </c>
      <c r="BY35" s="166">
        <f>SUM('Historical Orders'!$BV35:$BX35)</f>
        <v>24003.6</v>
      </c>
      <c r="BZ35" s="167"/>
      <c r="CA35" s="168">
        <f t="shared" si="22"/>
        <v>3</v>
      </c>
      <c r="CB35" s="168">
        <f t="shared" si="23"/>
        <v>3</v>
      </c>
      <c r="CC35" s="168">
        <f t="shared" si="24"/>
        <v>4</v>
      </c>
      <c r="CD35" s="168">
        <f t="shared" si="25"/>
        <v>2</v>
      </c>
      <c r="CE35" s="168">
        <f t="shared" si="26"/>
        <v>2</v>
      </c>
      <c r="CF35" s="169">
        <f t="shared" si="27"/>
        <v>2</v>
      </c>
      <c r="CG35" s="169">
        <f t="shared" si="28"/>
        <v>2</v>
      </c>
      <c r="CH35" s="170"/>
    </row>
    <row r="36" ht="15.75" customHeight="1">
      <c r="A36" s="151">
        <v>41890.0</v>
      </c>
      <c r="B36" s="152">
        <v>1.0</v>
      </c>
      <c r="C36" s="152" t="s">
        <v>46</v>
      </c>
      <c r="D36" s="152">
        <v>3.0</v>
      </c>
      <c r="E36" s="153">
        <v>2045.0</v>
      </c>
      <c r="F36" s="154">
        <v>8.3</v>
      </c>
      <c r="G36" s="155">
        <v>16973.5</v>
      </c>
      <c r="H36" s="159">
        <f>SUMIFS('Historical Orders'!$E36, 'Historical Orders'!$D36, "1", 'Historical Orders'!$C36, "A", 'Historical Orders'!$B36, "1")</f>
        <v>0</v>
      </c>
      <c r="I36" s="157">
        <f>SUMIFS('Historical Orders'!$G36, 'Historical Orders'!$D36, "1", 'Historical Orders'!$C36, "A", 'Historical Orders'!$B36, "1")</f>
        <v>0</v>
      </c>
      <c r="J36" s="157">
        <f>SUMIFS('Historical Orders'!$E36, 'Historical Orders'!$D36, "1", 'Historical Orders'!$C36, "B", 'Historical Orders'!$B36, "1")</f>
        <v>0</v>
      </c>
      <c r="K36" s="157">
        <f>SUMIFS('Historical Orders'!$G36, 'Historical Orders'!$D36, "1", 'Historical Orders'!$C36, "B", 'Historical Orders'!$B36, "1")</f>
        <v>0</v>
      </c>
      <c r="L36" s="159">
        <f>SUMIFS('Historical Orders'!$E36, 'Historical Orders'!$D36, "1", 'Historical Orders'!$C36, "A", 'Historical Orders'!$B36, "2")</f>
        <v>0</v>
      </c>
      <c r="M36" s="157">
        <f>SUMIFS('Historical Orders'!$G36, 'Historical Orders'!$D36, "1", 'Historical Orders'!$C36, "A", 'Historical Orders'!$B36, "2")</f>
        <v>0</v>
      </c>
      <c r="N36" s="157">
        <f>SUMIFS('Historical Orders'!$E36, 'Historical Orders'!$D36, "1", 'Historical Orders'!$C36, "B", 'Historical Orders'!$B36, "2")</f>
        <v>0</v>
      </c>
      <c r="O36" s="157">
        <f>SUMIFS('Historical Orders'!$G36, 'Historical Orders'!$D36, "1", 'Historical Orders'!$C36, "B", 'Historical Orders'!$B36, "2")</f>
        <v>0</v>
      </c>
      <c r="P36" s="159">
        <f>SUMIFS('Historical Orders'!$E36, 'Historical Orders'!$D36, "2", 'Historical Orders'!$C36, "A", 'Historical Orders'!$B36, "1")</f>
        <v>0</v>
      </c>
      <c r="Q36" s="157">
        <f>SUMIFS('Historical Orders'!$G36, 'Historical Orders'!$D36, "2", 'Historical Orders'!$C36, "A", 'Historical Orders'!$B36, "1")</f>
        <v>0</v>
      </c>
      <c r="R36" s="159">
        <f>SUMIFS('Historical Orders'!$E36, 'Historical Orders'!$D36, "2", 'Historical Orders'!$C36, "B", 'Historical Orders'!$B36, "1")</f>
        <v>0</v>
      </c>
      <c r="S36" s="157">
        <f>SUMIFS('Historical Orders'!$G36, 'Historical Orders'!$D36, "2", 'Historical Orders'!$C36, "B", 'Historical Orders'!$B36, "1")</f>
        <v>0</v>
      </c>
      <c r="T36" s="159">
        <f>SUMIFS('Historical Orders'!$E36, 'Historical Orders'!$D36, "2", 'Historical Orders'!$C36, "A", 'Historical Orders'!$B36, "2")</f>
        <v>0</v>
      </c>
      <c r="U36" s="157">
        <f>SUMIFS('Historical Orders'!$G36, 'Historical Orders'!$D36, "2", 'Historical Orders'!$C36, "A", 'Historical Orders'!$B36, "2")</f>
        <v>0</v>
      </c>
      <c r="V36" s="159">
        <f>SUMIFS('Historical Orders'!$E36, 'Historical Orders'!$D36, "2", 'Historical Orders'!$C36, "B", 'Historical Orders'!$B36, "2")</f>
        <v>0</v>
      </c>
      <c r="W36" s="159">
        <f>SUMIFS('Historical Orders'!$G36, 'Historical Orders'!$D36, "2", 'Historical Orders'!$C36, "B", 'Historical Orders'!$B36, "2")</f>
        <v>0</v>
      </c>
      <c r="X36" s="159">
        <f>SUMIFS('Historical Orders'!$E36, 'Historical Orders'!$D36, "3", 'Historical Orders'!$C36, "A", 'Historical Orders'!$B36, "1")</f>
        <v>0</v>
      </c>
      <c r="Y36" s="159">
        <f>SUMIFS('Historical Orders'!$G36, 'Historical Orders'!$D36, "3", 'Historical Orders'!$C36, "A", 'Historical Orders'!$B36, "1")</f>
        <v>0</v>
      </c>
      <c r="Z36" s="159">
        <f>SUMIFS('Historical Orders'!$E36, 'Historical Orders'!$D36, "3", 'Historical Orders'!$C36, "B", 'Historical Orders'!$B36, "1")</f>
        <v>2045</v>
      </c>
      <c r="AA36" s="159">
        <f>SUMIFS('Historical Orders'!$G36, 'Historical Orders'!$D36, "3", 'Historical Orders'!$C36, "B", 'Historical Orders'!$B36, "1")</f>
        <v>16973.5</v>
      </c>
      <c r="AB36" s="159">
        <f>SUMIFS('Historical Orders'!$E36, 'Historical Orders'!$D36, "3", 'Historical Orders'!$C36, "A", 'Historical Orders'!$B36, "2")</f>
        <v>0</v>
      </c>
      <c r="AC36" s="159">
        <f>SUMIFS('Historical Orders'!$G36, 'Historical Orders'!$D36, "3", 'Historical Orders'!$C36, "A", 'Historical Orders'!$B36, "2")</f>
        <v>0</v>
      </c>
      <c r="AD36" s="159">
        <f>SUMIFS('Historical Orders'!$E36, 'Historical Orders'!$D36, "3", 'Historical Orders'!$C36, "B", 'Historical Orders'!$B36, "2")</f>
        <v>0</v>
      </c>
      <c r="AE36" s="157">
        <f>SUMIFS('Historical Orders'!$G36, 'Historical Orders'!$D36, "3", 'Historical Orders'!$C36, "B", 'Historical Orders'!$B36, "2")</f>
        <v>0</v>
      </c>
      <c r="AF36" s="157">
        <f>SUMIFS('Historical Orders'!$E36, 'Historical Orders'!$D36, "4", 'Historical Orders'!$C36, "A", 'Historical Orders'!$B36, "1")</f>
        <v>0</v>
      </c>
      <c r="AG36" s="157">
        <f>SUMIFS('Historical Orders'!$G36, 'Historical Orders'!$D36, "4", 'Historical Orders'!$C36, "A", 'Historical Orders'!$B36, "1")</f>
        <v>0</v>
      </c>
      <c r="AH36" s="157">
        <f>SUMIFS('Historical Orders'!$E36, 'Historical Orders'!$D36, "4", 'Historical Orders'!$C36, "B", 'Historical Orders'!$B36, "1")</f>
        <v>0</v>
      </c>
      <c r="AI36" s="157">
        <f>SUMIFS('Historical Orders'!$G36, 'Historical Orders'!$D36, "4", 'Historical Orders'!$C36, "B", 'Historical Orders'!$B36, "1")</f>
        <v>0</v>
      </c>
      <c r="AJ36" s="157">
        <f>SUMIFS('Historical Orders'!$E36, 'Historical Orders'!$D36, "4", 'Historical Orders'!$C36, "A", 'Historical Orders'!$B36, "2")</f>
        <v>0</v>
      </c>
      <c r="AK36" s="157">
        <f>SUMIFS('Historical Orders'!$G36, 'Historical Orders'!$D36, "4", 'Historical Orders'!$C36, "A", 'Historical Orders'!$B36, "2")</f>
        <v>0</v>
      </c>
      <c r="AL36" s="171">
        <f>SUMIFS('Historical Orders'!$E36, 'Historical Orders'!$D36, "4", 'Historical Orders'!$C36, "B", 'Historical Orders'!$B36, "2")</f>
        <v>0</v>
      </c>
      <c r="AM36" s="171">
        <f>SUMIFS('Historical Orders'!$G36, 'Historical Orders'!$D36, "4", 'Historical Orders'!$C36, "B", 'Historical Orders'!$B36, "2")</f>
        <v>0</v>
      </c>
      <c r="AN36" s="171">
        <f>SUMIFS('Historical Orders'!$G36, 'Historical Orders'!$C36, "A", 'Historical Orders'!$B36, "1")</f>
        <v>0</v>
      </c>
      <c r="AO36" s="171">
        <f>SUMIFS('Historical Orders'!$G36, 'Historical Orders'!$C36, "B", 'Historical Orders'!$B36, "1")</f>
        <v>16973.5</v>
      </c>
      <c r="AP36" s="171">
        <f>SUMIFS('Historical Orders'!$G36, 'Historical Orders'!$C36, "A", 'Historical Orders'!$B36, "2")</f>
        <v>0</v>
      </c>
      <c r="AQ36" s="171">
        <f>SUMIFS('Historical Orders'!$G36, 'Historical Orders'!$C36, "B", 'Historical Orders'!$B36, "2")</f>
        <v>0</v>
      </c>
      <c r="AR36" s="145"/>
      <c r="AS36" s="146"/>
      <c r="AT36" s="161">
        <v>42093.0</v>
      </c>
      <c r="AU36" s="162"/>
      <c r="AV36" s="163">
        <f t="shared" si="1"/>
        <v>42093</v>
      </c>
      <c r="AW36" s="164">
        <f t="shared" si="2"/>
        <v>24486</v>
      </c>
      <c r="AX36" s="164">
        <f t="shared" si="3"/>
        <v>12161</v>
      </c>
      <c r="AY36" s="164">
        <f t="shared" si="4"/>
        <v>12325</v>
      </c>
      <c r="AZ36" s="164">
        <f t="shared" si="5"/>
        <v>19347</v>
      </c>
      <c r="BA36" s="164">
        <f t="shared" si="6"/>
        <v>5139</v>
      </c>
      <c r="BB36" s="165"/>
      <c r="BC36" s="166">
        <f t="shared" si="7"/>
        <v>73149.1</v>
      </c>
      <c r="BD36" s="166">
        <f t="shared" si="8"/>
        <v>34498.6</v>
      </c>
      <c r="BE36" s="166">
        <f t="shared" si="9"/>
        <v>38650.5</v>
      </c>
      <c r="BF36" s="167"/>
      <c r="BG36" s="166">
        <f t="shared" si="10"/>
        <v>9834</v>
      </c>
      <c r="BH36" s="166">
        <f t="shared" si="11"/>
        <v>6620.4</v>
      </c>
      <c r="BI36" s="166">
        <f t="shared" si="12"/>
        <v>0</v>
      </c>
      <c r="BJ36" s="166">
        <f>SUM('Historical Orders'!$BG36:$BI36)</f>
        <v>16454.4</v>
      </c>
      <c r="BK36" s="167"/>
      <c r="BL36" s="166">
        <f t="shared" si="13"/>
        <v>0</v>
      </c>
      <c r="BM36" s="166">
        <f t="shared" si="14"/>
        <v>0</v>
      </c>
      <c r="BN36" s="166">
        <f t="shared" si="15"/>
        <v>18044.2</v>
      </c>
      <c r="BO36" s="166">
        <f>SUM('Historical Orders'!$BL36:$BN36)</f>
        <v>18044.2</v>
      </c>
      <c r="BP36" s="167"/>
      <c r="BQ36" s="166">
        <f t="shared" si="16"/>
        <v>6179.8</v>
      </c>
      <c r="BR36" s="166">
        <f t="shared" si="17"/>
        <v>7861.2</v>
      </c>
      <c r="BS36" s="166">
        <f t="shared" si="18"/>
        <v>0</v>
      </c>
      <c r="BT36" s="166">
        <f>SUM('Historical Orders'!$BQ36:$BS36)</f>
        <v>14041</v>
      </c>
      <c r="BU36" s="167"/>
      <c r="BV36" s="166">
        <f t="shared" si="19"/>
        <v>0</v>
      </c>
      <c r="BW36" s="166">
        <f t="shared" si="20"/>
        <v>0</v>
      </c>
      <c r="BX36" s="166">
        <f t="shared" si="21"/>
        <v>24609.5</v>
      </c>
      <c r="BY36" s="166">
        <f>SUM('Historical Orders'!$BV36:$BX36)</f>
        <v>24609.5</v>
      </c>
      <c r="BZ36" s="167"/>
      <c r="CA36" s="168">
        <f t="shared" si="22"/>
        <v>3</v>
      </c>
      <c r="CB36" s="168">
        <f t="shared" si="23"/>
        <v>3</v>
      </c>
      <c r="CC36" s="168">
        <f t="shared" si="24"/>
        <v>4</v>
      </c>
      <c r="CD36" s="168">
        <f t="shared" si="25"/>
        <v>2</v>
      </c>
      <c r="CE36" s="168">
        <f t="shared" si="26"/>
        <v>2</v>
      </c>
      <c r="CF36" s="169">
        <f t="shared" si="27"/>
        <v>2</v>
      </c>
      <c r="CG36" s="169">
        <f t="shared" si="28"/>
        <v>2</v>
      </c>
      <c r="CH36" s="170"/>
    </row>
    <row r="37" ht="15.75" customHeight="1">
      <c r="A37" s="151">
        <v>41890.0</v>
      </c>
      <c r="B37" s="152">
        <v>2.0</v>
      </c>
      <c r="C37" s="152" t="s">
        <v>46</v>
      </c>
      <c r="D37" s="152">
        <v>3.0</v>
      </c>
      <c r="E37" s="153">
        <v>2174.0</v>
      </c>
      <c r="F37" s="154">
        <v>8.3</v>
      </c>
      <c r="G37" s="155">
        <v>18044.2</v>
      </c>
      <c r="H37" s="159">
        <f>SUMIFS('Historical Orders'!$E37, 'Historical Orders'!$D37, "1", 'Historical Orders'!$C37, "A", 'Historical Orders'!$B37, "1")</f>
        <v>0</v>
      </c>
      <c r="I37" s="157">
        <f>SUMIFS('Historical Orders'!$G37, 'Historical Orders'!$D37, "1", 'Historical Orders'!$C37, "A", 'Historical Orders'!$B37, "1")</f>
        <v>0</v>
      </c>
      <c r="J37" s="157">
        <f>SUMIFS('Historical Orders'!$E37, 'Historical Orders'!$D37, "1", 'Historical Orders'!$C37, "B", 'Historical Orders'!$B37, "1")</f>
        <v>0</v>
      </c>
      <c r="K37" s="157">
        <f>SUMIFS('Historical Orders'!$G37, 'Historical Orders'!$D37, "1", 'Historical Orders'!$C37, "B", 'Historical Orders'!$B37, "1")</f>
        <v>0</v>
      </c>
      <c r="L37" s="159">
        <f>SUMIFS('Historical Orders'!$E37, 'Historical Orders'!$D37, "1", 'Historical Orders'!$C37, "A", 'Historical Orders'!$B37, "2")</f>
        <v>0</v>
      </c>
      <c r="M37" s="157">
        <f>SUMIFS('Historical Orders'!$G37, 'Historical Orders'!$D37, "1", 'Historical Orders'!$C37, "A", 'Historical Orders'!$B37, "2")</f>
        <v>0</v>
      </c>
      <c r="N37" s="157">
        <f>SUMIFS('Historical Orders'!$E37, 'Historical Orders'!$D37, "1", 'Historical Orders'!$C37, "B", 'Historical Orders'!$B37, "2")</f>
        <v>0</v>
      </c>
      <c r="O37" s="157">
        <f>SUMIFS('Historical Orders'!$G37, 'Historical Orders'!$D37, "1", 'Historical Orders'!$C37, "B", 'Historical Orders'!$B37, "2")</f>
        <v>0</v>
      </c>
      <c r="P37" s="159">
        <f>SUMIFS('Historical Orders'!$E37, 'Historical Orders'!$D37, "2", 'Historical Orders'!$C37, "A", 'Historical Orders'!$B37, "1")</f>
        <v>0</v>
      </c>
      <c r="Q37" s="157">
        <f>SUMIFS('Historical Orders'!$G37, 'Historical Orders'!$D37, "2", 'Historical Orders'!$C37, "A", 'Historical Orders'!$B37, "1")</f>
        <v>0</v>
      </c>
      <c r="R37" s="159">
        <f>SUMIFS('Historical Orders'!$E37, 'Historical Orders'!$D37, "2", 'Historical Orders'!$C37, "B", 'Historical Orders'!$B37, "1")</f>
        <v>0</v>
      </c>
      <c r="S37" s="157">
        <f>SUMIFS('Historical Orders'!$G37, 'Historical Orders'!$D37, "2", 'Historical Orders'!$C37, "B", 'Historical Orders'!$B37, "1")</f>
        <v>0</v>
      </c>
      <c r="T37" s="159">
        <f>SUMIFS('Historical Orders'!$E37, 'Historical Orders'!$D37, "2", 'Historical Orders'!$C37, "A", 'Historical Orders'!$B37, "2")</f>
        <v>0</v>
      </c>
      <c r="U37" s="157">
        <f>SUMIFS('Historical Orders'!$G37, 'Historical Orders'!$D37, "2", 'Historical Orders'!$C37, "A", 'Historical Orders'!$B37, "2")</f>
        <v>0</v>
      </c>
      <c r="V37" s="159">
        <f>SUMIFS('Historical Orders'!$E37, 'Historical Orders'!$D37, "2", 'Historical Orders'!$C37, "B", 'Historical Orders'!$B37, "2")</f>
        <v>0</v>
      </c>
      <c r="W37" s="159">
        <f>SUMIFS('Historical Orders'!$G37, 'Historical Orders'!$D37, "2", 'Historical Orders'!$C37, "B", 'Historical Orders'!$B37, "2")</f>
        <v>0</v>
      </c>
      <c r="X37" s="159">
        <f>SUMIFS('Historical Orders'!$E37, 'Historical Orders'!$D37, "3", 'Historical Orders'!$C37, "A", 'Historical Orders'!$B37, "1")</f>
        <v>0</v>
      </c>
      <c r="Y37" s="159">
        <f>SUMIFS('Historical Orders'!$G37, 'Historical Orders'!$D37, "3", 'Historical Orders'!$C37, "A", 'Historical Orders'!$B37, "1")</f>
        <v>0</v>
      </c>
      <c r="Z37" s="159">
        <f>SUMIFS('Historical Orders'!$E37, 'Historical Orders'!$D37, "3", 'Historical Orders'!$C37, "B", 'Historical Orders'!$B37, "1")</f>
        <v>0</v>
      </c>
      <c r="AA37" s="159">
        <f>SUMIFS('Historical Orders'!$G37, 'Historical Orders'!$D37, "3", 'Historical Orders'!$C37, "B", 'Historical Orders'!$B37, "1")</f>
        <v>0</v>
      </c>
      <c r="AB37" s="159">
        <f>SUMIFS('Historical Orders'!$E37, 'Historical Orders'!$D37, "3", 'Historical Orders'!$C37, "A", 'Historical Orders'!$B37, "2")</f>
        <v>0</v>
      </c>
      <c r="AC37" s="159">
        <f>SUMIFS('Historical Orders'!$G37, 'Historical Orders'!$D37, "3", 'Historical Orders'!$C37, "A", 'Historical Orders'!$B37, "2")</f>
        <v>0</v>
      </c>
      <c r="AD37" s="159">
        <f>SUMIFS('Historical Orders'!$E37, 'Historical Orders'!$D37, "3", 'Historical Orders'!$C37, "B", 'Historical Orders'!$B37, "2")</f>
        <v>2174</v>
      </c>
      <c r="AE37" s="157">
        <f>SUMIFS('Historical Orders'!$G37, 'Historical Orders'!$D37, "3", 'Historical Orders'!$C37, "B", 'Historical Orders'!$B37, "2")</f>
        <v>18044.2</v>
      </c>
      <c r="AF37" s="157">
        <f>SUMIFS('Historical Orders'!$E37, 'Historical Orders'!$D37, "4", 'Historical Orders'!$C37, "A", 'Historical Orders'!$B37, "1")</f>
        <v>0</v>
      </c>
      <c r="AG37" s="157">
        <f>SUMIFS('Historical Orders'!$G37, 'Historical Orders'!$D37, "4", 'Historical Orders'!$C37, "A", 'Historical Orders'!$B37, "1")</f>
        <v>0</v>
      </c>
      <c r="AH37" s="157">
        <f>SUMIFS('Historical Orders'!$E37, 'Historical Orders'!$D37, "4", 'Historical Orders'!$C37, "B", 'Historical Orders'!$B37, "1")</f>
        <v>0</v>
      </c>
      <c r="AI37" s="157">
        <f>SUMIFS('Historical Orders'!$G37, 'Historical Orders'!$D37, "4", 'Historical Orders'!$C37, "B", 'Historical Orders'!$B37, "1")</f>
        <v>0</v>
      </c>
      <c r="AJ37" s="157">
        <f>SUMIFS('Historical Orders'!$E37, 'Historical Orders'!$D37, "4", 'Historical Orders'!$C37, "A", 'Historical Orders'!$B37, "2")</f>
        <v>0</v>
      </c>
      <c r="AK37" s="157">
        <f>SUMIFS('Historical Orders'!$G37, 'Historical Orders'!$D37, "4", 'Historical Orders'!$C37, "A", 'Historical Orders'!$B37, "2")</f>
        <v>0</v>
      </c>
      <c r="AL37" s="171">
        <f>SUMIFS('Historical Orders'!$E37, 'Historical Orders'!$D37, "4", 'Historical Orders'!$C37, "B", 'Historical Orders'!$B37, "2")</f>
        <v>0</v>
      </c>
      <c r="AM37" s="171">
        <f>SUMIFS('Historical Orders'!$G37, 'Historical Orders'!$D37, "4", 'Historical Orders'!$C37, "B", 'Historical Orders'!$B37, "2")</f>
        <v>0</v>
      </c>
      <c r="AN37" s="171">
        <f>SUMIFS('Historical Orders'!$G37, 'Historical Orders'!$C37, "A", 'Historical Orders'!$B37, "1")</f>
        <v>0</v>
      </c>
      <c r="AO37" s="171">
        <f>SUMIFS('Historical Orders'!$G37, 'Historical Orders'!$C37, "B", 'Historical Orders'!$B37, "1")</f>
        <v>0</v>
      </c>
      <c r="AP37" s="171">
        <f>SUMIFS('Historical Orders'!$G37, 'Historical Orders'!$C37, "A", 'Historical Orders'!$B37, "2")</f>
        <v>0</v>
      </c>
      <c r="AQ37" s="171">
        <f>SUMIFS('Historical Orders'!$G37, 'Historical Orders'!$C37, "B", 'Historical Orders'!$B37, "2")</f>
        <v>18044.2</v>
      </c>
      <c r="AR37" s="145"/>
      <c r="AS37" s="146"/>
      <c r="AT37" s="161">
        <v>42100.0</v>
      </c>
      <c r="AU37" s="162"/>
      <c r="AV37" s="163">
        <f t="shared" si="1"/>
        <v>42100</v>
      </c>
      <c r="AW37" s="164">
        <f t="shared" si="2"/>
        <v>27747</v>
      </c>
      <c r="AX37" s="164">
        <f t="shared" si="3"/>
        <v>13380</v>
      </c>
      <c r="AY37" s="164">
        <f t="shared" si="4"/>
        <v>14367</v>
      </c>
      <c r="AZ37" s="164">
        <f t="shared" si="5"/>
        <v>22623</v>
      </c>
      <c r="BA37" s="164">
        <f t="shared" si="6"/>
        <v>5124</v>
      </c>
      <c r="BB37" s="165"/>
      <c r="BC37" s="166">
        <f t="shared" si="7"/>
        <v>78187.8</v>
      </c>
      <c r="BD37" s="166">
        <f t="shared" si="8"/>
        <v>36240.7</v>
      </c>
      <c r="BE37" s="166">
        <f t="shared" si="9"/>
        <v>41947.1</v>
      </c>
      <c r="BF37" s="167"/>
      <c r="BG37" s="166">
        <f t="shared" si="10"/>
        <v>10557.8</v>
      </c>
      <c r="BH37" s="166">
        <f t="shared" si="11"/>
        <v>7696.8</v>
      </c>
      <c r="BI37" s="166">
        <f t="shared" si="12"/>
        <v>0</v>
      </c>
      <c r="BJ37" s="166">
        <f>SUM('Historical Orders'!$BG37:$BI37)</f>
        <v>18254.6</v>
      </c>
      <c r="BK37" s="167"/>
      <c r="BL37" s="166">
        <f t="shared" si="13"/>
        <v>0</v>
      </c>
      <c r="BM37" s="166">
        <f t="shared" si="14"/>
        <v>0</v>
      </c>
      <c r="BN37" s="166">
        <f t="shared" si="15"/>
        <v>17986.1</v>
      </c>
      <c r="BO37" s="166">
        <f>SUM('Historical Orders'!$BL37:$BN37)</f>
        <v>17986.1</v>
      </c>
      <c r="BP37" s="167"/>
      <c r="BQ37" s="166">
        <f t="shared" si="16"/>
        <v>8166.4</v>
      </c>
      <c r="BR37" s="166">
        <f t="shared" si="17"/>
        <v>9237.6</v>
      </c>
      <c r="BS37" s="166">
        <f t="shared" si="18"/>
        <v>0</v>
      </c>
      <c r="BT37" s="166">
        <f>SUM('Historical Orders'!$BQ37:$BS37)</f>
        <v>17404</v>
      </c>
      <c r="BU37" s="167"/>
      <c r="BV37" s="166">
        <f t="shared" si="19"/>
        <v>0</v>
      </c>
      <c r="BW37" s="166">
        <f t="shared" si="20"/>
        <v>0</v>
      </c>
      <c r="BX37" s="166">
        <f t="shared" si="21"/>
        <v>24543.1</v>
      </c>
      <c r="BY37" s="166">
        <f>SUM('Historical Orders'!$BV37:$BX37)</f>
        <v>24543.1</v>
      </c>
      <c r="BZ37" s="167"/>
      <c r="CA37" s="168">
        <f t="shared" si="22"/>
        <v>3</v>
      </c>
      <c r="CB37" s="168">
        <f t="shared" si="23"/>
        <v>3</v>
      </c>
      <c r="CC37" s="168">
        <f t="shared" si="24"/>
        <v>4</v>
      </c>
      <c r="CD37" s="168">
        <f t="shared" si="25"/>
        <v>2</v>
      </c>
      <c r="CE37" s="168">
        <f t="shared" si="26"/>
        <v>2</v>
      </c>
      <c r="CF37" s="169">
        <f t="shared" si="27"/>
        <v>2</v>
      </c>
      <c r="CG37" s="169">
        <f t="shared" si="28"/>
        <v>2</v>
      </c>
      <c r="CH37" s="170"/>
    </row>
    <row r="38" ht="15.75" customHeight="1">
      <c r="A38" s="151">
        <v>41897.0</v>
      </c>
      <c r="B38" s="152">
        <v>1.0</v>
      </c>
      <c r="C38" s="152" t="s">
        <v>45</v>
      </c>
      <c r="D38" s="152">
        <v>1.0</v>
      </c>
      <c r="E38" s="153">
        <v>3999.0</v>
      </c>
      <c r="F38" s="154">
        <v>2.2</v>
      </c>
      <c r="G38" s="155">
        <v>8797.800000000001</v>
      </c>
      <c r="H38" s="159">
        <f>SUMIFS('Historical Orders'!$E38, 'Historical Orders'!$D38, "1", 'Historical Orders'!$C38, "A", 'Historical Orders'!$B38, "1")</f>
        <v>3999</v>
      </c>
      <c r="I38" s="157">
        <f>SUMIFS('Historical Orders'!$G38, 'Historical Orders'!$D38, "1", 'Historical Orders'!$C38, "A", 'Historical Orders'!$B38, "1")</f>
        <v>8797.8</v>
      </c>
      <c r="J38" s="157">
        <f>SUMIFS('Historical Orders'!$E38, 'Historical Orders'!$D38, "1", 'Historical Orders'!$C38, "B", 'Historical Orders'!$B38, "1")</f>
        <v>0</v>
      </c>
      <c r="K38" s="157">
        <f>SUMIFS('Historical Orders'!$G38, 'Historical Orders'!$D38, "1", 'Historical Orders'!$C38, "B", 'Historical Orders'!$B38, "1")</f>
        <v>0</v>
      </c>
      <c r="L38" s="159">
        <f>SUMIFS('Historical Orders'!$E38, 'Historical Orders'!$D38, "1", 'Historical Orders'!$C38, "A", 'Historical Orders'!$B38, "2")</f>
        <v>0</v>
      </c>
      <c r="M38" s="157">
        <f>SUMIFS('Historical Orders'!$G38, 'Historical Orders'!$D38, "1", 'Historical Orders'!$C38, "A", 'Historical Orders'!$B38, "2")</f>
        <v>0</v>
      </c>
      <c r="N38" s="157">
        <f>SUMIFS('Historical Orders'!$E38, 'Historical Orders'!$D38, "1", 'Historical Orders'!$C38, "B", 'Historical Orders'!$B38, "2")</f>
        <v>0</v>
      </c>
      <c r="O38" s="157">
        <f>SUMIFS('Historical Orders'!$G38, 'Historical Orders'!$D38, "1", 'Historical Orders'!$C38, "B", 'Historical Orders'!$B38, "2")</f>
        <v>0</v>
      </c>
      <c r="P38" s="159">
        <f>SUMIFS('Historical Orders'!$E38, 'Historical Orders'!$D38, "2", 'Historical Orders'!$C38, "A", 'Historical Orders'!$B38, "1")</f>
        <v>0</v>
      </c>
      <c r="Q38" s="157">
        <f>SUMIFS('Historical Orders'!$G38, 'Historical Orders'!$D38, "2", 'Historical Orders'!$C38, "A", 'Historical Orders'!$B38, "1")</f>
        <v>0</v>
      </c>
      <c r="R38" s="159">
        <f>SUMIFS('Historical Orders'!$E38, 'Historical Orders'!$D38, "2", 'Historical Orders'!$C38, "B", 'Historical Orders'!$B38, "1")</f>
        <v>0</v>
      </c>
      <c r="S38" s="157">
        <f>SUMIFS('Historical Orders'!$G38, 'Historical Orders'!$D38, "2", 'Historical Orders'!$C38, "B", 'Historical Orders'!$B38, "1")</f>
        <v>0</v>
      </c>
      <c r="T38" s="159">
        <f>SUMIFS('Historical Orders'!$E38, 'Historical Orders'!$D38, "2", 'Historical Orders'!$C38, "A", 'Historical Orders'!$B38, "2")</f>
        <v>0</v>
      </c>
      <c r="U38" s="157">
        <f>SUMIFS('Historical Orders'!$G38, 'Historical Orders'!$D38, "2", 'Historical Orders'!$C38, "A", 'Historical Orders'!$B38, "2")</f>
        <v>0</v>
      </c>
      <c r="V38" s="159">
        <f>SUMIFS('Historical Orders'!$E38, 'Historical Orders'!$D38, "2", 'Historical Orders'!$C38, "B", 'Historical Orders'!$B38, "2")</f>
        <v>0</v>
      </c>
      <c r="W38" s="159">
        <f>SUMIFS('Historical Orders'!$G38, 'Historical Orders'!$D38, "2", 'Historical Orders'!$C38, "B", 'Historical Orders'!$B38, "2")</f>
        <v>0</v>
      </c>
      <c r="X38" s="159">
        <f>SUMIFS('Historical Orders'!$E38, 'Historical Orders'!$D38, "3", 'Historical Orders'!$C38, "A", 'Historical Orders'!$B38, "1")</f>
        <v>0</v>
      </c>
      <c r="Y38" s="159">
        <f>SUMIFS('Historical Orders'!$G38, 'Historical Orders'!$D38, "3", 'Historical Orders'!$C38, "A", 'Historical Orders'!$B38, "1")</f>
        <v>0</v>
      </c>
      <c r="Z38" s="159">
        <f>SUMIFS('Historical Orders'!$E38, 'Historical Orders'!$D38, "3", 'Historical Orders'!$C38, "B", 'Historical Orders'!$B38, "1")</f>
        <v>0</v>
      </c>
      <c r="AA38" s="159">
        <f>SUMIFS('Historical Orders'!$G38, 'Historical Orders'!$D38, "3", 'Historical Orders'!$C38, "B", 'Historical Orders'!$B38, "1")</f>
        <v>0</v>
      </c>
      <c r="AB38" s="159">
        <f>SUMIFS('Historical Orders'!$E38, 'Historical Orders'!$D38, "3", 'Historical Orders'!$C38, "A", 'Historical Orders'!$B38, "2")</f>
        <v>0</v>
      </c>
      <c r="AC38" s="159">
        <f>SUMIFS('Historical Orders'!$G38, 'Historical Orders'!$D38, "3", 'Historical Orders'!$C38, "A", 'Historical Orders'!$B38, "2")</f>
        <v>0</v>
      </c>
      <c r="AD38" s="159">
        <f>SUMIFS('Historical Orders'!$E38, 'Historical Orders'!$D38, "3", 'Historical Orders'!$C38, "B", 'Historical Orders'!$B38, "2")</f>
        <v>0</v>
      </c>
      <c r="AE38" s="157">
        <f>SUMIFS('Historical Orders'!$G38, 'Historical Orders'!$D38, "3", 'Historical Orders'!$C38, "B", 'Historical Orders'!$B38, "2")</f>
        <v>0</v>
      </c>
      <c r="AF38" s="157">
        <f>SUMIFS('Historical Orders'!$E38, 'Historical Orders'!$D38, "4", 'Historical Orders'!$C38, "A", 'Historical Orders'!$B38, "1")</f>
        <v>0</v>
      </c>
      <c r="AG38" s="157">
        <f>SUMIFS('Historical Orders'!$G38, 'Historical Orders'!$D38, "4", 'Historical Orders'!$C38, "A", 'Historical Orders'!$B38, "1")</f>
        <v>0</v>
      </c>
      <c r="AH38" s="157">
        <f>SUMIFS('Historical Orders'!$E38, 'Historical Orders'!$D38, "4", 'Historical Orders'!$C38, "B", 'Historical Orders'!$B38, "1")</f>
        <v>0</v>
      </c>
      <c r="AI38" s="157">
        <f>SUMIFS('Historical Orders'!$G38, 'Historical Orders'!$D38, "4", 'Historical Orders'!$C38, "B", 'Historical Orders'!$B38, "1")</f>
        <v>0</v>
      </c>
      <c r="AJ38" s="157">
        <f>SUMIFS('Historical Orders'!$E38, 'Historical Orders'!$D38, "4", 'Historical Orders'!$C38, "A", 'Historical Orders'!$B38, "2")</f>
        <v>0</v>
      </c>
      <c r="AK38" s="157">
        <f>SUMIFS('Historical Orders'!$G38, 'Historical Orders'!$D38, "4", 'Historical Orders'!$C38, "A", 'Historical Orders'!$B38, "2")</f>
        <v>0</v>
      </c>
      <c r="AL38" s="171">
        <f>SUMIFS('Historical Orders'!$E38, 'Historical Orders'!$D38, "4", 'Historical Orders'!$C38, "B", 'Historical Orders'!$B38, "2")</f>
        <v>0</v>
      </c>
      <c r="AM38" s="171">
        <f>SUMIFS('Historical Orders'!$G38, 'Historical Orders'!$D38, "4", 'Historical Orders'!$C38, "B", 'Historical Orders'!$B38, "2")</f>
        <v>0</v>
      </c>
      <c r="AN38" s="171">
        <f>SUMIFS('Historical Orders'!$G38, 'Historical Orders'!$C38, "A", 'Historical Orders'!$B38, "1")</f>
        <v>8797.8</v>
      </c>
      <c r="AO38" s="171">
        <f>SUMIFS('Historical Orders'!$G38, 'Historical Orders'!$C38, "B", 'Historical Orders'!$B38, "1")</f>
        <v>0</v>
      </c>
      <c r="AP38" s="171">
        <f>SUMIFS('Historical Orders'!$G38, 'Historical Orders'!$C38, "A", 'Historical Orders'!$B38, "2")</f>
        <v>0</v>
      </c>
      <c r="AQ38" s="171">
        <f>SUMIFS('Historical Orders'!$G38, 'Historical Orders'!$C38, "B", 'Historical Orders'!$B38, "2")</f>
        <v>0</v>
      </c>
      <c r="AR38" s="145"/>
      <c r="AS38" s="146"/>
      <c r="AT38" s="161">
        <v>42107.0</v>
      </c>
      <c r="AU38" s="162"/>
      <c r="AV38" s="163">
        <f t="shared" si="1"/>
        <v>42107</v>
      </c>
      <c r="AW38" s="164">
        <f t="shared" si="2"/>
        <v>25961</v>
      </c>
      <c r="AX38" s="164">
        <f t="shared" si="3"/>
        <v>13135</v>
      </c>
      <c r="AY38" s="164">
        <f t="shared" si="4"/>
        <v>12826</v>
      </c>
      <c r="AZ38" s="164">
        <f t="shared" si="5"/>
        <v>21003</v>
      </c>
      <c r="BA38" s="164">
        <f t="shared" si="6"/>
        <v>4958</v>
      </c>
      <c r="BB38" s="165"/>
      <c r="BC38" s="166">
        <f t="shared" si="7"/>
        <v>74039</v>
      </c>
      <c r="BD38" s="166">
        <f t="shared" si="8"/>
        <v>35052.2</v>
      </c>
      <c r="BE38" s="166">
        <f t="shared" si="9"/>
        <v>38986.8</v>
      </c>
      <c r="BF38" s="167"/>
      <c r="BG38" s="166">
        <f t="shared" si="10"/>
        <v>9605.2</v>
      </c>
      <c r="BH38" s="166">
        <f t="shared" si="11"/>
        <v>8000.4</v>
      </c>
      <c r="BI38" s="166">
        <f t="shared" si="12"/>
        <v>0</v>
      </c>
      <c r="BJ38" s="166">
        <f>SUM('Historical Orders'!$BG38:$BI38)</f>
        <v>17605.6</v>
      </c>
      <c r="BK38" s="167"/>
      <c r="BL38" s="166">
        <f t="shared" si="13"/>
        <v>0</v>
      </c>
      <c r="BM38" s="166">
        <f t="shared" si="14"/>
        <v>0</v>
      </c>
      <c r="BN38" s="166">
        <f t="shared" si="15"/>
        <v>17446.6</v>
      </c>
      <c r="BO38" s="166">
        <f>SUM('Historical Orders'!$BL38:$BN38)</f>
        <v>17446.6</v>
      </c>
      <c r="BP38" s="167"/>
      <c r="BQ38" s="166">
        <f t="shared" si="16"/>
        <v>7299.6</v>
      </c>
      <c r="BR38" s="166">
        <f t="shared" si="17"/>
        <v>7982.4</v>
      </c>
      <c r="BS38" s="166">
        <f t="shared" si="18"/>
        <v>0</v>
      </c>
      <c r="BT38" s="166">
        <f>SUM('Historical Orders'!$BQ38:$BS38)</f>
        <v>15282</v>
      </c>
      <c r="BU38" s="167"/>
      <c r="BV38" s="166">
        <f t="shared" si="19"/>
        <v>0</v>
      </c>
      <c r="BW38" s="166">
        <f t="shared" si="20"/>
        <v>0</v>
      </c>
      <c r="BX38" s="166">
        <f t="shared" si="21"/>
        <v>23704.8</v>
      </c>
      <c r="BY38" s="166">
        <f>SUM('Historical Orders'!$BV38:$BX38)</f>
        <v>23704.8</v>
      </c>
      <c r="BZ38" s="167"/>
      <c r="CA38" s="168">
        <f t="shared" si="22"/>
        <v>3</v>
      </c>
      <c r="CB38" s="168">
        <f t="shared" si="23"/>
        <v>3</v>
      </c>
      <c r="CC38" s="168">
        <f t="shared" si="24"/>
        <v>4</v>
      </c>
      <c r="CD38" s="168">
        <f t="shared" si="25"/>
        <v>2</v>
      </c>
      <c r="CE38" s="168">
        <f t="shared" si="26"/>
        <v>2</v>
      </c>
      <c r="CF38" s="169">
        <f t="shared" si="27"/>
        <v>2</v>
      </c>
      <c r="CG38" s="169">
        <f t="shared" si="28"/>
        <v>2</v>
      </c>
      <c r="CH38" s="170"/>
    </row>
    <row r="39" ht="15.75" customHeight="1">
      <c r="A39" s="151">
        <v>41897.0</v>
      </c>
      <c r="B39" s="152">
        <v>1.0</v>
      </c>
      <c r="C39" s="152" t="s">
        <v>45</v>
      </c>
      <c r="D39" s="152">
        <v>2.0</v>
      </c>
      <c r="E39" s="153">
        <v>5497.0</v>
      </c>
      <c r="F39" s="154">
        <v>1.2</v>
      </c>
      <c r="G39" s="155">
        <v>6596.4</v>
      </c>
      <c r="H39" s="159">
        <f>SUMIFS('Historical Orders'!$E39, 'Historical Orders'!$D39, "1", 'Historical Orders'!$C39, "A", 'Historical Orders'!$B39, "1")</f>
        <v>0</v>
      </c>
      <c r="I39" s="157">
        <f>SUMIFS('Historical Orders'!$G39, 'Historical Orders'!$D39, "1", 'Historical Orders'!$C39, "A", 'Historical Orders'!$B39, "1")</f>
        <v>0</v>
      </c>
      <c r="J39" s="157">
        <f>SUMIFS('Historical Orders'!$E39, 'Historical Orders'!$D39, "1", 'Historical Orders'!$C39, "B", 'Historical Orders'!$B39, "1")</f>
        <v>0</v>
      </c>
      <c r="K39" s="157">
        <f>SUMIFS('Historical Orders'!$G39, 'Historical Orders'!$D39, "1", 'Historical Orders'!$C39, "B", 'Historical Orders'!$B39, "1")</f>
        <v>0</v>
      </c>
      <c r="L39" s="159">
        <f>SUMIFS('Historical Orders'!$E39, 'Historical Orders'!$D39, "1", 'Historical Orders'!$C39, "A", 'Historical Orders'!$B39, "2")</f>
        <v>0</v>
      </c>
      <c r="M39" s="157">
        <f>SUMIFS('Historical Orders'!$G39, 'Historical Orders'!$D39, "1", 'Historical Orders'!$C39, "A", 'Historical Orders'!$B39, "2")</f>
        <v>0</v>
      </c>
      <c r="N39" s="157">
        <f>SUMIFS('Historical Orders'!$E39, 'Historical Orders'!$D39, "1", 'Historical Orders'!$C39, "B", 'Historical Orders'!$B39, "2")</f>
        <v>0</v>
      </c>
      <c r="O39" s="157">
        <f>SUMIFS('Historical Orders'!$G39, 'Historical Orders'!$D39, "1", 'Historical Orders'!$C39, "B", 'Historical Orders'!$B39, "2")</f>
        <v>0</v>
      </c>
      <c r="P39" s="159">
        <f>SUMIFS('Historical Orders'!$E39, 'Historical Orders'!$D39, "2", 'Historical Orders'!$C39, "A", 'Historical Orders'!$B39, "1")</f>
        <v>5497</v>
      </c>
      <c r="Q39" s="157">
        <f>SUMIFS('Historical Orders'!$G39, 'Historical Orders'!$D39, "2", 'Historical Orders'!$C39, "A", 'Historical Orders'!$B39, "1")</f>
        <v>6596.4</v>
      </c>
      <c r="R39" s="159">
        <f>SUMIFS('Historical Orders'!$E39, 'Historical Orders'!$D39, "2", 'Historical Orders'!$C39, "B", 'Historical Orders'!$B39, "1")</f>
        <v>0</v>
      </c>
      <c r="S39" s="157">
        <f>SUMIFS('Historical Orders'!$G39, 'Historical Orders'!$D39, "2", 'Historical Orders'!$C39, "B", 'Historical Orders'!$B39, "1")</f>
        <v>0</v>
      </c>
      <c r="T39" s="159">
        <f>SUMIFS('Historical Orders'!$E39, 'Historical Orders'!$D39, "2", 'Historical Orders'!$C39, "A", 'Historical Orders'!$B39, "2")</f>
        <v>0</v>
      </c>
      <c r="U39" s="157">
        <f>SUMIFS('Historical Orders'!$G39, 'Historical Orders'!$D39, "2", 'Historical Orders'!$C39, "A", 'Historical Orders'!$B39, "2")</f>
        <v>0</v>
      </c>
      <c r="V39" s="159">
        <f>SUMIFS('Historical Orders'!$E39, 'Historical Orders'!$D39, "2", 'Historical Orders'!$C39, "B", 'Historical Orders'!$B39, "2")</f>
        <v>0</v>
      </c>
      <c r="W39" s="159">
        <f>SUMIFS('Historical Orders'!$G39, 'Historical Orders'!$D39, "2", 'Historical Orders'!$C39, "B", 'Historical Orders'!$B39, "2")</f>
        <v>0</v>
      </c>
      <c r="X39" s="159">
        <f>SUMIFS('Historical Orders'!$E39, 'Historical Orders'!$D39, "3", 'Historical Orders'!$C39, "A", 'Historical Orders'!$B39, "1")</f>
        <v>0</v>
      </c>
      <c r="Y39" s="159">
        <f>SUMIFS('Historical Orders'!$G39, 'Historical Orders'!$D39, "3", 'Historical Orders'!$C39, "A", 'Historical Orders'!$B39, "1")</f>
        <v>0</v>
      </c>
      <c r="Z39" s="159">
        <f>SUMIFS('Historical Orders'!$E39, 'Historical Orders'!$D39, "3", 'Historical Orders'!$C39, "B", 'Historical Orders'!$B39, "1")</f>
        <v>0</v>
      </c>
      <c r="AA39" s="159">
        <f>SUMIFS('Historical Orders'!$G39, 'Historical Orders'!$D39, "3", 'Historical Orders'!$C39, "B", 'Historical Orders'!$B39, "1")</f>
        <v>0</v>
      </c>
      <c r="AB39" s="159">
        <f>SUMIFS('Historical Orders'!$E39, 'Historical Orders'!$D39, "3", 'Historical Orders'!$C39, "A", 'Historical Orders'!$B39, "2")</f>
        <v>0</v>
      </c>
      <c r="AC39" s="159">
        <f>SUMIFS('Historical Orders'!$G39, 'Historical Orders'!$D39, "3", 'Historical Orders'!$C39, "A", 'Historical Orders'!$B39, "2")</f>
        <v>0</v>
      </c>
      <c r="AD39" s="159">
        <f>SUMIFS('Historical Orders'!$E39, 'Historical Orders'!$D39, "3", 'Historical Orders'!$C39, "B", 'Historical Orders'!$B39, "2")</f>
        <v>0</v>
      </c>
      <c r="AE39" s="157">
        <f>SUMIFS('Historical Orders'!$G39, 'Historical Orders'!$D39, "3", 'Historical Orders'!$C39, "B", 'Historical Orders'!$B39, "2")</f>
        <v>0</v>
      </c>
      <c r="AF39" s="157">
        <f>SUMIFS('Historical Orders'!$E39, 'Historical Orders'!$D39, "4", 'Historical Orders'!$C39, "A", 'Historical Orders'!$B39, "1")</f>
        <v>0</v>
      </c>
      <c r="AG39" s="157">
        <f>SUMIFS('Historical Orders'!$G39, 'Historical Orders'!$D39, "4", 'Historical Orders'!$C39, "A", 'Historical Orders'!$B39, "1")</f>
        <v>0</v>
      </c>
      <c r="AH39" s="157">
        <f>SUMIFS('Historical Orders'!$E39, 'Historical Orders'!$D39, "4", 'Historical Orders'!$C39, "B", 'Historical Orders'!$B39, "1")</f>
        <v>0</v>
      </c>
      <c r="AI39" s="157">
        <f>SUMIFS('Historical Orders'!$G39, 'Historical Orders'!$D39, "4", 'Historical Orders'!$C39, "B", 'Historical Orders'!$B39, "1")</f>
        <v>0</v>
      </c>
      <c r="AJ39" s="157">
        <f>SUMIFS('Historical Orders'!$E39, 'Historical Orders'!$D39, "4", 'Historical Orders'!$C39, "A", 'Historical Orders'!$B39, "2")</f>
        <v>0</v>
      </c>
      <c r="AK39" s="157">
        <f>SUMIFS('Historical Orders'!$G39, 'Historical Orders'!$D39, "4", 'Historical Orders'!$C39, "A", 'Historical Orders'!$B39, "2")</f>
        <v>0</v>
      </c>
      <c r="AL39" s="171">
        <f>SUMIFS('Historical Orders'!$E39, 'Historical Orders'!$D39, "4", 'Historical Orders'!$C39, "B", 'Historical Orders'!$B39, "2")</f>
        <v>0</v>
      </c>
      <c r="AM39" s="171">
        <f>SUMIFS('Historical Orders'!$G39, 'Historical Orders'!$D39, "4", 'Historical Orders'!$C39, "B", 'Historical Orders'!$B39, "2")</f>
        <v>0</v>
      </c>
      <c r="AN39" s="171">
        <f>SUMIFS('Historical Orders'!$G39, 'Historical Orders'!$C39, "A", 'Historical Orders'!$B39, "1")</f>
        <v>6596.4</v>
      </c>
      <c r="AO39" s="171">
        <f>SUMIFS('Historical Orders'!$G39, 'Historical Orders'!$C39, "B", 'Historical Orders'!$B39, "1")</f>
        <v>0</v>
      </c>
      <c r="AP39" s="171">
        <f>SUMIFS('Historical Orders'!$G39, 'Historical Orders'!$C39, "A", 'Historical Orders'!$B39, "2")</f>
        <v>0</v>
      </c>
      <c r="AQ39" s="171">
        <f>SUMIFS('Historical Orders'!$G39, 'Historical Orders'!$C39, "B", 'Historical Orders'!$B39, "2")</f>
        <v>0</v>
      </c>
      <c r="AR39" s="145"/>
      <c r="AS39" s="146"/>
      <c r="AT39" s="161">
        <v>42114.0</v>
      </c>
      <c r="AU39" s="162"/>
      <c r="AV39" s="163">
        <f t="shared" si="1"/>
        <v>42114</v>
      </c>
      <c r="AW39" s="164">
        <f t="shared" si="2"/>
        <v>26043</v>
      </c>
      <c r="AX39" s="164">
        <f t="shared" si="3"/>
        <v>12643</v>
      </c>
      <c r="AY39" s="164">
        <f t="shared" si="4"/>
        <v>13400</v>
      </c>
      <c r="AZ39" s="164">
        <f t="shared" si="5"/>
        <v>21158</v>
      </c>
      <c r="BA39" s="164">
        <f t="shared" si="6"/>
        <v>4885</v>
      </c>
      <c r="BB39" s="165"/>
      <c r="BC39" s="166">
        <f t="shared" si="7"/>
        <v>74389.1</v>
      </c>
      <c r="BD39" s="166">
        <f t="shared" si="8"/>
        <v>34647.8</v>
      </c>
      <c r="BE39" s="166">
        <f t="shared" si="9"/>
        <v>39741.3</v>
      </c>
      <c r="BF39" s="167"/>
      <c r="BG39" s="166">
        <f t="shared" si="10"/>
        <v>10483</v>
      </c>
      <c r="BH39" s="166">
        <f t="shared" si="11"/>
        <v>6967.2</v>
      </c>
      <c r="BI39" s="166">
        <f t="shared" si="12"/>
        <v>0</v>
      </c>
      <c r="BJ39" s="166">
        <f>SUM('Historical Orders'!$BG39:$BI39)</f>
        <v>17450.2</v>
      </c>
      <c r="BK39" s="167"/>
      <c r="BL39" s="166">
        <f t="shared" si="13"/>
        <v>0</v>
      </c>
      <c r="BM39" s="166">
        <f t="shared" si="14"/>
        <v>0</v>
      </c>
      <c r="BN39" s="166">
        <f t="shared" si="15"/>
        <v>17197.6</v>
      </c>
      <c r="BO39" s="166">
        <f>SUM('Historical Orders'!$BL39:$BN39)</f>
        <v>17197.6</v>
      </c>
      <c r="BP39" s="167"/>
      <c r="BQ39" s="166">
        <f t="shared" si="16"/>
        <v>8115.8</v>
      </c>
      <c r="BR39" s="166">
        <f t="shared" si="17"/>
        <v>8277.6</v>
      </c>
      <c r="BS39" s="166">
        <f t="shared" si="18"/>
        <v>0</v>
      </c>
      <c r="BT39" s="166">
        <f>SUM('Historical Orders'!$BQ39:$BS39)</f>
        <v>16393.4</v>
      </c>
      <c r="BU39" s="167"/>
      <c r="BV39" s="166">
        <f t="shared" si="19"/>
        <v>0</v>
      </c>
      <c r="BW39" s="166">
        <f t="shared" si="20"/>
        <v>0</v>
      </c>
      <c r="BX39" s="166">
        <f t="shared" si="21"/>
        <v>23347.9</v>
      </c>
      <c r="BY39" s="166">
        <f>SUM('Historical Orders'!$BV39:$BX39)</f>
        <v>23347.9</v>
      </c>
      <c r="BZ39" s="167"/>
      <c r="CA39" s="168">
        <f t="shared" si="22"/>
        <v>3</v>
      </c>
      <c r="CB39" s="168">
        <f t="shared" si="23"/>
        <v>3</v>
      </c>
      <c r="CC39" s="168">
        <f t="shared" si="24"/>
        <v>4</v>
      </c>
      <c r="CD39" s="168">
        <f t="shared" si="25"/>
        <v>2</v>
      </c>
      <c r="CE39" s="168">
        <f t="shared" si="26"/>
        <v>2</v>
      </c>
      <c r="CF39" s="169">
        <f t="shared" si="27"/>
        <v>2</v>
      </c>
      <c r="CG39" s="169">
        <f t="shared" si="28"/>
        <v>2</v>
      </c>
      <c r="CH39" s="170"/>
    </row>
    <row r="40" ht="15.75" customHeight="1">
      <c r="A40" s="151">
        <v>41897.0</v>
      </c>
      <c r="B40" s="152">
        <v>2.0</v>
      </c>
      <c r="C40" s="152" t="s">
        <v>45</v>
      </c>
      <c r="D40" s="152">
        <v>1.0</v>
      </c>
      <c r="E40" s="153">
        <v>3295.0</v>
      </c>
      <c r="F40" s="154">
        <v>2.2</v>
      </c>
      <c r="G40" s="155">
        <v>7249.000000000001</v>
      </c>
      <c r="H40" s="159">
        <f>SUMIFS('Historical Orders'!$E40, 'Historical Orders'!$D40, "1", 'Historical Orders'!$C40, "A", 'Historical Orders'!$B40, "1")</f>
        <v>0</v>
      </c>
      <c r="I40" s="157">
        <f>SUMIFS('Historical Orders'!$G40, 'Historical Orders'!$D40, "1", 'Historical Orders'!$C40, "A", 'Historical Orders'!$B40, "1")</f>
        <v>0</v>
      </c>
      <c r="J40" s="157">
        <f>SUMIFS('Historical Orders'!$E40, 'Historical Orders'!$D40, "1", 'Historical Orders'!$C40, "B", 'Historical Orders'!$B40, "1")</f>
        <v>0</v>
      </c>
      <c r="K40" s="157">
        <f>SUMIFS('Historical Orders'!$G40, 'Historical Orders'!$D40, "1", 'Historical Orders'!$C40, "B", 'Historical Orders'!$B40, "1")</f>
        <v>0</v>
      </c>
      <c r="L40" s="159">
        <f>SUMIFS('Historical Orders'!$E40, 'Historical Orders'!$D40, "1", 'Historical Orders'!$C40, "A", 'Historical Orders'!$B40, "2")</f>
        <v>3295</v>
      </c>
      <c r="M40" s="157">
        <f>SUMIFS('Historical Orders'!$G40, 'Historical Orders'!$D40, "1", 'Historical Orders'!$C40, "A", 'Historical Orders'!$B40, "2")</f>
        <v>7249</v>
      </c>
      <c r="N40" s="157">
        <f>SUMIFS('Historical Orders'!$E40, 'Historical Orders'!$D40, "1", 'Historical Orders'!$C40, "B", 'Historical Orders'!$B40, "2")</f>
        <v>0</v>
      </c>
      <c r="O40" s="157">
        <f>SUMIFS('Historical Orders'!$G40, 'Historical Orders'!$D40, "1", 'Historical Orders'!$C40, "B", 'Historical Orders'!$B40, "2")</f>
        <v>0</v>
      </c>
      <c r="P40" s="159">
        <f>SUMIFS('Historical Orders'!$E40, 'Historical Orders'!$D40, "2", 'Historical Orders'!$C40, "A", 'Historical Orders'!$B40, "1")</f>
        <v>0</v>
      </c>
      <c r="Q40" s="157">
        <f>SUMIFS('Historical Orders'!$G40, 'Historical Orders'!$D40, "2", 'Historical Orders'!$C40, "A", 'Historical Orders'!$B40, "1")</f>
        <v>0</v>
      </c>
      <c r="R40" s="159">
        <f>SUMIFS('Historical Orders'!$E40, 'Historical Orders'!$D40, "2", 'Historical Orders'!$C40, "B", 'Historical Orders'!$B40, "1")</f>
        <v>0</v>
      </c>
      <c r="S40" s="157">
        <f>SUMIFS('Historical Orders'!$G40, 'Historical Orders'!$D40, "2", 'Historical Orders'!$C40, "B", 'Historical Orders'!$B40, "1")</f>
        <v>0</v>
      </c>
      <c r="T40" s="159">
        <f>SUMIFS('Historical Orders'!$E40, 'Historical Orders'!$D40, "2", 'Historical Orders'!$C40, "A", 'Historical Orders'!$B40, "2")</f>
        <v>0</v>
      </c>
      <c r="U40" s="157">
        <f>SUMIFS('Historical Orders'!$G40, 'Historical Orders'!$D40, "2", 'Historical Orders'!$C40, "A", 'Historical Orders'!$B40, "2")</f>
        <v>0</v>
      </c>
      <c r="V40" s="159">
        <f>SUMIFS('Historical Orders'!$E40, 'Historical Orders'!$D40, "2", 'Historical Orders'!$C40, "B", 'Historical Orders'!$B40, "2")</f>
        <v>0</v>
      </c>
      <c r="W40" s="159">
        <f>SUMIFS('Historical Orders'!$G40, 'Historical Orders'!$D40, "2", 'Historical Orders'!$C40, "B", 'Historical Orders'!$B40, "2")</f>
        <v>0</v>
      </c>
      <c r="X40" s="159">
        <f>SUMIFS('Historical Orders'!$E40, 'Historical Orders'!$D40, "3", 'Historical Orders'!$C40, "A", 'Historical Orders'!$B40, "1")</f>
        <v>0</v>
      </c>
      <c r="Y40" s="159">
        <f>SUMIFS('Historical Orders'!$G40, 'Historical Orders'!$D40, "3", 'Historical Orders'!$C40, "A", 'Historical Orders'!$B40, "1")</f>
        <v>0</v>
      </c>
      <c r="Z40" s="159">
        <f>SUMIFS('Historical Orders'!$E40, 'Historical Orders'!$D40, "3", 'Historical Orders'!$C40, "B", 'Historical Orders'!$B40, "1")</f>
        <v>0</v>
      </c>
      <c r="AA40" s="159">
        <f>SUMIFS('Historical Orders'!$G40, 'Historical Orders'!$D40, "3", 'Historical Orders'!$C40, "B", 'Historical Orders'!$B40, "1")</f>
        <v>0</v>
      </c>
      <c r="AB40" s="159">
        <f>SUMIFS('Historical Orders'!$E40, 'Historical Orders'!$D40, "3", 'Historical Orders'!$C40, "A", 'Historical Orders'!$B40, "2")</f>
        <v>0</v>
      </c>
      <c r="AC40" s="159">
        <f>SUMIFS('Historical Orders'!$G40, 'Historical Orders'!$D40, "3", 'Historical Orders'!$C40, "A", 'Historical Orders'!$B40, "2")</f>
        <v>0</v>
      </c>
      <c r="AD40" s="159">
        <f>SUMIFS('Historical Orders'!$E40, 'Historical Orders'!$D40, "3", 'Historical Orders'!$C40, "B", 'Historical Orders'!$B40, "2")</f>
        <v>0</v>
      </c>
      <c r="AE40" s="157">
        <f>SUMIFS('Historical Orders'!$G40, 'Historical Orders'!$D40, "3", 'Historical Orders'!$C40, "B", 'Historical Orders'!$B40, "2")</f>
        <v>0</v>
      </c>
      <c r="AF40" s="157">
        <f>SUMIFS('Historical Orders'!$E40, 'Historical Orders'!$D40, "4", 'Historical Orders'!$C40, "A", 'Historical Orders'!$B40, "1")</f>
        <v>0</v>
      </c>
      <c r="AG40" s="157">
        <f>SUMIFS('Historical Orders'!$G40, 'Historical Orders'!$D40, "4", 'Historical Orders'!$C40, "A", 'Historical Orders'!$B40, "1")</f>
        <v>0</v>
      </c>
      <c r="AH40" s="157">
        <f>SUMIFS('Historical Orders'!$E40, 'Historical Orders'!$D40, "4", 'Historical Orders'!$C40, "B", 'Historical Orders'!$B40, "1")</f>
        <v>0</v>
      </c>
      <c r="AI40" s="157">
        <f>SUMIFS('Historical Orders'!$G40, 'Historical Orders'!$D40, "4", 'Historical Orders'!$C40, "B", 'Historical Orders'!$B40, "1")</f>
        <v>0</v>
      </c>
      <c r="AJ40" s="157">
        <f>SUMIFS('Historical Orders'!$E40, 'Historical Orders'!$D40, "4", 'Historical Orders'!$C40, "A", 'Historical Orders'!$B40, "2")</f>
        <v>0</v>
      </c>
      <c r="AK40" s="157">
        <f>SUMIFS('Historical Orders'!$G40, 'Historical Orders'!$D40, "4", 'Historical Orders'!$C40, "A", 'Historical Orders'!$B40, "2")</f>
        <v>0</v>
      </c>
      <c r="AL40" s="171">
        <f>SUMIFS('Historical Orders'!$E40, 'Historical Orders'!$D40, "4", 'Historical Orders'!$C40, "B", 'Historical Orders'!$B40, "2")</f>
        <v>0</v>
      </c>
      <c r="AM40" s="171">
        <f>SUMIFS('Historical Orders'!$G40, 'Historical Orders'!$D40, "4", 'Historical Orders'!$C40, "B", 'Historical Orders'!$B40, "2")</f>
        <v>0</v>
      </c>
      <c r="AN40" s="171">
        <f>SUMIFS('Historical Orders'!$G40, 'Historical Orders'!$C40, "A", 'Historical Orders'!$B40, "1")</f>
        <v>0</v>
      </c>
      <c r="AO40" s="171">
        <f>SUMIFS('Historical Orders'!$G40, 'Historical Orders'!$C40, "B", 'Historical Orders'!$B40, "1")</f>
        <v>0</v>
      </c>
      <c r="AP40" s="171">
        <f>SUMIFS('Historical Orders'!$G40, 'Historical Orders'!$C40, "A", 'Historical Orders'!$B40, "2")</f>
        <v>7249</v>
      </c>
      <c r="AQ40" s="171">
        <f>SUMIFS('Historical Orders'!$G40, 'Historical Orders'!$C40, "B", 'Historical Orders'!$B40, "2")</f>
        <v>0</v>
      </c>
      <c r="AR40" s="145"/>
      <c r="AS40" s="146"/>
      <c r="AT40" s="161">
        <v>42121.0</v>
      </c>
      <c r="AU40" s="162"/>
      <c r="AV40" s="163">
        <f t="shared" si="1"/>
        <v>42121</v>
      </c>
      <c r="AW40" s="164">
        <f t="shared" si="2"/>
        <v>24929</v>
      </c>
      <c r="AX40" s="164">
        <f t="shared" si="3"/>
        <v>12926</v>
      </c>
      <c r="AY40" s="164">
        <f t="shared" si="4"/>
        <v>12003</v>
      </c>
      <c r="AZ40" s="164">
        <f t="shared" si="5"/>
        <v>20475</v>
      </c>
      <c r="BA40" s="164">
        <f t="shared" si="6"/>
        <v>4454</v>
      </c>
      <c r="BB40" s="165"/>
      <c r="BC40" s="166">
        <f t="shared" si="7"/>
        <v>70078.2</v>
      </c>
      <c r="BD40" s="166">
        <f t="shared" si="8"/>
        <v>34980.1</v>
      </c>
      <c r="BE40" s="166">
        <f t="shared" si="9"/>
        <v>35098.1</v>
      </c>
      <c r="BF40" s="167"/>
      <c r="BG40" s="166">
        <f t="shared" si="10"/>
        <v>11294.8</v>
      </c>
      <c r="BH40" s="166">
        <f t="shared" si="11"/>
        <v>6927.6</v>
      </c>
      <c r="BI40" s="166">
        <f t="shared" si="12"/>
        <v>0</v>
      </c>
      <c r="BJ40" s="166">
        <f>SUM('Historical Orders'!$BG40:$BI40)</f>
        <v>18222.4</v>
      </c>
      <c r="BK40" s="167"/>
      <c r="BL40" s="166">
        <f t="shared" si="13"/>
        <v>0</v>
      </c>
      <c r="BM40" s="166">
        <f t="shared" si="14"/>
        <v>0</v>
      </c>
      <c r="BN40" s="166">
        <f t="shared" si="15"/>
        <v>16757.7</v>
      </c>
      <c r="BO40" s="166">
        <f>SUM('Historical Orders'!$BL40:$BN40)</f>
        <v>16757.7</v>
      </c>
      <c r="BP40" s="167"/>
      <c r="BQ40" s="166">
        <f t="shared" si="16"/>
        <v>7493.2</v>
      </c>
      <c r="BR40" s="166">
        <f t="shared" si="17"/>
        <v>7394.4</v>
      </c>
      <c r="BS40" s="166">
        <f t="shared" si="18"/>
        <v>0</v>
      </c>
      <c r="BT40" s="166">
        <f>SUM('Historical Orders'!$BQ40:$BS40)</f>
        <v>14887.6</v>
      </c>
      <c r="BU40" s="167"/>
      <c r="BV40" s="166">
        <f t="shared" si="19"/>
        <v>0</v>
      </c>
      <c r="BW40" s="166">
        <f t="shared" si="20"/>
        <v>0</v>
      </c>
      <c r="BX40" s="166">
        <f t="shared" si="21"/>
        <v>20210.5</v>
      </c>
      <c r="BY40" s="166">
        <f>SUM('Historical Orders'!$BV40:$BX40)</f>
        <v>20210.5</v>
      </c>
      <c r="BZ40" s="167"/>
      <c r="CA40" s="168">
        <f t="shared" si="22"/>
        <v>3</v>
      </c>
      <c r="CB40" s="168">
        <f t="shared" si="23"/>
        <v>3</v>
      </c>
      <c r="CC40" s="168">
        <f t="shared" si="24"/>
        <v>4</v>
      </c>
      <c r="CD40" s="168">
        <f t="shared" si="25"/>
        <v>2</v>
      </c>
      <c r="CE40" s="168">
        <f t="shared" si="26"/>
        <v>2</v>
      </c>
      <c r="CF40" s="169">
        <f t="shared" si="27"/>
        <v>2</v>
      </c>
      <c r="CG40" s="169">
        <f t="shared" si="28"/>
        <v>2</v>
      </c>
      <c r="CH40" s="170"/>
    </row>
    <row r="41" ht="15.75" customHeight="1">
      <c r="A41" s="151">
        <v>41897.0</v>
      </c>
      <c r="B41" s="152">
        <v>2.0</v>
      </c>
      <c r="C41" s="152" t="s">
        <v>45</v>
      </c>
      <c r="D41" s="152">
        <v>2.0</v>
      </c>
      <c r="E41" s="153">
        <v>6486.0</v>
      </c>
      <c r="F41" s="154">
        <v>1.2</v>
      </c>
      <c r="G41" s="155">
        <v>7783.2</v>
      </c>
      <c r="H41" s="159">
        <f>SUMIFS('Historical Orders'!$E41, 'Historical Orders'!$D41, "1", 'Historical Orders'!$C41, "A", 'Historical Orders'!$B41, "1")</f>
        <v>0</v>
      </c>
      <c r="I41" s="157">
        <f>SUMIFS('Historical Orders'!$G41, 'Historical Orders'!$D41, "1", 'Historical Orders'!$C41, "A", 'Historical Orders'!$B41, "1")</f>
        <v>0</v>
      </c>
      <c r="J41" s="157">
        <f>SUMIFS('Historical Orders'!$E41, 'Historical Orders'!$D41, "1", 'Historical Orders'!$C41, "B", 'Historical Orders'!$B41, "1")</f>
        <v>0</v>
      </c>
      <c r="K41" s="157">
        <f>SUMIFS('Historical Orders'!$G41, 'Historical Orders'!$D41, "1", 'Historical Orders'!$C41, "B", 'Historical Orders'!$B41, "1")</f>
        <v>0</v>
      </c>
      <c r="L41" s="159">
        <f>SUMIFS('Historical Orders'!$E41, 'Historical Orders'!$D41, "1", 'Historical Orders'!$C41, "A", 'Historical Orders'!$B41, "2")</f>
        <v>0</v>
      </c>
      <c r="M41" s="157">
        <f>SUMIFS('Historical Orders'!$G41, 'Historical Orders'!$D41, "1", 'Historical Orders'!$C41, "A", 'Historical Orders'!$B41, "2")</f>
        <v>0</v>
      </c>
      <c r="N41" s="157">
        <f>SUMIFS('Historical Orders'!$E41, 'Historical Orders'!$D41, "1", 'Historical Orders'!$C41, "B", 'Historical Orders'!$B41, "2")</f>
        <v>0</v>
      </c>
      <c r="O41" s="157">
        <f>SUMIFS('Historical Orders'!$G41, 'Historical Orders'!$D41, "1", 'Historical Orders'!$C41, "B", 'Historical Orders'!$B41, "2")</f>
        <v>0</v>
      </c>
      <c r="P41" s="159">
        <f>SUMIFS('Historical Orders'!$E41, 'Historical Orders'!$D41, "2", 'Historical Orders'!$C41, "A", 'Historical Orders'!$B41, "1")</f>
        <v>0</v>
      </c>
      <c r="Q41" s="157">
        <f>SUMIFS('Historical Orders'!$G41, 'Historical Orders'!$D41, "2", 'Historical Orders'!$C41, "A", 'Historical Orders'!$B41, "1")</f>
        <v>0</v>
      </c>
      <c r="R41" s="159">
        <f>SUMIFS('Historical Orders'!$E41, 'Historical Orders'!$D41, "2", 'Historical Orders'!$C41, "B", 'Historical Orders'!$B41, "1")</f>
        <v>0</v>
      </c>
      <c r="S41" s="157">
        <f>SUMIFS('Historical Orders'!$G41, 'Historical Orders'!$D41, "2", 'Historical Orders'!$C41, "B", 'Historical Orders'!$B41, "1")</f>
        <v>0</v>
      </c>
      <c r="T41" s="159">
        <f>SUMIFS('Historical Orders'!$E41, 'Historical Orders'!$D41, "2", 'Historical Orders'!$C41, "A", 'Historical Orders'!$B41, "2")</f>
        <v>6486</v>
      </c>
      <c r="U41" s="157">
        <f>SUMIFS('Historical Orders'!$G41, 'Historical Orders'!$D41, "2", 'Historical Orders'!$C41, "A", 'Historical Orders'!$B41, "2")</f>
        <v>7783.2</v>
      </c>
      <c r="V41" s="159">
        <f>SUMIFS('Historical Orders'!$E41, 'Historical Orders'!$D41, "2", 'Historical Orders'!$C41, "B", 'Historical Orders'!$B41, "2")</f>
        <v>0</v>
      </c>
      <c r="W41" s="159">
        <f>SUMIFS('Historical Orders'!$G41, 'Historical Orders'!$D41, "2", 'Historical Orders'!$C41, "B", 'Historical Orders'!$B41, "2")</f>
        <v>0</v>
      </c>
      <c r="X41" s="159">
        <f>SUMIFS('Historical Orders'!$E41, 'Historical Orders'!$D41, "3", 'Historical Orders'!$C41, "A", 'Historical Orders'!$B41, "1")</f>
        <v>0</v>
      </c>
      <c r="Y41" s="159">
        <f>SUMIFS('Historical Orders'!$G41, 'Historical Orders'!$D41, "3", 'Historical Orders'!$C41, "A", 'Historical Orders'!$B41, "1")</f>
        <v>0</v>
      </c>
      <c r="Z41" s="159">
        <f>SUMIFS('Historical Orders'!$E41, 'Historical Orders'!$D41, "3", 'Historical Orders'!$C41, "B", 'Historical Orders'!$B41, "1")</f>
        <v>0</v>
      </c>
      <c r="AA41" s="159">
        <f>SUMIFS('Historical Orders'!$G41, 'Historical Orders'!$D41, "3", 'Historical Orders'!$C41, "B", 'Historical Orders'!$B41, "1")</f>
        <v>0</v>
      </c>
      <c r="AB41" s="159">
        <f>SUMIFS('Historical Orders'!$E41, 'Historical Orders'!$D41, "3", 'Historical Orders'!$C41, "A", 'Historical Orders'!$B41, "2")</f>
        <v>0</v>
      </c>
      <c r="AC41" s="159">
        <f>SUMIFS('Historical Orders'!$G41, 'Historical Orders'!$D41, "3", 'Historical Orders'!$C41, "A", 'Historical Orders'!$B41, "2")</f>
        <v>0</v>
      </c>
      <c r="AD41" s="159">
        <f>SUMIFS('Historical Orders'!$E41, 'Historical Orders'!$D41, "3", 'Historical Orders'!$C41, "B", 'Historical Orders'!$B41, "2")</f>
        <v>0</v>
      </c>
      <c r="AE41" s="157">
        <f>SUMIFS('Historical Orders'!$G41, 'Historical Orders'!$D41, "3", 'Historical Orders'!$C41, "B", 'Historical Orders'!$B41, "2")</f>
        <v>0</v>
      </c>
      <c r="AF41" s="157">
        <f>SUMIFS('Historical Orders'!$E41, 'Historical Orders'!$D41, "4", 'Historical Orders'!$C41, "A", 'Historical Orders'!$B41, "1")</f>
        <v>0</v>
      </c>
      <c r="AG41" s="157">
        <f>SUMIFS('Historical Orders'!$G41, 'Historical Orders'!$D41, "4", 'Historical Orders'!$C41, "A", 'Historical Orders'!$B41, "1")</f>
        <v>0</v>
      </c>
      <c r="AH41" s="157">
        <f>SUMIFS('Historical Orders'!$E41, 'Historical Orders'!$D41, "4", 'Historical Orders'!$C41, "B", 'Historical Orders'!$B41, "1")</f>
        <v>0</v>
      </c>
      <c r="AI41" s="157">
        <f>SUMIFS('Historical Orders'!$G41, 'Historical Orders'!$D41, "4", 'Historical Orders'!$C41, "B", 'Historical Orders'!$B41, "1")</f>
        <v>0</v>
      </c>
      <c r="AJ41" s="157">
        <f>SUMIFS('Historical Orders'!$E41, 'Historical Orders'!$D41, "4", 'Historical Orders'!$C41, "A", 'Historical Orders'!$B41, "2")</f>
        <v>0</v>
      </c>
      <c r="AK41" s="157">
        <f>SUMIFS('Historical Orders'!$G41, 'Historical Orders'!$D41, "4", 'Historical Orders'!$C41, "A", 'Historical Orders'!$B41, "2")</f>
        <v>0</v>
      </c>
      <c r="AL41" s="171">
        <f>SUMIFS('Historical Orders'!$E41, 'Historical Orders'!$D41, "4", 'Historical Orders'!$C41, "B", 'Historical Orders'!$B41, "2")</f>
        <v>0</v>
      </c>
      <c r="AM41" s="171">
        <f>SUMIFS('Historical Orders'!$G41, 'Historical Orders'!$D41, "4", 'Historical Orders'!$C41, "B", 'Historical Orders'!$B41, "2")</f>
        <v>0</v>
      </c>
      <c r="AN41" s="171">
        <f>SUMIFS('Historical Orders'!$G41, 'Historical Orders'!$C41, "A", 'Historical Orders'!$B41, "1")</f>
        <v>0</v>
      </c>
      <c r="AO41" s="171">
        <f>SUMIFS('Historical Orders'!$G41, 'Historical Orders'!$C41, "B", 'Historical Orders'!$B41, "1")</f>
        <v>0</v>
      </c>
      <c r="AP41" s="171">
        <f>SUMIFS('Historical Orders'!$G41, 'Historical Orders'!$C41, "A", 'Historical Orders'!$B41, "2")</f>
        <v>7783.2</v>
      </c>
      <c r="AQ41" s="171">
        <f>SUMIFS('Historical Orders'!$G41, 'Historical Orders'!$C41, "B", 'Historical Orders'!$B41, "2")</f>
        <v>0</v>
      </c>
      <c r="AR41" s="145"/>
      <c r="AS41" s="146"/>
      <c r="AT41" s="161">
        <v>42128.0</v>
      </c>
      <c r="AU41" s="162"/>
      <c r="AV41" s="163">
        <f t="shared" si="1"/>
        <v>42128</v>
      </c>
      <c r="AW41" s="164">
        <f t="shared" si="2"/>
        <v>24909</v>
      </c>
      <c r="AX41" s="164">
        <f t="shared" si="3"/>
        <v>12685</v>
      </c>
      <c r="AY41" s="164">
        <f t="shared" si="4"/>
        <v>12224</v>
      </c>
      <c r="AZ41" s="164">
        <f t="shared" si="5"/>
        <v>19747</v>
      </c>
      <c r="BA41" s="164">
        <f t="shared" si="6"/>
        <v>5162</v>
      </c>
      <c r="BB41" s="165"/>
      <c r="BC41" s="166">
        <f t="shared" si="7"/>
        <v>75057</v>
      </c>
      <c r="BD41" s="166">
        <f t="shared" si="8"/>
        <v>37220.2</v>
      </c>
      <c r="BE41" s="166">
        <f t="shared" si="9"/>
        <v>37836.8</v>
      </c>
      <c r="BF41" s="167"/>
      <c r="BG41" s="166">
        <f t="shared" si="10"/>
        <v>10564.4</v>
      </c>
      <c r="BH41" s="166">
        <f t="shared" si="11"/>
        <v>6553.2</v>
      </c>
      <c r="BI41" s="166">
        <f t="shared" si="12"/>
        <v>0</v>
      </c>
      <c r="BJ41" s="166">
        <f>SUM('Historical Orders'!$BG41:$BI41)</f>
        <v>17117.6</v>
      </c>
      <c r="BK41" s="167"/>
      <c r="BL41" s="166">
        <f t="shared" si="13"/>
        <v>0</v>
      </c>
      <c r="BM41" s="166">
        <f t="shared" si="14"/>
        <v>0</v>
      </c>
      <c r="BN41" s="166">
        <f t="shared" si="15"/>
        <v>20102.6</v>
      </c>
      <c r="BO41" s="166">
        <f>SUM('Historical Orders'!$BL41:$BN41)</f>
        <v>20102.6</v>
      </c>
      <c r="BP41" s="167"/>
      <c r="BQ41" s="166">
        <f t="shared" si="16"/>
        <v>8170.8</v>
      </c>
      <c r="BR41" s="166">
        <f t="shared" si="17"/>
        <v>6924</v>
      </c>
      <c r="BS41" s="166">
        <f t="shared" si="18"/>
        <v>0</v>
      </c>
      <c r="BT41" s="166">
        <f>SUM('Historical Orders'!$BQ41:$BS41)</f>
        <v>15094.8</v>
      </c>
      <c r="BU41" s="167"/>
      <c r="BV41" s="166">
        <f t="shared" si="19"/>
        <v>0</v>
      </c>
      <c r="BW41" s="166">
        <f t="shared" si="20"/>
        <v>0</v>
      </c>
      <c r="BX41" s="166">
        <f t="shared" si="21"/>
        <v>22742</v>
      </c>
      <c r="BY41" s="166">
        <f>SUM('Historical Orders'!$BV41:$BX41)</f>
        <v>22742</v>
      </c>
      <c r="BZ41" s="167"/>
      <c r="CA41" s="168">
        <f t="shared" si="22"/>
        <v>3</v>
      </c>
      <c r="CB41" s="168">
        <f t="shared" si="23"/>
        <v>3</v>
      </c>
      <c r="CC41" s="168">
        <f t="shared" si="24"/>
        <v>4</v>
      </c>
      <c r="CD41" s="168">
        <f t="shared" si="25"/>
        <v>2</v>
      </c>
      <c r="CE41" s="168">
        <f t="shared" si="26"/>
        <v>2</v>
      </c>
      <c r="CF41" s="169">
        <f t="shared" si="27"/>
        <v>2</v>
      </c>
      <c r="CG41" s="169">
        <f t="shared" si="28"/>
        <v>2</v>
      </c>
      <c r="CH41" s="170"/>
    </row>
    <row r="42" ht="15.75" customHeight="1">
      <c r="A42" s="151">
        <v>41897.0</v>
      </c>
      <c r="B42" s="152">
        <v>1.0</v>
      </c>
      <c r="C42" s="152" t="s">
        <v>46</v>
      </c>
      <c r="D42" s="152">
        <v>3.0</v>
      </c>
      <c r="E42" s="153">
        <v>2295.0</v>
      </c>
      <c r="F42" s="154">
        <v>8.3</v>
      </c>
      <c r="G42" s="155">
        <v>19048.5</v>
      </c>
      <c r="H42" s="159">
        <f>SUMIFS('Historical Orders'!$E42, 'Historical Orders'!$D42, "1", 'Historical Orders'!$C42, "A", 'Historical Orders'!$B42, "1")</f>
        <v>0</v>
      </c>
      <c r="I42" s="157">
        <f>SUMIFS('Historical Orders'!$G42, 'Historical Orders'!$D42, "1", 'Historical Orders'!$C42, "A", 'Historical Orders'!$B42, "1")</f>
        <v>0</v>
      </c>
      <c r="J42" s="157">
        <f>SUMIFS('Historical Orders'!$E42, 'Historical Orders'!$D42, "1", 'Historical Orders'!$C42, "B", 'Historical Orders'!$B42, "1")</f>
        <v>0</v>
      </c>
      <c r="K42" s="157">
        <f>SUMIFS('Historical Orders'!$G42, 'Historical Orders'!$D42, "1", 'Historical Orders'!$C42, "B", 'Historical Orders'!$B42, "1")</f>
        <v>0</v>
      </c>
      <c r="L42" s="159">
        <f>SUMIFS('Historical Orders'!$E42, 'Historical Orders'!$D42, "1", 'Historical Orders'!$C42, "A", 'Historical Orders'!$B42, "2")</f>
        <v>0</v>
      </c>
      <c r="M42" s="157">
        <f>SUMIFS('Historical Orders'!$G42, 'Historical Orders'!$D42, "1", 'Historical Orders'!$C42, "A", 'Historical Orders'!$B42, "2")</f>
        <v>0</v>
      </c>
      <c r="N42" s="157">
        <f>SUMIFS('Historical Orders'!$E42, 'Historical Orders'!$D42, "1", 'Historical Orders'!$C42, "B", 'Historical Orders'!$B42, "2")</f>
        <v>0</v>
      </c>
      <c r="O42" s="157">
        <f>SUMIFS('Historical Orders'!$G42, 'Historical Orders'!$D42, "1", 'Historical Orders'!$C42, "B", 'Historical Orders'!$B42, "2")</f>
        <v>0</v>
      </c>
      <c r="P42" s="159">
        <f>SUMIFS('Historical Orders'!$E42, 'Historical Orders'!$D42, "2", 'Historical Orders'!$C42, "A", 'Historical Orders'!$B42, "1")</f>
        <v>0</v>
      </c>
      <c r="Q42" s="157">
        <f>SUMIFS('Historical Orders'!$G42, 'Historical Orders'!$D42, "2", 'Historical Orders'!$C42, "A", 'Historical Orders'!$B42, "1")</f>
        <v>0</v>
      </c>
      <c r="R42" s="159">
        <f>SUMIFS('Historical Orders'!$E42, 'Historical Orders'!$D42, "2", 'Historical Orders'!$C42, "B", 'Historical Orders'!$B42, "1")</f>
        <v>0</v>
      </c>
      <c r="S42" s="157">
        <f>SUMIFS('Historical Orders'!$G42, 'Historical Orders'!$D42, "2", 'Historical Orders'!$C42, "B", 'Historical Orders'!$B42, "1")</f>
        <v>0</v>
      </c>
      <c r="T42" s="159">
        <f>SUMIFS('Historical Orders'!$E42, 'Historical Orders'!$D42, "2", 'Historical Orders'!$C42, "A", 'Historical Orders'!$B42, "2")</f>
        <v>0</v>
      </c>
      <c r="U42" s="157">
        <f>SUMIFS('Historical Orders'!$G42, 'Historical Orders'!$D42, "2", 'Historical Orders'!$C42, "A", 'Historical Orders'!$B42, "2")</f>
        <v>0</v>
      </c>
      <c r="V42" s="159">
        <f>SUMIFS('Historical Orders'!$E42, 'Historical Orders'!$D42, "2", 'Historical Orders'!$C42, "B", 'Historical Orders'!$B42, "2")</f>
        <v>0</v>
      </c>
      <c r="W42" s="159">
        <f>SUMIFS('Historical Orders'!$G42, 'Historical Orders'!$D42, "2", 'Historical Orders'!$C42, "B", 'Historical Orders'!$B42, "2")</f>
        <v>0</v>
      </c>
      <c r="X42" s="159">
        <f>SUMIFS('Historical Orders'!$E42, 'Historical Orders'!$D42, "3", 'Historical Orders'!$C42, "A", 'Historical Orders'!$B42, "1")</f>
        <v>0</v>
      </c>
      <c r="Y42" s="159">
        <f>SUMIFS('Historical Orders'!$G42, 'Historical Orders'!$D42, "3", 'Historical Orders'!$C42, "A", 'Historical Orders'!$B42, "1")</f>
        <v>0</v>
      </c>
      <c r="Z42" s="159">
        <f>SUMIFS('Historical Orders'!$E42, 'Historical Orders'!$D42, "3", 'Historical Orders'!$C42, "B", 'Historical Orders'!$B42, "1")</f>
        <v>2295</v>
      </c>
      <c r="AA42" s="159">
        <f>SUMIFS('Historical Orders'!$G42, 'Historical Orders'!$D42, "3", 'Historical Orders'!$C42, "B", 'Historical Orders'!$B42, "1")</f>
        <v>19048.5</v>
      </c>
      <c r="AB42" s="159">
        <f>SUMIFS('Historical Orders'!$E42, 'Historical Orders'!$D42, "3", 'Historical Orders'!$C42, "A", 'Historical Orders'!$B42, "2")</f>
        <v>0</v>
      </c>
      <c r="AC42" s="159">
        <f>SUMIFS('Historical Orders'!$G42, 'Historical Orders'!$D42, "3", 'Historical Orders'!$C42, "A", 'Historical Orders'!$B42, "2")</f>
        <v>0</v>
      </c>
      <c r="AD42" s="159">
        <f>SUMIFS('Historical Orders'!$E42, 'Historical Orders'!$D42, "3", 'Historical Orders'!$C42, "B", 'Historical Orders'!$B42, "2")</f>
        <v>0</v>
      </c>
      <c r="AE42" s="157">
        <f>SUMIFS('Historical Orders'!$G42, 'Historical Orders'!$D42, "3", 'Historical Orders'!$C42, "B", 'Historical Orders'!$B42, "2")</f>
        <v>0</v>
      </c>
      <c r="AF42" s="157">
        <f>SUMIFS('Historical Orders'!$E42, 'Historical Orders'!$D42, "4", 'Historical Orders'!$C42, "A", 'Historical Orders'!$B42, "1")</f>
        <v>0</v>
      </c>
      <c r="AG42" s="157">
        <f>SUMIFS('Historical Orders'!$G42, 'Historical Orders'!$D42, "4", 'Historical Orders'!$C42, "A", 'Historical Orders'!$B42, "1")</f>
        <v>0</v>
      </c>
      <c r="AH42" s="157">
        <f>SUMIFS('Historical Orders'!$E42, 'Historical Orders'!$D42, "4", 'Historical Orders'!$C42, "B", 'Historical Orders'!$B42, "1")</f>
        <v>0</v>
      </c>
      <c r="AI42" s="157">
        <f>SUMIFS('Historical Orders'!$G42, 'Historical Orders'!$D42, "4", 'Historical Orders'!$C42, "B", 'Historical Orders'!$B42, "1")</f>
        <v>0</v>
      </c>
      <c r="AJ42" s="157">
        <f>SUMIFS('Historical Orders'!$E42, 'Historical Orders'!$D42, "4", 'Historical Orders'!$C42, "A", 'Historical Orders'!$B42, "2")</f>
        <v>0</v>
      </c>
      <c r="AK42" s="157">
        <f>SUMIFS('Historical Orders'!$G42, 'Historical Orders'!$D42, "4", 'Historical Orders'!$C42, "A", 'Historical Orders'!$B42, "2")</f>
        <v>0</v>
      </c>
      <c r="AL42" s="171">
        <f>SUMIFS('Historical Orders'!$E42, 'Historical Orders'!$D42, "4", 'Historical Orders'!$C42, "B", 'Historical Orders'!$B42, "2")</f>
        <v>0</v>
      </c>
      <c r="AM42" s="171">
        <f>SUMIFS('Historical Orders'!$G42, 'Historical Orders'!$D42, "4", 'Historical Orders'!$C42, "B", 'Historical Orders'!$B42, "2")</f>
        <v>0</v>
      </c>
      <c r="AN42" s="171">
        <f>SUMIFS('Historical Orders'!$G42, 'Historical Orders'!$C42, "A", 'Historical Orders'!$B42, "1")</f>
        <v>0</v>
      </c>
      <c r="AO42" s="171">
        <f>SUMIFS('Historical Orders'!$G42, 'Historical Orders'!$C42, "B", 'Historical Orders'!$B42, "1")</f>
        <v>19048.5</v>
      </c>
      <c r="AP42" s="171">
        <f>SUMIFS('Historical Orders'!$G42, 'Historical Orders'!$C42, "A", 'Historical Orders'!$B42, "2")</f>
        <v>0</v>
      </c>
      <c r="AQ42" s="171">
        <f>SUMIFS('Historical Orders'!$G42, 'Historical Orders'!$C42, "B", 'Historical Orders'!$B42, "2")</f>
        <v>0</v>
      </c>
      <c r="AR42" s="145"/>
      <c r="AS42" s="146"/>
      <c r="AT42" s="161">
        <v>42135.0</v>
      </c>
      <c r="AU42" s="162"/>
      <c r="AV42" s="163">
        <f t="shared" si="1"/>
        <v>42135</v>
      </c>
      <c r="AW42" s="164">
        <f t="shared" si="2"/>
        <v>28558</v>
      </c>
      <c r="AX42" s="164">
        <f t="shared" si="3"/>
        <v>14374</v>
      </c>
      <c r="AY42" s="164">
        <f t="shared" si="4"/>
        <v>14184</v>
      </c>
      <c r="AZ42" s="164">
        <f t="shared" si="5"/>
        <v>23045</v>
      </c>
      <c r="BA42" s="164">
        <f t="shared" si="6"/>
        <v>5513</v>
      </c>
      <c r="BB42" s="165"/>
      <c r="BC42" s="166">
        <f t="shared" si="7"/>
        <v>82749.9</v>
      </c>
      <c r="BD42" s="166">
        <f t="shared" si="8"/>
        <v>39981</v>
      </c>
      <c r="BE42" s="166">
        <f t="shared" si="9"/>
        <v>42768.9</v>
      </c>
      <c r="BF42" s="167"/>
      <c r="BG42" s="166">
        <f t="shared" si="10"/>
        <v>11866.8</v>
      </c>
      <c r="BH42" s="166">
        <f t="shared" si="11"/>
        <v>7845.6</v>
      </c>
      <c r="BI42" s="166">
        <f t="shared" si="12"/>
        <v>0</v>
      </c>
      <c r="BJ42" s="166">
        <f>SUM('Historical Orders'!$BG42:$BI42)</f>
        <v>19712.4</v>
      </c>
      <c r="BK42" s="167"/>
      <c r="BL42" s="166">
        <f t="shared" si="13"/>
        <v>0</v>
      </c>
      <c r="BM42" s="166">
        <f t="shared" si="14"/>
        <v>0</v>
      </c>
      <c r="BN42" s="166">
        <f t="shared" si="15"/>
        <v>20268.6</v>
      </c>
      <c r="BO42" s="166">
        <f>SUM('Historical Orders'!$BL42:$BN42)</f>
        <v>20268.6</v>
      </c>
      <c r="BP42" s="167"/>
      <c r="BQ42" s="166">
        <f t="shared" si="16"/>
        <v>8676.8</v>
      </c>
      <c r="BR42" s="166">
        <f t="shared" si="17"/>
        <v>8602.8</v>
      </c>
      <c r="BS42" s="166">
        <f t="shared" si="18"/>
        <v>0</v>
      </c>
      <c r="BT42" s="166">
        <f>SUM('Historical Orders'!$BQ42:$BS42)</f>
        <v>17279.6</v>
      </c>
      <c r="BU42" s="167"/>
      <c r="BV42" s="166">
        <f t="shared" si="19"/>
        <v>0</v>
      </c>
      <c r="BW42" s="166">
        <f t="shared" si="20"/>
        <v>0</v>
      </c>
      <c r="BX42" s="166">
        <f t="shared" si="21"/>
        <v>25489.3</v>
      </c>
      <c r="BY42" s="166">
        <f>SUM('Historical Orders'!$BV42:$BX42)</f>
        <v>25489.3</v>
      </c>
      <c r="BZ42" s="167"/>
      <c r="CA42" s="168">
        <f t="shared" si="22"/>
        <v>3</v>
      </c>
      <c r="CB42" s="168">
        <f t="shared" si="23"/>
        <v>3</v>
      </c>
      <c r="CC42" s="168">
        <f t="shared" si="24"/>
        <v>4</v>
      </c>
      <c r="CD42" s="168">
        <f t="shared" si="25"/>
        <v>2</v>
      </c>
      <c r="CE42" s="168">
        <f t="shared" si="26"/>
        <v>2</v>
      </c>
      <c r="CF42" s="169">
        <f t="shared" si="27"/>
        <v>2</v>
      </c>
      <c r="CG42" s="169">
        <f t="shared" si="28"/>
        <v>2</v>
      </c>
      <c r="CH42" s="170"/>
    </row>
    <row r="43" ht="15.75" customHeight="1">
      <c r="A43" s="151">
        <v>41897.0</v>
      </c>
      <c r="B43" s="152">
        <v>2.0</v>
      </c>
      <c r="C43" s="152" t="s">
        <v>46</v>
      </c>
      <c r="D43" s="152">
        <v>3.0</v>
      </c>
      <c r="E43" s="153">
        <v>2849.0</v>
      </c>
      <c r="F43" s="154">
        <v>8.3</v>
      </c>
      <c r="G43" s="155">
        <v>23646.7</v>
      </c>
      <c r="H43" s="159">
        <f>SUMIFS('Historical Orders'!$E43, 'Historical Orders'!$D43, "1", 'Historical Orders'!$C43, "A", 'Historical Orders'!$B43, "1")</f>
        <v>0</v>
      </c>
      <c r="I43" s="157">
        <f>SUMIFS('Historical Orders'!$G43, 'Historical Orders'!$D43, "1", 'Historical Orders'!$C43, "A", 'Historical Orders'!$B43, "1")</f>
        <v>0</v>
      </c>
      <c r="J43" s="157">
        <f>SUMIFS('Historical Orders'!$E43, 'Historical Orders'!$D43, "1", 'Historical Orders'!$C43, "B", 'Historical Orders'!$B43, "1")</f>
        <v>0</v>
      </c>
      <c r="K43" s="157">
        <f>SUMIFS('Historical Orders'!$G43, 'Historical Orders'!$D43, "1", 'Historical Orders'!$C43, "B", 'Historical Orders'!$B43, "1")</f>
        <v>0</v>
      </c>
      <c r="L43" s="159">
        <f>SUMIFS('Historical Orders'!$E43, 'Historical Orders'!$D43, "1", 'Historical Orders'!$C43, "A", 'Historical Orders'!$B43, "2")</f>
        <v>0</v>
      </c>
      <c r="M43" s="157">
        <f>SUMIFS('Historical Orders'!$G43, 'Historical Orders'!$D43, "1", 'Historical Orders'!$C43, "A", 'Historical Orders'!$B43, "2")</f>
        <v>0</v>
      </c>
      <c r="N43" s="157">
        <f>SUMIFS('Historical Orders'!$E43, 'Historical Orders'!$D43, "1", 'Historical Orders'!$C43, "B", 'Historical Orders'!$B43, "2")</f>
        <v>0</v>
      </c>
      <c r="O43" s="157">
        <f>SUMIFS('Historical Orders'!$G43, 'Historical Orders'!$D43, "1", 'Historical Orders'!$C43, "B", 'Historical Orders'!$B43, "2")</f>
        <v>0</v>
      </c>
      <c r="P43" s="159">
        <f>SUMIFS('Historical Orders'!$E43, 'Historical Orders'!$D43, "2", 'Historical Orders'!$C43, "A", 'Historical Orders'!$B43, "1")</f>
        <v>0</v>
      </c>
      <c r="Q43" s="157">
        <f>SUMIFS('Historical Orders'!$G43, 'Historical Orders'!$D43, "2", 'Historical Orders'!$C43, "A", 'Historical Orders'!$B43, "1")</f>
        <v>0</v>
      </c>
      <c r="R43" s="159">
        <f>SUMIFS('Historical Orders'!$E43, 'Historical Orders'!$D43, "2", 'Historical Orders'!$C43, "B", 'Historical Orders'!$B43, "1")</f>
        <v>0</v>
      </c>
      <c r="S43" s="157">
        <f>SUMIFS('Historical Orders'!$G43, 'Historical Orders'!$D43, "2", 'Historical Orders'!$C43, "B", 'Historical Orders'!$B43, "1")</f>
        <v>0</v>
      </c>
      <c r="T43" s="159">
        <f>SUMIFS('Historical Orders'!$E43, 'Historical Orders'!$D43, "2", 'Historical Orders'!$C43, "A", 'Historical Orders'!$B43, "2")</f>
        <v>0</v>
      </c>
      <c r="U43" s="157">
        <f>SUMIFS('Historical Orders'!$G43, 'Historical Orders'!$D43, "2", 'Historical Orders'!$C43, "A", 'Historical Orders'!$B43, "2")</f>
        <v>0</v>
      </c>
      <c r="V43" s="159">
        <f>SUMIFS('Historical Orders'!$E43, 'Historical Orders'!$D43, "2", 'Historical Orders'!$C43, "B", 'Historical Orders'!$B43, "2")</f>
        <v>0</v>
      </c>
      <c r="W43" s="159">
        <f>SUMIFS('Historical Orders'!$G43, 'Historical Orders'!$D43, "2", 'Historical Orders'!$C43, "B", 'Historical Orders'!$B43, "2")</f>
        <v>0</v>
      </c>
      <c r="X43" s="159">
        <f>SUMIFS('Historical Orders'!$E43, 'Historical Orders'!$D43, "3", 'Historical Orders'!$C43, "A", 'Historical Orders'!$B43, "1")</f>
        <v>0</v>
      </c>
      <c r="Y43" s="159">
        <f>SUMIFS('Historical Orders'!$G43, 'Historical Orders'!$D43, "3", 'Historical Orders'!$C43, "A", 'Historical Orders'!$B43, "1")</f>
        <v>0</v>
      </c>
      <c r="Z43" s="159">
        <f>SUMIFS('Historical Orders'!$E43, 'Historical Orders'!$D43, "3", 'Historical Orders'!$C43, "B", 'Historical Orders'!$B43, "1")</f>
        <v>0</v>
      </c>
      <c r="AA43" s="159">
        <f>SUMIFS('Historical Orders'!$G43, 'Historical Orders'!$D43, "3", 'Historical Orders'!$C43, "B", 'Historical Orders'!$B43, "1")</f>
        <v>0</v>
      </c>
      <c r="AB43" s="159">
        <f>SUMIFS('Historical Orders'!$E43, 'Historical Orders'!$D43, "3", 'Historical Orders'!$C43, "A", 'Historical Orders'!$B43, "2")</f>
        <v>0</v>
      </c>
      <c r="AC43" s="159">
        <f>SUMIFS('Historical Orders'!$G43, 'Historical Orders'!$D43, "3", 'Historical Orders'!$C43, "A", 'Historical Orders'!$B43, "2")</f>
        <v>0</v>
      </c>
      <c r="AD43" s="159">
        <f>SUMIFS('Historical Orders'!$E43, 'Historical Orders'!$D43, "3", 'Historical Orders'!$C43, "B", 'Historical Orders'!$B43, "2")</f>
        <v>2849</v>
      </c>
      <c r="AE43" s="157">
        <f>SUMIFS('Historical Orders'!$G43, 'Historical Orders'!$D43, "3", 'Historical Orders'!$C43, "B", 'Historical Orders'!$B43, "2")</f>
        <v>23646.7</v>
      </c>
      <c r="AF43" s="157">
        <f>SUMIFS('Historical Orders'!$E43, 'Historical Orders'!$D43, "4", 'Historical Orders'!$C43, "A", 'Historical Orders'!$B43, "1")</f>
        <v>0</v>
      </c>
      <c r="AG43" s="157">
        <f>SUMIFS('Historical Orders'!$G43, 'Historical Orders'!$D43, "4", 'Historical Orders'!$C43, "A", 'Historical Orders'!$B43, "1")</f>
        <v>0</v>
      </c>
      <c r="AH43" s="157">
        <f>SUMIFS('Historical Orders'!$E43, 'Historical Orders'!$D43, "4", 'Historical Orders'!$C43, "B", 'Historical Orders'!$B43, "1")</f>
        <v>0</v>
      </c>
      <c r="AI43" s="157">
        <f>SUMIFS('Historical Orders'!$G43, 'Historical Orders'!$D43, "4", 'Historical Orders'!$C43, "B", 'Historical Orders'!$B43, "1")</f>
        <v>0</v>
      </c>
      <c r="AJ43" s="157">
        <f>SUMIFS('Historical Orders'!$E43, 'Historical Orders'!$D43, "4", 'Historical Orders'!$C43, "A", 'Historical Orders'!$B43, "2")</f>
        <v>0</v>
      </c>
      <c r="AK43" s="157">
        <f>SUMIFS('Historical Orders'!$G43, 'Historical Orders'!$D43, "4", 'Historical Orders'!$C43, "A", 'Historical Orders'!$B43, "2")</f>
        <v>0</v>
      </c>
      <c r="AL43" s="171">
        <f>SUMIFS('Historical Orders'!$E43, 'Historical Orders'!$D43, "4", 'Historical Orders'!$C43, "B", 'Historical Orders'!$B43, "2")</f>
        <v>0</v>
      </c>
      <c r="AM43" s="171">
        <f>SUMIFS('Historical Orders'!$G43, 'Historical Orders'!$D43, "4", 'Historical Orders'!$C43, "B", 'Historical Orders'!$B43, "2")</f>
        <v>0</v>
      </c>
      <c r="AN43" s="171">
        <f>SUMIFS('Historical Orders'!$G43, 'Historical Orders'!$C43, "A", 'Historical Orders'!$B43, "1")</f>
        <v>0</v>
      </c>
      <c r="AO43" s="171">
        <f>SUMIFS('Historical Orders'!$G43, 'Historical Orders'!$C43, "B", 'Historical Orders'!$B43, "1")</f>
        <v>0</v>
      </c>
      <c r="AP43" s="171">
        <f>SUMIFS('Historical Orders'!$G43, 'Historical Orders'!$C43, "A", 'Historical Orders'!$B43, "2")</f>
        <v>0</v>
      </c>
      <c r="AQ43" s="171">
        <f>SUMIFS('Historical Orders'!$G43, 'Historical Orders'!$C43, "B", 'Historical Orders'!$B43, "2")</f>
        <v>23646.7</v>
      </c>
      <c r="AR43" s="145"/>
      <c r="AS43" s="146"/>
      <c r="AT43" s="161">
        <v>42142.0</v>
      </c>
      <c r="AU43" s="162"/>
      <c r="AV43" s="163">
        <f t="shared" si="1"/>
        <v>42142</v>
      </c>
      <c r="AW43" s="164">
        <f t="shared" si="2"/>
        <v>28818</v>
      </c>
      <c r="AX43" s="164">
        <f t="shared" si="3"/>
        <v>14036</v>
      </c>
      <c r="AY43" s="164">
        <f t="shared" si="4"/>
        <v>14782</v>
      </c>
      <c r="AZ43" s="164">
        <f t="shared" si="5"/>
        <v>23611</v>
      </c>
      <c r="BA43" s="164">
        <f t="shared" si="6"/>
        <v>5207</v>
      </c>
      <c r="BB43" s="165"/>
      <c r="BC43" s="166">
        <f t="shared" si="7"/>
        <v>80534.3</v>
      </c>
      <c r="BD43" s="166">
        <f t="shared" si="8"/>
        <v>37675.3</v>
      </c>
      <c r="BE43" s="166">
        <f t="shared" si="9"/>
        <v>42859</v>
      </c>
      <c r="BF43" s="167"/>
      <c r="BG43" s="166">
        <f t="shared" si="10"/>
        <v>11451</v>
      </c>
      <c r="BH43" s="166">
        <f t="shared" si="11"/>
        <v>7956</v>
      </c>
      <c r="BI43" s="166">
        <f t="shared" si="12"/>
        <v>0</v>
      </c>
      <c r="BJ43" s="166">
        <f>SUM('Historical Orders'!$BG43:$BI43)</f>
        <v>19407</v>
      </c>
      <c r="BK43" s="167"/>
      <c r="BL43" s="166">
        <f t="shared" si="13"/>
        <v>0</v>
      </c>
      <c r="BM43" s="166">
        <f t="shared" si="14"/>
        <v>0</v>
      </c>
      <c r="BN43" s="166">
        <f t="shared" si="15"/>
        <v>18268.3</v>
      </c>
      <c r="BO43" s="166">
        <f>SUM('Historical Orders'!$BL43:$BN43)</f>
        <v>18268.3</v>
      </c>
      <c r="BP43" s="167"/>
      <c r="BQ43" s="166">
        <f t="shared" si="16"/>
        <v>8311.6</v>
      </c>
      <c r="BR43" s="166">
        <f t="shared" si="17"/>
        <v>9597.6</v>
      </c>
      <c r="BS43" s="166">
        <f t="shared" si="18"/>
        <v>0</v>
      </c>
      <c r="BT43" s="166">
        <f>SUM('Historical Orders'!$BQ43:$BS43)</f>
        <v>17909.2</v>
      </c>
      <c r="BU43" s="167"/>
      <c r="BV43" s="166">
        <f t="shared" si="19"/>
        <v>0</v>
      </c>
      <c r="BW43" s="166">
        <f t="shared" si="20"/>
        <v>0</v>
      </c>
      <c r="BX43" s="166">
        <f t="shared" si="21"/>
        <v>24949.8</v>
      </c>
      <c r="BY43" s="166">
        <f>SUM('Historical Orders'!$BV43:$BX43)</f>
        <v>24949.8</v>
      </c>
      <c r="BZ43" s="167"/>
      <c r="CA43" s="168">
        <f t="shared" si="22"/>
        <v>3</v>
      </c>
      <c r="CB43" s="168">
        <f t="shared" si="23"/>
        <v>3</v>
      </c>
      <c r="CC43" s="168">
        <f t="shared" si="24"/>
        <v>4</v>
      </c>
      <c r="CD43" s="168">
        <f t="shared" si="25"/>
        <v>2</v>
      </c>
      <c r="CE43" s="168">
        <f t="shared" si="26"/>
        <v>2</v>
      </c>
      <c r="CF43" s="169">
        <f t="shared" si="27"/>
        <v>2</v>
      </c>
      <c r="CG43" s="169">
        <f t="shared" si="28"/>
        <v>2</v>
      </c>
      <c r="CH43" s="170"/>
    </row>
    <row r="44" ht="15.75" customHeight="1">
      <c r="A44" s="151">
        <v>41904.0</v>
      </c>
      <c r="B44" s="152">
        <v>1.0</v>
      </c>
      <c r="C44" s="152" t="s">
        <v>45</v>
      </c>
      <c r="D44" s="152">
        <v>1.0</v>
      </c>
      <c r="E44" s="153">
        <v>3862.0</v>
      </c>
      <c r="F44" s="154">
        <v>2.2</v>
      </c>
      <c r="G44" s="155">
        <v>8496.400000000001</v>
      </c>
      <c r="H44" s="159">
        <f>SUMIFS('Historical Orders'!$E44, 'Historical Orders'!$D44, "1", 'Historical Orders'!$C44, "A", 'Historical Orders'!$B44, "1")</f>
        <v>3862</v>
      </c>
      <c r="I44" s="157">
        <f>SUMIFS('Historical Orders'!$G44, 'Historical Orders'!$D44, "1", 'Historical Orders'!$C44, "A", 'Historical Orders'!$B44, "1")</f>
        <v>8496.4</v>
      </c>
      <c r="J44" s="157">
        <f>SUMIFS('Historical Orders'!$E44, 'Historical Orders'!$D44, "1", 'Historical Orders'!$C44, "B", 'Historical Orders'!$B44, "1")</f>
        <v>0</v>
      </c>
      <c r="K44" s="157">
        <f>SUMIFS('Historical Orders'!$G44, 'Historical Orders'!$D44, "1", 'Historical Orders'!$C44, "B", 'Historical Orders'!$B44, "1")</f>
        <v>0</v>
      </c>
      <c r="L44" s="159">
        <f>SUMIFS('Historical Orders'!$E44, 'Historical Orders'!$D44, "1", 'Historical Orders'!$C44, "A", 'Historical Orders'!$B44, "2")</f>
        <v>0</v>
      </c>
      <c r="M44" s="157">
        <f>SUMIFS('Historical Orders'!$G44, 'Historical Orders'!$D44, "1", 'Historical Orders'!$C44, "A", 'Historical Orders'!$B44, "2")</f>
        <v>0</v>
      </c>
      <c r="N44" s="157">
        <f>SUMIFS('Historical Orders'!$E44, 'Historical Orders'!$D44, "1", 'Historical Orders'!$C44, "B", 'Historical Orders'!$B44, "2")</f>
        <v>0</v>
      </c>
      <c r="O44" s="157">
        <f>SUMIFS('Historical Orders'!$G44, 'Historical Orders'!$D44, "1", 'Historical Orders'!$C44, "B", 'Historical Orders'!$B44, "2")</f>
        <v>0</v>
      </c>
      <c r="P44" s="159">
        <f>SUMIFS('Historical Orders'!$E44, 'Historical Orders'!$D44, "2", 'Historical Orders'!$C44, "A", 'Historical Orders'!$B44, "1")</f>
        <v>0</v>
      </c>
      <c r="Q44" s="157">
        <f>SUMIFS('Historical Orders'!$G44, 'Historical Orders'!$D44, "2", 'Historical Orders'!$C44, "A", 'Historical Orders'!$B44, "1")</f>
        <v>0</v>
      </c>
      <c r="R44" s="159">
        <f>SUMIFS('Historical Orders'!$E44, 'Historical Orders'!$D44, "2", 'Historical Orders'!$C44, "B", 'Historical Orders'!$B44, "1")</f>
        <v>0</v>
      </c>
      <c r="S44" s="157">
        <f>SUMIFS('Historical Orders'!$G44, 'Historical Orders'!$D44, "2", 'Historical Orders'!$C44, "B", 'Historical Orders'!$B44, "1")</f>
        <v>0</v>
      </c>
      <c r="T44" s="159">
        <f>SUMIFS('Historical Orders'!$E44, 'Historical Orders'!$D44, "2", 'Historical Orders'!$C44, "A", 'Historical Orders'!$B44, "2")</f>
        <v>0</v>
      </c>
      <c r="U44" s="157">
        <f>SUMIFS('Historical Orders'!$G44, 'Historical Orders'!$D44, "2", 'Historical Orders'!$C44, "A", 'Historical Orders'!$B44, "2")</f>
        <v>0</v>
      </c>
      <c r="V44" s="159">
        <f>SUMIFS('Historical Orders'!$E44, 'Historical Orders'!$D44, "2", 'Historical Orders'!$C44, "B", 'Historical Orders'!$B44, "2")</f>
        <v>0</v>
      </c>
      <c r="W44" s="159">
        <f>SUMIFS('Historical Orders'!$G44, 'Historical Orders'!$D44, "2", 'Historical Orders'!$C44, "B", 'Historical Orders'!$B44, "2")</f>
        <v>0</v>
      </c>
      <c r="X44" s="159">
        <f>SUMIFS('Historical Orders'!$E44, 'Historical Orders'!$D44, "3", 'Historical Orders'!$C44, "A", 'Historical Orders'!$B44, "1")</f>
        <v>0</v>
      </c>
      <c r="Y44" s="159">
        <f>SUMIFS('Historical Orders'!$G44, 'Historical Orders'!$D44, "3", 'Historical Orders'!$C44, "A", 'Historical Orders'!$B44, "1")</f>
        <v>0</v>
      </c>
      <c r="Z44" s="159">
        <f>SUMIFS('Historical Orders'!$E44, 'Historical Orders'!$D44, "3", 'Historical Orders'!$C44, "B", 'Historical Orders'!$B44, "1")</f>
        <v>0</v>
      </c>
      <c r="AA44" s="159">
        <f>SUMIFS('Historical Orders'!$G44, 'Historical Orders'!$D44, "3", 'Historical Orders'!$C44, "B", 'Historical Orders'!$B44, "1")</f>
        <v>0</v>
      </c>
      <c r="AB44" s="159">
        <f>SUMIFS('Historical Orders'!$E44, 'Historical Orders'!$D44, "3", 'Historical Orders'!$C44, "A", 'Historical Orders'!$B44, "2")</f>
        <v>0</v>
      </c>
      <c r="AC44" s="159">
        <f>SUMIFS('Historical Orders'!$G44, 'Historical Orders'!$D44, "3", 'Historical Orders'!$C44, "A", 'Historical Orders'!$B44, "2")</f>
        <v>0</v>
      </c>
      <c r="AD44" s="159">
        <f>SUMIFS('Historical Orders'!$E44, 'Historical Orders'!$D44, "3", 'Historical Orders'!$C44, "B", 'Historical Orders'!$B44, "2")</f>
        <v>0</v>
      </c>
      <c r="AE44" s="157">
        <f>SUMIFS('Historical Orders'!$G44, 'Historical Orders'!$D44, "3", 'Historical Orders'!$C44, "B", 'Historical Orders'!$B44, "2")</f>
        <v>0</v>
      </c>
      <c r="AF44" s="157">
        <f>SUMIFS('Historical Orders'!$E44, 'Historical Orders'!$D44, "4", 'Historical Orders'!$C44, "A", 'Historical Orders'!$B44, "1")</f>
        <v>0</v>
      </c>
      <c r="AG44" s="157">
        <f>SUMIFS('Historical Orders'!$G44, 'Historical Orders'!$D44, "4", 'Historical Orders'!$C44, "A", 'Historical Orders'!$B44, "1")</f>
        <v>0</v>
      </c>
      <c r="AH44" s="157">
        <f>SUMIFS('Historical Orders'!$E44, 'Historical Orders'!$D44, "4", 'Historical Orders'!$C44, "B", 'Historical Orders'!$B44, "1")</f>
        <v>0</v>
      </c>
      <c r="AI44" s="157">
        <f>SUMIFS('Historical Orders'!$G44, 'Historical Orders'!$D44, "4", 'Historical Orders'!$C44, "B", 'Historical Orders'!$B44, "1")</f>
        <v>0</v>
      </c>
      <c r="AJ44" s="157">
        <f>SUMIFS('Historical Orders'!$E44, 'Historical Orders'!$D44, "4", 'Historical Orders'!$C44, "A", 'Historical Orders'!$B44, "2")</f>
        <v>0</v>
      </c>
      <c r="AK44" s="157">
        <f>SUMIFS('Historical Orders'!$G44, 'Historical Orders'!$D44, "4", 'Historical Orders'!$C44, "A", 'Historical Orders'!$B44, "2")</f>
        <v>0</v>
      </c>
      <c r="AL44" s="171">
        <f>SUMIFS('Historical Orders'!$E44, 'Historical Orders'!$D44, "4", 'Historical Orders'!$C44, "B", 'Historical Orders'!$B44, "2")</f>
        <v>0</v>
      </c>
      <c r="AM44" s="171">
        <f>SUMIFS('Historical Orders'!$G44, 'Historical Orders'!$D44, "4", 'Historical Orders'!$C44, "B", 'Historical Orders'!$B44, "2")</f>
        <v>0</v>
      </c>
      <c r="AN44" s="171">
        <f>SUMIFS('Historical Orders'!$G44, 'Historical Orders'!$C44, "A", 'Historical Orders'!$B44, "1")</f>
        <v>8496.4</v>
      </c>
      <c r="AO44" s="171">
        <f>SUMIFS('Historical Orders'!$G44, 'Historical Orders'!$C44, "B", 'Historical Orders'!$B44, "1")</f>
        <v>0</v>
      </c>
      <c r="AP44" s="171">
        <f>SUMIFS('Historical Orders'!$G44, 'Historical Orders'!$C44, "A", 'Historical Orders'!$B44, "2")</f>
        <v>0</v>
      </c>
      <c r="AQ44" s="171">
        <f>SUMIFS('Historical Orders'!$G44, 'Historical Orders'!$C44, "B", 'Historical Orders'!$B44, "2")</f>
        <v>0</v>
      </c>
      <c r="AR44" s="145"/>
      <c r="AS44" s="146"/>
      <c r="AT44" s="161">
        <v>42149.0</v>
      </c>
      <c r="AU44" s="162"/>
      <c r="AV44" s="163">
        <f t="shared" si="1"/>
        <v>42149</v>
      </c>
      <c r="AW44" s="164">
        <f t="shared" si="2"/>
        <v>27681</v>
      </c>
      <c r="AX44" s="164">
        <f t="shared" si="3"/>
        <v>13592</v>
      </c>
      <c r="AY44" s="164">
        <f t="shared" si="4"/>
        <v>14089</v>
      </c>
      <c r="AZ44" s="164">
        <f t="shared" si="5"/>
        <v>22254</v>
      </c>
      <c r="BA44" s="164">
        <f t="shared" si="6"/>
        <v>5427</v>
      </c>
      <c r="BB44" s="165"/>
      <c r="BC44" s="166">
        <f t="shared" si="7"/>
        <v>81416.9</v>
      </c>
      <c r="BD44" s="166">
        <f t="shared" si="8"/>
        <v>37815.3</v>
      </c>
      <c r="BE44" s="166">
        <f t="shared" si="9"/>
        <v>43601.6</v>
      </c>
      <c r="BF44" s="167"/>
      <c r="BG44" s="166">
        <f t="shared" si="10"/>
        <v>11556.6</v>
      </c>
      <c r="BH44" s="166">
        <f t="shared" si="11"/>
        <v>7260</v>
      </c>
      <c r="BI44" s="166">
        <f t="shared" si="12"/>
        <v>0</v>
      </c>
      <c r="BJ44" s="166">
        <f>SUM('Historical Orders'!$BG44:$BI44)</f>
        <v>18816.6</v>
      </c>
      <c r="BK44" s="167"/>
      <c r="BL44" s="166">
        <f t="shared" si="13"/>
        <v>0</v>
      </c>
      <c r="BM44" s="166">
        <f t="shared" si="14"/>
        <v>0</v>
      </c>
      <c r="BN44" s="166">
        <f t="shared" si="15"/>
        <v>18998.7</v>
      </c>
      <c r="BO44" s="166">
        <f>SUM('Historical Orders'!$BL44:$BN44)</f>
        <v>18998.7</v>
      </c>
      <c r="BP44" s="167"/>
      <c r="BQ44" s="166">
        <f t="shared" si="16"/>
        <v>9713</v>
      </c>
      <c r="BR44" s="166">
        <f t="shared" si="17"/>
        <v>7843.2</v>
      </c>
      <c r="BS44" s="166">
        <f t="shared" si="18"/>
        <v>0</v>
      </c>
      <c r="BT44" s="166">
        <f>SUM('Historical Orders'!$BQ44:$BS44)</f>
        <v>17556.2</v>
      </c>
      <c r="BU44" s="167"/>
      <c r="BV44" s="166">
        <f t="shared" si="19"/>
        <v>0</v>
      </c>
      <c r="BW44" s="166">
        <f t="shared" si="20"/>
        <v>0</v>
      </c>
      <c r="BX44" s="166">
        <f t="shared" si="21"/>
        <v>26045.4</v>
      </c>
      <c r="BY44" s="166">
        <f>SUM('Historical Orders'!$BV44:$BX44)</f>
        <v>26045.4</v>
      </c>
      <c r="BZ44" s="167"/>
      <c r="CA44" s="168">
        <f t="shared" si="22"/>
        <v>3</v>
      </c>
      <c r="CB44" s="168">
        <f t="shared" si="23"/>
        <v>3</v>
      </c>
      <c r="CC44" s="168">
        <f t="shared" si="24"/>
        <v>4</v>
      </c>
      <c r="CD44" s="168">
        <f t="shared" si="25"/>
        <v>2</v>
      </c>
      <c r="CE44" s="168">
        <f t="shared" si="26"/>
        <v>2</v>
      </c>
      <c r="CF44" s="169">
        <f t="shared" si="27"/>
        <v>2</v>
      </c>
      <c r="CG44" s="169">
        <f t="shared" si="28"/>
        <v>2</v>
      </c>
      <c r="CH44" s="170"/>
    </row>
    <row r="45" ht="15.75" customHeight="1">
      <c r="A45" s="151">
        <v>41904.0</v>
      </c>
      <c r="B45" s="152">
        <v>1.0</v>
      </c>
      <c r="C45" s="152" t="s">
        <v>45</v>
      </c>
      <c r="D45" s="152">
        <v>2.0</v>
      </c>
      <c r="E45" s="153">
        <v>5087.0</v>
      </c>
      <c r="F45" s="154">
        <v>1.2</v>
      </c>
      <c r="G45" s="155">
        <v>6104.4</v>
      </c>
      <c r="H45" s="159">
        <f>SUMIFS('Historical Orders'!$E45, 'Historical Orders'!$D45, "1", 'Historical Orders'!$C45, "A", 'Historical Orders'!$B45, "1")</f>
        <v>0</v>
      </c>
      <c r="I45" s="157">
        <f>SUMIFS('Historical Orders'!$G45, 'Historical Orders'!$D45, "1", 'Historical Orders'!$C45, "A", 'Historical Orders'!$B45, "1")</f>
        <v>0</v>
      </c>
      <c r="J45" s="157">
        <f>SUMIFS('Historical Orders'!$E45, 'Historical Orders'!$D45, "1", 'Historical Orders'!$C45, "B", 'Historical Orders'!$B45, "1")</f>
        <v>0</v>
      </c>
      <c r="K45" s="157">
        <f>SUMIFS('Historical Orders'!$G45, 'Historical Orders'!$D45, "1", 'Historical Orders'!$C45, "B", 'Historical Orders'!$B45, "1")</f>
        <v>0</v>
      </c>
      <c r="L45" s="159">
        <f>SUMIFS('Historical Orders'!$E45, 'Historical Orders'!$D45, "1", 'Historical Orders'!$C45, "A", 'Historical Orders'!$B45, "2")</f>
        <v>0</v>
      </c>
      <c r="M45" s="157">
        <f>SUMIFS('Historical Orders'!$G45, 'Historical Orders'!$D45, "1", 'Historical Orders'!$C45, "A", 'Historical Orders'!$B45, "2")</f>
        <v>0</v>
      </c>
      <c r="N45" s="157">
        <f>SUMIFS('Historical Orders'!$E45, 'Historical Orders'!$D45, "1", 'Historical Orders'!$C45, "B", 'Historical Orders'!$B45, "2")</f>
        <v>0</v>
      </c>
      <c r="O45" s="157">
        <f>SUMIFS('Historical Orders'!$G45, 'Historical Orders'!$D45, "1", 'Historical Orders'!$C45, "B", 'Historical Orders'!$B45, "2")</f>
        <v>0</v>
      </c>
      <c r="P45" s="159">
        <f>SUMIFS('Historical Orders'!$E45, 'Historical Orders'!$D45, "2", 'Historical Orders'!$C45, "A", 'Historical Orders'!$B45, "1")</f>
        <v>5087</v>
      </c>
      <c r="Q45" s="157">
        <f>SUMIFS('Historical Orders'!$G45, 'Historical Orders'!$D45, "2", 'Historical Orders'!$C45, "A", 'Historical Orders'!$B45, "1")</f>
        <v>6104.4</v>
      </c>
      <c r="R45" s="159">
        <f>SUMIFS('Historical Orders'!$E45, 'Historical Orders'!$D45, "2", 'Historical Orders'!$C45, "B", 'Historical Orders'!$B45, "1")</f>
        <v>0</v>
      </c>
      <c r="S45" s="157">
        <f>SUMIFS('Historical Orders'!$G45, 'Historical Orders'!$D45, "2", 'Historical Orders'!$C45, "B", 'Historical Orders'!$B45, "1")</f>
        <v>0</v>
      </c>
      <c r="T45" s="159">
        <f>SUMIFS('Historical Orders'!$E45, 'Historical Orders'!$D45, "2", 'Historical Orders'!$C45, "A", 'Historical Orders'!$B45, "2")</f>
        <v>0</v>
      </c>
      <c r="U45" s="157">
        <f>SUMIFS('Historical Orders'!$G45, 'Historical Orders'!$D45, "2", 'Historical Orders'!$C45, "A", 'Historical Orders'!$B45, "2")</f>
        <v>0</v>
      </c>
      <c r="V45" s="159">
        <f>SUMIFS('Historical Orders'!$E45, 'Historical Orders'!$D45, "2", 'Historical Orders'!$C45, "B", 'Historical Orders'!$B45, "2")</f>
        <v>0</v>
      </c>
      <c r="W45" s="159">
        <f>SUMIFS('Historical Orders'!$G45, 'Historical Orders'!$D45, "2", 'Historical Orders'!$C45, "B", 'Historical Orders'!$B45, "2")</f>
        <v>0</v>
      </c>
      <c r="X45" s="159">
        <f>SUMIFS('Historical Orders'!$E45, 'Historical Orders'!$D45, "3", 'Historical Orders'!$C45, "A", 'Historical Orders'!$B45, "1")</f>
        <v>0</v>
      </c>
      <c r="Y45" s="159">
        <f>SUMIFS('Historical Orders'!$G45, 'Historical Orders'!$D45, "3", 'Historical Orders'!$C45, "A", 'Historical Orders'!$B45, "1")</f>
        <v>0</v>
      </c>
      <c r="Z45" s="159">
        <f>SUMIFS('Historical Orders'!$E45, 'Historical Orders'!$D45, "3", 'Historical Orders'!$C45, "B", 'Historical Orders'!$B45, "1")</f>
        <v>0</v>
      </c>
      <c r="AA45" s="159">
        <f>SUMIFS('Historical Orders'!$G45, 'Historical Orders'!$D45, "3", 'Historical Orders'!$C45, "B", 'Historical Orders'!$B45, "1")</f>
        <v>0</v>
      </c>
      <c r="AB45" s="159">
        <f>SUMIFS('Historical Orders'!$E45, 'Historical Orders'!$D45, "3", 'Historical Orders'!$C45, "A", 'Historical Orders'!$B45, "2")</f>
        <v>0</v>
      </c>
      <c r="AC45" s="159">
        <f>SUMIFS('Historical Orders'!$G45, 'Historical Orders'!$D45, "3", 'Historical Orders'!$C45, "A", 'Historical Orders'!$B45, "2")</f>
        <v>0</v>
      </c>
      <c r="AD45" s="159">
        <f>SUMIFS('Historical Orders'!$E45, 'Historical Orders'!$D45, "3", 'Historical Orders'!$C45, "B", 'Historical Orders'!$B45, "2")</f>
        <v>0</v>
      </c>
      <c r="AE45" s="157">
        <f>SUMIFS('Historical Orders'!$G45, 'Historical Orders'!$D45, "3", 'Historical Orders'!$C45, "B", 'Historical Orders'!$B45, "2")</f>
        <v>0</v>
      </c>
      <c r="AF45" s="157">
        <f>SUMIFS('Historical Orders'!$E45, 'Historical Orders'!$D45, "4", 'Historical Orders'!$C45, "A", 'Historical Orders'!$B45, "1")</f>
        <v>0</v>
      </c>
      <c r="AG45" s="157">
        <f>SUMIFS('Historical Orders'!$G45, 'Historical Orders'!$D45, "4", 'Historical Orders'!$C45, "A", 'Historical Orders'!$B45, "1")</f>
        <v>0</v>
      </c>
      <c r="AH45" s="157">
        <f>SUMIFS('Historical Orders'!$E45, 'Historical Orders'!$D45, "4", 'Historical Orders'!$C45, "B", 'Historical Orders'!$B45, "1")</f>
        <v>0</v>
      </c>
      <c r="AI45" s="157">
        <f>SUMIFS('Historical Orders'!$G45, 'Historical Orders'!$D45, "4", 'Historical Orders'!$C45, "B", 'Historical Orders'!$B45, "1")</f>
        <v>0</v>
      </c>
      <c r="AJ45" s="157">
        <f>SUMIFS('Historical Orders'!$E45, 'Historical Orders'!$D45, "4", 'Historical Orders'!$C45, "A", 'Historical Orders'!$B45, "2")</f>
        <v>0</v>
      </c>
      <c r="AK45" s="157">
        <f>SUMIFS('Historical Orders'!$G45, 'Historical Orders'!$D45, "4", 'Historical Orders'!$C45, "A", 'Historical Orders'!$B45, "2")</f>
        <v>0</v>
      </c>
      <c r="AL45" s="171">
        <f>SUMIFS('Historical Orders'!$E45, 'Historical Orders'!$D45, "4", 'Historical Orders'!$C45, "B", 'Historical Orders'!$B45, "2")</f>
        <v>0</v>
      </c>
      <c r="AM45" s="171">
        <f>SUMIFS('Historical Orders'!$G45, 'Historical Orders'!$D45, "4", 'Historical Orders'!$C45, "B", 'Historical Orders'!$B45, "2")</f>
        <v>0</v>
      </c>
      <c r="AN45" s="171">
        <f>SUMIFS('Historical Orders'!$G45, 'Historical Orders'!$C45, "A", 'Historical Orders'!$B45, "1")</f>
        <v>6104.4</v>
      </c>
      <c r="AO45" s="171">
        <f>SUMIFS('Historical Orders'!$G45, 'Historical Orders'!$C45, "B", 'Historical Orders'!$B45, "1")</f>
        <v>0</v>
      </c>
      <c r="AP45" s="171">
        <f>SUMIFS('Historical Orders'!$G45, 'Historical Orders'!$C45, "A", 'Historical Orders'!$B45, "2")</f>
        <v>0</v>
      </c>
      <c r="AQ45" s="171">
        <f>SUMIFS('Historical Orders'!$G45, 'Historical Orders'!$C45, "B", 'Historical Orders'!$B45, "2")</f>
        <v>0</v>
      </c>
      <c r="AR45" s="145"/>
      <c r="AS45" s="146"/>
      <c r="AT45" s="161">
        <v>42156.0</v>
      </c>
      <c r="AU45" s="162"/>
      <c r="AV45" s="163">
        <f t="shared" si="1"/>
        <v>42156</v>
      </c>
      <c r="AW45" s="164">
        <f t="shared" si="2"/>
        <v>26525</v>
      </c>
      <c r="AX45" s="164">
        <f t="shared" si="3"/>
        <v>13404</v>
      </c>
      <c r="AY45" s="164">
        <f t="shared" si="4"/>
        <v>13121</v>
      </c>
      <c r="AZ45" s="164">
        <f t="shared" si="5"/>
        <v>21078</v>
      </c>
      <c r="BA45" s="164">
        <f t="shared" si="6"/>
        <v>5447</v>
      </c>
      <c r="BB45" s="165"/>
      <c r="BC45" s="166">
        <f t="shared" si="7"/>
        <v>80237.7</v>
      </c>
      <c r="BD45" s="166">
        <f t="shared" si="8"/>
        <v>37681.6</v>
      </c>
      <c r="BE45" s="166">
        <f t="shared" si="9"/>
        <v>42556.1</v>
      </c>
      <c r="BF45" s="167"/>
      <c r="BG45" s="166">
        <f t="shared" si="10"/>
        <v>11618.2</v>
      </c>
      <c r="BH45" s="166">
        <f t="shared" si="11"/>
        <v>6990</v>
      </c>
      <c r="BI45" s="166">
        <f t="shared" si="12"/>
        <v>0</v>
      </c>
      <c r="BJ45" s="166">
        <f>SUM('Historical Orders'!$BG45:$BI45)</f>
        <v>18608.2</v>
      </c>
      <c r="BK45" s="167"/>
      <c r="BL45" s="166">
        <f t="shared" si="13"/>
        <v>0</v>
      </c>
      <c r="BM45" s="166">
        <f t="shared" si="14"/>
        <v>0</v>
      </c>
      <c r="BN45" s="166">
        <f t="shared" si="15"/>
        <v>19073.4</v>
      </c>
      <c r="BO45" s="166">
        <f>SUM('Historical Orders'!$BL45:$BN45)</f>
        <v>19073.4</v>
      </c>
      <c r="BP45" s="167"/>
      <c r="BQ45" s="166">
        <f t="shared" si="16"/>
        <v>9796.6</v>
      </c>
      <c r="BR45" s="166">
        <f t="shared" si="17"/>
        <v>6622.8</v>
      </c>
      <c r="BS45" s="166">
        <f t="shared" si="18"/>
        <v>0</v>
      </c>
      <c r="BT45" s="166">
        <f>SUM('Historical Orders'!$BQ45:$BS45)</f>
        <v>16419.4</v>
      </c>
      <c r="BU45" s="167"/>
      <c r="BV45" s="166">
        <f t="shared" si="19"/>
        <v>0</v>
      </c>
      <c r="BW45" s="166">
        <f t="shared" si="20"/>
        <v>0</v>
      </c>
      <c r="BX45" s="166">
        <f t="shared" si="21"/>
        <v>26136.7</v>
      </c>
      <c r="BY45" s="166">
        <f>SUM('Historical Orders'!$BV45:$BX45)</f>
        <v>26136.7</v>
      </c>
      <c r="BZ45" s="167"/>
      <c r="CA45" s="168">
        <f t="shared" si="22"/>
        <v>3</v>
      </c>
      <c r="CB45" s="168">
        <f t="shared" si="23"/>
        <v>3</v>
      </c>
      <c r="CC45" s="168">
        <f t="shared" si="24"/>
        <v>4</v>
      </c>
      <c r="CD45" s="168">
        <f t="shared" si="25"/>
        <v>2</v>
      </c>
      <c r="CE45" s="168">
        <f t="shared" si="26"/>
        <v>2</v>
      </c>
      <c r="CF45" s="169">
        <f t="shared" si="27"/>
        <v>2</v>
      </c>
      <c r="CG45" s="169">
        <f t="shared" si="28"/>
        <v>2</v>
      </c>
      <c r="CH45" s="170"/>
    </row>
    <row r="46" ht="15.75" customHeight="1">
      <c r="A46" s="151">
        <v>41904.0</v>
      </c>
      <c r="B46" s="152">
        <v>2.0</v>
      </c>
      <c r="C46" s="152" t="s">
        <v>45</v>
      </c>
      <c r="D46" s="152">
        <v>1.0</v>
      </c>
      <c r="E46" s="153">
        <v>2569.0</v>
      </c>
      <c r="F46" s="154">
        <v>2.2</v>
      </c>
      <c r="G46" s="155">
        <v>5651.8</v>
      </c>
      <c r="H46" s="159">
        <f>SUMIFS('Historical Orders'!$E46, 'Historical Orders'!$D46, "1", 'Historical Orders'!$C46, "A", 'Historical Orders'!$B46, "1")</f>
        <v>0</v>
      </c>
      <c r="I46" s="157">
        <f>SUMIFS('Historical Orders'!$G46, 'Historical Orders'!$D46, "1", 'Historical Orders'!$C46, "A", 'Historical Orders'!$B46, "1")</f>
        <v>0</v>
      </c>
      <c r="J46" s="157">
        <f>SUMIFS('Historical Orders'!$E46, 'Historical Orders'!$D46, "1", 'Historical Orders'!$C46, "B", 'Historical Orders'!$B46, "1")</f>
        <v>0</v>
      </c>
      <c r="K46" s="157">
        <f>SUMIFS('Historical Orders'!$G46, 'Historical Orders'!$D46, "1", 'Historical Orders'!$C46, "B", 'Historical Orders'!$B46, "1")</f>
        <v>0</v>
      </c>
      <c r="L46" s="159">
        <f>SUMIFS('Historical Orders'!$E46, 'Historical Orders'!$D46, "1", 'Historical Orders'!$C46, "A", 'Historical Orders'!$B46, "2")</f>
        <v>2569</v>
      </c>
      <c r="M46" s="157">
        <f>SUMIFS('Historical Orders'!$G46, 'Historical Orders'!$D46, "1", 'Historical Orders'!$C46, "A", 'Historical Orders'!$B46, "2")</f>
        <v>5651.8</v>
      </c>
      <c r="N46" s="157">
        <f>SUMIFS('Historical Orders'!$E46, 'Historical Orders'!$D46, "1", 'Historical Orders'!$C46, "B", 'Historical Orders'!$B46, "2")</f>
        <v>0</v>
      </c>
      <c r="O46" s="157">
        <f>SUMIFS('Historical Orders'!$G46, 'Historical Orders'!$D46, "1", 'Historical Orders'!$C46, "B", 'Historical Orders'!$B46, "2")</f>
        <v>0</v>
      </c>
      <c r="P46" s="159">
        <f>SUMIFS('Historical Orders'!$E46, 'Historical Orders'!$D46, "2", 'Historical Orders'!$C46, "A", 'Historical Orders'!$B46, "1")</f>
        <v>0</v>
      </c>
      <c r="Q46" s="157">
        <f>SUMIFS('Historical Orders'!$G46, 'Historical Orders'!$D46, "2", 'Historical Orders'!$C46, "A", 'Historical Orders'!$B46, "1")</f>
        <v>0</v>
      </c>
      <c r="R46" s="159">
        <f>SUMIFS('Historical Orders'!$E46, 'Historical Orders'!$D46, "2", 'Historical Orders'!$C46, "B", 'Historical Orders'!$B46, "1")</f>
        <v>0</v>
      </c>
      <c r="S46" s="157">
        <f>SUMIFS('Historical Orders'!$G46, 'Historical Orders'!$D46, "2", 'Historical Orders'!$C46, "B", 'Historical Orders'!$B46, "1")</f>
        <v>0</v>
      </c>
      <c r="T46" s="159">
        <f>SUMIFS('Historical Orders'!$E46, 'Historical Orders'!$D46, "2", 'Historical Orders'!$C46, "A", 'Historical Orders'!$B46, "2")</f>
        <v>0</v>
      </c>
      <c r="U46" s="157">
        <f>SUMIFS('Historical Orders'!$G46, 'Historical Orders'!$D46, "2", 'Historical Orders'!$C46, "A", 'Historical Orders'!$B46, "2")</f>
        <v>0</v>
      </c>
      <c r="V46" s="159">
        <f>SUMIFS('Historical Orders'!$E46, 'Historical Orders'!$D46, "2", 'Historical Orders'!$C46, "B", 'Historical Orders'!$B46, "2")</f>
        <v>0</v>
      </c>
      <c r="W46" s="159">
        <f>SUMIFS('Historical Orders'!$G46, 'Historical Orders'!$D46, "2", 'Historical Orders'!$C46, "B", 'Historical Orders'!$B46, "2")</f>
        <v>0</v>
      </c>
      <c r="X46" s="159">
        <f>SUMIFS('Historical Orders'!$E46, 'Historical Orders'!$D46, "3", 'Historical Orders'!$C46, "A", 'Historical Orders'!$B46, "1")</f>
        <v>0</v>
      </c>
      <c r="Y46" s="159">
        <f>SUMIFS('Historical Orders'!$G46, 'Historical Orders'!$D46, "3", 'Historical Orders'!$C46, "A", 'Historical Orders'!$B46, "1")</f>
        <v>0</v>
      </c>
      <c r="Z46" s="159">
        <f>SUMIFS('Historical Orders'!$E46, 'Historical Orders'!$D46, "3", 'Historical Orders'!$C46, "B", 'Historical Orders'!$B46, "1")</f>
        <v>0</v>
      </c>
      <c r="AA46" s="159">
        <f>SUMIFS('Historical Orders'!$G46, 'Historical Orders'!$D46, "3", 'Historical Orders'!$C46, "B", 'Historical Orders'!$B46, "1")</f>
        <v>0</v>
      </c>
      <c r="AB46" s="159">
        <f>SUMIFS('Historical Orders'!$E46, 'Historical Orders'!$D46, "3", 'Historical Orders'!$C46, "A", 'Historical Orders'!$B46, "2")</f>
        <v>0</v>
      </c>
      <c r="AC46" s="159">
        <f>SUMIFS('Historical Orders'!$G46, 'Historical Orders'!$D46, "3", 'Historical Orders'!$C46, "A", 'Historical Orders'!$B46, "2")</f>
        <v>0</v>
      </c>
      <c r="AD46" s="159">
        <f>SUMIFS('Historical Orders'!$E46, 'Historical Orders'!$D46, "3", 'Historical Orders'!$C46, "B", 'Historical Orders'!$B46, "2")</f>
        <v>0</v>
      </c>
      <c r="AE46" s="157">
        <f>SUMIFS('Historical Orders'!$G46, 'Historical Orders'!$D46, "3", 'Historical Orders'!$C46, "B", 'Historical Orders'!$B46, "2")</f>
        <v>0</v>
      </c>
      <c r="AF46" s="157">
        <f>SUMIFS('Historical Orders'!$E46, 'Historical Orders'!$D46, "4", 'Historical Orders'!$C46, "A", 'Historical Orders'!$B46, "1")</f>
        <v>0</v>
      </c>
      <c r="AG46" s="157">
        <f>SUMIFS('Historical Orders'!$G46, 'Historical Orders'!$D46, "4", 'Historical Orders'!$C46, "A", 'Historical Orders'!$B46, "1")</f>
        <v>0</v>
      </c>
      <c r="AH46" s="157">
        <f>SUMIFS('Historical Orders'!$E46, 'Historical Orders'!$D46, "4", 'Historical Orders'!$C46, "B", 'Historical Orders'!$B46, "1")</f>
        <v>0</v>
      </c>
      <c r="AI46" s="157">
        <f>SUMIFS('Historical Orders'!$G46, 'Historical Orders'!$D46, "4", 'Historical Orders'!$C46, "B", 'Historical Orders'!$B46, "1")</f>
        <v>0</v>
      </c>
      <c r="AJ46" s="157">
        <f>SUMIFS('Historical Orders'!$E46, 'Historical Orders'!$D46, "4", 'Historical Orders'!$C46, "A", 'Historical Orders'!$B46, "2")</f>
        <v>0</v>
      </c>
      <c r="AK46" s="157">
        <f>SUMIFS('Historical Orders'!$G46, 'Historical Orders'!$D46, "4", 'Historical Orders'!$C46, "A", 'Historical Orders'!$B46, "2")</f>
        <v>0</v>
      </c>
      <c r="AL46" s="171">
        <f>SUMIFS('Historical Orders'!$E46, 'Historical Orders'!$D46, "4", 'Historical Orders'!$C46, "B", 'Historical Orders'!$B46, "2")</f>
        <v>0</v>
      </c>
      <c r="AM46" s="171">
        <f>SUMIFS('Historical Orders'!$G46, 'Historical Orders'!$D46, "4", 'Historical Orders'!$C46, "B", 'Historical Orders'!$B46, "2")</f>
        <v>0</v>
      </c>
      <c r="AN46" s="171">
        <f>SUMIFS('Historical Orders'!$G46, 'Historical Orders'!$C46, "A", 'Historical Orders'!$B46, "1")</f>
        <v>0</v>
      </c>
      <c r="AO46" s="171">
        <f>SUMIFS('Historical Orders'!$G46, 'Historical Orders'!$C46, "B", 'Historical Orders'!$B46, "1")</f>
        <v>0</v>
      </c>
      <c r="AP46" s="171">
        <f>SUMIFS('Historical Orders'!$G46, 'Historical Orders'!$C46, "A", 'Historical Orders'!$B46, "2")</f>
        <v>5651.8</v>
      </c>
      <c r="AQ46" s="171">
        <f>SUMIFS('Historical Orders'!$G46, 'Historical Orders'!$C46, "B", 'Historical Orders'!$B46, "2")</f>
        <v>0</v>
      </c>
      <c r="AR46" s="145"/>
      <c r="AS46" s="146"/>
      <c r="AT46" s="161">
        <v>42163.0</v>
      </c>
      <c r="AU46" s="162"/>
      <c r="AV46" s="163">
        <f t="shared" si="1"/>
        <v>42163</v>
      </c>
      <c r="AW46" s="164">
        <f t="shared" si="2"/>
        <v>27974</v>
      </c>
      <c r="AX46" s="164">
        <f t="shared" si="3"/>
        <v>14128</v>
      </c>
      <c r="AY46" s="164">
        <f t="shared" si="4"/>
        <v>13846</v>
      </c>
      <c r="AZ46" s="164">
        <f t="shared" si="5"/>
        <v>21982</v>
      </c>
      <c r="BA46" s="164">
        <f t="shared" si="6"/>
        <v>5992</v>
      </c>
      <c r="BB46" s="165"/>
      <c r="BC46" s="166">
        <f t="shared" si="7"/>
        <v>85324</v>
      </c>
      <c r="BD46" s="166">
        <f t="shared" si="8"/>
        <v>39985.2</v>
      </c>
      <c r="BE46" s="166">
        <f t="shared" si="9"/>
        <v>45338.8</v>
      </c>
      <c r="BF46" s="167"/>
      <c r="BG46" s="166">
        <f t="shared" si="10"/>
        <v>11369.6</v>
      </c>
      <c r="BH46" s="166">
        <f t="shared" si="11"/>
        <v>7732.8</v>
      </c>
      <c r="BI46" s="166">
        <f t="shared" si="12"/>
        <v>0</v>
      </c>
      <c r="BJ46" s="166">
        <f>SUM('Historical Orders'!$BG46:$BI46)</f>
        <v>19102.4</v>
      </c>
      <c r="BK46" s="167"/>
      <c r="BL46" s="166">
        <f t="shared" si="13"/>
        <v>0</v>
      </c>
      <c r="BM46" s="166">
        <f t="shared" si="14"/>
        <v>0</v>
      </c>
      <c r="BN46" s="166">
        <f t="shared" si="15"/>
        <v>20882.8</v>
      </c>
      <c r="BO46" s="166">
        <f>SUM('Historical Orders'!$BL46:$BN46)</f>
        <v>20882.8</v>
      </c>
      <c r="BP46" s="167"/>
      <c r="BQ46" s="166">
        <f t="shared" si="16"/>
        <v>8896.8</v>
      </c>
      <c r="BR46" s="166">
        <f t="shared" si="17"/>
        <v>7591.2</v>
      </c>
      <c r="BS46" s="166">
        <f t="shared" si="18"/>
        <v>0</v>
      </c>
      <c r="BT46" s="166">
        <f>SUM('Historical Orders'!$BQ46:$BS46)</f>
        <v>16488</v>
      </c>
      <c r="BU46" s="167"/>
      <c r="BV46" s="166">
        <f t="shared" si="19"/>
        <v>0</v>
      </c>
      <c r="BW46" s="166">
        <f t="shared" si="20"/>
        <v>0</v>
      </c>
      <c r="BX46" s="166">
        <f t="shared" si="21"/>
        <v>28850.8</v>
      </c>
      <c r="BY46" s="166">
        <f>SUM('Historical Orders'!$BV46:$BX46)</f>
        <v>28850.8</v>
      </c>
      <c r="BZ46" s="167"/>
      <c r="CA46" s="168">
        <f t="shared" si="22"/>
        <v>3</v>
      </c>
      <c r="CB46" s="168">
        <f t="shared" si="23"/>
        <v>3</v>
      </c>
      <c r="CC46" s="168">
        <f t="shared" si="24"/>
        <v>4</v>
      </c>
      <c r="CD46" s="168">
        <f t="shared" si="25"/>
        <v>2</v>
      </c>
      <c r="CE46" s="168">
        <f t="shared" si="26"/>
        <v>2</v>
      </c>
      <c r="CF46" s="169">
        <f t="shared" si="27"/>
        <v>2</v>
      </c>
      <c r="CG46" s="169">
        <f t="shared" si="28"/>
        <v>2</v>
      </c>
      <c r="CH46" s="170"/>
    </row>
    <row r="47" ht="15.75" customHeight="1">
      <c r="A47" s="151">
        <v>41904.0</v>
      </c>
      <c r="B47" s="152">
        <v>2.0</v>
      </c>
      <c r="C47" s="152" t="s">
        <v>45</v>
      </c>
      <c r="D47" s="152">
        <v>2.0</v>
      </c>
      <c r="E47" s="153">
        <v>4550.0</v>
      </c>
      <c r="F47" s="154">
        <v>1.2</v>
      </c>
      <c r="G47" s="155">
        <v>5460.0</v>
      </c>
      <c r="H47" s="159">
        <f>SUMIFS('Historical Orders'!$E47, 'Historical Orders'!$D47, "1", 'Historical Orders'!$C47, "A", 'Historical Orders'!$B47, "1")</f>
        <v>0</v>
      </c>
      <c r="I47" s="157">
        <f>SUMIFS('Historical Orders'!$G47, 'Historical Orders'!$D47, "1", 'Historical Orders'!$C47, "A", 'Historical Orders'!$B47, "1")</f>
        <v>0</v>
      </c>
      <c r="J47" s="157">
        <f>SUMIFS('Historical Orders'!$E47, 'Historical Orders'!$D47, "1", 'Historical Orders'!$C47, "B", 'Historical Orders'!$B47, "1")</f>
        <v>0</v>
      </c>
      <c r="K47" s="157">
        <f>SUMIFS('Historical Orders'!$G47, 'Historical Orders'!$D47, "1", 'Historical Orders'!$C47, "B", 'Historical Orders'!$B47, "1")</f>
        <v>0</v>
      </c>
      <c r="L47" s="159">
        <f>SUMIFS('Historical Orders'!$E47, 'Historical Orders'!$D47, "1", 'Historical Orders'!$C47, "A", 'Historical Orders'!$B47, "2")</f>
        <v>0</v>
      </c>
      <c r="M47" s="157">
        <f>SUMIFS('Historical Orders'!$G47, 'Historical Orders'!$D47, "1", 'Historical Orders'!$C47, "A", 'Historical Orders'!$B47, "2")</f>
        <v>0</v>
      </c>
      <c r="N47" s="157">
        <f>SUMIFS('Historical Orders'!$E47, 'Historical Orders'!$D47, "1", 'Historical Orders'!$C47, "B", 'Historical Orders'!$B47, "2")</f>
        <v>0</v>
      </c>
      <c r="O47" s="157">
        <f>SUMIFS('Historical Orders'!$G47, 'Historical Orders'!$D47, "1", 'Historical Orders'!$C47, "B", 'Historical Orders'!$B47, "2")</f>
        <v>0</v>
      </c>
      <c r="P47" s="159">
        <f>SUMIFS('Historical Orders'!$E47, 'Historical Orders'!$D47, "2", 'Historical Orders'!$C47, "A", 'Historical Orders'!$B47, "1")</f>
        <v>0</v>
      </c>
      <c r="Q47" s="157">
        <f>SUMIFS('Historical Orders'!$G47, 'Historical Orders'!$D47, "2", 'Historical Orders'!$C47, "A", 'Historical Orders'!$B47, "1")</f>
        <v>0</v>
      </c>
      <c r="R47" s="159">
        <f>SUMIFS('Historical Orders'!$E47, 'Historical Orders'!$D47, "2", 'Historical Orders'!$C47, "B", 'Historical Orders'!$B47, "1")</f>
        <v>0</v>
      </c>
      <c r="S47" s="157">
        <f>SUMIFS('Historical Orders'!$G47, 'Historical Orders'!$D47, "2", 'Historical Orders'!$C47, "B", 'Historical Orders'!$B47, "1")</f>
        <v>0</v>
      </c>
      <c r="T47" s="159">
        <f>SUMIFS('Historical Orders'!$E47, 'Historical Orders'!$D47, "2", 'Historical Orders'!$C47, "A", 'Historical Orders'!$B47, "2")</f>
        <v>4550</v>
      </c>
      <c r="U47" s="157">
        <f>SUMIFS('Historical Orders'!$G47, 'Historical Orders'!$D47, "2", 'Historical Orders'!$C47, "A", 'Historical Orders'!$B47, "2")</f>
        <v>5460</v>
      </c>
      <c r="V47" s="159">
        <f>SUMIFS('Historical Orders'!$E47, 'Historical Orders'!$D47, "2", 'Historical Orders'!$C47, "B", 'Historical Orders'!$B47, "2")</f>
        <v>0</v>
      </c>
      <c r="W47" s="159">
        <f>SUMIFS('Historical Orders'!$G47, 'Historical Orders'!$D47, "2", 'Historical Orders'!$C47, "B", 'Historical Orders'!$B47, "2")</f>
        <v>0</v>
      </c>
      <c r="X47" s="159">
        <f>SUMIFS('Historical Orders'!$E47, 'Historical Orders'!$D47, "3", 'Historical Orders'!$C47, "A", 'Historical Orders'!$B47, "1")</f>
        <v>0</v>
      </c>
      <c r="Y47" s="159">
        <f>SUMIFS('Historical Orders'!$G47, 'Historical Orders'!$D47, "3", 'Historical Orders'!$C47, "A", 'Historical Orders'!$B47, "1")</f>
        <v>0</v>
      </c>
      <c r="Z47" s="159">
        <f>SUMIFS('Historical Orders'!$E47, 'Historical Orders'!$D47, "3", 'Historical Orders'!$C47, "B", 'Historical Orders'!$B47, "1")</f>
        <v>0</v>
      </c>
      <c r="AA47" s="159">
        <f>SUMIFS('Historical Orders'!$G47, 'Historical Orders'!$D47, "3", 'Historical Orders'!$C47, "B", 'Historical Orders'!$B47, "1")</f>
        <v>0</v>
      </c>
      <c r="AB47" s="159">
        <f>SUMIFS('Historical Orders'!$E47, 'Historical Orders'!$D47, "3", 'Historical Orders'!$C47, "A", 'Historical Orders'!$B47, "2")</f>
        <v>0</v>
      </c>
      <c r="AC47" s="159">
        <f>SUMIFS('Historical Orders'!$G47, 'Historical Orders'!$D47, "3", 'Historical Orders'!$C47, "A", 'Historical Orders'!$B47, "2")</f>
        <v>0</v>
      </c>
      <c r="AD47" s="159">
        <f>SUMIFS('Historical Orders'!$E47, 'Historical Orders'!$D47, "3", 'Historical Orders'!$C47, "B", 'Historical Orders'!$B47, "2")</f>
        <v>0</v>
      </c>
      <c r="AE47" s="157">
        <f>SUMIFS('Historical Orders'!$G47, 'Historical Orders'!$D47, "3", 'Historical Orders'!$C47, "B", 'Historical Orders'!$B47, "2")</f>
        <v>0</v>
      </c>
      <c r="AF47" s="157">
        <f>SUMIFS('Historical Orders'!$E47, 'Historical Orders'!$D47, "4", 'Historical Orders'!$C47, "A", 'Historical Orders'!$B47, "1")</f>
        <v>0</v>
      </c>
      <c r="AG47" s="157">
        <f>SUMIFS('Historical Orders'!$G47, 'Historical Orders'!$D47, "4", 'Historical Orders'!$C47, "A", 'Historical Orders'!$B47, "1")</f>
        <v>0</v>
      </c>
      <c r="AH47" s="157">
        <f>SUMIFS('Historical Orders'!$E47, 'Historical Orders'!$D47, "4", 'Historical Orders'!$C47, "B", 'Historical Orders'!$B47, "1")</f>
        <v>0</v>
      </c>
      <c r="AI47" s="157">
        <f>SUMIFS('Historical Orders'!$G47, 'Historical Orders'!$D47, "4", 'Historical Orders'!$C47, "B", 'Historical Orders'!$B47, "1")</f>
        <v>0</v>
      </c>
      <c r="AJ47" s="157">
        <f>SUMIFS('Historical Orders'!$E47, 'Historical Orders'!$D47, "4", 'Historical Orders'!$C47, "A", 'Historical Orders'!$B47, "2")</f>
        <v>0</v>
      </c>
      <c r="AK47" s="157">
        <f>SUMIFS('Historical Orders'!$G47, 'Historical Orders'!$D47, "4", 'Historical Orders'!$C47, "A", 'Historical Orders'!$B47, "2")</f>
        <v>0</v>
      </c>
      <c r="AL47" s="171">
        <f>SUMIFS('Historical Orders'!$E47, 'Historical Orders'!$D47, "4", 'Historical Orders'!$C47, "B", 'Historical Orders'!$B47, "2")</f>
        <v>0</v>
      </c>
      <c r="AM47" s="171">
        <f>SUMIFS('Historical Orders'!$G47, 'Historical Orders'!$D47, "4", 'Historical Orders'!$C47, "B", 'Historical Orders'!$B47, "2")</f>
        <v>0</v>
      </c>
      <c r="AN47" s="171">
        <f>SUMIFS('Historical Orders'!$G47, 'Historical Orders'!$C47, "A", 'Historical Orders'!$B47, "1")</f>
        <v>0</v>
      </c>
      <c r="AO47" s="171">
        <f>SUMIFS('Historical Orders'!$G47, 'Historical Orders'!$C47, "B", 'Historical Orders'!$B47, "1")</f>
        <v>0</v>
      </c>
      <c r="AP47" s="171">
        <f>SUMIFS('Historical Orders'!$G47, 'Historical Orders'!$C47, "A", 'Historical Orders'!$B47, "2")</f>
        <v>5460</v>
      </c>
      <c r="AQ47" s="171">
        <f>SUMIFS('Historical Orders'!$G47, 'Historical Orders'!$C47, "B", 'Historical Orders'!$B47, "2")</f>
        <v>0</v>
      </c>
      <c r="AR47" s="145"/>
      <c r="AS47" s="146"/>
      <c r="AT47" s="161">
        <v>42170.0</v>
      </c>
      <c r="AU47" s="162"/>
      <c r="AV47" s="163">
        <f t="shared" si="1"/>
        <v>42170</v>
      </c>
      <c r="AW47" s="164">
        <f t="shared" si="2"/>
        <v>28443</v>
      </c>
      <c r="AX47" s="164">
        <f t="shared" si="3"/>
        <v>13853</v>
      </c>
      <c r="AY47" s="164">
        <f t="shared" si="4"/>
        <v>14590</v>
      </c>
      <c r="AZ47" s="164">
        <f t="shared" si="5"/>
        <v>24186</v>
      </c>
      <c r="BA47" s="164">
        <f t="shared" si="6"/>
        <v>4257</v>
      </c>
      <c r="BB47" s="165"/>
      <c r="BC47" s="166">
        <f t="shared" si="7"/>
        <v>73626.3</v>
      </c>
      <c r="BD47" s="166">
        <f t="shared" si="8"/>
        <v>36287.6</v>
      </c>
      <c r="BE47" s="166">
        <f t="shared" si="9"/>
        <v>37338.7</v>
      </c>
      <c r="BF47" s="167"/>
      <c r="BG47" s="166">
        <f t="shared" si="10"/>
        <v>11083.6</v>
      </c>
      <c r="BH47" s="166">
        <f t="shared" si="11"/>
        <v>8106</v>
      </c>
      <c r="BI47" s="166">
        <f t="shared" si="12"/>
        <v>0</v>
      </c>
      <c r="BJ47" s="166">
        <f>SUM('Historical Orders'!$BG47:$BI47)</f>
        <v>19189.6</v>
      </c>
      <c r="BK47" s="167"/>
      <c r="BL47" s="166">
        <f t="shared" si="13"/>
        <v>0</v>
      </c>
      <c r="BM47" s="166">
        <f t="shared" si="14"/>
        <v>0</v>
      </c>
      <c r="BN47" s="166">
        <f t="shared" si="15"/>
        <v>17098</v>
      </c>
      <c r="BO47" s="166">
        <f>SUM('Historical Orders'!$BL47:$BN47)</f>
        <v>17098</v>
      </c>
      <c r="BP47" s="167"/>
      <c r="BQ47" s="166">
        <f t="shared" si="16"/>
        <v>9310.4</v>
      </c>
      <c r="BR47" s="166">
        <f t="shared" si="17"/>
        <v>9793.2</v>
      </c>
      <c r="BS47" s="166">
        <f t="shared" si="18"/>
        <v>0</v>
      </c>
      <c r="BT47" s="166">
        <f>SUM('Historical Orders'!$BQ47:$BS47)</f>
        <v>19103.6</v>
      </c>
      <c r="BU47" s="167"/>
      <c r="BV47" s="166">
        <f t="shared" si="19"/>
        <v>0</v>
      </c>
      <c r="BW47" s="166">
        <f t="shared" si="20"/>
        <v>0</v>
      </c>
      <c r="BX47" s="166">
        <f t="shared" si="21"/>
        <v>18235.1</v>
      </c>
      <c r="BY47" s="166">
        <f>SUM('Historical Orders'!$BV47:$BX47)</f>
        <v>18235.1</v>
      </c>
      <c r="BZ47" s="167"/>
      <c r="CA47" s="168">
        <f t="shared" si="22"/>
        <v>3</v>
      </c>
      <c r="CB47" s="168">
        <f t="shared" si="23"/>
        <v>3</v>
      </c>
      <c r="CC47" s="168">
        <f t="shared" si="24"/>
        <v>4</v>
      </c>
      <c r="CD47" s="168">
        <f t="shared" si="25"/>
        <v>2</v>
      </c>
      <c r="CE47" s="168">
        <f t="shared" si="26"/>
        <v>2</v>
      </c>
      <c r="CF47" s="169">
        <f t="shared" si="27"/>
        <v>2</v>
      </c>
      <c r="CG47" s="169">
        <f t="shared" si="28"/>
        <v>2</v>
      </c>
      <c r="CH47" s="170"/>
    </row>
    <row r="48" ht="15.75" customHeight="1">
      <c r="A48" s="151">
        <v>41904.0</v>
      </c>
      <c r="B48" s="152">
        <v>1.0</v>
      </c>
      <c r="C48" s="152" t="s">
        <v>46</v>
      </c>
      <c r="D48" s="152">
        <v>3.0</v>
      </c>
      <c r="E48" s="153">
        <v>1915.0</v>
      </c>
      <c r="F48" s="154">
        <v>8.3</v>
      </c>
      <c r="G48" s="155">
        <v>15894.500000000002</v>
      </c>
      <c r="H48" s="159">
        <f>SUMIFS('Historical Orders'!$E48, 'Historical Orders'!$D48, "1", 'Historical Orders'!$C48, "A", 'Historical Orders'!$B48, "1")</f>
        <v>0</v>
      </c>
      <c r="I48" s="157">
        <f>SUMIFS('Historical Orders'!$G48, 'Historical Orders'!$D48, "1", 'Historical Orders'!$C48, "A", 'Historical Orders'!$B48, "1")</f>
        <v>0</v>
      </c>
      <c r="J48" s="157">
        <f>SUMIFS('Historical Orders'!$E48, 'Historical Orders'!$D48, "1", 'Historical Orders'!$C48, "B", 'Historical Orders'!$B48, "1")</f>
        <v>0</v>
      </c>
      <c r="K48" s="157">
        <f>SUMIFS('Historical Orders'!$G48, 'Historical Orders'!$D48, "1", 'Historical Orders'!$C48, "B", 'Historical Orders'!$B48, "1")</f>
        <v>0</v>
      </c>
      <c r="L48" s="159">
        <f>SUMIFS('Historical Orders'!$E48, 'Historical Orders'!$D48, "1", 'Historical Orders'!$C48, "A", 'Historical Orders'!$B48, "2")</f>
        <v>0</v>
      </c>
      <c r="M48" s="157">
        <f>SUMIFS('Historical Orders'!$G48, 'Historical Orders'!$D48, "1", 'Historical Orders'!$C48, "A", 'Historical Orders'!$B48, "2")</f>
        <v>0</v>
      </c>
      <c r="N48" s="157">
        <f>SUMIFS('Historical Orders'!$E48, 'Historical Orders'!$D48, "1", 'Historical Orders'!$C48, "B", 'Historical Orders'!$B48, "2")</f>
        <v>0</v>
      </c>
      <c r="O48" s="157">
        <f>SUMIFS('Historical Orders'!$G48, 'Historical Orders'!$D48, "1", 'Historical Orders'!$C48, "B", 'Historical Orders'!$B48, "2")</f>
        <v>0</v>
      </c>
      <c r="P48" s="159">
        <f>SUMIFS('Historical Orders'!$E48, 'Historical Orders'!$D48, "2", 'Historical Orders'!$C48, "A", 'Historical Orders'!$B48, "1")</f>
        <v>0</v>
      </c>
      <c r="Q48" s="157">
        <f>SUMIFS('Historical Orders'!$G48, 'Historical Orders'!$D48, "2", 'Historical Orders'!$C48, "A", 'Historical Orders'!$B48, "1")</f>
        <v>0</v>
      </c>
      <c r="R48" s="159">
        <f>SUMIFS('Historical Orders'!$E48, 'Historical Orders'!$D48, "2", 'Historical Orders'!$C48, "B", 'Historical Orders'!$B48, "1")</f>
        <v>0</v>
      </c>
      <c r="S48" s="157">
        <f>SUMIFS('Historical Orders'!$G48, 'Historical Orders'!$D48, "2", 'Historical Orders'!$C48, "B", 'Historical Orders'!$B48, "1")</f>
        <v>0</v>
      </c>
      <c r="T48" s="159">
        <f>SUMIFS('Historical Orders'!$E48, 'Historical Orders'!$D48, "2", 'Historical Orders'!$C48, "A", 'Historical Orders'!$B48, "2")</f>
        <v>0</v>
      </c>
      <c r="U48" s="157">
        <f>SUMIFS('Historical Orders'!$G48, 'Historical Orders'!$D48, "2", 'Historical Orders'!$C48, "A", 'Historical Orders'!$B48, "2")</f>
        <v>0</v>
      </c>
      <c r="V48" s="159">
        <f>SUMIFS('Historical Orders'!$E48, 'Historical Orders'!$D48, "2", 'Historical Orders'!$C48, "B", 'Historical Orders'!$B48, "2")</f>
        <v>0</v>
      </c>
      <c r="W48" s="159">
        <f>SUMIFS('Historical Orders'!$G48, 'Historical Orders'!$D48, "2", 'Historical Orders'!$C48, "B", 'Historical Orders'!$B48, "2")</f>
        <v>0</v>
      </c>
      <c r="X48" s="159">
        <f>SUMIFS('Historical Orders'!$E48, 'Historical Orders'!$D48, "3", 'Historical Orders'!$C48, "A", 'Historical Orders'!$B48, "1")</f>
        <v>0</v>
      </c>
      <c r="Y48" s="159">
        <f>SUMIFS('Historical Orders'!$G48, 'Historical Orders'!$D48, "3", 'Historical Orders'!$C48, "A", 'Historical Orders'!$B48, "1")</f>
        <v>0</v>
      </c>
      <c r="Z48" s="159">
        <f>SUMIFS('Historical Orders'!$E48, 'Historical Orders'!$D48, "3", 'Historical Orders'!$C48, "B", 'Historical Orders'!$B48, "1")</f>
        <v>1915</v>
      </c>
      <c r="AA48" s="159">
        <f>SUMIFS('Historical Orders'!$G48, 'Historical Orders'!$D48, "3", 'Historical Orders'!$C48, "B", 'Historical Orders'!$B48, "1")</f>
        <v>15894.5</v>
      </c>
      <c r="AB48" s="159">
        <f>SUMIFS('Historical Orders'!$E48, 'Historical Orders'!$D48, "3", 'Historical Orders'!$C48, "A", 'Historical Orders'!$B48, "2")</f>
        <v>0</v>
      </c>
      <c r="AC48" s="159">
        <f>SUMIFS('Historical Orders'!$G48, 'Historical Orders'!$D48, "3", 'Historical Orders'!$C48, "A", 'Historical Orders'!$B48, "2")</f>
        <v>0</v>
      </c>
      <c r="AD48" s="159">
        <f>SUMIFS('Historical Orders'!$E48, 'Historical Orders'!$D48, "3", 'Historical Orders'!$C48, "B", 'Historical Orders'!$B48, "2")</f>
        <v>0</v>
      </c>
      <c r="AE48" s="157">
        <f>SUMIFS('Historical Orders'!$G48, 'Historical Orders'!$D48, "3", 'Historical Orders'!$C48, "B", 'Historical Orders'!$B48, "2")</f>
        <v>0</v>
      </c>
      <c r="AF48" s="157">
        <f>SUMIFS('Historical Orders'!$E48, 'Historical Orders'!$D48, "4", 'Historical Orders'!$C48, "A", 'Historical Orders'!$B48, "1")</f>
        <v>0</v>
      </c>
      <c r="AG48" s="157">
        <f>SUMIFS('Historical Orders'!$G48, 'Historical Orders'!$D48, "4", 'Historical Orders'!$C48, "A", 'Historical Orders'!$B48, "1")</f>
        <v>0</v>
      </c>
      <c r="AH48" s="157">
        <f>SUMIFS('Historical Orders'!$E48, 'Historical Orders'!$D48, "4", 'Historical Orders'!$C48, "B", 'Historical Orders'!$B48, "1")</f>
        <v>0</v>
      </c>
      <c r="AI48" s="157">
        <f>SUMIFS('Historical Orders'!$G48, 'Historical Orders'!$D48, "4", 'Historical Orders'!$C48, "B", 'Historical Orders'!$B48, "1")</f>
        <v>0</v>
      </c>
      <c r="AJ48" s="157">
        <f>SUMIFS('Historical Orders'!$E48, 'Historical Orders'!$D48, "4", 'Historical Orders'!$C48, "A", 'Historical Orders'!$B48, "2")</f>
        <v>0</v>
      </c>
      <c r="AK48" s="157">
        <f>SUMIFS('Historical Orders'!$G48, 'Historical Orders'!$D48, "4", 'Historical Orders'!$C48, "A", 'Historical Orders'!$B48, "2")</f>
        <v>0</v>
      </c>
      <c r="AL48" s="171">
        <f>SUMIFS('Historical Orders'!$E48, 'Historical Orders'!$D48, "4", 'Historical Orders'!$C48, "B", 'Historical Orders'!$B48, "2")</f>
        <v>0</v>
      </c>
      <c r="AM48" s="171">
        <f>SUMIFS('Historical Orders'!$G48, 'Historical Orders'!$D48, "4", 'Historical Orders'!$C48, "B", 'Historical Orders'!$B48, "2")</f>
        <v>0</v>
      </c>
      <c r="AN48" s="171">
        <f>SUMIFS('Historical Orders'!$G48, 'Historical Orders'!$C48, "A", 'Historical Orders'!$B48, "1")</f>
        <v>0</v>
      </c>
      <c r="AO48" s="171">
        <f>SUMIFS('Historical Orders'!$G48, 'Historical Orders'!$C48, "B", 'Historical Orders'!$B48, "1")</f>
        <v>15894.5</v>
      </c>
      <c r="AP48" s="171">
        <f>SUMIFS('Historical Orders'!$G48, 'Historical Orders'!$C48, "A", 'Historical Orders'!$B48, "2")</f>
        <v>0</v>
      </c>
      <c r="AQ48" s="171">
        <f>SUMIFS('Historical Orders'!$G48, 'Historical Orders'!$C48, "B", 'Historical Orders'!$B48, "2")</f>
        <v>0</v>
      </c>
      <c r="AR48" s="145"/>
      <c r="AS48" s="146"/>
      <c r="AT48" s="161">
        <v>42177.0</v>
      </c>
      <c r="AU48" s="162"/>
      <c r="AV48" s="163">
        <f t="shared" si="1"/>
        <v>42177</v>
      </c>
      <c r="AW48" s="164">
        <f t="shared" si="2"/>
        <v>26552</v>
      </c>
      <c r="AX48" s="164">
        <f t="shared" si="3"/>
        <v>13930</v>
      </c>
      <c r="AY48" s="164">
        <f t="shared" si="4"/>
        <v>12622</v>
      </c>
      <c r="AZ48" s="164">
        <f t="shared" si="5"/>
        <v>21214</v>
      </c>
      <c r="BA48" s="164">
        <f t="shared" si="6"/>
        <v>5338</v>
      </c>
      <c r="BB48" s="165"/>
      <c r="BC48" s="166">
        <f t="shared" si="7"/>
        <v>77394.2</v>
      </c>
      <c r="BD48" s="166">
        <f t="shared" si="8"/>
        <v>39045</v>
      </c>
      <c r="BE48" s="166">
        <f t="shared" si="9"/>
        <v>38349.2</v>
      </c>
      <c r="BF48" s="167"/>
      <c r="BG48" s="166">
        <f t="shared" si="10"/>
        <v>10230</v>
      </c>
      <c r="BH48" s="166">
        <f t="shared" si="11"/>
        <v>8148</v>
      </c>
      <c r="BI48" s="166">
        <f t="shared" si="12"/>
        <v>0</v>
      </c>
      <c r="BJ48" s="166">
        <f>SUM('Historical Orders'!$BG48:$BI48)</f>
        <v>18378</v>
      </c>
      <c r="BK48" s="167"/>
      <c r="BL48" s="166">
        <f t="shared" si="13"/>
        <v>0</v>
      </c>
      <c r="BM48" s="166">
        <f t="shared" si="14"/>
        <v>0</v>
      </c>
      <c r="BN48" s="166">
        <f t="shared" si="15"/>
        <v>20667</v>
      </c>
      <c r="BO48" s="166">
        <f>SUM('Historical Orders'!$BL48:$BN48)</f>
        <v>20667</v>
      </c>
      <c r="BP48" s="167"/>
      <c r="BQ48" s="166">
        <f t="shared" si="16"/>
        <v>6560.4</v>
      </c>
      <c r="BR48" s="166">
        <f t="shared" si="17"/>
        <v>8150.4</v>
      </c>
      <c r="BS48" s="166">
        <f t="shared" si="18"/>
        <v>0</v>
      </c>
      <c r="BT48" s="166">
        <f>SUM('Historical Orders'!$BQ48:$BS48)</f>
        <v>14710.8</v>
      </c>
      <c r="BU48" s="167"/>
      <c r="BV48" s="166">
        <f t="shared" si="19"/>
        <v>0</v>
      </c>
      <c r="BW48" s="166">
        <f t="shared" si="20"/>
        <v>0</v>
      </c>
      <c r="BX48" s="166">
        <f t="shared" si="21"/>
        <v>23638.4</v>
      </c>
      <c r="BY48" s="166">
        <f>SUM('Historical Orders'!$BV48:$BX48)</f>
        <v>23638.4</v>
      </c>
      <c r="BZ48" s="167"/>
      <c r="CA48" s="168">
        <f t="shared" si="22"/>
        <v>3</v>
      </c>
      <c r="CB48" s="168">
        <f t="shared" si="23"/>
        <v>3</v>
      </c>
      <c r="CC48" s="168">
        <f t="shared" si="24"/>
        <v>4</v>
      </c>
      <c r="CD48" s="168">
        <f t="shared" si="25"/>
        <v>2</v>
      </c>
      <c r="CE48" s="168">
        <f t="shared" si="26"/>
        <v>2</v>
      </c>
      <c r="CF48" s="169">
        <f t="shared" si="27"/>
        <v>2</v>
      </c>
      <c r="CG48" s="169">
        <f t="shared" si="28"/>
        <v>2</v>
      </c>
      <c r="CH48" s="170"/>
    </row>
    <row r="49" ht="15.75" customHeight="1">
      <c r="A49" s="151">
        <v>41904.0</v>
      </c>
      <c r="B49" s="152">
        <v>2.0</v>
      </c>
      <c r="C49" s="152" t="s">
        <v>46</v>
      </c>
      <c r="D49" s="152">
        <v>3.0</v>
      </c>
      <c r="E49" s="153">
        <v>2276.0</v>
      </c>
      <c r="F49" s="154">
        <v>8.3</v>
      </c>
      <c r="G49" s="155">
        <v>18890.800000000003</v>
      </c>
      <c r="H49" s="159">
        <f>SUMIFS('Historical Orders'!$E49, 'Historical Orders'!$D49, "1", 'Historical Orders'!$C49, "A", 'Historical Orders'!$B49, "1")</f>
        <v>0</v>
      </c>
      <c r="I49" s="157">
        <f>SUMIFS('Historical Orders'!$G49, 'Historical Orders'!$D49, "1", 'Historical Orders'!$C49, "A", 'Historical Orders'!$B49, "1")</f>
        <v>0</v>
      </c>
      <c r="J49" s="157">
        <f>SUMIFS('Historical Orders'!$E49, 'Historical Orders'!$D49, "1", 'Historical Orders'!$C49, "B", 'Historical Orders'!$B49, "1")</f>
        <v>0</v>
      </c>
      <c r="K49" s="157">
        <f>SUMIFS('Historical Orders'!$G49, 'Historical Orders'!$D49, "1", 'Historical Orders'!$C49, "B", 'Historical Orders'!$B49, "1")</f>
        <v>0</v>
      </c>
      <c r="L49" s="159">
        <f>SUMIFS('Historical Orders'!$E49, 'Historical Orders'!$D49, "1", 'Historical Orders'!$C49, "A", 'Historical Orders'!$B49, "2")</f>
        <v>0</v>
      </c>
      <c r="M49" s="157">
        <f>SUMIFS('Historical Orders'!$G49, 'Historical Orders'!$D49, "1", 'Historical Orders'!$C49, "A", 'Historical Orders'!$B49, "2")</f>
        <v>0</v>
      </c>
      <c r="N49" s="157">
        <f>SUMIFS('Historical Orders'!$E49, 'Historical Orders'!$D49, "1", 'Historical Orders'!$C49, "B", 'Historical Orders'!$B49, "2")</f>
        <v>0</v>
      </c>
      <c r="O49" s="157">
        <f>SUMIFS('Historical Orders'!$G49, 'Historical Orders'!$D49, "1", 'Historical Orders'!$C49, "B", 'Historical Orders'!$B49, "2")</f>
        <v>0</v>
      </c>
      <c r="P49" s="159">
        <f>SUMIFS('Historical Orders'!$E49, 'Historical Orders'!$D49, "2", 'Historical Orders'!$C49, "A", 'Historical Orders'!$B49, "1")</f>
        <v>0</v>
      </c>
      <c r="Q49" s="157">
        <f>SUMIFS('Historical Orders'!$G49, 'Historical Orders'!$D49, "2", 'Historical Orders'!$C49, "A", 'Historical Orders'!$B49, "1")</f>
        <v>0</v>
      </c>
      <c r="R49" s="159">
        <f>SUMIFS('Historical Orders'!$E49, 'Historical Orders'!$D49, "2", 'Historical Orders'!$C49, "B", 'Historical Orders'!$B49, "1")</f>
        <v>0</v>
      </c>
      <c r="S49" s="157">
        <f>SUMIFS('Historical Orders'!$G49, 'Historical Orders'!$D49, "2", 'Historical Orders'!$C49, "B", 'Historical Orders'!$B49, "1")</f>
        <v>0</v>
      </c>
      <c r="T49" s="159">
        <f>SUMIFS('Historical Orders'!$E49, 'Historical Orders'!$D49, "2", 'Historical Orders'!$C49, "A", 'Historical Orders'!$B49, "2")</f>
        <v>0</v>
      </c>
      <c r="U49" s="157">
        <f>SUMIFS('Historical Orders'!$G49, 'Historical Orders'!$D49, "2", 'Historical Orders'!$C49, "A", 'Historical Orders'!$B49, "2")</f>
        <v>0</v>
      </c>
      <c r="V49" s="159">
        <f>SUMIFS('Historical Orders'!$E49, 'Historical Orders'!$D49, "2", 'Historical Orders'!$C49, "B", 'Historical Orders'!$B49, "2")</f>
        <v>0</v>
      </c>
      <c r="W49" s="159">
        <f>SUMIFS('Historical Orders'!$G49, 'Historical Orders'!$D49, "2", 'Historical Orders'!$C49, "B", 'Historical Orders'!$B49, "2")</f>
        <v>0</v>
      </c>
      <c r="X49" s="159">
        <f>SUMIFS('Historical Orders'!$E49, 'Historical Orders'!$D49, "3", 'Historical Orders'!$C49, "A", 'Historical Orders'!$B49, "1")</f>
        <v>0</v>
      </c>
      <c r="Y49" s="159">
        <f>SUMIFS('Historical Orders'!$G49, 'Historical Orders'!$D49, "3", 'Historical Orders'!$C49, "A", 'Historical Orders'!$B49, "1")</f>
        <v>0</v>
      </c>
      <c r="Z49" s="159">
        <f>SUMIFS('Historical Orders'!$E49, 'Historical Orders'!$D49, "3", 'Historical Orders'!$C49, "B", 'Historical Orders'!$B49, "1")</f>
        <v>0</v>
      </c>
      <c r="AA49" s="159">
        <f>SUMIFS('Historical Orders'!$G49, 'Historical Orders'!$D49, "3", 'Historical Orders'!$C49, "B", 'Historical Orders'!$B49, "1")</f>
        <v>0</v>
      </c>
      <c r="AB49" s="159">
        <f>SUMIFS('Historical Orders'!$E49, 'Historical Orders'!$D49, "3", 'Historical Orders'!$C49, "A", 'Historical Orders'!$B49, "2")</f>
        <v>0</v>
      </c>
      <c r="AC49" s="159">
        <f>SUMIFS('Historical Orders'!$G49, 'Historical Orders'!$D49, "3", 'Historical Orders'!$C49, "A", 'Historical Orders'!$B49, "2")</f>
        <v>0</v>
      </c>
      <c r="AD49" s="159">
        <f>SUMIFS('Historical Orders'!$E49, 'Historical Orders'!$D49, "3", 'Historical Orders'!$C49, "B", 'Historical Orders'!$B49, "2")</f>
        <v>2276</v>
      </c>
      <c r="AE49" s="157">
        <f>SUMIFS('Historical Orders'!$G49, 'Historical Orders'!$D49, "3", 'Historical Orders'!$C49, "B", 'Historical Orders'!$B49, "2")</f>
        <v>18890.8</v>
      </c>
      <c r="AF49" s="157">
        <f>SUMIFS('Historical Orders'!$E49, 'Historical Orders'!$D49, "4", 'Historical Orders'!$C49, "A", 'Historical Orders'!$B49, "1")</f>
        <v>0</v>
      </c>
      <c r="AG49" s="157">
        <f>SUMIFS('Historical Orders'!$G49, 'Historical Orders'!$D49, "4", 'Historical Orders'!$C49, "A", 'Historical Orders'!$B49, "1")</f>
        <v>0</v>
      </c>
      <c r="AH49" s="157">
        <f>SUMIFS('Historical Orders'!$E49, 'Historical Orders'!$D49, "4", 'Historical Orders'!$C49, "B", 'Historical Orders'!$B49, "1")</f>
        <v>0</v>
      </c>
      <c r="AI49" s="157">
        <f>SUMIFS('Historical Orders'!$G49, 'Historical Orders'!$D49, "4", 'Historical Orders'!$C49, "B", 'Historical Orders'!$B49, "1")</f>
        <v>0</v>
      </c>
      <c r="AJ49" s="157">
        <f>SUMIFS('Historical Orders'!$E49, 'Historical Orders'!$D49, "4", 'Historical Orders'!$C49, "A", 'Historical Orders'!$B49, "2")</f>
        <v>0</v>
      </c>
      <c r="AK49" s="157">
        <f>SUMIFS('Historical Orders'!$G49, 'Historical Orders'!$D49, "4", 'Historical Orders'!$C49, "A", 'Historical Orders'!$B49, "2")</f>
        <v>0</v>
      </c>
      <c r="AL49" s="171">
        <f>SUMIFS('Historical Orders'!$E49, 'Historical Orders'!$D49, "4", 'Historical Orders'!$C49, "B", 'Historical Orders'!$B49, "2")</f>
        <v>0</v>
      </c>
      <c r="AM49" s="171">
        <f>SUMIFS('Historical Orders'!$G49, 'Historical Orders'!$D49, "4", 'Historical Orders'!$C49, "B", 'Historical Orders'!$B49, "2")</f>
        <v>0</v>
      </c>
      <c r="AN49" s="171">
        <f>SUMIFS('Historical Orders'!$G49, 'Historical Orders'!$C49, "A", 'Historical Orders'!$B49, "1")</f>
        <v>0</v>
      </c>
      <c r="AO49" s="171">
        <f>SUMIFS('Historical Orders'!$G49, 'Historical Orders'!$C49, "B", 'Historical Orders'!$B49, "1")</f>
        <v>0</v>
      </c>
      <c r="AP49" s="171">
        <f>SUMIFS('Historical Orders'!$G49, 'Historical Orders'!$C49, "A", 'Historical Orders'!$B49, "2")</f>
        <v>0</v>
      </c>
      <c r="AQ49" s="171">
        <f>SUMIFS('Historical Orders'!$G49, 'Historical Orders'!$C49, "B", 'Historical Orders'!$B49, "2")</f>
        <v>18890.8</v>
      </c>
      <c r="AR49" s="145"/>
      <c r="AS49" s="146"/>
      <c r="AT49" s="161">
        <v>42184.0</v>
      </c>
      <c r="AU49" s="162"/>
      <c r="AV49" s="163">
        <f t="shared" si="1"/>
        <v>42184</v>
      </c>
      <c r="AW49" s="164">
        <f t="shared" si="2"/>
        <v>26253</v>
      </c>
      <c r="AX49" s="164">
        <f t="shared" si="3"/>
        <v>13926</v>
      </c>
      <c r="AY49" s="164">
        <f t="shared" si="4"/>
        <v>12327</v>
      </c>
      <c r="AZ49" s="164">
        <f t="shared" si="5"/>
        <v>21389</v>
      </c>
      <c r="BA49" s="164">
        <f t="shared" si="6"/>
        <v>4864</v>
      </c>
      <c r="BB49" s="165"/>
      <c r="BC49" s="166">
        <f t="shared" si="7"/>
        <v>76064</v>
      </c>
      <c r="BD49" s="166">
        <f t="shared" si="8"/>
        <v>38110.3</v>
      </c>
      <c r="BE49" s="166">
        <f t="shared" si="9"/>
        <v>37953.7</v>
      </c>
      <c r="BF49" s="167"/>
      <c r="BG49" s="166">
        <f t="shared" si="10"/>
        <v>13010.8</v>
      </c>
      <c r="BH49" s="166">
        <f t="shared" si="11"/>
        <v>6997.2</v>
      </c>
      <c r="BI49" s="166">
        <f t="shared" si="12"/>
        <v>0</v>
      </c>
      <c r="BJ49" s="166">
        <f>SUM('Historical Orders'!$BG49:$BI49)</f>
        <v>20008</v>
      </c>
      <c r="BK49" s="167"/>
      <c r="BL49" s="166">
        <f t="shared" si="13"/>
        <v>0</v>
      </c>
      <c r="BM49" s="166">
        <f t="shared" si="14"/>
        <v>0</v>
      </c>
      <c r="BN49" s="166">
        <f t="shared" si="15"/>
        <v>18102.3</v>
      </c>
      <c r="BO49" s="166">
        <f>SUM('Historical Orders'!$BL49:$BN49)</f>
        <v>18102.3</v>
      </c>
      <c r="BP49" s="167"/>
      <c r="BQ49" s="166">
        <f t="shared" si="16"/>
        <v>9046.4</v>
      </c>
      <c r="BR49" s="166">
        <f t="shared" si="17"/>
        <v>6638.4</v>
      </c>
      <c r="BS49" s="166">
        <f t="shared" si="18"/>
        <v>0</v>
      </c>
      <c r="BT49" s="166">
        <f>SUM('Historical Orders'!$BQ49:$BS49)</f>
        <v>15684.8</v>
      </c>
      <c r="BU49" s="167"/>
      <c r="BV49" s="166">
        <f t="shared" si="19"/>
        <v>0</v>
      </c>
      <c r="BW49" s="166">
        <f t="shared" si="20"/>
        <v>0</v>
      </c>
      <c r="BX49" s="166">
        <f t="shared" si="21"/>
        <v>22268.9</v>
      </c>
      <c r="BY49" s="166">
        <f>SUM('Historical Orders'!$BV49:$BX49)</f>
        <v>22268.9</v>
      </c>
      <c r="BZ49" s="167"/>
      <c r="CA49" s="168">
        <f t="shared" si="22"/>
        <v>3</v>
      </c>
      <c r="CB49" s="168">
        <f t="shared" si="23"/>
        <v>3</v>
      </c>
      <c r="CC49" s="168">
        <f t="shared" si="24"/>
        <v>4</v>
      </c>
      <c r="CD49" s="168">
        <f t="shared" si="25"/>
        <v>2</v>
      </c>
      <c r="CE49" s="168">
        <f t="shared" si="26"/>
        <v>2</v>
      </c>
      <c r="CF49" s="169">
        <f t="shared" si="27"/>
        <v>2</v>
      </c>
      <c r="CG49" s="169">
        <f t="shared" si="28"/>
        <v>2</v>
      </c>
      <c r="CH49" s="170"/>
    </row>
    <row r="50" ht="15.75" customHeight="1">
      <c r="A50" s="151">
        <v>41911.0</v>
      </c>
      <c r="B50" s="152">
        <v>1.0</v>
      </c>
      <c r="C50" s="152" t="s">
        <v>45</v>
      </c>
      <c r="D50" s="152">
        <v>1.0</v>
      </c>
      <c r="E50" s="153">
        <v>3258.0</v>
      </c>
      <c r="F50" s="154">
        <v>2.2</v>
      </c>
      <c r="G50" s="155">
        <v>7167.6</v>
      </c>
      <c r="H50" s="159">
        <f>SUMIFS('Historical Orders'!$E50, 'Historical Orders'!$D50, "1", 'Historical Orders'!$C50, "A", 'Historical Orders'!$B50, "1")</f>
        <v>3258</v>
      </c>
      <c r="I50" s="157">
        <f>SUMIFS('Historical Orders'!$G50, 'Historical Orders'!$D50, "1", 'Historical Orders'!$C50, "A", 'Historical Orders'!$B50, "1")</f>
        <v>7167.6</v>
      </c>
      <c r="J50" s="157">
        <f>SUMIFS('Historical Orders'!$E50, 'Historical Orders'!$D50, "1", 'Historical Orders'!$C50, "B", 'Historical Orders'!$B50, "1")</f>
        <v>0</v>
      </c>
      <c r="K50" s="157">
        <f>SUMIFS('Historical Orders'!$G50, 'Historical Orders'!$D50, "1", 'Historical Orders'!$C50, "B", 'Historical Orders'!$B50, "1")</f>
        <v>0</v>
      </c>
      <c r="L50" s="159">
        <f>SUMIFS('Historical Orders'!$E50, 'Historical Orders'!$D50, "1", 'Historical Orders'!$C50, "A", 'Historical Orders'!$B50, "2")</f>
        <v>0</v>
      </c>
      <c r="M50" s="157">
        <f>SUMIFS('Historical Orders'!$G50, 'Historical Orders'!$D50, "1", 'Historical Orders'!$C50, "A", 'Historical Orders'!$B50, "2")</f>
        <v>0</v>
      </c>
      <c r="N50" s="157">
        <f>SUMIFS('Historical Orders'!$E50, 'Historical Orders'!$D50, "1", 'Historical Orders'!$C50, "B", 'Historical Orders'!$B50, "2")</f>
        <v>0</v>
      </c>
      <c r="O50" s="157">
        <f>SUMIFS('Historical Orders'!$G50, 'Historical Orders'!$D50, "1", 'Historical Orders'!$C50, "B", 'Historical Orders'!$B50, "2")</f>
        <v>0</v>
      </c>
      <c r="P50" s="159">
        <f>SUMIFS('Historical Orders'!$E50, 'Historical Orders'!$D50, "2", 'Historical Orders'!$C50, "A", 'Historical Orders'!$B50, "1")</f>
        <v>0</v>
      </c>
      <c r="Q50" s="157">
        <f>SUMIFS('Historical Orders'!$G50, 'Historical Orders'!$D50, "2", 'Historical Orders'!$C50, "A", 'Historical Orders'!$B50, "1")</f>
        <v>0</v>
      </c>
      <c r="R50" s="159">
        <f>SUMIFS('Historical Orders'!$E50, 'Historical Orders'!$D50, "2", 'Historical Orders'!$C50, "B", 'Historical Orders'!$B50, "1")</f>
        <v>0</v>
      </c>
      <c r="S50" s="157">
        <f>SUMIFS('Historical Orders'!$G50, 'Historical Orders'!$D50, "2", 'Historical Orders'!$C50, "B", 'Historical Orders'!$B50, "1")</f>
        <v>0</v>
      </c>
      <c r="T50" s="159">
        <f>SUMIFS('Historical Orders'!$E50, 'Historical Orders'!$D50, "2", 'Historical Orders'!$C50, "A", 'Historical Orders'!$B50, "2")</f>
        <v>0</v>
      </c>
      <c r="U50" s="157">
        <f>SUMIFS('Historical Orders'!$G50, 'Historical Orders'!$D50, "2", 'Historical Orders'!$C50, "A", 'Historical Orders'!$B50, "2")</f>
        <v>0</v>
      </c>
      <c r="V50" s="159">
        <f>SUMIFS('Historical Orders'!$E50, 'Historical Orders'!$D50, "2", 'Historical Orders'!$C50, "B", 'Historical Orders'!$B50, "2")</f>
        <v>0</v>
      </c>
      <c r="W50" s="159">
        <f>SUMIFS('Historical Orders'!$G50, 'Historical Orders'!$D50, "2", 'Historical Orders'!$C50, "B", 'Historical Orders'!$B50, "2")</f>
        <v>0</v>
      </c>
      <c r="X50" s="159">
        <f>SUMIFS('Historical Orders'!$E50, 'Historical Orders'!$D50, "3", 'Historical Orders'!$C50, "A", 'Historical Orders'!$B50, "1")</f>
        <v>0</v>
      </c>
      <c r="Y50" s="159">
        <f>SUMIFS('Historical Orders'!$G50, 'Historical Orders'!$D50, "3", 'Historical Orders'!$C50, "A", 'Historical Orders'!$B50, "1")</f>
        <v>0</v>
      </c>
      <c r="Z50" s="159">
        <f>SUMIFS('Historical Orders'!$E50, 'Historical Orders'!$D50, "3", 'Historical Orders'!$C50, "B", 'Historical Orders'!$B50, "1")</f>
        <v>0</v>
      </c>
      <c r="AA50" s="159">
        <f>SUMIFS('Historical Orders'!$G50, 'Historical Orders'!$D50, "3", 'Historical Orders'!$C50, "B", 'Historical Orders'!$B50, "1")</f>
        <v>0</v>
      </c>
      <c r="AB50" s="159">
        <f>SUMIFS('Historical Orders'!$E50, 'Historical Orders'!$D50, "3", 'Historical Orders'!$C50, "A", 'Historical Orders'!$B50, "2")</f>
        <v>0</v>
      </c>
      <c r="AC50" s="159">
        <f>SUMIFS('Historical Orders'!$G50, 'Historical Orders'!$D50, "3", 'Historical Orders'!$C50, "A", 'Historical Orders'!$B50, "2")</f>
        <v>0</v>
      </c>
      <c r="AD50" s="159">
        <f>SUMIFS('Historical Orders'!$E50, 'Historical Orders'!$D50, "3", 'Historical Orders'!$C50, "B", 'Historical Orders'!$B50, "2")</f>
        <v>0</v>
      </c>
      <c r="AE50" s="157">
        <f>SUMIFS('Historical Orders'!$G50, 'Historical Orders'!$D50, "3", 'Historical Orders'!$C50, "B", 'Historical Orders'!$B50, "2")</f>
        <v>0</v>
      </c>
      <c r="AF50" s="157">
        <f>SUMIFS('Historical Orders'!$E50, 'Historical Orders'!$D50, "4", 'Historical Orders'!$C50, "A", 'Historical Orders'!$B50, "1")</f>
        <v>0</v>
      </c>
      <c r="AG50" s="157">
        <f>SUMIFS('Historical Orders'!$G50, 'Historical Orders'!$D50, "4", 'Historical Orders'!$C50, "A", 'Historical Orders'!$B50, "1")</f>
        <v>0</v>
      </c>
      <c r="AH50" s="157">
        <f>SUMIFS('Historical Orders'!$E50, 'Historical Orders'!$D50, "4", 'Historical Orders'!$C50, "B", 'Historical Orders'!$B50, "1")</f>
        <v>0</v>
      </c>
      <c r="AI50" s="157">
        <f>SUMIFS('Historical Orders'!$G50, 'Historical Orders'!$D50, "4", 'Historical Orders'!$C50, "B", 'Historical Orders'!$B50, "1")</f>
        <v>0</v>
      </c>
      <c r="AJ50" s="157">
        <f>SUMIFS('Historical Orders'!$E50, 'Historical Orders'!$D50, "4", 'Historical Orders'!$C50, "A", 'Historical Orders'!$B50, "2")</f>
        <v>0</v>
      </c>
      <c r="AK50" s="157">
        <f>SUMIFS('Historical Orders'!$G50, 'Historical Orders'!$D50, "4", 'Historical Orders'!$C50, "A", 'Historical Orders'!$B50, "2")</f>
        <v>0</v>
      </c>
      <c r="AL50" s="171">
        <f>SUMIFS('Historical Orders'!$E50, 'Historical Orders'!$D50, "4", 'Historical Orders'!$C50, "B", 'Historical Orders'!$B50, "2")</f>
        <v>0</v>
      </c>
      <c r="AM50" s="171">
        <f>SUMIFS('Historical Orders'!$G50, 'Historical Orders'!$D50, "4", 'Historical Orders'!$C50, "B", 'Historical Orders'!$B50, "2")</f>
        <v>0</v>
      </c>
      <c r="AN50" s="171">
        <f>SUMIFS('Historical Orders'!$G50, 'Historical Orders'!$C50, "A", 'Historical Orders'!$B50, "1")</f>
        <v>7167.6</v>
      </c>
      <c r="AO50" s="171">
        <f>SUMIFS('Historical Orders'!$G50, 'Historical Orders'!$C50, "B", 'Historical Orders'!$B50, "1")</f>
        <v>0</v>
      </c>
      <c r="AP50" s="171">
        <f>SUMIFS('Historical Orders'!$G50, 'Historical Orders'!$C50, "A", 'Historical Orders'!$B50, "2")</f>
        <v>0</v>
      </c>
      <c r="AQ50" s="171">
        <f>SUMIFS('Historical Orders'!$G50, 'Historical Orders'!$C50, "B", 'Historical Orders'!$B50, "2")</f>
        <v>0</v>
      </c>
      <c r="AR50" s="145"/>
      <c r="AS50" s="146"/>
      <c r="AT50" s="161">
        <v>42191.0</v>
      </c>
      <c r="AU50" s="162"/>
      <c r="AV50" s="163">
        <f t="shared" si="1"/>
        <v>42191</v>
      </c>
      <c r="AW50" s="164">
        <f t="shared" si="2"/>
        <v>29522</v>
      </c>
      <c r="AX50" s="164">
        <f t="shared" si="3"/>
        <v>14788</v>
      </c>
      <c r="AY50" s="164">
        <f t="shared" si="4"/>
        <v>14734</v>
      </c>
      <c r="AZ50" s="164">
        <f t="shared" si="5"/>
        <v>23552</v>
      </c>
      <c r="BA50" s="164">
        <f t="shared" si="6"/>
        <v>5970</v>
      </c>
      <c r="BB50" s="165"/>
      <c r="BC50" s="166">
        <f t="shared" si="7"/>
        <v>88593.4</v>
      </c>
      <c r="BD50" s="166">
        <f t="shared" si="8"/>
        <v>41373.2</v>
      </c>
      <c r="BE50" s="166">
        <f t="shared" si="9"/>
        <v>47220.2</v>
      </c>
      <c r="BF50" s="167"/>
      <c r="BG50" s="166">
        <f t="shared" si="10"/>
        <v>12837</v>
      </c>
      <c r="BH50" s="166">
        <f t="shared" si="11"/>
        <v>7736.4</v>
      </c>
      <c r="BI50" s="166">
        <f t="shared" si="12"/>
        <v>0</v>
      </c>
      <c r="BJ50" s="166">
        <f>SUM('Historical Orders'!$BG50:$BI50)</f>
        <v>20573.4</v>
      </c>
      <c r="BK50" s="167"/>
      <c r="BL50" s="166">
        <f t="shared" si="13"/>
        <v>0</v>
      </c>
      <c r="BM50" s="166">
        <f t="shared" si="14"/>
        <v>0</v>
      </c>
      <c r="BN50" s="166">
        <f t="shared" si="15"/>
        <v>20799.8</v>
      </c>
      <c r="BO50" s="166">
        <f>SUM('Historical Orders'!$BL50:$BN50)</f>
        <v>20799.8</v>
      </c>
      <c r="BP50" s="167"/>
      <c r="BQ50" s="166">
        <f t="shared" si="16"/>
        <v>10879</v>
      </c>
      <c r="BR50" s="166">
        <f t="shared" si="17"/>
        <v>7590</v>
      </c>
      <c r="BS50" s="166">
        <f t="shared" si="18"/>
        <v>0</v>
      </c>
      <c r="BT50" s="166">
        <f>SUM('Historical Orders'!$BQ50:$BS50)</f>
        <v>18469</v>
      </c>
      <c r="BU50" s="167"/>
      <c r="BV50" s="166">
        <f t="shared" si="19"/>
        <v>0</v>
      </c>
      <c r="BW50" s="166">
        <f t="shared" si="20"/>
        <v>0</v>
      </c>
      <c r="BX50" s="166">
        <f t="shared" si="21"/>
        <v>28751.2</v>
      </c>
      <c r="BY50" s="166">
        <f>SUM('Historical Orders'!$BV50:$BX50)</f>
        <v>28751.2</v>
      </c>
      <c r="BZ50" s="167"/>
      <c r="CA50" s="168">
        <f t="shared" si="22"/>
        <v>3</v>
      </c>
      <c r="CB50" s="168">
        <f t="shared" si="23"/>
        <v>3</v>
      </c>
      <c r="CC50" s="168">
        <f t="shared" si="24"/>
        <v>4</v>
      </c>
      <c r="CD50" s="168">
        <f t="shared" si="25"/>
        <v>2</v>
      </c>
      <c r="CE50" s="168">
        <f t="shared" si="26"/>
        <v>2</v>
      </c>
      <c r="CF50" s="169">
        <f t="shared" si="27"/>
        <v>2</v>
      </c>
      <c r="CG50" s="169">
        <f t="shared" si="28"/>
        <v>2</v>
      </c>
      <c r="CH50" s="170"/>
    </row>
    <row r="51" ht="15.75" customHeight="1">
      <c r="A51" s="151">
        <v>41911.0</v>
      </c>
      <c r="B51" s="152">
        <v>1.0</v>
      </c>
      <c r="C51" s="152" t="s">
        <v>45</v>
      </c>
      <c r="D51" s="152">
        <v>2.0</v>
      </c>
      <c r="E51" s="153">
        <v>4838.0</v>
      </c>
      <c r="F51" s="154">
        <v>1.2</v>
      </c>
      <c r="G51" s="155">
        <v>5805.599999999999</v>
      </c>
      <c r="H51" s="159">
        <f>SUMIFS('Historical Orders'!$E51, 'Historical Orders'!$D51, "1", 'Historical Orders'!$C51, "A", 'Historical Orders'!$B51, "1")</f>
        <v>0</v>
      </c>
      <c r="I51" s="157">
        <f>SUMIFS('Historical Orders'!$G51, 'Historical Orders'!$D51, "1", 'Historical Orders'!$C51, "A", 'Historical Orders'!$B51, "1")</f>
        <v>0</v>
      </c>
      <c r="J51" s="157">
        <f>SUMIFS('Historical Orders'!$E51, 'Historical Orders'!$D51, "1", 'Historical Orders'!$C51, "B", 'Historical Orders'!$B51, "1")</f>
        <v>0</v>
      </c>
      <c r="K51" s="157">
        <f>SUMIFS('Historical Orders'!$G51, 'Historical Orders'!$D51, "1", 'Historical Orders'!$C51, "B", 'Historical Orders'!$B51, "1")</f>
        <v>0</v>
      </c>
      <c r="L51" s="159">
        <f>SUMIFS('Historical Orders'!$E51, 'Historical Orders'!$D51, "1", 'Historical Orders'!$C51, "A", 'Historical Orders'!$B51, "2")</f>
        <v>0</v>
      </c>
      <c r="M51" s="157">
        <f>SUMIFS('Historical Orders'!$G51, 'Historical Orders'!$D51, "1", 'Historical Orders'!$C51, "A", 'Historical Orders'!$B51, "2")</f>
        <v>0</v>
      </c>
      <c r="N51" s="157">
        <f>SUMIFS('Historical Orders'!$E51, 'Historical Orders'!$D51, "1", 'Historical Orders'!$C51, "B", 'Historical Orders'!$B51, "2")</f>
        <v>0</v>
      </c>
      <c r="O51" s="157">
        <f>SUMIFS('Historical Orders'!$G51, 'Historical Orders'!$D51, "1", 'Historical Orders'!$C51, "B", 'Historical Orders'!$B51, "2")</f>
        <v>0</v>
      </c>
      <c r="P51" s="159">
        <f>SUMIFS('Historical Orders'!$E51, 'Historical Orders'!$D51, "2", 'Historical Orders'!$C51, "A", 'Historical Orders'!$B51, "1")</f>
        <v>4838</v>
      </c>
      <c r="Q51" s="157">
        <f>SUMIFS('Historical Orders'!$G51, 'Historical Orders'!$D51, "2", 'Historical Orders'!$C51, "A", 'Historical Orders'!$B51, "1")</f>
        <v>5805.6</v>
      </c>
      <c r="R51" s="159">
        <f>SUMIFS('Historical Orders'!$E51, 'Historical Orders'!$D51, "2", 'Historical Orders'!$C51, "B", 'Historical Orders'!$B51, "1")</f>
        <v>0</v>
      </c>
      <c r="S51" s="157">
        <f>SUMIFS('Historical Orders'!$G51, 'Historical Orders'!$D51, "2", 'Historical Orders'!$C51, "B", 'Historical Orders'!$B51, "1")</f>
        <v>0</v>
      </c>
      <c r="T51" s="159">
        <f>SUMIFS('Historical Orders'!$E51, 'Historical Orders'!$D51, "2", 'Historical Orders'!$C51, "A", 'Historical Orders'!$B51, "2")</f>
        <v>0</v>
      </c>
      <c r="U51" s="157">
        <f>SUMIFS('Historical Orders'!$G51, 'Historical Orders'!$D51, "2", 'Historical Orders'!$C51, "A", 'Historical Orders'!$B51, "2")</f>
        <v>0</v>
      </c>
      <c r="V51" s="159">
        <f>SUMIFS('Historical Orders'!$E51, 'Historical Orders'!$D51, "2", 'Historical Orders'!$C51, "B", 'Historical Orders'!$B51, "2")</f>
        <v>0</v>
      </c>
      <c r="W51" s="159">
        <f>SUMIFS('Historical Orders'!$G51, 'Historical Orders'!$D51, "2", 'Historical Orders'!$C51, "B", 'Historical Orders'!$B51, "2")</f>
        <v>0</v>
      </c>
      <c r="X51" s="159">
        <f>SUMIFS('Historical Orders'!$E51, 'Historical Orders'!$D51, "3", 'Historical Orders'!$C51, "A", 'Historical Orders'!$B51, "1")</f>
        <v>0</v>
      </c>
      <c r="Y51" s="159">
        <f>SUMIFS('Historical Orders'!$G51, 'Historical Orders'!$D51, "3", 'Historical Orders'!$C51, "A", 'Historical Orders'!$B51, "1")</f>
        <v>0</v>
      </c>
      <c r="Z51" s="159">
        <f>SUMIFS('Historical Orders'!$E51, 'Historical Orders'!$D51, "3", 'Historical Orders'!$C51, "B", 'Historical Orders'!$B51, "1")</f>
        <v>0</v>
      </c>
      <c r="AA51" s="159">
        <f>SUMIFS('Historical Orders'!$G51, 'Historical Orders'!$D51, "3", 'Historical Orders'!$C51, "B", 'Historical Orders'!$B51, "1")</f>
        <v>0</v>
      </c>
      <c r="AB51" s="159">
        <f>SUMIFS('Historical Orders'!$E51, 'Historical Orders'!$D51, "3", 'Historical Orders'!$C51, "A", 'Historical Orders'!$B51, "2")</f>
        <v>0</v>
      </c>
      <c r="AC51" s="159">
        <f>SUMIFS('Historical Orders'!$G51, 'Historical Orders'!$D51, "3", 'Historical Orders'!$C51, "A", 'Historical Orders'!$B51, "2")</f>
        <v>0</v>
      </c>
      <c r="AD51" s="159">
        <f>SUMIFS('Historical Orders'!$E51, 'Historical Orders'!$D51, "3", 'Historical Orders'!$C51, "B", 'Historical Orders'!$B51, "2")</f>
        <v>0</v>
      </c>
      <c r="AE51" s="157">
        <f>SUMIFS('Historical Orders'!$G51, 'Historical Orders'!$D51, "3", 'Historical Orders'!$C51, "B", 'Historical Orders'!$B51, "2")</f>
        <v>0</v>
      </c>
      <c r="AF51" s="157">
        <f>SUMIFS('Historical Orders'!$E51, 'Historical Orders'!$D51, "4", 'Historical Orders'!$C51, "A", 'Historical Orders'!$B51, "1")</f>
        <v>0</v>
      </c>
      <c r="AG51" s="157">
        <f>SUMIFS('Historical Orders'!$G51, 'Historical Orders'!$D51, "4", 'Historical Orders'!$C51, "A", 'Historical Orders'!$B51, "1")</f>
        <v>0</v>
      </c>
      <c r="AH51" s="157">
        <f>SUMIFS('Historical Orders'!$E51, 'Historical Orders'!$D51, "4", 'Historical Orders'!$C51, "B", 'Historical Orders'!$B51, "1")</f>
        <v>0</v>
      </c>
      <c r="AI51" s="157">
        <f>SUMIFS('Historical Orders'!$G51, 'Historical Orders'!$D51, "4", 'Historical Orders'!$C51, "B", 'Historical Orders'!$B51, "1")</f>
        <v>0</v>
      </c>
      <c r="AJ51" s="157">
        <f>SUMIFS('Historical Orders'!$E51, 'Historical Orders'!$D51, "4", 'Historical Orders'!$C51, "A", 'Historical Orders'!$B51, "2")</f>
        <v>0</v>
      </c>
      <c r="AK51" s="157">
        <f>SUMIFS('Historical Orders'!$G51, 'Historical Orders'!$D51, "4", 'Historical Orders'!$C51, "A", 'Historical Orders'!$B51, "2")</f>
        <v>0</v>
      </c>
      <c r="AL51" s="171">
        <f>SUMIFS('Historical Orders'!$E51, 'Historical Orders'!$D51, "4", 'Historical Orders'!$C51, "B", 'Historical Orders'!$B51, "2")</f>
        <v>0</v>
      </c>
      <c r="AM51" s="171">
        <f>SUMIFS('Historical Orders'!$G51, 'Historical Orders'!$D51, "4", 'Historical Orders'!$C51, "B", 'Historical Orders'!$B51, "2")</f>
        <v>0</v>
      </c>
      <c r="AN51" s="171">
        <f>SUMIFS('Historical Orders'!$G51, 'Historical Orders'!$C51, "A", 'Historical Orders'!$B51, "1")</f>
        <v>5805.6</v>
      </c>
      <c r="AO51" s="171">
        <f>SUMIFS('Historical Orders'!$G51, 'Historical Orders'!$C51, "B", 'Historical Orders'!$B51, "1")</f>
        <v>0</v>
      </c>
      <c r="AP51" s="171">
        <f>SUMIFS('Historical Orders'!$G51, 'Historical Orders'!$C51, "A", 'Historical Orders'!$B51, "2")</f>
        <v>0</v>
      </c>
      <c r="AQ51" s="171">
        <f>SUMIFS('Historical Orders'!$G51, 'Historical Orders'!$C51, "B", 'Historical Orders'!$B51, "2")</f>
        <v>0</v>
      </c>
      <c r="AR51" s="145"/>
      <c r="AS51" s="146"/>
      <c r="AT51" s="161">
        <v>42198.0</v>
      </c>
      <c r="AU51" s="162"/>
      <c r="AV51" s="163">
        <f t="shared" si="1"/>
        <v>42198</v>
      </c>
      <c r="AW51" s="164">
        <f t="shared" si="2"/>
        <v>29578</v>
      </c>
      <c r="AX51" s="164">
        <f t="shared" si="3"/>
        <v>14858</v>
      </c>
      <c r="AY51" s="164">
        <f t="shared" si="4"/>
        <v>14720</v>
      </c>
      <c r="AZ51" s="164">
        <f t="shared" si="5"/>
        <v>24240</v>
      </c>
      <c r="BA51" s="164">
        <f t="shared" si="6"/>
        <v>5338</v>
      </c>
      <c r="BB51" s="165"/>
      <c r="BC51" s="166">
        <f t="shared" si="7"/>
        <v>82711.4</v>
      </c>
      <c r="BD51" s="166">
        <f t="shared" si="8"/>
        <v>39375</v>
      </c>
      <c r="BE51" s="166">
        <f t="shared" si="9"/>
        <v>43336.4</v>
      </c>
      <c r="BF51" s="167"/>
      <c r="BG51" s="166">
        <f t="shared" si="10"/>
        <v>12192.4</v>
      </c>
      <c r="BH51" s="166">
        <f t="shared" si="11"/>
        <v>8474.4</v>
      </c>
      <c r="BI51" s="166">
        <f t="shared" si="12"/>
        <v>0</v>
      </c>
      <c r="BJ51" s="166">
        <f>SUM('Historical Orders'!$BG51:$BI51)</f>
        <v>20666.8</v>
      </c>
      <c r="BK51" s="167"/>
      <c r="BL51" s="166">
        <f t="shared" si="13"/>
        <v>0</v>
      </c>
      <c r="BM51" s="166">
        <f t="shared" si="14"/>
        <v>0</v>
      </c>
      <c r="BN51" s="166">
        <f t="shared" si="15"/>
        <v>18708.2</v>
      </c>
      <c r="BO51" s="166">
        <f>SUM('Historical Orders'!$BL51:$BN51)</f>
        <v>18708.2</v>
      </c>
      <c r="BP51" s="167"/>
      <c r="BQ51" s="166">
        <f t="shared" si="16"/>
        <v>8307.2</v>
      </c>
      <c r="BR51" s="166">
        <f t="shared" si="17"/>
        <v>9432</v>
      </c>
      <c r="BS51" s="166">
        <f t="shared" si="18"/>
        <v>0</v>
      </c>
      <c r="BT51" s="166">
        <f>SUM('Historical Orders'!$BQ51:$BS51)</f>
        <v>17739.2</v>
      </c>
      <c r="BU51" s="167"/>
      <c r="BV51" s="166">
        <f t="shared" si="19"/>
        <v>0</v>
      </c>
      <c r="BW51" s="166">
        <f t="shared" si="20"/>
        <v>0</v>
      </c>
      <c r="BX51" s="166">
        <f t="shared" si="21"/>
        <v>25597.2</v>
      </c>
      <c r="BY51" s="166">
        <f>SUM('Historical Orders'!$BV51:$BX51)</f>
        <v>25597.2</v>
      </c>
      <c r="BZ51" s="167"/>
      <c r="CA51" s="168">
        <f t="shared" si="22"/>
        <v>3</v>
      </c>
      <c r="CB51" s="168">
        <f t="shared" si="23"/>
        <v>3</v>
      </c>
      <c r="CC51" s="168">
        <f t="shared" si="24"/>
        <v>4</v>
      </c>
      <c r="CD51" s="168">
        <f t="shared" si="25"/>
        <v>2</v>
      </c>
      <c r="CE51" s="168">
        <f t="shared" si="26"/>
        <v>2</v>
      </c>
      <c r="CF51" s="169">
        <f t="shared" si="27"/>
        <v>2</v>
      </c>
      <c r="CG51" s="169">
        <f t="shared" si="28"/>
        <v>2</v>
      </c>
      <c r="CH51" s="170"/>
    </row>
    <row r="52" ht="15.75" customHeight="1">
      <c r="A52" s="151">
        <v>41911.0</v>
      </c>
      <c r="B52" s="152">
        <v>2.0</v>
      </c>
      <c r="C52" s="152" t="s">
        <v>45</v>
      </c>
      <c r="D52" s="152">
        <v>1.0</v>
      </c>
      <c r="E52" s="153">
        <v>2623.0</v>
      </c>
      <c r="F52" s="154">
        <v>2.2</v>
      </c>
      <c r="G52" s="155">
        <v>5770.6</v>
      </c>
      <c r="H52" s="159">
        <f>SUMIFS('Historical Orders'!$E52, 'Historical Orders'!$D52, "1", 'Historical Orders'!$C52, "A", 'Historical Orders'!$B52, "1")</f>
        <v>0</v>
      </c>
      <c r="I52" s="157">
        <f>SUMIFS('Historical Orders'!$G52, 'Historical Orders'!$D52, "1", 'Historical Orders'!$C52, "A", 'Historical Orders'!$B52, "1")</f>
        <v>0</v>
      </c>
      <c r="J52" s="157">
        <f>SUMIFS('Historical Orders'!$E52, 'Historical Orders'!$D52, "1", 'Historical Orders'!$C52, "B", 'Historical Orders'!$B52, "1")</f>
        <v>0</v>
      </c>
      <c r="K52" s="157">
        <f>SUMIFS('Historical Orders'!$G52, 'Historical Orders'!$D52, "1", 'Historical Orders'!$C52, "B", 'Historical Orders'!$B52, "1")</f>
        <v>0</v>
      </c>
      <c r="L52" s="159">
        <f>SUMIFS('Historical Orders'!$E52, 'Historical Orders'!$D52, "1", 'Historical Orders'!$C52, "A", 'Historical Orders'!$B52, "2")</f>
        <v>2623</v>
      </c>
      <c r="M52" s="157">
        <f>SUMIFS('Historical Orders'!$G52, 'Historical Orders'!$D52, "1", 'Historical Orders'!$C52, "A", 'Historical Orders'!$B52, "2")</f>
        <v>5770.6</v>
      </c>
      <c r="N52" s="157">
        <f>SUMIFS('Historical Orders'!$E52, 'Historical Orders'!$D52, "1", 'Historical Orders'!$C52, "B", 'Historical Orders'!$B52, "2")</f>
        <v>0</v>
      </c>
      <c r="O52" s="157">
        <f>SUMIFS('Historical Orders'!$G52, 'Historical Orders'!$D52, "1", 'Historical Orders'!$C52, "B", 'Historical Orders'!$B52, "2")</f>
        <v>0</v>
      </c>
      <c r="P52" s="159">
        <f>SUMIFS('Historical Orders'!$E52, 'Historical Orders'!$D52, "2", 'Historical Orders'!$C52, "A", 'Historical Orders'!$B52, "1")</f>
        <v>0</v>
      </c>
      <c r="Q52" s="157">
        <f>SUMIFS('Historical Orders'!$G52, 'Historical Orders'!$D52, "2", 'Historical Orders'!$C52, "A", 'Historical Orders'!$B52, "1")</f>
        <v>0</v>
      </c>
      <c r="R52" s="159">
        <f>SUMIFS('Historical Orders'!$E52, 'Historical Orders'!$D52, "2", 'Historical Orders'!$C52, "B", 'Historical Orders'!$B52, "1")</f>
        <v>0</v>
      </c>
      <c r="S52" s="157">
        <f>SUMIFS('Historical Orders'!$G52, 'Historical Orders'!$D52, "2", 'Historical Orders'!$C52, "B", 'Historical Orders'!$B52, "1")</f>
        <v>0</v>
      </c>
      <c r="T52" s="159">
        <f>SUMIFS('Historical Orders'!$E52, 'Historical Orders'!$D52, "2", 'Historical Orders'!$C52, "A", 'Historical Orders'!$B52, "2")</f>
        <v>0</v>
      </c>
      <c r="U52" s="157">
        <f>SUMIFS('Historical Orders'!$G52, 'Historical Orders'!$D52, "2", 'Historical Orders'!$C52, "A", 'Historical Orders'!$B52, "2")</f>
        <v>0</v>
      </c>
      <c r="V52" s="159">
        <f>SUMIFS('Historical Orders'!$E52, 'Historical Orders'!$D52, "2", 'Historical Orders'!$C52, "B", 'Historical Orders'!$B52, "2")</f>
        <v>0</v>
      </c>
      <c r="W52" s="159">
        <f>SUMIFS('Historical Orders'!$G52, 'Historical Orders'!$D52, "2", 'Historical Orders'!$C52, "B", 'Historical Orders'!$B52, "2")</f>
        <v>0</v>
      </c>
      <c r="X52" s="159">
        <f>SUMIFS('Historical Orders'!$E52, 'Historical Orders'!$D52, "3", 'Historical Orders'!$C52, "A", 'Historical Orders'!$B52, "1")</f>
        <v>0</v>
      </c>
      <c r="Y52" s="159">
        <f>SUMIFS('Historical Orders'!$G52, 'Historical Orders'!$D52, "3", 'Historical Orders'!$C52, "A", 'Historical Orders'!$B52, "1")</f>
        <v>0</v>
      </c>
      <c r="Z52" s="159">
        <f>SUMIFS('Historical Orders'!$E52, 'Historical Orders'!$D52, "3", 'Historical Orders'!$C52, "B", 'Historical Orders'!$B52, "1")</f>
        <v>0</v>
      </c>
      <c r="AA52" s="159">
        <f>SUMIFS('Historical Orders'!$G52, 'Historical Orders'!$D52, "3", 'Historical Orders'!$C52, "B", 'Historical Orders'!$B52, "1")</f>
        <v>0</v>
      </c>
      <c r="AB52" s="159">
        <f>SUMIFS('Historical Orders'!$E52, 'Historical Orders'!$D52, "3", 'Historical Orders'!$C52, "A", 'Historical Orders'!$B52, "2")</f>
        <v>0</v>
      </c>
      <c r="AC52" s="159">
        <f>SUMIFS('Historical Orders'!$G52, 'Historical Orders'!$D52, "3", 'Historical Orders'!$C52, "A", 'Historical Orders'!$B52, "2")</f>
        <v>0</v>
      </c>
      <c r="AD52" s="159">
        <f>SUMIFS('Historical Orders'!$E52, 'Historical Orders'!$D52, "3", 'Historical Orders'!$C52, "B", 'Historical Orders'!$B52, "2")</f>
        <v>0</v>
      </c>
      <c r="AE52" s="157">
        <f>SUMIFS('Historical Orders'!$G52, 'Historical Orders'!$D52, "3", 'Historical Orders'!$C52, "B", 'Historical Orders'!$B52, "2")</f>
        <v>0</v>
      </c>
      <c r="AF52" s="157">
        <f>SUMIFS('Historical Orders'!$E52, 'Historical Orders'!$D52, "4", 'Historical Orders'!$C52, "A", 'Historical Orders'!$B52, "1")</f>
        <v>0</v>
      </c>
      <c r="AG52" s="157">
        <f>SUMIFS('Historical Orders'!$G52, 'Historical Orders'!$D52, "4", 'Historical Orders'!$C52, "A", 'Historical Orders'!$B52, "1")</f>
        <v>0</v>
      </c>
      <c r="AH52" s="157">
        <f>SUMIFS('Historical Orders'!$E52, 'Historical Orders'!$D52, "4", 'Historical Orders'!$C52, "B", 'Historical Orders'!$B52, "1")</f>
        <v>0</v>
      </c>
      <c r="AI52" s="157">
        <f>SUMIFS('Historical Orders'!$G52, 'Historical Orders'!$D52, "4", 'Historical Orders'!$C52, "B", 'Historical Orders'!$B52, "1")</f>
        <v>0</v>
      </c>
      <c r="AJ52" s="157">
        <f>SUMIFS('Historical Orders'!$E52, 'Historical Orders'!$D52, "4", 'Historical Orders'!$C52, "A", 'Historical Orders'!$B52, "2")</f>
        <v>0</v>
      </c>
      <c r="AK52" s="157">
        <f>SUMIFS('Historical Orders'!$G52, 'Historical Orders'!$D52, "4", 'Historical Orders'!$C52, "A", 'Historical Orders'!$B52, "2")</f>
        <v>0</v>
      </c>
      <c r="AL52" s="171">
        <f>SUMIFS('Historical Orders'!$E52, 'Historical Orders'!$D52, "4", 'Historical Orders'!$C52, "B", 'Historical Orders'!$B52, "2")</f>
        <v>0</v>
      </c>
      <c r="AM52" s="171">
        <f>SUMIFS('Historical Orders'!$G52, 'Historical Orders'!$D52, "4", 'Historical Orders'!$C52, "B", 'Historical Orders'!$B52, "2")</f>
        <v>0</v>
      </c>
      <c r="AN52" s="171">
        <f>SUMIFS('Historical Orders'!$G52, 'Historical Orders'!$C52, "A", 'Historical Orders'!$B52, "1")</f>
        <v>0</v>
      </c>
      <c r="AO52" s="171">
        <f>SUMIFS('Historical Orders'!$G52, 'Historical Orders'!$C52, "B", 'Historical Orders'!$B52, "1")</f>
        <v>0</v>
      </c>
      <c r="AP52" s="171">
        <f>SUMIFS('Historical Orders'!$G52, 'Historical Orders'!$C52, "A", 'Historical Orders'!$B52, "2")</f>
        <v>5770.6</v>
      </c>
      <c r="AQ52" s="171">
        <f>SUMIFS('Historical Orders'!$G52, 'Historical Orders'!$C52, "B", 'Historical Orders'!$B52, "2")</f>
        <v>0</v>
      </c>
      <c r="AR52" s="145"/>
      <c r="AS52" s="146"/>
      <c r="AT52" s="161">
        <v>42205.0</v>
      </c>
      <c r="AU52" s="162"/>
      <c r="AV52" s="163">
        <f t="shared" si="1"/>
        <v>42205</v>
      </c>
      <c r="AW52" s="164">
        <f t="shared" si="2"/>
        <v>27395</v>
      </c>
      <c r="AX52" s="164">
        <f t="shared" si="3"/>
        <v>13923</v>
      </c>
      <c r="AY52" s="164">
        <f t="shared" si="4"/>
        <v>13472</v>
      </c>
      <c r="AZ52" s="164">
        <f t="shared" si="5"/>
        <v>22385</v>
      </c>
      <c r="BA52" s="164">
        <f t="shared" si="6"/>
        <v>5010</v>
      </c>
      <c r="BB52" s="165"/>
      <c r="BC52" s="166">
        <f t="shared" si="7"/>
        <v>78322</v>
      </c>
      <c r="BD52" s="166">
        <f t="shared" si="8"/>
        <v>37980.8</v>
      </c>
      <c r="BE52" s="166">
        <f t="shared" si="9"/>
        <v>40341.2</v>
      </c>
      <c r="BF52" s="167"/>
      <c r="BG52" s="166">
        <f t="shared" si="10"/>
        <v>11781</v>
      </c>
      <c r="BH52" s="166">
        <f t="shared" si="11"/>
        <v>7591.2</v>
      </c>
      <c r="BI52" s="166">
        <f t="shared" si="12"/>
        <v>0</v>
      </c>
      <c r="BJ52" s="166">
        <f>SUM('Historical Orders'!$BG52:$BI52)</f>
        <v>19372.2</v>
      </c>
      <c r="BK52" s="167"/>
      <c r="BL52" s="166">
        <f t="shared" si="13"/>
        <v>0</v>
      </c>
      <c r="BM52" s="166">
        <f t="shared" si="14"/>
        <v>0</v>
      </c>
      <c r="BN52" s="166">
        <f t="shared" si="15"/>
        <v>18608.6</v>
      </c>
      <c r="BO52" s="166">
        <f>SUM('Historical Orders'!$BL52:$BN52)</f>
        <v>18608.6</v>
      </c>
      <c r="BP52" s="167"/>
      <c r="BQ52" s="166">
        <f t="shared" si="16"/>
        <v>9948.4</v>
      </c>
      <c r="BR52" s="166">
        <f t="shared" si="17"/>
        <v>7418.4</v>
      </c>
      <c r="BS52" s="166">
        <f t="shared" si="18"/>
        <v>0</v>
      </c>
      <c r="BT52" s="166">
        <f>SUM('Historical Orders'!$BQ52:$BS52)</f>
        <v>17366.8</v>
      </c>
      <c r="BU52" s="167"/>
      <c r="BV52" s="166">
        <f t="shared" si="19"/>
        <v>0</v>
      </c>
      <c r="BW52" s="166">
        <f t="shared" si="20"/>
        <v>0</v>
      </c>
      <c r="BX52" s="166">
        <f t="shared" si="21"/>
        <v>22974.4</v>
      </c>
      <c r="BY52" s="166">
        <f>SUM('Historical Orders'!$BV52:$BX52)</f>
        <v>22974.4</v>
      </c>
      <c r="BZ52" s="167"/>
      <c r="CA52" s="168">
        <f t="shared" si="22"/>
        <v>3</v>
      </c>
      <c r="CB52" s="168">
        <f t="shared" si="23"/>
        <v>3</v>
      </c>
      <c r="CC52" s="168">
        <f t="shared" si="24"/>
        <v>4</v>
      </c>
      <c r="CD52" s="168">
        <f t="shared" si="25"/>
        <v>2</v>
      </c>
      <c r="CE52" s="168">
        <f t="shared" si="26"/>
        <v>2</v>
      </c>
      <c r="CF52" s="169">
        <f t="shared" si="27"/>
        <v>2</v>
      </c>
      <c r="CG52" s="169">
        <f t="shared" si="28"/>
        <v>2</v>
      </c>
      <c r="CH52" s="170"/>
    </row>
    <row r="53" ht="15.75" customHeight="1">
      <c r="A53" s="151">
        <v>41911.0</v>
      </c>
      <c r="B53" s="152">
        <v>2.0</v>
      </c>
      <c r="C53" s="152" t="s">
        <v>45</v>
      </c>
      <c r="D53" s="152">
        <v>2.0</v>
      </c>
      <c r="E53" s="153">
        <v>4230.0</v>
      </c>
      <c r="F53" s="154">
        <v>1.2</v>
      </c>
      <c r="G53" s="155">
        <v>5076.0</v>
      </c>
      <c r="H53" s="159">
        <f>SUMIFS('Historical Orders'!$E53, 'Historical Orders'!$D53, "1", 'Historical Orders'!$C53, "A", 'Historical Orders'!$B53, "1")</f>
        <v>0</v>
      </c>
      <c r="I53" s="157">
        <f>SUMIFS('Historical Orders'!$G53, 'Historical Orders'!$D53, "1", 'Historical Orders'!$C53, "A", 'Historical Orders'!$B53, "1")</f>
        <v>0</v>
      </c>
      <c r="J53" s="157">
        <f>SUMIFS('Historical Orders'!$E53, 'Historical Orders'!$D53, "1", 'Historical Orders'!$C53, "B", 'Historical Orders'!$B53, "1")</f>
        <v>0</v>
      </c>
      <c r="K53" s="157">
        <f>SUMIFS('Historical Orders'!$G53, 'Historical Orders'!$D53, "1", 'Historical Orders'!$C53, "B", 'Historical Orders'!$B53, "1")</f>
        <v>0</v>
      </c>
      <c r="L53" s="159">
        <f>SUMIFS('Historical Orders'!$E53, 'Historical Orders'!$D53, "1", 'Historical Orders'!$C53, "A", 'Historical Orders'!$B53, "2")</f>
        <v>0</v>
      </c>
      <c r="M53" s="157">
        <f>SUMIFS('Historical Orders'!$G53, 'Historical Orders'!$D53, "1", 'Historical Orders'!$C53, "A", 'Historical Orders'!$B53, "2")</f>
        <v>0</v>
      </c>
      <c r="N53" s="157">
        <f>SUMIFS('Historical Orders'!$E53, 'Historical Orders'!$D53, "1", 'Historical Orders'!$C53, "B", 'Historical Orders'!$B53, "2")</f>
        <v>0</v>
      </c>
      <c r="O53" s="157">
        <f>SUMIFS('Historical Orders'!$G53, 'Historical Orders'!$D53, "1", 'Historical Orders'!$C53, "B", 'Historical Orders'!$B53, "2")</f>
        <v>0</v>
      </c>
      <c r="P53" s="159">
        <f>SUMIFS('Historical Orders'!$E53, 'Historical Orders'!$D53, "2", 'Historical Orders'!$C53, "A", 'Historical Orders'!$B53, "1")</f>
        <v>0</v>
      </c>
      <c r="Q53" s="157">
        <f>SUMIFS('Historical Orders'!$G53, 'Historical Orders'!$D53, "2", 'Historical Orders'!$C53, "A", 'Historical Orders'!$B53, "1")</f>
        <v>0</v>
      </c>
      <c r="R53" s="159">
        <f>SUMIFS('Historical Orders'!$E53, 'Historical Orders'!$D53, "2", 'Historical Orders'!$C53, "B", 'Historical Orders'!$B53, "1")</f>
        <v>0</v>
      </c>
      <c r="S53" s="157">
        <f>SUMIFS('Historical Orders'!$G53, 'Historical Orders'!$D53, "2", 'Historical Orders'!$C53, "B", 'Historical Orders'!$B53, "1")</f>
        <v>0</v>
      </c>
      <c r="T53" s="159">
        <f>SUMIFS('Historical Orders'!$E53, 'Historical Orders'!$D53, "2", 'Historical Orders'!$C53, "A", 'Historical Orders'!$B53, "2")</f>
        <v>4230</v>
      </c>
      <c r="U53" s="157">
        <f>SUMIFS('Historical Orders'!$G53, 'Historical Orders'!$D53, "2", 'Historical Orders'!$C53, "A", 'Historical Orders'!$B53, "2")</f>
        <v>5076</v>
      </c>
      <c r="V53" s="159">
        <f>SUMIFS('Historical Orders'!$E53, 'Historical Orders'!$D53, "2", 'Historical Orders'!$C53, "B", 'Historical Orders'!$B53, "2")</f>
        <v>0</v>
      </c>
      <c r="W53" s="159">
        <f>SUMIFS('Historical Orders'!$G53, 'Historical Orders'!$D53, "2", 'Historical Orders'!$C53, "B", 'Historical Orders'!$B53, "2")</f>
        <v>0</v>
      </c>
      <c r="X53" s="159">
        <f>SUMIFS('Historical Orders'!$E53, 'Historical Orders'!$D53, "3", 'Historical Orders'!$C53, "A", 'Historical Orders'!$B53, "1")</f>
        <v>0</v>
      </c>
      <c r="Y53" s="159">
        <f>SUMIFS('Historical Orders'!$G53, 'Historical Orders'!$D53, "3", 'Historical Orders'!$C53, "A", 'Historical Orders'!$B53, "1")</f>
        <v>0</v>
      </c>
      <c r="Z53" s="159">
        <f>SUMIFS('Historical Orders'!$E53, 'Historical Orders'!$D53, "3", 'Historical Orders'!$C53, "B", 'Historical Orders'!$B53, "1")</f>
        <v>0</v>
      </c>
      <c r="AA53" s="159">
        <f>SUMIFS('Historical Orders'!$G53, 'Historical Orders'!$D53, "3", 'Historical Orders'!$C53, "B", 'Historical Orders'!$B53, "1")</f>
        <v>0</v>
      </c>
      <c r="AB53" s="159">
        <f>SUMIFS('Historical Orders'!$E53, 'Historical Orders'!$D53, "3", 'Historical Orders'!$C53, "A", 'Historical Orders'!$B53, "2")</f>
        <v>0</v>
      </c>
      <c r="AC53" s="159">
        <f>SUMIFS('Historical Orders'!$G53, 'Historical Orders'!$D53, "3", 'Historical Orders'!$C53, "A", 'Historical Orders'!$B53, "2")</f>
        <v>0</v>
      </c>
      <c r="AD53" s="159">
        <f>SUMIFS('Historical Orders'!$E53, 'Historical Orders'!$D53, "3", 'Historical Orders'!$C53, "B", 'Historical Orders'!$B53, "2")</f>
        <v>0</v>
      </c>
      <c r="AE53" s="157">
        <f>SUMIFS('Historical Orders'!$G53, 'Historical Orders'!$D53, "3", 'Historical Orders'!$C53, "B", 'Historical Orders'!$B53, "2")</f>
        <v>0</v>
      </c>
      <c r="AF53" s="157">
        <f>SUMIFS('Historical Orders'!$E53, 'Historical Orders'!$D53, "4", 'Historical Orders'!$C53, "A", 'Historical Orders'!$B53, "1")</f>
        <v>0</v>
      </c>
      <c r="AG53" s="157">
        <f>SUMIFS('Historical Orders'!$G53, 'Historical Orders'!$D53, "4", 'Historical Orders'!$C53, "A", 'Historical Orders'!$B53, "1")</f>
        <v>0</v>
      </c>
      <c r="AH53" s="157">
        <f>SUMIFS('Historical Orders'!$E53, 'Historical Orders'!$D53, "4", 'Historical Orders'!$C53, "B", 'Historical Orders'!$B53, "1")</f>
        <v>0</v>
      </c>
      <c r="AI53" s="157">
        <f>SUMIFS('Historical Orders'!$G53, 'Historical Orders'!$D53, "4", 'Historical Orders'!$C53, "B", 'Historical Orders'!$B53, "1")</f>
        <v>0</v>
      </c>
      <c r="AJ53" s="157">
        <f>SUMIFS('Historical Orders'!$E53, 'Historical Orders'!$D53, "4", 'Historical Orders'!$C53, "A", 'Historical Orders'!$B53, "2")</f>
        <v>0</v>
      </c>
      <c r="AK53" s="157">
        <f>SUMIFS('Historical Orders'!$G53, 'Historical Orders'!$D53, "4", 'Historical Orders'!$C53, "A", 'Historical Orders'!$B53, "2")</f>
        <v>0</v>
      </c>
      <c r="AL53" s="171">
        <f>SUMIFS('Historical Orders'!$E53, 'Historical Orders'!$D53, "4", 'Historical Orders'!$C53, "B", 'Historical Orders'!$B53, "2")</f>
        <v>0</v>
      </c>
      <c r="AM53" s="171">
        <f>SUMIFS('Historical Orders'!$G53, 'Historical Orders'!$D53, "4", 'Historical Orders'!$C53, "B", 'Historical Orders'!$B53, "2")</f>
        <v>0</v>
      </c>
      <c r="AN53" s="171">
        <f>SUMIFS('Historical Orders'!$G53, 'Historical Orders'!$C53, "A", 'Historical Orders'!$B53, "1")</f>
        <v>0</v>
      </c>
      <c r="AO53" s="171">
        <f>SUMIFS('Historical Orders'!$G53, 'Historical Orders'!$C53, "B", 'Historical Orders'!$B53, "1")</f>
        <v>0</v>
      </c>
      <c r="AP53" s="171">
        <f>SUMIFS('Historical Orders'!$G53, 'Historical Orders'!$C53, "A", 'Historical Orders'!$B53, "2")</f>
        <v>5076</v>
      </c>
      <c r="AQ53" s="171">
        <f>SUMIFS('Historical Orders'!$G53, 'Historical Orders'!$C53, "B", 'Historical Orders'!$B53, "2")</f>
        <v>0</v>
      </c>
      <c r="AR53" s="145"/>
      <c r="AS53" s="146"/>
      <c r="AT53" s="161">
        <v>42212.0</v>
      </c>
      <c r="AU53" s="162"/>
      <c r="AV53" s="163">
        <f t="shared" si="1"/>
        <v>42212</v>
      </c>
      <c r="AW53" s="164">
        <f t="shared" si="2"/>
        <v>27891</v>
      </c>
      <c r="AX53" s="164">
        <f t="shared" si="3"/>
        <v>13711</v>
      </c>
      <c r="AY53" s="164">
        <f t="shared" si="4"/>
        <v>14180</v>
      </c>
      <c r="AZ53" s="164">
        <f t="shared" si="5"/>
        <v>22486</v>
      </c>
      <c r="BA53" s="164">
        <f t="shared" si="6"/>
        <v>5405</v>
      </c>
      <c r="BB53" s="165"/>
      <c r="BC53" s="166">
        <f t="shared" si="7"/>
        <v>80806.7</v>
      </c>
      <c r="BD53" s="166">
        <f t="shared" si="8"/>
        <v>39361.9</v>
      </c>
      <c r="BE53" s="166">
        <f t="shared" si="9"/>
        <v>41444.8</v>
      </c>
      <c r="BF53" s="167"/>
      <c r="BG53" s="166">
        <f t="shared" si="10"/>
        <v>11083.6</v>
      </c>
      <c r="BH53" s="166">
        <f t="shared" si="11"/>
        <v>7387.2</v>
      </c>
      <c r="BI53" s="166">
        <f t="shared" si="12"/>
        <v>0</v>
      </c>
      <c r="BJ53" s="166">
        <f>SUM('Historical Orders'!$BG53:$BI53)</f>
        <v>18470.8</v>
      </c>
      <c r="BK53" s="167"/>
      <c r="BL53" s="166">
        <f t="shared" si="13"/>
        <v>0</v>
      </c>
      <c r="BM53" s="166">
        <f t="shared" si="14"/>
        <v>0</v>
      </c>
      <c r="BN53" s="166">
        <f t="shared" si="15"/>
        <v>20891.1</v>
      </c>
      <c r="BO53" s="166">
        <f>SUM('Historical Orders'!$BL53:$BN53)</f>
        <v>20891.1</v>
      </c>
      <c r="BP53" s="167"/>
      <c r="BQ53" s="166">
        <f t="shared" si="16"/>
        <v>8632.8</v>
      </c>
      <c r="BR53" s="166">
        <f t="shared" si="17"/>
        <v>8841.6</v>
      </c>
      <c r="BS53" s="166">
        <f t="shared" si="18"/>
        <v>0</v>
      </c>
      <c r="BT53" s="166">
        <f>SUM('Historical Orders'!$BQ53:$BS53)</f>
        <v>17474.4</v>
      </c>
      <c r="BU53" s="167"/>
      <c r="BV53" s="166">
        <f t="shared" si="19"/>
        <v>0</v>
      </c>
      <c r="BW53" s="166">
        <f t="shared" si="20"/>
        <v>0</v>
      </c>
      <c r="BX53" s="166">
        <f t="shared" si="21"/>
        <v>23970.4</v>
      </c>
      <c r="BY53" s="166">
        <f>SUM('Historical Orders'!$BV53:$BX53)</f>
        <v>23970.4</v>
      </c>
      <c r="BZ53" s="167"/>
      <c r="CA53" s="168">
        <f t="shared" si="22"/>
        <v>3</v>
      </c>
      <c r="CB53" s="168">
        <f t="shared" si="23"/>
        <v>3</v>
      </c>
      <c r="CC53" s="168">
        <f t="shared" si="24"/>
        <v>4</v>
      </c>
      <c r="CD53" s="168">
        <f t="shared" si="25"/>
        <v>2</v>
      </c>
      <c r="CE53" s="168">
        <f t="shared" si="26"/>
        <v>2</v>
      </c>
      <c r="CF53" s="169">
        <f t="shared" si="27"/>
        <v>2</v>
      </c>
      <c r="CG53" s="169">
        <f t="shared" si="28"/>
        <v>2</v>
      </c>
      <c r="CH53" s="170"/>
    </row>
    <row r="54" ht="15.75" customHeight="1">
      <c r="A54" s="151">
        <v>41911.0</v>
      </c>
      <c r="B54" s="152">
        <v>1.0</v>
      </c>
      <c r="C54" s="152" t="s">
        <v>46</v>
      </c>
      <c r="D54" s="152">
        <v>3.0</v>
      </c>
      <c r="E54" s="153">
        <v>1900.0</v>
      </c>
      <c r="F54" s="154">
        <v>8.3</v>
      </c>
      <c r="G54" s="155">
        <v>15770.000000000002</v>
      </c>
      <c r="H54" s="159">
        <f>SUMIFS('Historical Orders'!$E54, 'Historical Orders'!$D54, "1", 'Historical Orders'!$C54, "A", 'Historical Orders'!$B54, "1")</f>
        <v>0</v>
      </c>
      <c r="I54" s="157">
        <f>SUMIFS('Historical Orders'!$G54, 'Historical Orders'!$D54, "1", 'Historical Orders'!$C54, "A", 'Historical Orders'!$B54, "1")</f>
        <v>0</v>
      </c>
      <c r="J54" s="157">
        <f>SUMIFS('Historical Orders'!$E54, 'Historical Orders'!$D54, "1", 'Historical Orders'!$C54, "B", 'Historical Orders'!$B54, "1")</f>
        <v>0</v>
      </c>
      <c r="K54" s="157">
        <f>SUMIFS('Historical Orders'!$G54, 'Historical Orders'!$D54, "1", 'Historical Orders'!$C54, "B", 'Historical Orders'!$B54, "1")</f>
        <v>0</v>
      </c>
      <c r="L54" s="159">
        <f>SUMIFS('Historical Orders'!$E54, 'Historical Orders'!$D54, "1", 'Historical Orders'!$C54, "A", 'Historical Orders'!$B54, "2")</f>
        <v>0</v>
      </c>
      <c r="M54" s="157">
        <f>SUMIFS('Historical Orders'!$G54, 'Historical Orders'!$D54, "1", 'Historical Orders'!$C54, "A", 'Historical Orders'!$B54, "2")</f>
        <v>0</v>
      </c>
      <c r="N54" s="157">
        <f>SUMIFS('Historical Orders'!$E54, 'Historical Orders'!$D54, "1", 'Historical Orders'!$C54, "B", 'Historical Orders'!$B54, "2")</f>
        <v>0</v>
      </c>
      <c r="O54" s="157">
        <f>SUMIFS('Historical Orders'!$G54, 'Historical Orders'!$D54, "1", 'Historical Orders'!$C54, "B", 'Historical Orders'!$B54, "2")</f>
        <v>0</v>
      </c>
      <c r="P54" s="159">
        <f>SUMIFS('Historical Orders'!$E54, 'Historical Orders'!$D54, "2", 'Historical Orders'!$C54, "A", 'Historical Orders'!$B54, "1")</f>
        <v>0</v>
      </c>
      <c r="Q54" s="157">
        <f>SUMIFS('Historical Orders'!$G54, 'Historical Orders'!$D54, "2", 'Historical Orders'!$C54, "A", 'Historical Orders'!$B54, "1")</f>
        <v>0</v>
      </c>
      <c r="R54" s="159">
        <f>SUMIFS('Historical Orders'!$E54, 'Historical Orders'!$D54, "2", 'Historical Orders'!$C54, "B", 'Historical Orders'!$B54, "1")</f>
        <v>0</v>
      </c>
      <c r="S54" s="157">
        <f>SUMIFS('Historical Orders'!$G54, 'Historical Orders'!$D54, "2", 'Historical Orders'!$C54, "B", 'Historical Orders'!$B54, "1")</f>
        <v>0</v>
      </c>
      <c r="T54" s="159">
        <f>SUMIFS('Historical Orders'!$E54, 'Historical Orders'!$D54, "2", 'Historical Orders'!$C54, "A", 'Historical Orders'!$B54, "2")</f>
        <v>0</v>
      </c>
      <c r="U54" s="157">
        <f>SUMIFS('Historical Orders'!$G54, 'Historical Orders'!$D54, "2", 'Historical Orders'!$C54, "A", 'Historical Orders'!$B54, "2")</f>
        <v>0</v>
      </c>
      <c r="V54" s="159">
        <f>SUMIFS('Historical Orders'!$E54, 'Historical Orders'!$D54, "2", 'Historical Orders'!$C54, "B", 'Historical Orders'!$B54, "2")</f>
        <v>0</v>
      </c>
      <c r="W54" s="159">
        <f>SUMIFS('Historical Orders'!$G54, 'Historical Orders'!$D54, "2", 'Historical Orders'!$C54, "B", 'Historical Orders'!$B54, "2")</f>
        <v>0</v>
      </c>
      <c r="X54" s="159">
        <f>SUMIFS('Historical Orders'!$E54, 'Historical Orders'!$D54, "3", 'Historical Orders'!$C54, "A", 'Historical Orders'!$B54, "1")</f>
        <v>0</v>
      </c>
      <c r="Y54" s="159">
        <f>SUMIFS('Historical Orders'!$G54, 'Historical Orders'!$D54, "3", 'Historical Orders'!$C54, "A", 'Historical Orders'!$B54, "1")</f>
        <v>0</v>
      </c>
      <c r="Z54" s="159">
        <f>SUMIFS('Historical Orders'!$E54, 'Historical Orders'!$D54, "3", 'Historical Orders'!$C54, "B", 'Historical Orders'!$B54, "1")</f>
        <v>1900</v>
      </c>
      <c r="AA54" s="159">
        <f>SUMIFS('Historical Orders'!$G54, 'Historical Orders'!$D54, "3", 'Historical Orders'!$C54, "B", 'Historical Orders'!$B54, "1")</f>
        <v>15770</v>
      </c>
      <c r="AB54" s="159">
        <f>SUMIFS('Historical Orders'!$E54, 'Historical Orders'!$D54, "3", 'Historical Orders'!$C54, "A", 'Historical Orders'!$B54, "2")</f>
        <v>0</v>
      </c>
      <c r="AC54" s="159">
        <f>SUMIFS('Historical Orders'!$G54, 'Historical Orders'!$D54, "3", 'Historical Orders'!$C54, "A", 'Historical Orders'!$B54, "2")</f>
        <v>0</v>
      </c>
      <c r="AD54" s="159">
        <f>SUMIFS('Historical Orders'!$E54, 'Historical Orders'!$D54, "3", 'Historical Orders'!$C54, "B", 'Historical Orders'!$B54, "2")</f>
        <v>0</v>
      </c>
      <c r="AE54" s="157">
        <f>SUMIFS('Historical Orders'!$G54, 'Historical Orders'!$D54, "3", 'Historical Orders'!$C54, "B", 'Historical Orders'!$B54, "2")</f>
        <v>0</v>
      </c>
      <c r="AF54" s="157">
        <f>SUMIFS('Historical Orders'!$E54, 'Historical Orders'!$D54, "4", 'Historical Orders'!$C54, "A", 'Historical Orders'!$B54, "1")</f>
        <v>0</v>
      </c>
      <c r="AG54" s="157">
        <f>SUMIFS('Historical Orders'!$G54, 'Historical Orders'!$D54, "4", 'Historical Orders'!$C54, "A", 'Historical Orders'!$B54, "1")</f>
        <v>0</v>
      </c>
      <c r="AH54" s="157">
        <f>SUMIFS('Historical Orders'!$E54, 'Historical Orders'!$D54, "4", 'Historical Orders'!$C54, "B", 'Historical Orders'!$B54, "1")</f>
        <v>0</v>
      </c>
      <c r="AI54" s="157">
        <f>SUMIFS('Historical Orders'!$G54, 'Historical Orders'!$D54, "4", 'Historical Orders'!$C54, "B", 'Historical Orders'!$B54, "1")</f>
        <v>0</v>
      </c>
      <c r="AJ54" s="157">
        <f>SUMIFS('Historical Orders'!$E54, 'Historical Orders'!$D54, "4", 'Historical Orders'!$C54, "A", 'Historical Orders'!$B54, "2")</f>
        <v>0</v>
      </c>
      <c r="AK54" s="157">
        <f>SUMIFS('Historical Orders'!$G54, 'Historical Orders'!$D54, "4", 'Historical Orders'!$C54, "A", 'Historical Orders'!$B54, "2")</f>
        <v>0</v>
      </c>
      <c r="AL54" s="171">
        <f>SUMIFS('Historical Orders'!$E54, 'Historical Orders'!$D54, "4", 'Historical Orders'!$C54, "B", 'Historical Orders'!$B54, "2")</f>
        <v>0</v>
      </c>
      <c r="AM54" s="171">
        <f>SUMIFS('Historical Orders'!$G54, 'Historical Orders'!$D54, "4", 'Historical Orders'!$C54, "B", 'Historical Orders'!$B54, "2")</f>
        <v>0</v>
      </c>
      <c r="AN54" s="171">
        <f>SUMIFS('Historical Orders'!$G54, 'Historical Orders'!$C54, "A", 'Historical Orders'!$B54, "1")</f>
        <v>0</v>
      </c>
      <c r="AO54" s="171">
        <f>SUMIFS('Historical Orders'!$G54, 'Historical Orders'!$C54, "B", 'Historical Orders'!$B54, "1")</f>
        <v>15770</v>
      </c>
      <c r="AP54" s="171">
        <f>SUMIFS('Historical Orders'!$G54, 'Historical Orders'!$C54, "A", 'Historical Orders'!$B54, "2")</f>
        <v>0</v>
      </c>
      <c r="AQ54" s="171">
        <f>SUMIFS('Historical Orders'!$G54, 'Historical Orders'!$C54, "B", 'Historical Orders'!$B54, "2")</f>
        <v>0</v>
      </c>
      <c r="AR54" s="145"/>
      <c r="AS54" s="146"/>
      <c r="AT54" s="173" t="str">
        <f>"Total Weeks: " &amp; COUNTA(ANCHORARRAY(AT2))</f>
        <v>Total Weeks: 1</v>
      </c>
      <c r="AU54" s="162"/>
      <c r="AV54" s="174" t="s">
        <v>7</v>
      </c>
      <c r="AW54" s="175">
        <f>SUM('Historical Orders'!$AW$2:$AW$53)</f>
        <v>1259788</v>
      </c>
      <c r="AX54" s="175">
        <f>SUM('Historical Orders'!$AX$2:$AX$53)</f>
        <v>639468</v>
      </c>
      <c r="AY54" s="175">
        <f>SUM('Historical Orders'!$AY$2:$AY$53)</f>
        <v>620320</v>
      </c>
      <c r="AZ54" s="175">
        <f>SUM('Historical Orders'!$AZ$2:$AZ$53)</f>
        <v>1015131</v>
      </c>
      <c r="BA54" s="175">
        <f>SUM('Historical Orders'!$BA$2:$BA$53)</f>
        <v>244657</v>
      </c>
      <c r="BB54" s="176"/>
      <c r="BC54" s="177">
        <f>SUM('Historical Orders'!$BC$2:$BC$53)</f>
        <v>3659475.3</v>
      </c>
      <c r="BD54" s="177">
        <f>SUM('Historical Orders'!$BD$2:$BD$53)</f>
        <v>1775610.9</v>
      </c>
      <c r="BE54" s="177">
        <f>SUM('Historical Orders'!$BE$2:$BE$53)</f>
        <v>1883864.4</v>
      </c>
      <c r="BF54" s="177"/>
      <c r="BG54" s="177">
        <f>SUM('Historical Orders'!$BG$2:$BG$53)</f>
        <v>516927.4</v>
      </c>
      <c r="BH54" s="177">
        <f>SUM('Historical Orders'!$BH$2:$BH$53)</f>
        <v>354705.6</v>
      </c>
      <c r="BI54" s="177">
        <f>SUM('Historical Orders'!$BI$2:$BI$53)</f>
        <v>0</v>
      </c>
      <c r="BJ54" s="177">
        <f>SUM('Historical Orders'!$BJ$2:$BJ$53)</f>
        <v>871633</v>
      </c>
      <c r="BK54" s="177"/>
      <c r="BL54" s="177">
        <f>SUM('Historical Orders'!$BL$2:$BL$53)</f>
        <v>0</v>
      </c>
      <c r="BM54" s="177">
        <f>SUM('Historical Orders'!$BM$2:$BM$53)</f>
        <v>0</v>
      </c>
      <c r="BN54" s="177">
        <f>SUM('Historical Orders'!$BN$2:$BN$53)</f>
        <v>903977.9</v>
      </c>
      <c r="BO54" s="177">
        <f>SUM('Historical Orders'!$BO$2:$BO$53)</f>
        <v>903977.9</v>
      </c>
      <c r="BP54" s="177"/>
      <c r="BQ54" s="177">
        <f>SUM('Historical Orders'!$BQ$2:$BQ$53)</f>
        <v>386535.6</v>
      </c>
      <c r="BR54" s="177">
        <f>SUM('Historical Orders'!$BR$2:$BR$53)</f>
        <v>370653.6</v>
      </c>
      <c r="BS54" s="177">
        <f>SUM('Historical Orders'!$BS$2:$BS$53)</f>
        <v>0</v>
      </c>
      <c r="BT54" s="177">
        <f>SUM('Historical Orders'!$BT$2:$BT$53)</f>
        <v>757189.2</v>
      </c>
      <c r="BU54" s="177"/>
      <c r="BV54" s="177">
        <f>SUM('Historical Orders'!$BV$2:$BV$53)</f>
        <v>0</v>
      </c>
      <c r="BW54" s="177">
        <f>SUM('Historical Orders'!$BW$2:$BW$53)</f>
        <v>0</v>
      </c>
      <c r="BX54" s="177">
        <f>SUM('Historical Orders'!$BX$2:$BX$53)</f>
        <v>1126675.2</v>
      </c>
      <c r="BY54" s="177">
        <f>SUM('Historical Orders'!$BY$2:$BY$53)</f>
        <v>1126675.2</v>
      </c>
      <c r="BZ54" s="167"/>
      <c r="CA54" s="178">
        <f>SUM('Historical Orders'!$CA$2:$CA$53)</f>
        <v>156</v>
      </c>
      <c r="CB54" s="178">
        <f>SUM('Historical Orders'!$CB$2:$CB$53)</f>
        <v>156</v>
      </c>
      <c r="CC54" s="178">
        <f>SUM('Historical Orders'!$CC$2:$CC$53)</f>
        <v>208</v>
      </c>
      <c r="CD54" s="178">
        <f>SUM('Historical Orders'!$CD$2:$CD$53)</f>
        <v>104</v>
      </c>
      <c r="CE54" s="178">
        <f>SUM('Historical Orders'!$CE$2:$CE$53)</f>
        <v>104</v>
      </c>
      <c r="CF54" s="178">
        <f>SUM('Historical Orders'!$CF$2:$CF$53)</f>
        <v>104</v>
      </c>
      <c r="CG54" s="178">
        <f>SUM('Historical Orders'!$CG$2:$CG$53)</f>
        <v>104</v>
      </c>
      <c r="CH54" s="170"/>
    </row>
    <row r="55" ht="15.75" customHeight="1">
      <c r="A55" s="151">
        <v>41911.0</v>
      </c>
      <c r="B55" s="152">
        <v>2.0</v>
      </c>
      <c r="C55" s="152" t="s">
        <v>46</v>
      </c>
      <c r="D55" s="152">
        <v>3.0</v>
      </c>
      <c r="E55" s="153">
        <v>2554.0</v>
      </c>
      <c r="F55" s="154">
        <v>8.3</v>
      </c>
      <c r="G55" s="155">
        <v>21198.2</v>
      </c>
      <c r="H55" s="159">
        <f>SUMIFS('Historical Orders'!$E55, 'Historical Orders'!$D55, "1", 'Historical Orders'!$C55, "A", 'Historical Orders'!$B55, "1")</f>
        <v>0</v>
      </c>
      <c r="I55" s="157">
        <f>SUMIFS('Historical Orders'!$G55, 'Historical Orders'!$D55, "1", 'Historical Orders'!$C55, "A", 'Historical Orders'!$B55, "1")</f>
        <v>0</v>
      </c>
      <c r="J55" s="157">
        <f>SUMIFS('Historical Orders'!$E55, 'Historical Orders'!$D55, "1", 'Historical Orders'!$C55, "B", 'Historical Orders'!$B55, "1")</f>
        <v>0</v>
      </c>
      <c r="K55" s="157">
        <f>SUMIFS('Historical Orders'!$G55, 'Historical Orders'!$D55, "1", 'Historical Orders'!$C55, "B", 'Historical Orders'!$B55, "1")</f>
        <v>0</v>
      </c>
      <c r="L55" s="159">
        <f>SUMIFS('Historical Orders'!$E55, 'Historical Orders'!$D55, "1", 'Historical Orders'!$C55, "A", 'Historical Orders'!$B55, "2")</f>
        <v>0</v>
      </c>
      <c r="M55" s="157">
        <f>SUMIFS('Historical Orders'!$G55, 'Historical Orders'!$D55, "1", 'Historical Orders'!$C55, "A", 'Historical Orders'!$B55, "2")</f>
        <v>0</v>
      </c>
      <c r="N55" s="157">
        <f>SUMIFS('Historical Orders'!$E55, 'Historical Orders'!$D55, "1", 'Historical Orders'!$C55, "B", 'Historical Orders'!$B55, "2")</f>
        <v>0</v>
      </c>
      <c r="O55" s="157">
        <f>SUMIFS('Historical Orders'!$G55, 'Historical Orders'!$D55, "1", 'Historical Orders'!$C55, "B", 'Historical Orders'!$B55, "2")</f>
        <v>0</v>
      </c>
      <c r="P55" s="159">
        <f>SUMIFS('Historical Orders'!$E55, 'Historical Orders'!$D55, "2", 'Historical Orders'!$C55, "A", 'Historical Orders'!$B55, "1")</f>
        <v>0</v>
      </c>
      <c r="Q55" s="157">
        <f>SUMIFS('Historical Orders'!$G55, 'Historical Orders'!$D55, "2", 'Historical Orders'!$C55, "A", 'Historical Orders'!$B55, "1")</f>
        <v>0</v>
      </c>
      <c r="R55" s="159">
        <f>SUMIFS('Historical Orders'!$E55, 'Historical Orders'!$D55, "2", 'Historical Orders'!$C55, "B", 'Historical Orders'!$B55, "1")</f>
        <v>0</v>
      </c>
      <c r="S55" s="157">
        <f>SUMIFS('Historical Orders'!$G55, 'Historical Orders'!$D55, "2", 'Historical Orders'!$C55, "B", 'Historical Orders'!$B55, "1")</f>
        <v>0</v>
      </c>
      <c r="T55" s="159">
        <f>SUMIFS('Historical Orders'!$E55, 'Historical Orders'!$D55, "2", 'Historical Orders'!$C55, "A", 'Historical Orders'!$B55, "2")</f>
        <v>0</v>
      </c>
      <c r="U55" s="157">
        <f>SUMIFS('Historical Orders'!$G55, 'Historical Orders'!$D55, "2", 'Historical Orders'!$C55, "A", 'Historical Orders'!$B55, "2")</f>
        <v>0</v>
      </c>
      <c r="V55" s="159">
        <f>SUMIFS('Historical Orders'!$E55, 'Historical Orders'!$D55, "2", 'Historical Orders'!$C55, "B", 'Historical Orders'!$B55, "2")</f>
        <v>0</v>
      </c>
      <c r="W55" s="159">
        <f>SUMIFS('Historical Orders'!$G55, 'Historical Orders'!$D55, "2", 'Historical Orders'!$C55, "B", 'Historical Orders'!$B55, "2")</f>
        <v>0</v>
      </c>
      <c r="X55" s="159">
        <f>SUMIFS('Historical Orders'!$E55, 'Historical Orders'!$D55, "3", 'Historical Orders'!$C55, "A", 'Historical Orders'!$B55, "1")</f>
        <v>0</v>
      </c>
      <c r="Y55" s="159">
        <f>SUMIFS('Historical Orders'!$G55, 'Historical Orders'!$D55, "3", 'Historical Orders'!$C55, "A", 'Historical Orders'!$B55, "1")</f>
        <v>0</v>
      </c>
      <c r="Z55" s="159">
        <f>SUMIFS('Historical Orders'!$E55, 'Historical Orders'!$D55, "3", 'Historical Orders'!$C55, "B", 'Historical Orders'!$B55, "1")</f>
        <v>0</v>
      </c>
      <c r="AA55" s="159">
        <f>SUMIFS('Historical Orders'!$G55, 'Historical Orders'!$D55, "3", 'Historical Orders'!$C55, "B", 'Historical Orders'!$B55, "1")</f>
        <v>0</v>
      </c>
      <c r="AB55" s="159">
        <f>SUMIFS('Historical Orders'!$E55, 'Historical Orders'!$D55, "3", 'Historical Orders'!$C55, "A", 'Historical Orders'!$B55, "2")</f>
        <v>0</v>
      </c>
      <c r="AC55" s="159">
        <f>SUMIFS('Historical Orders'!$G55, 'Historical Orders'!$D55, "3", 'Historical Orders'!$C55, "A", 'Historical Orders'!$B55, "2")</f>
        <v>0</v>
      </c>
      <c r="AD55" s="159">
        <f>SUMIFS('Historical Orders'!$E55, 'Historical Orders'!$D55, "3", 'Historical Orders'!$C55, "B", 'Historical Orders'!$B55, "2")</f>
        <v>2554</v>
      </c>
      <c r="AE55" s="157">
        <f>SUMIFS('Historical Orders'!$G55, 'Historical Orders'!$D55, "3", 'Historical Orders'!$C55, "B", 'Historical Orders'!$B55, "2")</f>
        <v>21198.2</v>
      </c>
      <c r="AF55" s="157">
        <f>SUMIFS('Historical Orders'!$E55, 'Historical Orders'!$D55, "4", 'Historical Orders'!$C55, "A", 'Historical Orders'!$B55, "1")</f>
        <v>0</v>
      </c>
      <c r="AG55" s="157">
        <f>SUMIFS('Historical Orders'!$G55, 'Historical Orders'!$D55, "4", 'Historical Orders'!$C55, "A", 'Historical Orders'!$B55, "1")</f>
        <v>0</v>
      </c>
      <c r="AH55" s="157">
        <f>SUMIFS('Historical Orders'!$E55, 'Historical Orders'!$D55, "4", 'Historical Orders'!$C55, "B", 'Historical Orders'!$B55, "1")</f>
        <v>0</v>
      </c>
      <c r="AI55" s="157">
        <f>SUMIFS('Historical Orders'!$G55, 'Historical Orders'!$D55, "4", 'Historical Orders'!$C55, "B", 'Historical Orders'!$B55, "1")</f>
        <v>0</v>
      </c>
      <c r="AJ55" s="157">
        <f>SUMIFS('Historical Orders'!$E55, 'Historical Orders'!$D55, "4", 'Historical Orders'!$C55, "A", 'Historical Orders'!$B55, "2")</f>
        <v>0</v>
      </c>
      <c r="AK55" s="157">
        <f>SUMIFS('Historical Orders'!$G55, 'Historical Orders'!$D55, "4", 'Historical Orders'!$C55, "A", 'Historical Orders'!$B55, "2")</f>
        <v>0</v>
      </c>
      <c r="AL55" s="171">
        <f>SUMIFS('Historical Orders'!$E55, 'Historical Orders'!$D55, "4", 'Historical Orders'!$C55, "B", 'Historical Orders'!$B55, "2")</f>
        <v>0</v>
      </c>
      <c r="AM55" s="171">
        <f>SUMIFS('Historical Orders'!$G55, 'Historical Orders'!$D55, "4", 'Historical Orders'!$C55, "B", 'Historical Orders'!$B55, "2")</f>
        <v>0</v>
      </c>
      <c r="AN55" s="171">
        <f>SUMIFS('Historical Orders'!$G55, 'Historical Orders'!$C55, "A", 'Historical Orders'!$B55, "1")</f>
        <v>0</v>
      </c>
      <c r="AO55" s="171">
        <f>SUMIFS('Historical Orders'!$G55, 'Historical Orders'!$C55, "B", 'Historical Orders'!$B55, "1")</f>
        <v>0</v>
      </c>
      <c r="AP55" s="171">
        <f>SUMIFS('Historical Orders'!$G55, 'Historical Orders'!$C55, "A", 'Historical Orders'!$B55, "2")</f>
        <v>0</v>
      </c>
      <c r="AQ55" s="171">
        <f>SUMIFS('Historical Orders'!$G55, 'Historical Orders'!$C55, "B", 'Historical Orders'!$B55, "2")</f>
        <v>21198.2</v>
      </c>
      <c r="AR55" s="145"/>
      <c r="AS55" s="146"/>
      <c r="AT55" s="146"/>
      <c r="AU55" s="162"/>
      <c r="AV55" s="162"/>
      <c r="AW55" s="162"/>
      <c r="AX55" s="162"/>
      <c r="AY55" s="162"/>
      <c r="AZ55" s="162"/>
      <c r="BA55" s="162"/>
      <c r="BB55" s="162"/>
      <c r="BC55" s="162"/>
      <c r="BD55" s="162"/>
      <c r="BE55" s="162"/>
      <c r="BF55" s="162"/>
      <c r="BG55" s="162"/>
      <c r="BH55" s="162"/>
      <c r="BI55" s="162"/>
      <c r="BJ55" s="162"/>
      <c r="BK55" s="162"/>
      <c r="BL55" s="162"/>
      <c r="BM55" s="162"/>
      <c r="BN55" s="162"/>
      <c r="BO55" s="162"/>
      <c r="BP55" s="162"/>
      <c r="BQ55" s="162"/>
      <c r="BR55" s="162"/>
      <c r="BS55" s="162"/>
      <c r="BT55" s="162"/>
      <c r="BU55" s="162"/>
      <c r="BV55" s="162"/>
      <c r="BW55" s="162"/>
      <c r="BX55" s="162"/>
      <c r="BY55" s="162"/>
      <c r="BZ55" s="162"/>
      <c r="CA55" s="162"/>
      <c r="CB55" s="162"/>
      <c r="CC55" s="162"/>
      <c r="CD55" s="162"/>
      <c r="CE55" s="162"/>
      <c r="CF55" s="162"/>
    </row>
    <row r="56" ht="15.75" customHeight="1">
      <c r="A56" s="151">
        <v>41918.0</v>
      </c>
      <c r="B56" s="152">
        <v>1.0</v>
      </c>
      <c r="C56" s="152" t="s">
        <v>45</v>
      </c>
      <c r="D56" s="152">
        <v>1.0</v>
      </c>
      <c r="E56" s="153">
        <v>4228.0</v>
      </c>
      <c r="F56" s="154">
        <v>2.2</v>
      </c>
      <c r="G56" s="155">
        <v>9301.6</v>
      </c>
      <c r="H56" s="159">
        <f>SUMIFS('Historical Orders'!$E56, 'Historical Orders'!$D56, "1", 'Historical Orders'!$C56, "A", 'Historical Orders'!$B56, "1")</f>
        <v>4228</v>
      </c>
      <c r="I56" s="157">
        <f>SUMIFS('Historical Orders'!$G56, 'Historical Orders'!$D56, "1", 'Historical Orders'!$C56, "A", 'Historical Orders'!$B56, "1")</f>
        <v>9301.6</v>
      </c>
      <c r="J56" s="157">
        <f>SUMIFS('Historical Orders'!$E56, 'Historical Orders'!$D56, "1", 'Historical Orders'!$C56, "B", 'Historical Orders'!$B56, "1")</f>
        <v>0</v>
      </c>
      <c r="K56" s="157">
        <f>SUMIFS('Historical Orders'!$G56, 'Historical Orders'!$D56, "1", 'Historical Orders'!$C56, "B", 'Historical Orders'!$B56, "1")</f>
        <v>0</v>
      </c>
      <c r="L56" s="159">
        <f>SUMIFS('Historical Orders'!$E56, 'Historical Orders'!$D56, "1", 'Historical Orders'!$C56, "A", 'Historical Orders'!$B56, "2")</f>
        <v>0</v>
      </c>
      <c r="M56" s="157">
        <f>SUMIFS('Historical Orders'!$G56, 'Historical Orders'!$D56, "1", 'Historical Orders'!$C56, "A", 'Historical Orders'!$B56, "2")</f>
        <v>0</v>
      </c>
      <c r="N56" s="157">
        <f>SUMIFS('Historical Orders'!$E56, 'Historical Orders'!$D56, "1", 'Historical Orders'!$C56, "B", 'Historical Orders'!$B56, "2")</f>
        <v>0</v>
      </c>
      <c r="O56" s="157">
        <f>SUMIFS('Historical Orders'!$G56, 'Historical Orders'!$D56, "1", 'Historical Orders'!$C56, "B", 'Historical Orders'!$B56, "2")</f>
        <v>0</v>
      </c>
      <c r="P56" s="159">
        <f>SUMIFS('Historical Orders'!$E56, 'Historical Orders'!$D56, "2", 'Historical Orders'!$C56, "A", 'Historical Orders'!$B56, "1")</f>
        <v>0</v>
      </c>
      <c r="Q56" s="157">
        <f>SUMIFS('Historical Orders'!$G56, 'Historical Orders'!$D56, "2", 'Historical Orders'!$C56, "A", 'Historical Orders'!$B56, "1")</f>
        <v>0</v>
      </c>
      <c r="R56" s="159">
        <f>SUMIFS('Historical Orders'!$E56, 'Historical Orders'!$D56, "2", 'Historical Orders'!$C56, "B", 'Historical Orders'!$B56, "1")</f>
        <v>0</v>
      </c>
      <c r="S56" s="157">
        <f>SUMIFS('Historical Orders'!$G56, 'Historical Orders'!$D56, "2", 'Historical Orders'!$C56, "B", 'Historical Orders'!$B56, "1")</f>
        <v>0</v>
      </c>
      <c r="T56" s="159">
        <f>SUMIFS('Historical Orders'!$E56, 'Historical Orders'!$D56, "2", 'Historical Orders'!$C56, "A", 'Historical Orders'!$B56, "2")</f>
        <v>0</v>
      </c>
      <c r="U56" s="157">
        <f>SUMIFS('Historical Orders'!$G56, 'Historical Orders'!$D56, "2", 'Historical Orders'!$C56, "A", 'Historical Orders'!$B56, "2")</f>
        <v>0</v>
      </c>
      <c r="V56" s="159">
        <f>SUMIFS('Historical Orders'!$E56, 'Historical Orders'!$D56, "2", 'Historical Orders'!$C56, "B", 'Historical Orders'!$B56, "2")</f>
        <v>0</v>
      </c>
      <c r="W56" s="159">
        <f>SUMIFS('Historical Orders'!$G56, 'Historical Orders'!$D56, "2", 'Historical Orders'!$C56, "B", 'Historical Orders'!$B56, "2")</f>
        <v>0</v>
      </c>
      <c r="X56" s="159">
        <f>SUMIFS('Historical Orders'!$E56, 'Historical Orders'!$D56, "3", 'Historical Orders'!$C56, "A", 'Historical Orders'!$B56, "1")</f>
        <v>0</v>
      </c>
      <c r="Y56" s="159">
        <f>SUMIFS('Historical Orders'!$G56, 'Historical Orders'!$D56, "3", 'Historical Orders'!$C56, "A", 'Historical Orders'!$B56, "1")</f>
        <v>0</v>
      </c>
      <c r="Z56" s="159">
        <f>SUMIFS('Historical Orders'!$E56, 'Historical Orders'!$D56, "3", 'Historical Orders'!$C56, "B", 'Historical Orders'!$B56, "1")</f>
        <v>0</v>
      </c>
      <c r="AA56" s="159">
        <f>SUMIFS('Historical Orders'!$G56, 'Historical Orders'!$D56, "3", 'Historical Orders'!$C56, "B", 'Historical Orders'!$B56, "1")</f>
        <v>0</v>
      </c>
      <c r="AB56" s="159">
        <f>SUMIFS('Historical Orders'!$E56, 'Historical Orders'!$D56, "3", 'Historical Orders'!$C56, "A", 'Historical Orders'!$B56, "2")</f>
        <v>0</v>
      </c>
      <c r="AC56" s="159">
        <f>SUMIFS('Historical Orders'!$G56, 'Historical Orders'!$D56, "3", 'Historical Orders'!$C56, "A", 'Historical Orders'!$B56, "2")</f>
        <v>0</v>
      </c>
      <c r="AD56" s="159">
        <f>SUMIFS('Historical Orders'!$E56, 'Historical Orders'!$D56, "3", 'Historical Orders'!$C56, "B", 'Historical Orders'!$B56, "2")</f>
        <v>0</v>
      </c>
      <c r="AE56" s="157">
        <f>SUMIFS('Historical Orders'!$G56, 'Historical Orders'!$D56, "3", 'Historical Orders'!$C56, "B", 'Historical Orders'!$B56, "2")</f>
        <v>0</v>
      </c>
      <c r="AF56" s="157">
        <f>SUMIFS('Historical Orders'!$E56, 'Historical Orders'!$D56, "4", 'Historical Orders'!$C56, "A", 'Historical Orders'!$B56, "1")</f>
        <v>0</v>
      </c>
      <c r="AG56" s="157">
        <f>SUMIFS('Historical Orders'!$G56, 'Historical Orders'!$D56, "4", 'Historical Orders'!$C56, "A", 'Historical Orders'!$B56, "1")</f>
        <v>0</v>
      </c>
      <c r="AH56" s="157">
        <f>SUMIFS('Historical Orders'!$E56, 'Historical Orders'!$D56, "4", 'Historical Orders'!$C56, "B", 'Historical Orders'!$B56, "1")</f>
        <v>0</v>
      </c>
      <c r="AI56" s="157">
        <f>SUMIFS('Historical Orders'!$G56, 'Historical Orders'!$D56, "4", 'Historical Orders'!$C56, "B", 'Historical Orders'!$B56, "1")</f>
        <v>0</v>
      </c>
      <c r="AJ56" s="157">
        <f>SUMIFS('Historical Orders'!$E56, 'Historical Orders'!$D56, "4", 'Historical Orders'!$C56, "A", 'Historical Orders'!$B56, "2")</f>
        <v>0</v>
      </c>
      <c r="AK56" s="157">
        <f>SUMIFS('Historical Orders'!$G56, 'Historical Orders'!$D56, "4", 'Historical Orders'!$C56, "A", 'Historical Orders'!$B56, "2")</f>
        <v>0</v>
      </c>
      <c r="AL56" s="171">
        <f>SUMIFS('Historical Orders'!$E56, 'Historical Orders'!$D56, "4", 'Historical Orders'!$C56, "B", 'Historical Orders'!$B56, "2")</f>
        <v>0</v>
      </c>
      <c r="AM56" s="171">
        <f>SUMIFS('Historical Orders'!$G56, 'Historical Orders'!$D56, "4", 'Historical Orders'!$C56, "B", 'Historical Orders'!$B56, "2")</f>
        <v>0</v>
      </c>
      <c r="AN56" s="171">
        <f>SUMIFS('Historical Orders'!$G56, 'Historical Orders'!$C56, "A", 'Historical Orders'!$B56, "1")</f>
        <v>9301.6</v>
      </c>
      <c r="AO56" s="171">
        <f>SUMIFS('Historical Orders'!$G56, 'Historical Orders'!$C56, "B", 'Historical Orders'!$B56, "1")</f>
        <v>0</v>
      </c>
      <c r="AP56" s="171">
        <f>SUMIFS('Historical Orders'!$G56, 'Historical Orders'!$C56, "A", 'Historical Orders'!$B56, "2")</f>
        <v>0</v>
      </c>
      <c r="AQ56" s="171">
        <f>SUMIFS('Historical Orders'!$G56, 'Historical Orders'!$C56, "B", 'Historical Orders'!$B56, "2")</f>
        <v>0</v>
      </c>
      <c r="AR56" s="145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9"/>
      <c r="BW56" s="179"/>
      <c r="BX56" s="179"/>
      <c r="BY56" s="179"/>
      <c r="BZ56" s="179"/>
      <c r="CA56" s="179"/>
      <c r="CB56" s="179"/>
      <c r="CC56" s="179"/>
      <c r="CD56" s="179"/>
      <c r="CE56" s="179"/>
    </row>
    <row r="57" ht="15.75" customHeight="1">
      <c r="A57" s="151">
        <v>41918.0</v>
      </c>
      <c r="B57" s="152">
        <v>1.0</v>
      </c>
      <c r="C57" s="152" t="s">
        <v>45</v>
      </c>
      <c r="D57" s="152">
        <v>2.0</v>
      </c>
      <c r="E57" s="153">
        <v>5342.0</v>
      </c>
      <c r="F57" s="154">
        <v>1.2</v>
      </c>
      <c r="G57" s="155">
        <v>6410.4</v>
      </c>
      <c r="H57" s="159">
        <f>SUMIFS('Historical Orders'!$E57, 'Historical Orders'!$D57, "1", 'Historical Orders'!$C57, "A", 'Historical Orders'!$B57, "1")</f>
        <v>0</v>
      </c>
      <c r="I57" s="157">
        <f>SUMIFS('Historical Orders'!$G57, 'Historical Orders'!$D57, "1", 'Historical Orders'!$C57, "A", 'Historical Orders'!$B57, "1")</f>
        <v>0</v>
      </c>
      <c r="J57" s="157">
        <f>SUMIFS('Historical Orders'!$E57, 'Historical Orders'!$D57, "1", 'Historical Orders'!$C57, "B", 'Historical Orders'!$B57, "1")</f>
        <v>0</v>
      </c>
      <c r="K57" s="157">
        <f>SUMIFS('Historical Orders'!$G57, 'Historical Orders'!$D57, "1", 'Historical Orders'!$C57, "B", 'Historical Orders'!$B57, "1")</f>
        <v>0</v>
      </c>
      <c r="L57" s="159">
        <f>SUMIFS('Historical Orders'!$E57, 'Historical Orders'!$D57, "1", 'Historical Orders'!$C57, "A", 'Historical Orders'!$B57, "2")</f>
        <v>0</v>
      </c>
      <c r="M57" s="157">
        <f>SUMIFS('Historical Orders'!$G57, 'Historical Orders'!$D57, "1", 'Historical Orders'!$C57, "A", 'Historical Orders'!$B57, "2")</f>
        <v>0</v>
      </c>
      <c r="N57" s="157">
        <f>SUMIFS('Historical Orders'!$E57, 'Historical Orders'!$D57, "1", 'Historical Orders'!$C57, "B", 'Historical Orders'!$B57, "2")</f>
        <v>0</v>
      </c>
      <c r="O57" s="157">
        <f>SUMIFS('Historical Orders'!$G57, 'Historical Orders'!$D57, "1", 'Historical Orders'!$C57, "B", 'Historical Orders'!$B57, "2")</f>
        <v>0</v>
      </c>
      <c r="P57" s="159">
        <f>SUMIFS('Historical Orders'!$E57, 'Historical Orders'!$D57, "2", 'Historical Orders'!$C57, "A", 'Historical Orders'!$B57, "1")</f>
        <v>5342</v>
      </c>
      <c r="Q57" s="157">
        <f>SUMIFS('Historical Orders'!$G57, 'Historical Orders'!$D57, "2", 'Historical Orders'!$C57, "A", 'Historical Orders'!$B57, "1")</f>
        <v>6410.4</v>
      </c>
      <c r="R57" s="159">
        <f>SUMIFS('Historical Orders'!$E57, 'Historical Orders'!$D57, "2", 'Historical Orders'!$C57, "B", 'Historical Orders'!$B57, "1")</f>
        <v>0</v>
      </c>
      <c r="S57" s="157">
        <f>SUMIFS('Historical Orders'!$G57, 'Historical Orders'!$D57, "2", 'Historical Orders'!$C57, "B", 'Historical Orders'!$B57, "1")</f>
        <v>0</v>
      </c>
      <c r="T57" s="159">
        <f>SUMIFS('Historical Orders'!$E57, 'Historical Orders'!$D57, "2", 'Historical Orders'!$C57, "A", 'Historical Orders'!$B57, "2")</f>
        <v>0</v>
      </c>
      <c r="U57" s="157">
        <f>SUMIFS('Historical Orders'!$G57, 'Historical Orders'!$D57, "2", 'Historical Orders'!$C57, "A", 'Historical Orders'!$B57, "2")</f>
        <v>0</v>
      </c>
      <c r="V57" s="159">
        <f>SUMIFS('Historical Orders'!$E57, 'Historical Orders'!$D57, "2", 'Historical Orders'!$C57, "B", 'Historical Orders'!$B57, "2")</f>
        <v>0</v>
      </c>
      <c r="W57" s="159">
        <f>SUMIFS('Historical Orders'!$G57, 'Historical Orders'!$D57, "2", 'Historical Orders'!$C57, "B", 'Historical Orders'!$B57, "2")</f>
        <v>0</v>
      </c>
      <c r="X57" s="159">
        <f>SUMIFS('Historical Orders'!$E57, 'Historical Orders'!$D57, "3", 'Historical Orders'!$C57, "A", 'Historical Orders'!$B57, "1")</f>
        <v>0</v>
      </c>
      <c r="Y57" s="159">
        <f>SUMIFS('Historical Orders'!$G57, 'Historical Orders'!$D57, "3", 'Historical Orders'!$C57, "A", 'Historical Orders'!$B57, "1")</f>
        <v>0</v>
      </c>
      <c r="Z57" s="159">
        <f>SUMIFS('Historical Orders'!$E57, 'Historical Orders'!$D57, "3", 'Historical Orders'!$C57, "B", 'Historical Orders'!$B57, "1")</f>
        <v>0</v>
      </c>
      <c r="AA57" s="159">
        <f>SUMIFS('Historical Orders'!$G57, 'Historical Orders'!$D57, "3", 'Historical Orders'!$C57, "B", 'Historical Orders'!$B57, "1")</f>
        <v>0</v>
      </c>
      <c r="AB57" s="159">
        <f>SUMIFS('Historical Orders'!$E57, 'Historical Orders'!$D57, "3", 'Historical Orders'!$C57, "A", 'Historical Orders'!$B57, "2")</f>
        <v>0</v>
      </c>
      <c r="AC57" s="159">
        <f>SUMIFS('Historical Orders'!$G57, 'Historical Orders'!$D57, "3", 'Historical Orders'!$C57, "A", 'Historical Orders'!$B57, "2")</f>
        <v>0</v>
      </c>
      <c r="AD57" s="159">
        <f>SUMIFS('Historical Orders'!$E57, 'Historical Orders'!$D57, "3", 'Historical Orders'!$C57, "B", 'Historical Orders'!$B57, "2")</f>
        <v>0</v>
      </c>
      <c r="AE57" s="157">
        <f>SUMIFS('Historical Orders'!$G57, 'Historical Orders'!$D57, "3", 'Historical Orders'!$C57, "B", 'Historical Orders'!$B57, "2")</f>
        <v>0</v>
      </c>
      <c r="AF57" s="157">
        <f>SUMIFS('Historical Orders'!$E57, 'Historical Orders'!$D57, "4", 'Historical Orders'!$C57, "A", 'Historical Orders'!$B57, "1")</f>
        <v>0</v>
      </c>
      <c r="AG57" s="157">
        <f>SUMIFS('Historical Orders'!$G57, 'Historical Orders'!$D57, "4", 'Historical Orders'!$C57, "A", 'Historical Orders'!$B57, "1")</f>
        <v>0</v>
      </c>
      <c r="AH57" s="157">
        <f>SUMIFS('Historical Orders'!$E57, 'Historical Orders'!$D57, "4", 'Historical Orders'!$C57, "B", 'Historical Orders'!$B57, "1")</f>
        <v>0</v>
      </c>
      <c r="AI57" s="157">
        <f>SUMIFS('Historical Orders'!$G57, 'Historical Orders'!$D57, "4", 'Historical Orders'!$C57, "B", 'Historical Orders'!$B57, "1")</f>
        <v>0</v>
      </c>
      <c r="AJ57" s="157">
        <f>SUMIFS('Historical Orders'!$E57, 'Historical Orders'!$D57, "4", 'Historical Orders'!$C57, "A", 'Historical Orders'!$B57, "2")</f>
        <v>0</v>
      </c>
      <c r="AK57" s="157">
        <f>SUMIFS('Historical Orders'!$G57, 'Historical Orders'!$D57, "4", 'Historical Orders'!$C57, "A", 'Historical Orders'!$B57, "2")</f>
        <v>0</v>
      </c>
      <c r="AL57" s="171">
        <f>SUMIFS('Historical Orders'!$E57, 'Historical Orders'!$D57, "4", 'Historical Orders'!$C57, "B", 'Historical Orders'!$B57, "2")</f>
        <v>0</v>
      </c>
      <c r="AM57" s="171">
        <f>SUMIFS('Historical Orders'!$G57, 'Historical Orders'!$D57, "4", 'Historical Orders'!$C57, "B", 'Historical Orders'!$B57, "2")</f>
        <v>0</v>
      </c>
      <c r="AN57" s="171">
        <f>SUMIFS('Historical Orders'!$G57, 'Historical Orders'!$C57, "A", 'Historical Orders'!$B57, "1")</f>
        <v>6410.4</v>
      </c>
      <c r="AO57" s="171">
        <f>SUMIFS('Historical Orders'!$G57, 'Historical Orders'!$C57, "B", 'Historical Orders'!$B57, "1")</f>
        <v>0</v>
      </c>
      <c r="AP57" s="171">
        <f>SUMIFS('Historical Orders'!$G57, 'Historical Orders'!$C57, "A", 'Historical Orders'!$B57, "2")</f>
        <v>0</v>
      </c>
      <c r="AQ57" s="171">
        <f>SUMIFS('Historical Orders'!$G57, 'Historical Orders'!$C57, "B", 'Historical Orders'!$B57, "2")</f>
        <v>0</v>
      </c>
      <c r="AR57" s="145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9"/>
      <c r="BW57" s="179"/>
      <c r="BX57" s="179"/>
      <c r="BY57" s="179"/>
      <c r="BZ57" s="179"/>
      <c r="CA57" s="179"/>
      <c r="CB57" s="179"/>
      <c r="CC57" s="179"/>
      <c r="CD57" s="179"/>
      <c r="CE57" s="179"/>
    </row>
    <row r="58" ht="15.75" customHeight="1">
      <c r="A58" s="151">
        <v>41918.0</v>
      </c>
      <c r="B58" s="152">
        <v>2.0</v>
      </c>
      <c r="C58" s="152" t="s">
        <v>45</v>
      </c>
      <c r="D58" s="152">
        <v>1.0</v>
      </c>
      <c r="E58" s="153">
        <v>2897.0</v>
      </c>
      <c r="F58" s="154">
        <v>2.2</v>
      </c>
      <c r="G58" s="155">
        <v>6373.400000000001</v>
      </c>
      <c r="H58" s="159">
        <f>SUMIFS('Historical Orders'!$E58, 'Historical Orders'!$D58, "1", 'Historical Orders'!$C58, "A", 'Historical Orders'!$B58, "1")</f>
        <v>0</v>
      </c>
      <c r="I58" s="157">
        <f>SUMIFS('Historical Orders'!$G58, 'Historical Orders'!$D58, "1", 'Historical Orders'!$C58, "A", 'Historical Orders'!$B58, "1")</f>
        <v>0</v>
      </c>
      <c r="J58" s="157">
        <f>SUMIFS('Historical Orders'!$E58, 'Historical Orders'!$D58, "1", 'Historical Orders'!$C58, "B", 'Historical Orders'!$B58, "1")</f>
        <v>0</v>
      </c>
      <c r="K58" s="157">
        <f>SUMIFS('Historical Orders'!$G58, 'Historical Orders'!$D58, "1", 'Historical Orders'!$C58, "B", 'Historical Orders'!$B58, "1")</f>
        <v>0</v>
      </c>
      <c r="L58" s="159">
        <f>SUMIFS('Historical Orders'!$E58, 'Historical Orders'!$D58, "1", 'Historical Orders'!$C58, "A", 'Historical Orders'!$B58, "2")</f>
        <v>2897</v>
      </c>
      <c r="M58" s="157">
        <f>SUMIFS('Historical Orders'!$G58, 'Historical Orders'!$D58, "1", 'Historical Orders'!$C58, "A", 'Historical Orders'!$B58, "2")</f>
        <v>6373.4</v>
      </c>
      <c r="N58" s="157">
        <f>SUMIFS('Historical Orders'!$E58, 'Historical Orders'!$D58, "1", 'Historical Orders'!$C58, "B", 'Historical Orders'!$B58, "2")</f>
        <v>0</v>
      </c>
      <c r="O58" s="157">
        <f>SUMIFS('Historical Orders'!$G58, 'Historical Orders'!$D58, "1", 'Historical Orders'!$C58, "B", 'Historical Orders'!$B58, "2")</f>
        <v>0</v>
      </c>
      <c r="P58" s="159">
        <f>SUMIFS('Historical Orders'!$E58, 'Historical Orders'!$D58, "2", 'Historical Orders'!$C58, "A", 'Historical Orders'!$B58, "1")</f>
        <v>0</v>
      </c>
      <c r="Q58" s="157">
        <f>SUMIFS('Historical Orders'!$G58, 'Historical Orders'!$D58, "2", 'Historical Orders'!$C58, "A", 'Historical Orders'!$B58, "1")</f>
        <v>0</v>
      </c>
      <c r="R58" s="159">
        <f>SUMIFS('Historical Orders'!$E58, 'Historical Orders'!$D58, "2", 'Historical Orders'!$C58, "B", 'Historical Orders'!$B58, "1")</f>
        <v>0</v>
      </c>
      <c r="S58" s="157">
        <f>SUMIFS('Historical Orders'!$G58, 'Historical Orders'!$D58, "2", 'Historical Orders'!$C58, "B", 'Historical Orders'!$B58, "1")</f>
        <v>0</v>
      </c>
      <c r="T58" s="159">
        <f>SUMIFS('Historical Orders'!$E58, 'Historical Orders'!$D58, "2", 'Historical Orders'!$C58, "A", 'Historical Orders'!$B58, "2")</f>
        <v>0</v>
      </c>
      <c r="U58" s="157">
        <f>SUMIFS('Historical Orders'!$G58, 'Historical Orders'!$D58, "2", 'Historical Orders'!$C58, "A", 'Historical Orders'!$B58, "2")</f>
        <v>0</v>
      </c>
      <c r="V58" s="159">
        <f>SUMIFS('Historical Orders'!$E58, 'Historical Orders'!$D58, "2", 'Historical Orders'!$C58, "B", 'Historical Orders'!$B58, "2")</f>
        <v>0</v>
      </c>
      <c r="W58" s="159">
        <f>SUMIFS('Historical Orders'!$G58, 'Historical Orders'!$D58, "2", 'Historical Orders'!$C58, "B", 'Historical Orders'!$B58, "2")</f>
        <v>0</v>
      </c>
      <c r="X58" s="159">
        <f>SUMIFS('Historical Orders'!$E58, 'Historical Orders'!$D58, "3", 'Historical Orders'!$C58, "A", 'Historical Orders'!$B58, "1")</f>
        <v>0</v>
      </c>
      <c r="Y58" s="159">
        <f>SUMIFS('Historical Orders'!$G58, 'Historical Orders'!$D58, "3", 'Historical Orders'!$C58, "A", 'Historical Orders'!$B58, "1")</f>
        <v>0</v>
      </c>
      <c r="Z58" s="159">
        <f>SUMIFS('Historical Orders'!$E58, 'Historical Orders'!$D58, "3", 'Historical Orders'!$C58, "B", 'Historical Orders'!$B58, "1")</f>
        <v>0</v>
      </c>
      <c r="AA58" s="159">
        <f>SUMIFS('Historical Orders'!$G58, 'Historical Orders'!$D58, "3", 'Historical Orders'!$C58, "B", 'Historical Orders'!$B58, "1")</f>
        <v>0</v>
      </c>
      <c r="AB58" s="159">
        <f>SUMIFS('Historical Orders'!$E58, 'Historical Orders'!$D58, "3", 'Historical Orders'!$C58, "A", 'Historical Orders'!$B58, "2")</f>
        <v>0</v>
      </c>
      <c r="AC58" s="159">
        <f>SUMIFS('Historical Orders'!$G58, 'Historical Orders'!$D58, "3", 'Historical Orders'!$C58, "A", 'Historical Orders'!$B58, "2")</f>
        <v>0</v>
      </c>
      <c r="AD58" s="159">
        <f>SUMIFS('Historical Orders'!$E58, 'Historical Orders'!$D58, "3", 'Historical Orders'!$C58, "B", 'Historical Orders'!$B58, "2")</f>
        <v>0</v>
      </c>
      <c r="AE58" s="157">
        <f>SUMIFS('Historical Orders'!$G58, 'Historical Orders'!$D58, "3", 'Historical Orders'!$C58, "B", 'Historical Orders'!$B58, "2")</f>
        <v>0</v>
      </c>
      <c r="AF58" s="157">
        <f>SUMIFS('Historical Orders'!$E58, 'Historical Orders'!$D58, "4", 'Historical Orders'!$C58, "A", 'Historical Orders'!$B58, "1")</f>
        <v>0</v>
      </c>
      <c r="AG58" s="157">
        <f>SUMIFS('Historical Orders'!$G58, 'Historical Orders'!$D58, "4", 'Historical Orders'!$C58, "A", 'Historical Orders'!$B58, "1")</f>
        <v>0</v>
      </c>
      <c r="AH58" s="157">
        <f>SUMIFS('Historical Orders'!$E58, 'Historical Orders'!$D58, "4", 'Historical Orders'!$C58, "B", 'Historical Orders'!$B58, "1")</f>
        <v>0</v>
      </c>
      <c r="AI58" s="157">
        <f>SUMIFS('Historical Orders'!$G58, 'Historical Orders'!$D58, "4", 'Historical Orders'!$C58, "B", 'Historical Orders'!$B58, "1")</f>
        <v>0</v>
      </c>
      <c r="AJ58" s="157">
        <f>SUMIFS('Historical Orders'!$E58, 'Historical Orders'!$D58, "4", 'Historical Orders'!$C58, "A", 'Historical Orders'!$B58, "2")</f>
        <v>0</v>
      </c>
      <c r="AK58" s="157">
        <f>SUMIFS('Historical Orders'!$G58, 'Historical Orders'!$D58, "4", 'Historical Orders'!$C58, "A", 'Historical Orders'!$B58, "2")</f>
        <v>0</v>
      </c>
      <c r="AL58" s="171">
        <f>SUMIFS('Historical Orders'!$E58, 'Historical Orders'!$D58, "4", 'Historical Orders'!$C58, "B", 'Historical Orders'!$B58, "2")</f>
        <v>0</v>
      </c>
      <c r="AM58" s="171">
        <f>SUMIFS('Historical Orders'!$G58, 'Historical Orders'!$D58, "4", 'Historical Orders'!$C58, "B", 'Historical Orders'!$B58, "2")</f>
        <v>0</v>
      </c>
      <c r="AN58" s="171">
        <f>SUMIFS('Historical Orders'!$G58, 'Historical Orders'!$C58, "A", 'Historical Orders'!$B58, "1")</f>
        <v>0</v>
      </c>
      <c r="AO58" s="171">
        <f>SUMIFS('Historical Orders'!$G58, 'Historical Orders'!$C58, "B", 'Historical Orders'!$B58, "1")</f>
        <v>0</v>
      </c>
      <c r="AP58" s="171">
        <f>SUMIFS('Historical Orders'!$G58, 'Historical Orders'!$C58, "A", 'Historical Orders'!$B58, "2")</f>
        <v>6373.4</v>
      </c>
      <c r="AQ58" s="171">
        <f>SUMIFS('Historical Orders'!$G58, 'Historical Orders'!$C58, "B", 'Historical Orders'!$B58, "2")</f>
        <v>0</v>
      </c>
      <c r="AR58" s="145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9"/>
      <c r="BW58" s="179"/>
      <c r="BX58" s="179"/>
      <c r="BY58" s="179"/>
      <c r="BZ58" s="179"/>
      <c r="CA58" s="179"/>
      <c r="CB58" s="179"/>
      <c r="CC58" s="179"/>
      <c r="CD58" s="179"/>
      <c r="CE58" s="179"/>
    </row>
    <row r="59" ht="15.75" customHeight="1">
      <c r="A59" s="151">
        <v>41918.0</v>
      </c>
      <c r="B59" s="152">
        <v>2.0</v>
      </c>
      <c r="C59" s="152" t="s">
        <v>45</v>
      </c>
      <c r="D59" s="152">
        <v>2.0</v>
      </c>
      <c r="E59" s="153">
        <v>4895.0</v>
      </c>
      <c r="F59" s="154">
        <v>1.2</v>
      </c>
      <c r="G59" s="155">
        <v>5874.0</v>
      </c>
      <c r="H59" s="159">
        <f>SUMIFS('Historical Orders'!$E59, 'Historical Orders'!$D59, "1", 'Historical Orders'!$C59, "A", 'Historical Orders'!$B59, "1")</f>
        <v>0</v>
      </c>
      <c r="I59" s="157">
        <f>SUMIFS('Historical Orders'!$G59, 'Historical Orders'!$D59, "1", 'Historical Orders'!$C59, "A", 'Historical Orders'!$B59, "1")</f>
        <v>0</v>
      </c>
      <c r="J59" s="157">
        <f>SUMIFS('Historical Orders'!$E59, 'Historical Orders'!$D59, "1", 'Historical Orders'!$C59, "B", 'Historical Orders'!$B59, "1")</f>
        <v>0</v>
      </c>
      <c r="K59" s="157">
        <f>SUMIFS('Historical Orders'!$G59, 'Historical Orders'!$D59, "1", 'Historical Orders'!$C59, "B", 'Historical Orders'!$B59, "1")</f>
        <v>0</v>
      </c>
      <c r="L59" s="159">
        <f>SUMIFS('Historical Orders'!$E59, 'Historical Orders'!$D59, "1", 'Historical Orders'!$C59, "A", 'Historical Orders'!$B59, "2")</f>
        <v>0</v>
      </c>
      <c r="M59" s="157">
        <f>SUMIFS('Historical Orders'!$G59, 'Historical Orders'!$D59, "1", 'Historical Orders'!$C59, "A", 'Historical Orders'!$B59, "2")</f>
        <v>0</v>
      </c>
      <c r="N59" s="157">
        <f>SUMIFS('Historical Orders'!$E59, 'Historical Orders'!$D59, "1", 'Historical Orders'!$C59, "B", 'Historical Orders'!$B59, "2")</f>
        <v>0</v>
      </c>
      <c r="O59" s="157">
        <f>SUMIFS('Historical Orders'!$G59, 'Historical Orders'!$D59, "1", 'Historical Orders'!$C59, "B", 'Historical Orders'!$B59, "2")</f>
        <v>0</v>
      </c>
      <c r="P59" s="159">
        <f>SUMIFS('Historical Orders'!$E59, 'Historical Orders'!$D59, "2", 'Historical Orders'!$C59, "A", 'Historical Orders'!$B59, "1")</f>
        <v>0</v>
      </c>
      <c r="Q59" s="157">
        <f>SUMIFS('Historical Orders'!$G59, 'Historical Orders'!$D59, "2", 'Historical Orders'!$C59, "A", 'Historical Orders'!$B59, "1")</f>
        <v>0</v>
      </c>
      <c r="R59" s="159">
        <f>SUMIFS('Historical Orders'!$E59, 'Historical Orders'!$D59, "2", 'Historical Orders'!$C59, "B", 'Historical Orders'!$B59, "1")</f>
        <v>0</v>
      </c>
      <c r="S59" s="157">
        <f>SUMIFS('Historical Orders'!$G59, 'Historical Orders'!$D59, "2", 'Historical Orders'!$C59, "B", 'Historical Orders'!$B59, "1")</f>
        <v>0</v>
      </c>
      <c r="T59" s="159">
        <f>SUMIFS('Historical Orders'!$E59, 'Historical Orders'!$D59, "2", 'Historical Orders'!$C59, "A", 'Historical Orders'!$B59, "2")</f>
        <v>4895</v>
      </c>
      <c r="U59" s="157">
        <f>SUMIFS('Historical Orders'!$G59, 'Historical Orders'!$D59, "2", 'Historical Orders'!$C59, "A", 'Historical Orders'!$B59, "2")</f>
        <v>5874</v>
      </c>
      <c r="V59" s="159">
        <f>SUMIFS('Historical Orders'!$E59, 'Historical Orders'!$D59, "2", 'Historical Orders'!$C59, "B", 'Historical Orders'!$B59, "2")</f>
        <v>0</v>
      </c>
      <c r="W59" s="159">
        <f>SUMIFS('Historical Orders'!$G59, 'Historical Orders'!$D59, "2", 'Historical Orders'!$C59, "B", 'Historical Orders'!$B59, "2")</f>
        <v>0</v>
      </c>
      <c r="X59" s="159">
        <f>SUMIFS('Historical Orders'!$E59, 'Historical Orders'!$D59, "3", 'Historical Orders'!$C59, "A", 'Historical Orders'!$B59, "1")</f>
        <v>0</v>
      </c>
      <c r="Y59" s="159">
        <f>SUMIFS('Historical Orders'!$G59, 'Historical Orders'!$D59, "3", 'Historical Orders'!$C59, "A", 'Historical Orders'!$B59, "1")</f>
        <v>0</v>
      </c>
      <c r="Z59" s="159">
        <f>SUMIFS('Historical Orders'!$E59, 'Historical Orders'!$D59, "3", 'Historical Orders'!$C59, "B", 'Historical Orders'!$B59, "1")</f>
        <v>0</v>
      </c>
      <c r="AA59" s="159">
        <f>SUMIFS('Historical Orders'!$G59, 'Historical Orders'!$D59, "3", 'Historical Orders'!$C59, "B", 'Historical Orders'!$B59, "1")</f>
        <v>0</v>
      </c>
      <c r="AB59" s="159">
        <f>SUMIFS('Historical Orders'!$E59, 'Historical Orders'!$D59, "3", 'Historical Orders'!$C59, "A", 'Historical Orders'!$B59, "2")</f>
        <v>0</v>
      </c>
      <c r="AC59" s="159">
        <f>SUMIFS('Historical Orders'!$G59, 'Historical Orders'!$D59, "3", 'Historical Orders'!$C59, "A", 'Historical Orders'!$B59, "2")</f>
        <v>0</v>
      </c>
      <c r="AD59" s="159">
        <f>SUMIFS('Historical Orders'!$E59, 'Historical Orders'!$D59, "3", 'Historical Orders'!$C59, "B", 'Historical Orders'!$B59, "2")</f>
        <v>0</v>
      </c>
      <c r="AE59" s="157">
        <f>SUMIFS('Historical Orders'!$G59, 'Historical Orders'!$D59, "3", 'Historical Orders'!$C59, "B", 'Historical Orders'!$B59, "2")</f>
        <v>0</v>
      </c>
      <c r="AF59" s="157">
        <f>SUMIFS('Historical Orders'!$E59, 'Historical Orders'!$D59, "4", 'Historical Orders'!$C59, "A", 'Historical Orders'!$B59, "1")</f>
        <v>0</v>
      </c>
      <c r="AG59" s="157">
        <f>SUMIFS('Historical Orders'!$G59, 'Historical Orders'!$D59, "4", 'Historical Orders'!$C59, "A", 'Historical Orders'!$B59, "1")</f>
        <v>0</v>
      </c>
      <c r="AH59" s="157">
        <f>SUMIFS('Historical Orders'!$E59, 'Historical Orders'!$D59, "4", 'Historical Orders'!$C59, "B", 'Historical Orders'!$B59, "1")</f>
        <v>0</v>
      </c>
      <c r="AI59" s="157">
        <f>SUMIFS('Historical Orders'!$G59, 'Historical Orders'!$D59, "4", 'Historical Orders'!$C59, "B", 'Historical Orders'!$B59, "1")</f>
        <v>0</v>
      </c>
      <c r="AJ59" s="157">
        <f>SUMIFS('Historical Orders'!$E59, 'Historical Orders'!$D59, "4", 'Historical Orders'!$C59, "A", 'Historical Orders'!$B59, "2")</f>
        <v>0</v>
      </c>
      <c r="AK59" s="157">
        <f>SUMIFS('Historical Orders'!$G59, 'Historical Orders'!$D59, "4", 'Historical Orders'!$C59, "A", 'Historical Orders'!$B59, "2")</f>
        <v>0</v>
      </c>
      <c r="AL59" s="171">
        <f>SUMIFS('Historical Orders'!$E59, 'Historical Orders'!$D59, "4", 'Historical Orders'!$C59, "B", 'Historical Orders'!$B59, "2")</f>
        <v>0</v>
      </c>
      <c r="AM59" s="171">
        <f>SUMIFS('Historical Orders'!$G59, 'Historical Orders'!$D59, "4", 'Historical Orders'!$C59, "B", 'Historical Orders'!$B59, "2")</f>
        <v>0</v>
      </c>
      <c r="AN59" s="171">
        <f>SUMIFS('Historical Orders'!$G59, 'Historical Orders'!$C59, "A", 'Historical Orders'!$B59, "1")</f>
        <v>0</v>
      </c>
      <c r="AO59" s="171">
        <f>SUMIFS('Historical Orders'!$G59, 'Historical Orders'!$C59, "B", 'Historical Orders'!$B59, "1")</f>
        <v>0</v>
      </c>
      <c r="AP59" s="171">
        <f>SUMIFS('Historical Orders'!$G59, 'Historical Orders'!$C59, "A", 'Historical Orders'!$B59, "2")</f>
        <v>5874</v>
      </c>
      <c r="AQ59" s="171">
        <f>SUMIFS('Historical Orders'!$G59, 'Historical Orders'!$C59, "B", 'Historical Orders'!$B59, "2")</f>
        <v>0</v>
      </c>
      <c r="AR59" s="145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9"/>
      <c r="BW59" s="179"/>
      <c r="BX59" s="179"/>
      <c r="BY59" s="179"/>
      <c r="BZ59" s="179"/>
      <c r="CA59" s="179"/>
      <c r="CB59" s="179"/>
      <c r="CC59" s="179"/>
      <c r="CD59" s="179"/>
      <c r="CE59" s="179"/>
    </row>
    <row r="60" ht="15.75" customHeight="1">
      <c r="A60" s="151">
        <v>41918.0</v>
      </c>
      <c r="B60" s="152">
        <v>1.0</v>
      </c>
      <c r="C60" s="152" t="s">
        <v>46</v>
      </c>
      <c r="D60" s="152">
        <v>3.0</v>
      </c>
      <c r="E60" s="153">
        <v>2038.0</v>
      </c>
      <c r="F60" s="154">
        <v>8.3</v>
      </c>
      <c r="G60" s="155">
        <v>16915.4</v>
      </c>
      <c r="H60" s="159">
        <f>SUMIFS('Historical Orders'!$E60, 'Historical Orders'!$D60, "1", 'Historical Orders'!$C60, "A", 'Historical Orders'!$B60, "1")</f>
        <v>0</v>
      </c>
      <c r="I60" s="157">
        <f>SUMIFS('Historical Orders'!$G60, 'Historical Orders'!$D60, "1", 'Historical Orders'!$C60, "A", 'Historical Orders'!$B60, "1")</f>
        <v>0</v>
      </c>
      <c r="J60" s="157">
        <f>SUMIFS('Historical Orders'!$E60, 'Historical Orders'!$D60, "1", 'Historical Orders'!$C60, "B", 'Historical Orders'!$B60, "1")</f>
        <v>0</v>
      </c>
      <c r="K60" s="157">
        <f>SUMIFS('Historical Orders'!$G60, 'Historical Orders'!$D60, "1", 'Historical Orders'!$C60, "B", 'Historical Orders'!$B60, "1")</f>
        <v>0</v>
      </c>
      <c r="L60" s="159">
        <f>SUMIFS('Historical Orders'!$E60, 'Historical Orders'!$D60, "1", 'Historical Orders'!$C60, "A", 'Historical Orders'!$B60, "2")</f>
        <v>0</v>
      </c>
      <c r="M60" s="157">
        <f>SUMIFS('Historical Orders'!$G60, 'Historical Orders'!$D60, "1", 'Historical Orders'!$C60, "A", 'Historical Orders'!$B60, "2")</f>
        <v>0</v>
      </c>
      <c r="N60" s="157">
        <f>SUMIFS('Historical Orders'!$E60, 'Historical Orders'!$D60, "1", 'Historical Orders'!$C60, "B", 'Historical Orders'!$B60, "2")</f>
        <v>0</v>
      </c>
      <c r="O60" s="157">
        <f>SUMIFS('Historical Orders'!$G60, 'Historical Orders'!$D60, "1", 'Historical Orders'!$C60, "B", 'Historical Orders'!$B60, "2")</f>
        <v>0</v>
      </c>
      <c r="P60" s="159">
        <f>SUMIFS('Historical Orders'!$E60, 'Historical Orders'!$D60, "2", 'Historical Orders'!$C60, "A", 'Historical Orders'!$B60, "1")</f>
        <v>0</v>
      </c>
      <c r="Q60" s="157">
        <f>SUMIFS('Historical Orders'!$G60, 'Historical Orders'!$D60, "2", 'Historical Orders'!$C60, "A", 'Historical Orders'!$B60, "1")</f>
        <v>0</v>
      </c>
      <c r="R60" s="159">
        <f>SUMIFS('Historical Orders'!$E60, 'Historical Orders'!$D60, "2", 'Historical Orders'!$C60, "B", 'Historical Orders'!$B60, "1")</f>
        <v>0</v>
      </c>
      <c r="S60" s="157">
        <f>SUMIFS('Historical Orders'!$G60, 'Historical Orders'!$D60, "2", 'Historical Orders'!$C60, "B", 'Historical Orders'!$B60, "1")</f>
        <v>0</v>
      </c>
      <c r="T60" s="159">
        <f>SUMIFS('Historical Orders'!$E60, 'Historical Orders'!$D60, "2", 'Historical Orders'!$C60, "A", 'Historical Orders'!$B60, "2")</f>
        <v>0</v>
      </c>
      <c r="U60" s="157">
        <f>SUMIFS('Historical Orders'!$G60, 'Historical Orders'!$D60, "2", 'Historical Orders'!$C60, "A", 'Historical Orders'!$B60, "2")</f>
        <v>0</v>
      </c>
      <c r="V60" s="159">
        <f>SUMIFS('Historical Orders'!$E60, 'Historical Orders'!$D60, "2", 'Historical Orders'!$C60, "B", 'Historical Orders'!$B60, "2")</f>
        <v>0</v>
      </c>
      <c r="W60" s="159">
        <f>SUMIFS('Historical Orders'!$G60, 'Historical Orders'!$D60, "2", 'Historical Orders'!$C60, "B", 'Historical Orders'!$B60, "2")</f>
        <v>0</v>
      </c>
      <c r="X60" s="159">
        <f>SUMIFS('Historical Orders'!$E60, 'Historical Orders'!$D60, "3", 'Historical Orders'!$C60, "A", 'Historical Orders'!$B60, "1")</f>
        <v>0</v>
      </c>
      <c r="Y60" s="159">
        <f>SUMIFS('Historical Orders'!$G60, 'Historical Orders'!$D60, "3", 'Historical Orders'!$C60, "A", 'Historical Orders'!$B60, "1")</f>
        <v>0</v>
      </c>
      <c r="Z60" s="159">
        <f>SUMIFS('Historical Orders'!$E60, 'Historical Orders'!$D60, "3", 'Historical Orders'!$C60, "B", 'Historical Orders'!$B60, "1")</f>
        <v>2038</v>
      </c>
      <c r="AA60" s="159">
        <f>SUMIFS('Historical Orders'!$G60, 'Historical Orders'!$D60, "3", 'Historical Orders'!$C60, "B", 'Historical Orders'!$B60, "1")</f>
        <v>16915.4</v>
      </c>
      <c r="AB60" s="159">
        <f>SUMIFS('Historical Orders'!$E60, 'Historical Orders'!$D60, "3", 'Historical Orders'!$C60, "A", 'Historical Orders'!$B60, "2")</f>
        <v>0</v>
      </c>
      <c r="AC60" s="159">
        <f>SUMIFS('Historical Orders'!$G60, 'Historical Orders'!$D60, "3", 'Historical Orders'!$C60, "A", 'Historical Orders'!$B60, "2")</f>
        <v>0</v>
      </c>
      <c r="AD60" s="159">
        <f>SUMIFS('Historical Orders'!$E60, 'Historical Orders'!$D60, "3", 'Historical Orders'!$C60, "B", 'Historical Orders'!$B60, "2")</f>
        <v>0</v>
      </c>
      <c r="AE60" s="157">
        <f>SUMIFS('Historical Orders'!$G60, 'Historical Orders'!$D60, "3", 'Historical Orders'!$C60, "B", 'Historical Orders'!$B60, "2")</f>
        <v>0</v>
      </c>
      <c r="AF60" s="157">
        <f>SUMIFS('Historical Orders'!$E60, 'Historical Orders'!$D60, "4", 'Historical Orders'!$C60, "A", 'Historical Orders'!$B60, "1")</f>
        <v>0</v>
      </c>
      <c r="AG60" s="157">
        <f>SUMIFS('Historical Orders'!$G60, 'Historical Orders'!$D60, "4", 'Historical Orders'!$C60, "A", 'Historical Orders'!$B60, "1")</f>
        <v>0</v>
      </c>
      <c r="AH60" s="157">
        <f>SUMIFS('Historical Orders'!$E60, 'Historical Orders'!$D60, "4", 'Historical Orders'!$C60, "B", 'Historical Orders'!$B60, "1")</f>
        <v>0</v>
      </c>
      <c r="AI60" s="157">
        <f>SUMIFS('Historical Orders'!$G60, 'Historical Orders'!$D60, "4", 'Historical Orders'!$C60, "B", 'Historical Orders'!$B60, "1")</f>
        <v>0</v>
      </c>
      <c r="AJ60" s="157">
        <f>SUMIFS('Historical Orders'!$E60, 'Historical Orders'!$D60, "4", 'Historical Orders'!$C60, "A", 'Historical Orders'!$B60, "2")</f>
        <v>0</v>
      </c>
      <c r="AK60" s="157">
        <f>SUMIFS('Historical Orders'!$G60, 'Historical Orders'!$D60, "4", 'Historical Orders'!$C60, "A", 'Historical Orders'!$B60, "2")</f>
        <v>0</v>
      </c>
      <c r="AL60" s="171">
        <f>SUMIFS('Historical Orders'!$E60, 'Historical Orders'!$D60, "4", 'Historical Orders'!$C60, "B", 'Historical Orders'!$B60, "2")</f>
        <v>0</v>
      </c>
      <c r="AM60" s="171">
        <f>SUMIFS('Historical Orders'!$G60, 'Historical Orders'!$D60, "4", 'Historical Orders'!$C60, "B", 'Historical Orders'!$B60, "2")</f>
        <v>0</v>
      </c>
      <c r="AN60" s="171">
        <f>SUMIFS('Historical Orders'!$G60, 'Historical Orders'!$C60, "A", 'Historical Orders'!$B60, "1")</f>
        <v>0</v>
      </c>
      <c r="AO60" s="171">
        <f>SUMIFS('Historical Orders'!$G60, 'Historical Orders'!$C60, "B", 'Historical Orders'!$B60, "1")</f>
        <v>16915.4</v>
      </c>
      <c r="AP60" s="171">
        <f>SUMIFS('Historical Orders'!$G60, 'Historical Orders'!$C60, "A", 'Historical Orders'!$B60, "2")</f>
        <v>0</v>
      </c>
      <c r="AQ60" s="171">
        <f>SUMIFS('Historical Orders'!$G60, 'Historical Orders'!$C60, "B", 'Historical Orders'!$B60, "2")</f>
        <v>0</v>
      </c>
      <c r="AR60" s="145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9"/>
      <c r="BW60" s="179"/>
      <c r="BX60" s="179"/>
      <c r="BY60" s="179"/>
      <c r="BZ60" s="179"/>
      <c r="CA60" s="179"/>
      <c r="CB60" s="179"/>
      <c r="CC60" s="179"/>
      <c r="CD60" s="179"/>
      <c r="CE60" s="179"/>
    </row>
    <row r="61" ht="15.75" customHeight="1">
      <c r="A61" s="151">
        <v>41918.0</v>
      </c>
      <c r="B61" s="152">
        <v>2.0</v>
      </c>
      <c r="C61" s="152" t="s">
        <v>46</v>
      </c>
      <c r="D61" s="152">
        <v>3.0</v>
      </c>
      <c r="E61" s="153">
        <v>2161.0</v>
      </c>
      <c r="F61" s="154">
        <v>8.3</v>
      </c>
      <c r="G61" s="155">
        <v>17936.300000000003</v>
      </c>
      <c r="H61" s="159">
        <f>SUMIFS('Historical Orders'!$E61, 'Historical Orders'!$D61, "1", 'Historical Orders'!$C61, "A", 'Historical Orders'!$B61, "1")</f>
        <v>0</v>
      </c>
      <c r="I61" s="157">
        <f>SUMIFS('Historical Orders'!$G61, 'Historical Orders'!$D61, "1", 'Historical Orders'!$C61, "A", 'Historical Orders'!$B61, "1")</f>
        <v>0</v>
      </c>
      <c r="J61" s="157">
        <f>SUMIFS('Historical Orders'!$E61, 'Historical Orders'!$D61, "1", 'Historical Orders'!$C61, "B", 'Historical Orders'!$B61, "1")</f>
        <v>0</v>
      </c>
      <c r="K61" s="157">
        <f>SUMIFS('Historical Orders'!$G61, 'Historical Orders'!$D61, "1", 'Historical Orders'!$C61, "B", 'Historical Orders'!$B61, "1")</f>
        <v>0</v>
      </c>
      <c r="L61" s="159">
        <f>SUMIFS('Historical Orders'!$E61, 'Historical Orders'!$D61, "1", 'Historical Orders'!$C61, "A", 'Historical Orders'!$B61, "2")</f>
        <v>0</v>
      </c>
      <c r="M61" s="157">
        <f>SUMIFS('Historical Orders'!$G61, 'Historical Orders'!$D61, "1", 'Historical Orders'!$C61, "A", 'Historical Orders'!$B61, "2")</f>
        <v>0</v>
      </c>
      <c r="N61" s="157">
        <f>SUMIFS('Historical Orders'!$E61, 'Historical Orders'!$D61, "1", 'Historical Orders'!$C61, "B", 'Historical Orders'!$B61, "2")</f>
        <v>0</v>
      </c>
      <c r="O61" s="157">
        <f>SUMIFS('Historical Orders'!$G61, 'Historical Orders'!$D61, "1", 'Historical Orders'!$C61, "B", 'Historical Orders'!$B61, "2")</f>
        <v>0</v>
      </c>
      <c r="P61" s="159">
        <f>SUMIFS('Historical Orders'!$E61, 'Historical Orders'!$D61, "2", 'Historical Orders'!$C61, "A", 'Historical Orders'!$B61, "1")</f>
        <v>0</v>
      </c>
      <c r="Q61" s="157">
        <f>SUMIFS('Historical Orders'!$G61, 'Historical Orders'!$D61, "2", 'Historical Orders'!$C61, "A", 'Historical Orders'!$B61, "1")</f>
        <v>0</v>
      </c>
      <c r="R61" s="159">
        <f>SUMIFS('Historical Orders'!$E61, 'Historical Orders'!$D61, "2", 'Historical Orders'!$C61, "B", 'Historical Orders'!$B61, "1")</f>
        <v>0</v>
      </c>
      <c r="S61" s="157">
        <f>SUMIFS('Historical Orders'!$G61, 'Historical Orders'!$D61, "2", 'Historical Orders'!$C61, "B", 'Historical Orders'!$B61, "1")</f>
        <v>0</v>
      </c>
      <c r="T61" s="159">
        <f>SUMIFS('Historical Orders'!$E61, 'Historical Orders'!$D61, "2", 'Historical Orders'!$C61, "A", 'Historical Orders'!$B61, "2")</f>
        <v>0</v>
      </c>
      <c r="U61" s="157">
        <f>SUMIFS('Historical Orders'!$G61, 'Historical Orders'!$D61, "2", 'Historical Orders'!$C61, "A", 'Historical Orders'!$B61, "2")</f>
        <v>0</v>
      </c>
      <c r="V61" s="159">
        <f>SUMIFS('Historical Orders'!$E61, 'Historical Orders'!$D61, "2", 'Historical Orders'!$C61, "B", 'Historical Orders'!$B61, "2")</f>
        <v>0</v>
      </c>
      <c r="W61" s="159">
        <f>SUMIFS('Historical Orders'!$G61, 'Historical Orders'!$D61, "2", 'Historical Orders'!$C61, "B", 'Historical Orders'!$B61, "2")</f>
        <v>0</v>
      </c>
      <c r="X61" s="159">
        <f>SUMIFS('Historical Orders'!$E61, 'Historical Orders'!$D61, "3", 'Historical Orders'!$C61, "A", 'Historical Orders'!$B61, "1")</f>
        <v>0</v>
      </c>
      <c r="Y61" s="159">
        <f>SUMIFS('Historical Orders'!$G61, 'Historical Orders'!$D61, "3", 'Historical Orders'!$C61, "A", 'Historical Orders'!$B61, "1")</f>
        <v>0</v>
      </c>
      <c r="Z61" s="159">
        <f>SUMIFS('Historical Orders'!$E61, 'Historical Orders'!$D61, "3", 'Historical Orders'!$C61, "B", 'Historical Orders'!$B61, "1")</f>
        <v>0</v>
      </c>
      <c r="AA61" s="159">
        <f>SUMIFS('Historical Orders'!$G61, 'Historical Orders'!$D61, "3", 'Historical Orders'!$C61, "B", 'Historical Orders'!$B61, "1")</f>
        <v>0</v>
      </c>
      <c r="AB61" s="159">
        <f>SUMIFS('Historical Orders'!$E61, 'Historical Orders'!$D61, "3", 'Historical Orders'!$C61, "A", 'Historical Orders'!$B61, "2")</f>
        <v>0</v>
      </c>
      <c r="AC61" s="159">
        <f>SUMIFS('Historical Orders'!$G61, 'Historical Orders'!$D61, "3", 'Historical Orders'!$C61, "A", 'Historical Orders'!$B61, "2")</f>
        <v>0</v>
      </c>
      <c r="AD61" s="159">
        <f>SUMIFS('Historical Orders'!$E61, 'Historical Orders'!$D61, "3", 'Historical Orders'!$C61, "B", 'Historical Orders'!$B61, "2")</f>
        <v>2161</v>
      </c>
      <c r="AE61" s="157">
        <f>SUMIFS('Historical Orders'!$G61, 'Historical Orders'!$D61, "3", 'Historical Orders'!$C61, "B", 'Historical Orders'!$B61, "2")</f>
        <v>17936.3</v>
      </c>
      <c r="AF61" s="157">
        <f>SUMIFS('Historical Orders'!$E61, 'Historical Orders'!$D61, "4", 'Historical Orders'!$C61, "A", 'Historical Orders'!$B61, "1")</f>
        <v>0</v>
      </c>
      <c r="AG61" s="157">
        <f>SUMIFS('Historical Orders'!$G61, 'Historical Orders'!$D61, "4", 'Historical Orders'!$C61, "A", 'Historical Orders'!$B61, "1")</f>
        <v>0</v>
      </c>
      <c r="AH61" s="157">
        <f>SUMIFS('Historical Orders'!$E61, 'Historical Orders'!$D61, "4", 'Historical Orders'!$C61, "B", 'Historical Orders'!$B61, "1")</f>
        <v>0</v>
      </c>
      <c r="AI61" s="157">
        <f>SUMIFS('Historical Orders'!$G61, 'Historical Orders'!$D61, "4", 'Historical Orders'!$C61, "B", 'Historical Orders'!$B61, "1")</f>
        <v>0</v>
      </c>
      <c r="AJ61" s="157">
        <f>SUMIFS('Historical Orders'!$E61, 'Historical Orders'!$D61, "4", 'Historical Orders'!$C61, "A", 'Historical Orders'!$B61, "2")</f>
        <v>0</v>
      </c>
      <c r="AK61" s="157">
        <f>SUMIFS('Historical Orders'!$G61, 'Historical Orders'!$D61, "4", 'Historical Orders'!$C61, "A", 'Historical Orders'!$B61, "2")</f>
        <v>0</v>
      </c>
      <c r="AL61" s="171">
        <f>SUMIFS('Historical Orders'!$E61, 'Historical Orders'!$D61, "4", 'Historical Orders'!$C61, "B", 'Historical Orders'!$B61, "2")</f>
        <v>0</v>
      </c>
      <c r="AM61" s="171">
        <f>SUMIFS('Historical Orders'!$G61, 'Historical Orders'!$D61, "4", 'Historical Orders'!$C61, "B", 'Historical Orders'!$B61, "2")</f>
        <v>0</v>
      </c>
      <c r="AN61" s="171">
        <f>SUMIFS('Historical Orders'!$G61, 'Historical Orders'!$C61, "A", 'Historical Orders'!$B61, "1")</f>
        <v>0</v>
      </c>
      <c r="AO61" s="171">
        <f>SUMIFS('Historical Orders'!$G61, 'Historical Orders'!$C61, "B", 'Historical Orders'!$B61, "1")</f>
        <v>0</v>
      </c>
      <c r="AP61" s="171">
        <f>SUMIFS('Historical Orders'!$G61, 'Historical Orders'!$C61, "A", 'Historical Orders'!$B61, "2")</f>
        <v>0</v>
      </c>
      <c r="AQ61" s="171">
        <f>SUMIFS('Historical Orders'!$G61, 'Historical Orders'!$C61, "B", 'Historical Orders'!$B61, "2")</f>
        <v>17936.3</v>
      </c>
      <c r="AR61" s="145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9"/>
      <c r="BW61" s="179"/>
      <c r="BX61" s="179"/>
      <c r="BY61" s="179"/>
      <c r="BZ61" s="179"/>
      <c r="CA61" s="179"/>
      <c r="CB61" s="179"/>
      <c r="CC61" s="179"/>
      <c r="CD61" s="179"/>
      <c r="CE61" s="179"/>
    </row>
    <row r="62" ht="15.75" customHeight="1">
      <c r="A62" s="151">
        <v>41925.0</v>
      </c>
      <c r="B62" s="152">
        <v>1.0</v>
      </c>
      <c r="C62" s="152" t="s">
        <v>45</v>
      </c>
      <c r="D62" s="152">
        <v>1.0</v>
      </c>
      <c r="E62" s="153">
        <v>3530.0</v>
      </c>
      <c r="F62" s="154">
        <v>2.2</v>
      </c>
      <c r="G62" s="155">
        <v>7766.000000000001</v>
      </c>
      <c r="H62" s="159">
        <f>SUMIFS('Historical Orders'!$E62, 'Historical Orders'!$D62, "1", 'Historical Orders'!$C62, "A", 'Historical Orders'!$B62, "1")</f>
        <v>3530</v>
      </c>
      <c r="I62" s="157">
        <f>SUMIFS('Historical Orders'!$G62, 'Historical Orders'!$D62, "1", 'Historical Orders'!$C62, "A", 'Historical Orders'!$B62, "1")</f>
        <v>7766</v>
      </c>
      <c r="J62" s="157">
        <f>SUMIFS('Historical Orders'!$E62, 'Historical Orders'!$D62, "1", 'Historical Orders'!$C62, "B", 'Historical Orders'!$B62, "1")</f>
        <v>0</v>
      </c>
      <c r="K62" s="157">
        <f>SUMIFS('Historical Orders'!$G62, 'Historical Orders'!$D62, "1", 'Historical Orders'!$C62, "B", 'Historical Orders'!$B62, "1")</f>
        <v>0</v>
      </c>
      <c r="L62" s="159">
        <f>SUMIFS('Historical Orders'!$E62, 'Historical Orders'!$D62, "1", 'Historical Orders'!$C62, "A", 'Historical Orders'!$B62, "2")</f>
        <v>0</v>
      </c>
      <c r="M62" s="157">
        <f>SUMIFS('Historical Orders'!$G62, 'Historical Orders'!$D62, "1", 'Historical Orders'!$C62, "A", 'Historical Orders'!$B62, "2")</f>
        <v>0</v>
      </c>
      <c r="N62" s="157">
        <f>SUMIFS('Historical Orders'!$E62, 'Historical Orders'!$D62, "1", 'Historical Orders'!$C62, "B", 'Historical Orders'!$B62, "2")</f>
        <v>0</v>
      </c>
      <c r="O62" s="157">
        <f>SUMIFS('Historical Orders'!$G62, 'Historical Orders'!$D62, "1", 'Historical Orders'!$C62, "B", 'Historical Orders'!$B62, "2")</f>
        <v>0</v>
      </c>
      <c r="P62" s="159">
        <f>SUMIFS('Historical Orders'!$E62, 'Historical Orders'!$D62, "2", 'Historical Orders'!$C62, "A", 'Historical Orders'!$B62, "1")</f>
        <v>0</v>
      </c>
      <c r="Q62" s="157">
        <f>SUMIFS('Historical Orders'!$G62, 'Historical Orders'!$D62, "2", 'Historical Orders'!$C62, "A", 'Historical Orders'!$B62, "1")</f>
        <v>0</v>
      </c>
      <c r="R62" s="159">
        <f>SUMIFS('Historical Orders'!$E62, 'Historical Orders'!$D62, "2", 'Historical Orders'!$C62, "B", 'Historical Orders'!$B62, "1")</f>
        <v>0</v>
      </c>
      <c r="S62" s="157">
        <f>SUMIFS('Historical Orders'!$G62, 'Historical Orders'!$D62, "2", 'Historical Orders'!$C62, "B", 'Historical Orders'!$B62, "1")</f>
        <v>0</v>
      </c>
      <c r="T62" s="159">
        <f>SUMIFS('Historical Orders'!$E62, 'Historical Orders'!$D62, "2", 'Historical Orders'!$C62, "A", 'Historical Orders'!$B62, "2")</f>
        <v>0</v>
      </c>
      <c r="U62" s="157">
        <f>SUMIFS('Historical Orders'!$G62, 'Historical Orders'!$D62, "2", 'Historical Orders'!$C62, "A", 'Historical Orders'!$B62, "2")</f>
        <v>0</v>
      </c>
      <c r="V62" s="159">
        <f>SUMIFS('Historical Orders'!$E62, 'Historical Orders'!$D62, "2", 'Historical Orders'!$C62, "B", 'Historical Orders'!$B62, "2")</f>
        <v>0</v>
      </c>
      <c r="W62" s="159">
        <f>SUMIFS('Historical Orders'!$G62, 'Historical Orders'!$D62, "2", 'Historical Orders'!$C62, "B", 'Historical Orders'!$B62, "2")</f>
        <v>0</v>
      </c>
      <c r="X62" s="159">
        <f>SUMIFS('Historical Orders'!$E62, 'Historical Orders'!$D62, "3", 'Historical Orders'!$C62, "A", 'Historical Orders'!$B62, "1")</f>
        <v>0</v>
      </c>
      <c r="Y62" s="159">
        <f>SUMIFS('Historical Orders'!$G62, 'Historical Orders'!$D62, "3", 'Historical Orders'!$C62, "A", 'Historical Orders'!$B62, "1")</f>
        <v>0</v>
      </c>
      <c r="Z62" s="159">
        <f>SUMIFS('Historical Orders'!$E62, 'Historical Orders'!$D62, "3", 'Historical Orders'!$C62, "B", 'Historical Orders'!$B62, "1")</f>
        <v>0</v>
      </c>
      <c r="AA62" s="159">
        <f>SUMIFS('Historical Orders'!$G62, 'Historical Orders'!$D62, "3", 'Historical Orders'!$C62, "B", 'Historical Orders'!$B62, "1")</f>
        <v>0</v>
      </c>
      <c r="AB62" s="159">
        <f>SUMIFS('Historical Orders'!$E62, 'Historical Orders'!$D62, "3", 'Historical Orders'!$C62, "A", 'Historical Orders'!$B62, "2")</f>
        <v>0</v>
      </c>
      <c r="AC62" s="159">
        <f>SUMIFS('Historical Orders'!$G62, 'Historical Orders'!$D62, "3", 'Historical Orders'!$C62, "A", 'Historical Orders'!$B62, "2")</f>
        <v>0</v>
      </c>
      <c r="AD62" s="159">
        <f>SUMIFS('Historical Orders'!$E62, 'Historical Orders'!$D62, "3", 'Historical Orders'!$C62, "B", 'Historical Orders'!$B62, "2")</f>
        <v>0</v>
      </c>
      <c r="AE62" s="157">
        <f>SUMIFS('Historical Orders'!$G62, 'Historical Orders'!$D62, "3", 'Historical Orders'!$C62, "B", 'Historical Orders'!$B62, "2")</f>
        <v>0</v>
      </c>
      <c r="AF62" s="157">
        <f>SUMIFS('Historical Orders'!$E62, 'Historical Orders'!$D62, "4", 'Historical Orders'!$C62, "A", 'Historical Orders'!$B62, "1")</f>
        <v>0</v>
      </c>
      <c r="AG62" s="157">
        <f>SUMIFS('Historical Orders'!$G62, 'Historical Orders'!$D62, "4", 'Historical Orders'!$C62, "A", 'Historical Orders'!$B62, "1")</f>
        <v>0</v>
      </c>
      <c r="AH62" s="157">
        <f>SUMIFS('Historical Orders'!$E62, 'Historical Orders'!$D62, "4", 'Historical Orders'!$C62, "B", 'Historical Orders'!$B62, "1")</f>
        <v>0</v>
      </c>
      <c r="AI62" s="157">
        <f>SUMIFS('Historical Orders'!$G62, 'Historical Orders'!$D62, "4", 'Historical Orders'!$C62, "B", 'Historical Orders'!$B62, "1")</f>
        <v>0</v>
      </c>
      <c r="AJ62" s="157">
        <f>SUMIFS('Historical Orders'!$E62, 'Historical Orders'!$D62, "4", 'Historical Orders'!$C62, "A", 'Historical Orders'!$B62, "2")</f>
        <v>0</v>
      </c>
      <c r="AK62" s="157">
        <f>SUMIFS('Historical Orders'!$G62, 'Historical Orders'!$D62, "4", 'Historical Orders'!$C62, "A", 'Historical Orders'!$B62, "2")</f>
        <v>0</v>
      </c>
      <c r="AL62" s="171">
        <f>SUMIFS('Historical Orders'!$E62, 'Historical Orders'!$D62, "4", 'Historical Orders'!$C62, "B", 'Historical Orders'!$B62, "2")</f>
        <v>0</v>
      </c>
      <c r="AM62" s="171">
        <f>SUMIFS('Historical Orders'!$G62, 'Historical Orders'!$D62, "4", 'Historical Orders'!$C62, "B", 'Historical Orders'!$B62, "2")</f>
        <v>0</v>
      </c>
      <c r="AN62" s="171">
        <f>SUMIFS('Historical Orders'!$G62, 'Historical Orders'!$C62, "A", 'Historical Orders'!$B62, "1")</f>
        <v>7766</v>
      </c>
      <c r="AO62" s="171">
        <f>SUMIFS('Historical Orders'!$G62, 'Historical Orders'!$C62, "B", 'Historical Orders'!$B62, "1")</f>
        <v>0</v>
      </c>
      <c r="AP62" s="171">
        <f>SUMIFS('Historical Orders'!$G62, 'Historical Orders'!$C62, "A", 'Historical Orders'!$B62, "2")</f>
        <v>0</v>
      </c>
      <c r="AQ62" s="171">
        <f>SUMIFS('Historical Orders'!$G62, 'Historical Orders'!$C62, "B", 'Historical Orders'!$B62, "2")</f>
        <v>0</v>
      </c>
      <c r="AR62" s="145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9"/>
      <c r="BW62" s="179"/>
      <c r="BX62" s="179"/>
      <c r="BY62" s="179"/>
      <c r="BZ62" s="179"/>
      <c r="CA62" s="179"/>
      <c r="CB62" s="179"/>
      <c r="CC62" s="179"/>
      <c r="CD62" s="179"/>
      <c r="CE62" s="179"/>
    </row>
    <row r="63" ht="15.75" customHeight="1">
      <c r="A63" s="151">
        <v>41925.0</v>
      </c>
      <c r="B63" s="152">
        <v>1.0</v>
      </c>
      <c r="C63" s="152" t="s">
        <v>45</v>
      </c>
      <c r="D63" s="152">
        <v>2.0</v>
      </c>
      <c r="E63" s="153">
        <v>4968.0</v>
      </c>
      <c r="F63" s="154">
        <v>1.2</v>
      </c>
      <c r="G63" s="155">
        <v>5961.599999999999</v>
      </c>
      <c r="H63" s="159">
        <f>SUMIFS('Historical Orders'!$E63, 'Historical Orders'!$D63, "1", 'Historical Orders'!$C63, "A", 'Historical Orders'!$B63, "1")</f>
        <v>0</v>
      </c>
      <c r="I63" s="157">
        <f>SUMIFS('Historical Orders'!$G63, 'Historical Orders'!$D63, "1", 'Historical Orders'!$C63, "A", 'Historical Orders'!$B63, "1")</f>
        <v>0</v>
      </c>
      <c r="J63" s="157">
        <f>SUMIFS('Historical Orders'!$E63, 'Historical Orders'!$D63, "1", 'Historical Orders'!$C63, "B", 'Historical Orders'!$B63, "1")</f>
        <v>0</v>
      </c>
      <c r="K63" s="157">
        <f>SUMIFS('Historical Orders'!$G63, 'Historical Orders'!$D63, "1", 'Historical Orders'!$C63, "B", 'Historical Orders'!$B63, "1")</f>
        <v>0</v>
      </c>
      <c r="L63" s="159">
        <f>SUMIFS('Historical Orders'!$E63, 'Historical Orders'!$D63, "1", 'Historical Orders'!$C63, "A", 'Historical Orders'!$B63, "2")</f>
        <v>0</v>
      </c>
      <c r="M63" s="157">
        <f>SUMIFS('Historical Orders'!$G63, 'Historical Orders'!$D63, "1", 'Historical Orders'!$C63, "A", 'Historical Orders'!$B63, "2")</f>
        <v>0</v>
      </c>
      <c r="N63" s="157">
        <f>SUMIFS('Historical Orders'!$E63, 'Historical Orders'!$D63, "1", 'Historical Orders'!$C63, "B", 'Historical Orders'!$B63, "2")</f>
        <v>0</v>
      </c>
      <c r="O63" s="157">
        <f>SUMIFS('Historical Orders'!$G63, 'Historical Orders'!$D63, "1", 'Historical Orders'!$C63, "B", 'Historical Orders'!$B63, "2")</f>
        <v>0</v>
      </c>
      <c r="P63" s="159">
        <f>SUMIFS('Historical Orders'!$E63, 'Historical Orders'!$D63, "2", 'Historical Orders'!$C63, "A", 'Historical Orders'!$B63, "1")</f>
        <v>4968</v>
      </c>
      <c r="Q63" s="157">
        <f>SUMIFS('Historical Orders'!$G63, 'Historical Orders'!$D63, "2", 'Historical Orders'!$C63, "A", 'Historical Orders'!$B63, "1")</f>
        <v>5961.6</v>
      </c>
      <c r="R63" s="159">
        <f>SUMIFS('Historical Orders'!$E63, 'Historical Orders'!$D63, "2", 'Historical Orders'!$C63, "B", 'Historical Orders'!$B63, "1")</f>
        <v>0</v>
      </c>
      <c r="S63" s="157">
        <f>SUMIFS('Historical Orders'!$G63, 'Historical Orders'!$D63, "2", 'Historical Orders'!$C63, "B", 'Historical Orders'!$B63, "1")</f>
        <v>0</v>
      </c>
      <c r="T63" s="159">
        <f>SUMIFS('Historical Orders'!$E63, 'Historical Orders'!$D63, "2", 'Historical Orders'!$C63, "A", 'Historical Orders'!$B63, "2")</f>
        <v>0</v>
      </c>
      <c r="U63" s="157">
        <f>SUMIFS('Historical Orders'!$G63, 'Historical Orders'!$D63, "2", 'Historical Orders'!$C63, "A", 'Historical Orders'!$B63, "2")</f>
        <v>0</v>
      </c>
      <c r="V63" s="159">
        <f>SUMIFS('Historical Orders'!$E63, 'Historical Orders'!$D63, "2", 'Historical Orders'!$C63, "B", 'Historical Orders'!$B63, "2")</f>
        <v>0</v>
      </c>
      <c r="W63" s="159">
        <f>SUMIFS('Historical Orders'!$G63, 'Historical Orders'!$D63, "2", 'Historical Orders'!$C63, "B", 'Historical Orders'!$B63, "2")</f>
        <v>0</v>
      </c>
      <c r="X63" s="159">
        <f>SUMIFS('Historical Orders'!$E63, 'Historical Orders'!$D63, "3", 'Historical Orders'!$C63, "A", 'Historical Orders'!$B63, "1")</f>
        <v>0</v>
      </c>
      <c r="Y63" s="159">
        <f>SUMIFS('Historical Orders'!$G63, 'Historical Orders'!$D63, "3", 'Historical Orders'!$C63, "A", 'Historical Orders'!$B63, "1")</f>
        <v>0</v>
      </c>
      <c r="Z63" s="159">
        <f>SUMIFS('Historical Orders'!$E63, 'Historical Orders'!$D63, "3", 'Historical Orders'!$C63, "B", 'Historical Orders'!$B63, "1")</f>
        <v>0</v>
      </c>
      <c r="AA63" s="159">
        <f>SUMIFS('Historical Orders'!$G63, 'Historical Orders'!$D63, "3", 'Historical Orders'!$C63, "B", 'Historical Orders'!$B63, "1")</f>
        <v>0</v>
      </c>
      <c r="AB63" s="159">
        <f>SUMIFS('Historical Orders'!$E63, 'Historical Orders'!$D63, "3", 'Historical Orders'!$C63, "A", 'Historical Orders'!$B63, "2")</f>
        <v>0</v>
      </c>
      <c r="AC63" s="159">
        <f>SUMIFS('Historical Orders'!$G63, 'Historical Orders'!$D63, "3", 'Historical Orders'!$C63, "A", 'Historical Orders'!$B63, "2")</f>
        <v>0</v>
      </c>
      <c r="AD63" s="159">
        <f>SUMIFS('Historical Orders'!$E63, 'Historical Orders'!$D63, "3", 'Historical Orders'!$C63, "B", 'Historical Orders'!$B63, "2")</f>
        <v>0</v>
      </c>
      <c r="AE63" s="157">
        <f>SUMIFS('Historical Orders'!$G63, 'Historical Orders'!$D63, "3", 'Historical Orders'!$C63, "B", 'Historical Orders'!$B63, "2")</f>
        <v>0</v>
      </c>
      <c r="AF63" s="157">
        <f>SUMIFS('Historical Orders'!$E63, 'Historical Orders'!$D63, "4", 'Historical Orders'!$C63, "A", 'Historical Orders'!$B63, "1")</f>
        <v>0</v>
      </c>
      <c r="AG63" s="157">
        <f>SUMIFS('Historical Orders'!$G63, 'Historical Orders'!$D63, "4", 'Historical Orders'!$C63, "A", 'Historical Orders'!$B63, "1")</f>
        <v>0</v>
      </c>
      <c r="AH63" s="157">
        <f>SUMIFS('Historical Orders'!$E63, 'Historical Orders'!$D63, "4", 'Historical Orders'!$C63, "B", 'Historical Orders'!$B63, "1")</f>
        <v>0</v>
      </c>
      <c r="AI63" s="157">
        <f>SUMIFS('Historical Orders'!$G63, 'Historical Orders'!$D63, "4", 'Historical Orders'!$C63, "B", 'Historical Orders'!$B63, "1")</f>
        <v>0</v>
      </c>
      <c r="AJ63" s="157">
        <f>SUMIFS('Historical Orders'!$E63, 'Historical Orders'!$D63, "4", 'Historical Orders'!$C63, "A", 'Historical Orders'!$B63, "2")</f>
        <v>0</v>
      </c>
      <c r="AK63" s="157">
        <f>SUMIFS('Historical Orders'!$G63, 'Historical Orders'!$D63, "4", 'Historical Orders'!$C63, "A", 'Historical Orders'!$B63, "2")</f>
        <v>0</v>
      </c>
      <c r="AL63" s="171">
        <f>SUMIFS('Historical Orders'!$E63, 'Historical Orders'!$D63, "4", 'Historical Orders'!$C63, "B", 'Historical Orders'!$B63, "2")</f>
        <v>0</v>
      </c>
      <c r="AM63" s="171">
        <f>SUMIFS('Historical Orders'!$G63, 'Historical Orders'!$D63, "4", 'Historical Orders'!$C63, "B", 'Historical Orders'!$B63, "2")</f>
        <v>0</v>
      </c>
      <c r="AN63" s="171">
        <f>SUMIFS('Historical Orders'!$G63, 'Historical Orders'!$C63, "A", 'Historical Orders'!$B63, "1")</f>
        <v>5961.6</v>
      </c>
      <c r="AO63" s="171">
        <f>SUMIFS('Historical Orders'!$G63, 'Historical Orders'!$C63, "B", 'Historical Orders'!$B63, "1")</f>
        <v>0</v>
      </c>
      <c r="AP63" s="171">
        <f>SUMIFS('Historical Orders'!$G63, 'Historical Orders'!$C63, "A", 'Historical Orders'!$B63, "2")</f>
        <v>0</v>
      </c>
      <c r="AQ63" s="171">
        <f>SUMIFS('Historical Orders'!$G63, 'Historical Orders'!$C63, "B", 'Historical Orders'!$B63, "2")</f>
        <v>0</v>
      </c>
      <c r="AR63" s="145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9"/>
      <c r="BW63" s="179"/>
      <c r="BX63" s="179"/>
      <c r="BY63" s="179"/>
      <c r="BZ63" s="179"/>
      <c r="CA63" s="179"/>
      <c r="CB63" s="179"/>
      <c r="CC63" s="179"/>
      <c r="CD63" s="179"/>
      <c r="CE63" s="179"/>
    </row>
    <row r="64" ht="15.75" customHeight="1">
      <c r="A64" s="151">
        <v>41925.0</v>
      </c>
      <c r="B64" s="152">
        <v>2.0</v>
      </c>
      <c r="C64" s="152" t="s">
        <v>45</v>
      </c>
      <c r="D64" s="152">
        <v>1.0</v>
      </c>
      <c r="E64" s="153">
        <v>2868.0</v>
      </c>
      <c r="F64" s="154">
        <v>2.2</v>
      </c>
      <c r="G64" s="155">
        <v>6309.6</v>
      </c>
      <c r="H64" s="159">
        <f>SUMIFS('Historical Orders'!$E64, 'Historical Orders'!$D64, "1", 'Historical Orders'!$C64, "A", 'Historical Orders'!$B64, "1")</f>
        <v>0</v>
      </c>
      <c r="I64" s="157">
        <f>SUMIFS('Historical Orders'!$G64, 'Historical Orders'!$D64, "1", 'Historical Orders'!$C64, "A", 'Historical Orders'!$B64, "1")</f>
        <v>0</v>
      </c>
      <c r="J64" s="157">
        <f>SUMIFS('Historical Orders'!$E64, 'Historical Orders'!$D64, "1", 'Historical Orders'!$C64, "B", 'Historical Orders'!$B64, "1")</f>
        <v>0</v>
      </c>
      <c r="K64" s="157">
        <f>SUMIFS('Historical Orders'!$G64, 'Historical Orders'!$D64, "1", 'Historical Orders'!$C64, "B", 'Historical Orders'!$B64, "1")</f>
        <v>0</v>
      </c>
      <c r="L64" s="159">
        <f>SUMIFS('Historical Orders'!$E64, 'Historical Orders'!$D64, "1", 'Historical Orders'!$C64, "A", 'Historical Orders'!$B64, "2")</f>
        <v>2868</v>
      </c>
      <c r="M64" s="157">
        <f>SUMIFS('Historical Orders'!$G64, 'Historical Orders'!$D64, "1", 'Historical Orders'!$C64, "A", 'Historical Orders'!$B64, "2")</f>
        <v>6309.6</v>
      </c>
      <c r="N64" s="157">
        <f>SUMIFS('Historical Orders'!$E64, 'Historical Orders'!$D64, "1", 'Historical Orders'!$C64, "B", 'Historical Orders'!$B64, "2")</f>
        <v>0</v>
      </c>
      <c r="O64" s="157">
        <f>SUMIFS('Historical Orders'!$G64, 'Historical Orders'!$D64, "1", 'Historical Orders'!$C64, "B", 'Historical Orders'!$B64, "2")</f>
        <v>0</v>
      </c>
      <c r="P64" s="159">
        <f>SUMIFS('Historical Orders'!$E64, 'Historical Orders'!$D64, "2", 'Historical Orders'!$C64, "A", 'Historical Orders'!$B64, "1")</f>
        <v>0</v>
      </c>
      <c r="Q64" s="157">
        <f>SUMIFS('Historical Orders'!$G64, 'Historical Orders'!$D64, "2", 'Historical Orders'!$C64, "A", 'Historical Orders'!$B64, "1")</f>
        <v>0</v>
      </c>
      <c r="R64" s="159">
        <f>SUMIFS('Historical Orders'!$E64, 'Historical Orders'!$D64, "2", 'Historical Orders'!$C64, "B", 'Historical Orders'!$B64, "1")</f>
        <v>0</v>
      </c>
      <c r="S64" s="157">
        <f>SUMIFS('Historical Orders'!$G64, 'Historical Orders'!$D64, "2", 'Historical Orders'!$C64, "B", 'Historical Orders'!$B64, "1")</f>
        <v>0</v>
      </c>
      <c r="T64" s="159">
        <f>SUMIFS('Historical Orders'!$E64, 'Historical Orders'!$D64, "2", 'Historical Orders'!$C64, "A", 'Historical Orders'!$B64, "2")</f>
        <v>0</v>
      </c>
      <c r="U64" s="157">
        <f>SUMIFS('Historical Orders'!$G64, 'Historical Orders'!$D64, "2", 'Historical Orders'!$C64, "A", 'Historical Orders'!$B64, "2")</f>
        <v>0</v>
      </c>
      <c r="V64" s="159">
        <f>SUMIFS('Historical Orders'!$E64, 'Historical Orders'!$D64, "2", 'Historical Orders'!$C64, "B", 'Historical Orders'!$B64, "2")</f>
        <v>0</v>
      </c>
      <c r="W64" s="159">
        <f>SUMIFS('Historical Orders'!$G64, 'Historical Orders'!$D64, "2", 'Historical Orders'!$C64, "B", 'Historical Orders'!$B64, "2")</f>
        <v>0</v>
      </c>
      <c r="X64" s="159">
        <f>SUMIFS('Historical Orders'!$E64, 'Historical Orders'!$D64, "3", 'Historical Orders'!$C64, "A", 'Historical Orders'!$B64, "1")</f>
        <v>0</v>
      </c>
      <c r="Y64" s="159">
        <f>SUMIFS('Historical Orders'!$G64, 'Historical Orders'!$D64, "3", 'Historical Orders'!$C64, "A", 'Historical Orders'!$B64, "1")</f>
        <v>0</v>
      </c>
      <c r="Z64" s="159">
        <f>SUMIFS('Historical Orders'!$E64, 'Historical Orders'!$D64, "3", 'Historical Orders'!$C64, "B", 'Historical Orders'!$B64, "1")</f>
        <v>0</v>
      </c>
      <c r="AA64" s="159">
        <f>SUMIFS('Historical Orders'!$G64, 'Historical Orders'!$D64, "3", 'Historical Orders'!$C64, "B", 'Historical Orders'!$B64, "1")</f>
        <v>0</v>
      </c>
      <c r="AB64" s="159">
        <f>SUMIFS('Historical Orders'!$E64, 'Historical Orders'!$D64, "3", 'Historical Orders'!$C64, "A", 'Historical Orders'!$B64, "2")</f>
        <v>0</v>
      </c>
      <c r="AC64" s="159">
        <f>SUMIFS('Historical Orders'!$G64, 'Historical Orders'!$D64, "3", 'Historical Orders'!$C64, "A", 'Historical Orders'!$B64, "2")</f>
        <v>0</v>
      </c>
      <c r="AD64" s="159">
        <f>SUMIFS('Historical Orders'!$E64, 'Historical Orders'!$D64, "3", 'Historical Orders'!$C64, "B", 'Historical Orders'!$B64, "2")</f>
        <v>0</v>
      </c>
      <c r="AE64" s="157">
        <f>SUMIFS('Historical Orders'!$G64, 'Historical Orders'!$D64, "3", 'Historical Orders'!$C64, "B", 'Historical Orders'!$B64, "2")</f>
        <v>0</v>
      </c>
      <c r="AF64" s="157">
        <f>SUMIFS('Historical Orders'!$E64, 'Historical Orders'!$D64, "4", 'Historical Orders'!$C64, "A", 'Historical Orders'!$B64, "1")</f>
        <v>0</v>
      </c>
      <c r="AG64" s="157">
        <f>SUMIFS('Historical Orders'!$G64, 'Historical Orders'!$D64, "4", 'Historical Orders'!$C64, "A", 'Historical Orders'!$B64, "1")</f>
        <v>0</v>
      </c>
      <c r="AH64" s="157">
        <f>SUMIFS('Historical Orders'!$E64, 'Historical Orders'!$D64, "4", 'Historical Orders'!$C64, "B", 'Historical Orders'!$B64, "1")</f>
        <v>0</v>
      </c>
      <c r="AI64" s="157">
        <f>SUMIFS('Historical Orders'!$G64, 'Historical Orders'!$D64, "4", 'Historical Orders'!$C64, "B", 'Historical Orders'!$B64, "1")</f>
        <v>0</v>
      </c>
      <c r="AJ64" s="157">
        <f>SUMIFS('Historical Orders'!$E64, 'Historical Orders'!$D64, "4", 'Historical Orders'!$C64, "A", 'Historical Orders'!$B64, "2")</f>
        <v>0</v>
      </c>
      <c r="AK64" s="157">
        <f>SUMIFS('Historical Orders'!$G64, 'Historical Orders'!$D64, "4", 'Historical Orders'!$C64, "A", 'Historical Orders'!$B64, "2")</f>
        <v>0</v>
      </c>
      <c r="AL64" s="171">
        <f>SUMIFS('Historical Orders'!$E64, 'Historical Orders'!$D64, "4", 'Historical Orders'!$C64, "B", 'Historical Orders'!$B64, "2")</f>
        <v>0</v>
      </c>
      <c r="AM64" s="171">
        <f>SUMIFS('Historical Orders'!$G64, 'Historical Orders'!$D64, "4", 'Historical Orders'!$C64, "B", 'Historical Orders'!$B64, "2")</f>
        <v>0</v>
      </c>
      <c r="AN64" s="171">
        <f>SUMIFS('Historical Orders'!$G64, 'Historical Orders'!$C64, "A", 'Historical Orders'!$B64, "1")</f>
        <v>0</v>
      </c>
      <c r="AO64" s="171">
        <f>SUMIFS('Historical Orders'!$G64, 'Historical Orders'!$C64, "B", 'Historical Orders'!$B64, "1")</f>
        <v>0</v>
      </c>
      <c r="AP64" s="171">
        <f>SUMIFS('Historical Orders'!$G64, 'Historical Orders'!$C64, "A", 'Historical Orders'!$B64, "2")</f>
        <v>6309.6</v>
      </c>
      <c r="AQ64" s="171">
        <f>SUMIFS('Historical Orders'!$G64, 'Historical Orders'!$C64, "B", 'Historical Orders'!$B64, "2")</f>
        <v>0</v>
      </c>
      <c r="AR64" s="145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9"/>
      <c r="BW64" s="179"/>
      <c r="BX64" s="179"/>
      <c r="BY64" s="179"/>
      <c r="BZ64" s="179"/>
      <c r="CA64" s="179"/>
      <c r="CB64" s="179"/>
      <c r="CC64" s="179"/>
      <c r="CD64" s="179"/>
      <c r="CE64" s="179"/>
    </row>
    <row r="65" ht="15.75" customHeight="1">
      <c r="A65" s="151">
        <v>41925.0</v>
      </c>
      <c r="B65" s="152">
        <v>2.0</v>
      </c>
      <c r="C65" s="152" t="s">
        <v>45</v>
      </c>
      <c r="D65" s="152">
        <v>2.0</v>
      </c>
      <c r="E65" s="153">
        <v>4414.0</v>
      </c>
      <c r="F65" s="154">
        <v>1.2</v>
      </c>
      <c r="G65" s="155">
        <v>5296.8</v>
      </c>
      <c r="H65" s="159">
        <f>SUMIFS('Historical Orders'!$E65, 'Historical Orders'!$D65, "1", 'Historical Orders'!$C65, "A", 'Historical Orders'!$B65, "1")</f>
        <v>0</v>
      </c>
      <c r="I65" s="157">
        <f>SUMIFS('Historical Orders'!$G65, 'Historical Orders'!$D65, "1", 'Historical Orders'!$C65, "A", 'Historical Orders'!$B65, "1")</f>
        <v>0</v>
      </c>
      <c r="J65" s="157">
        <f>SUMIFS('Historical Orders'!$E65, 'Historical Orders'!$D65, "1", 'Historical Orders'!$C65, "B", 'Historical Orders'!$B65, "1")</f>
        <v>0</v>
      </c>
      <c r="K65" s="157">
        <f>SUMIFS('Historical Orders'!$G65, 'Historical Orders'!$D65, "1", 'Historical Orders'!$C65, "B", 'Historical Orders'!$B65, "1")</f>
        <v>0</v>
      </c>
      <c r="L65" s="159">
        <f>SUMIFS('Historical Orders'!$E65, 'Historical Orders'!$D65, "1", 'Historical Orders'!$C65, "A", 'Historical Orders'!$B65, "2")</f>
        <v>0</v>
      </c>
      <c r="M65" s="157">
        <f>SUMIFS('Historical Orders'!$G65, 'Historical Orders'!$D65, "1", 'Historical Orders'!$C65, "A", 'Historical Orders'!$B65, "2")</f>
        <v>0</v>
      </c>
      <c r="N65" s="157">
        <f>SUMIFS('Historical Orders'!$E65, 'Historical Orders'!$D65, "1", 'Historical Orders'!$C65, "B", 'Historical Orders'!$B65, "2")</f>
        <v>0</v>
      </c>
      <c r="O65" s="157">
        <f>SUMIFS('Historical Orders'!$G65, 'Historical Orders'!$D65, "1", 'Historical Orders'!$C65, "B", 'Historical Orders'!$B65, "2")</f>
        <v>0</v>
      </c>
      <c r="P65" s="159">
        <f>SUMIFS('Historical Orders'!$E65, 'Historical Orders'!$D65, "2", 'Historical Orders'!$C65, "A", 'Historical Orders'!$B65, "1")</f>
        <v>0</v>
      </c>
      <c r="Q65" s="157">
        <f>SUMIFS('Historical Orders'!$G65, 'Historical Orders'!$D65, "2", 'Historical Orders'!$C65, "A", 'Historical Orders'!$B65, "1")</f>
        <v>0</v>
      </c>
      <c r="R65" s="159">
        <f>SUMIFS('Historical Orders'!$E65, 'Historical Orders'!$D65, "2", 'Historical Orders'!$C65, "B", 'Historical Orders'!$B65, "1")</f>
        <v>0</v>
      </c>
      <c r="S65" s="157">
        <f>SUMIFS('Historical Orders'!$G65, 'Historical Orders'!$D65, "2", 'Historical Orders'!$C65, "B", 'Historical Orders'!$B65, "1")</f>
        <v>0</v>
      </c>
      <c r="T65" s="159">
        <f>SUMIFS('Historical Orders'!$E65, 'Historical Orders'!$D65, "2", 'Historical Orders'!$C65, "A", 'Historical Orders'!$B65, "2")</f>
        <v>4414</v>
      </c>
      <c r="U65" s="157">
        <f>SUMIFS('Historical Orders'!$G65, 'Historical Orders'!$D65, "2", 'Historical Orders'!$C65, "A", 'Historical Orders'!$B65, "2")</f>
        <v>5296.8</v>
      </c>
      <c r="V65" s="159">
        <f>SUMIFS('Historical Orders'!$E65, 'Historical Orders'!$D65, "2", 'Historical Orders'!$C65, "B", 'Historical Orders'!$B65, "2")</f>
        <v>0</v>
      </c>
      <c r="W65" s="159">
        <f>SUMIFS('Historical Orders'!$G65, 'Historical Orders'!$D65, "2", 'Historical Orders'!$C65, "B", 'Historical Orders'!$B65, "2")</f>
        <v>0</v>
      </c>
      <c r="X65" s="159">
        <f>SUMIFS('Historical Orders'!$E65, 'Historical Orders'!$D65, "3", 'Historical Orders'!$C65, "A", 'Historical Orders'!$B65, "1")</f>
        <v>0</v>
      </c>
      <c r="Y65" s="159">
        <f>SUMIFS('Historical Orders'!$G65, 'Historical Orders'!$D65, "3", 'Historical Orders'!$C65, "A", 'Historical Orders'!$B65, "1")</f>
        <v>0</v>
      </c>
      <c r="Z65" s="159">
        <f>SUMIFS('Historical Orders'!$E65, 'Historical Orders'!$D65, "3", 'Historical Orders'!$C65, "B", 'Historical Orders'!$B65, "1")</f>
        <v>0</v>
      </c>
      <c r="AA65" s="159">
        <f>SUMIFS('Historical Orders'!$G65, 'Historical Orders'!$D65, "3", 'Historical Orders'!$C65, "B", 'Historical Orders'!$B65, "1")</f>
        <v>0</v>
      </c>
      <c r="AB65" s="159">
        <f>SUMIFS('Historical Orders'!$E65, 'Historical Orders'!$D65, "3", 'Historical Orders'!$C65, "A", 'Historical Orders'!$B65, "2")</f>
        <v>0</v>
      </c>
      <c r="AC65" s="159">
        <f>SUMIFS('Historical Orders'!$G65, 'Historical Orders'!$D65, "3", 'Historical Orders'!$C65, "A", 'Historical Orders'!$B65, "2")</f>
        <v>0</v>
      </c>
      <c r="AD65" s="159">
        <f>SUMIFS('Historical Orders'!$E65, 'Historical Orders'!$D65, "3", 'Historical Orders'!$C65, "B", 'Historical Orders'!$B65, "2")</f>
        <v>0</v>
      </c>
      <c r="AE65" s="157">
        <f>SUMIFS('Historical Orders'!$G65, 'Historical Orders'!$D65, "3", 'Historical Orders'!$C65, "B", 'Historical Orders'!$B65, "2")</f>
        <v>0</v>
      </c>
      <c r="AF65" s="157">
        <f>SUMIFS('Historical Orders'!$E65, 'Historical Orders'!$D65, "4", 'Historical Orders'!$C65, "A", 'Historical Orders'!$B65, "1")</f>
        <v>0</v>
      </c>
      <c r="AG65" s="157">
        <f>SUMIFS('Historical Orders'!$G65, 'Historical Orders'!$D65, "4", 'Historical Orders'!$C65, "A", 'Historical Orders'!$B65, "1")</f>
        <v>0</v>
      </c>
      <c r="AH65" s="157">
        <f>SUMIFS('Historical Orders'!$E65, 'Historical Orders'!$D65, "4", 'Historical Orders'!$C65, "B", 'Historical Orders'!$B65, "1")</f>
        <v>0</v>
      </c>
      <c r="AI65" s="157">
        <f>SUMIFS('Historical Orders'!$G65, 'Historical Orders'!$D65, "4", 'Historical Orders'!$C65, "B", 'Historical Orders'!$B65, "1")</f>
        <v>0</v>
      </c>
      <c r="AJ65" s="157">
        <f>SUMIFS('Historical Orders'!$E65, 'Historical Orders'!$D65, "4", 'Historical Orders'!$C65, "A", 'Historical Orders'!$B65, "2")</f>
        <v>0</v>
      </c>
      <c r="AK65" s="157">
        <f>SUMIFS('Historical Orders'!$G65, 'Historical Orders'!$D65, "4", 'Historical Orders'!$C65, "A", 'Historical Orders'!$B65, "2")</f>
        <v>0</v>
      </c>
      <c r="AL65" s="171">
        <f>SUMIFS('Historical Orders'!$E65, 'Historical Orders'!$D65, "4", 'Historical Orders'!$C65, "B", 'Historical Orders'!$B65, "2")</f>
        <v>0</v>
      </c>
      <c r="AM65" s="171">
        <f>SUMIFS('Historical Orders'!$G65, 'Historical Orders'!$D65, "4", 'Historical Orders'!$C65, "B", 'Historical Orders'!$B65, "2")</f>
        <v>0</v>
      </c>
      <c r="AN65" s="171">
        <f>SUMIFS('Historical Orders'!$G65, 'Historical Orders'!$C65, "A", 'Historical Orders'!$B65, "1")</f>
        <v>0</v>
      </c>
      <c r="AO65" s="171">
        <f>SUMIFS('Historical Orders'!$G65, 'Historical Orders'!$C65, "B", 'Historical Orders'!$B65, "1")</f>
        <v>0</v>
      </c>
      <c r="AP65" s="171">
        <f>SUMIFS('Historical Orders'!$G65, 'Historical Orders'!$C65, "A", 'Historical Orders'!$B65, "2")</f>
        <v>5296.8</v>
      </c>
      <c r="AQ65" s="171">
        <f>SUMIFS('Historical Orders'!$G65, 'Historical Orders'!$C65, "B", 'Historical Orders'!$B65, "2")</f>
        <v>0</v>
      </c>
      <c r="AR65" s="145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9"/>
      <c r="BW65" s="179"/>
      <c r="BX65" s="179"/>
      <c r="BY65" s="179"/>
      <c r="BZ65" s="179"/>
      <c r="CA65" s="179"/>
      <c r="CB65" s="179"/>
      <c r="CC65" s="179"/>
      <c r="CD65" s="179"/>
      <c r="CE65" s="179"/>
    </row>
    <row r="66" ht="15.75" customHeight="1">
      <c r="A66" s="151">
        <v>41925.0</v>
      </c>
      <c r="B66" s="152">
        <v>1.0</v>
      </c>
      <c r="C66" s="152" t="s">
        <v>46</v>
      </c>
      <c r="D66" s="152">
        <v>3.0</v>
      </c>
      <c r="E66" s="153">
        <v>2050.0</v>
      </c>
      <c r="F66" s="154">
        <v>8.3</v>
      </c>
      <c r="G66" s="155">
        <v>17015.0</v>
      </c>
      <c r="H66" s="159">
        <f>SUMIFS('Historical Orders'!$E66, 'Historical Orders'!$D66, "1", 'Historical Orders'!$C66, "A", 'Historical Orders'!$B66, "1")</f>
        <v>0</v>
      </c>
      <c r="I66" s="157">
        <f>SUMIFS('Historical Orders'!$G66, 'Historical Orders'!$D66, "1", 'Historical Orders'!$C66, "A", 'Historical Orders'!$B66, "1")</f>
        <v>0</v>
      </c>
      <c r="J66" s="157">
        <f>SUMIFS('Historical Orders'!$E66, 'Historical Orders'!$D66, "1", 'Historical Orders'!$C66, "B", 'Historical Orders'!$B66, "1")</f>
        <v>0</v>
      </c>
      <c r="K66" s="157">
        <f>SUMIFS('Historical Orders'!$G66, 'Historical Orders'!$D66, "1", 'Historical Orders'!$C66, "B", 'Historical Orders'!$B66, "1")</f>
        <v>0</v>
      </c>
      <c r="L66" s="159">
        <f>SUMIFS('Historical Orders'!$E66, 'Historical Orders'!$D66, "1", 'Historical Orders'!$C66, "A", 'Historical Orders'!$B66, "2")</f>
        <v>0</v>
      </c>
      <c r="M66" s="157">
        <f>SUMIFS('Historical Orders'!$G66, 'Historical Orders'!$D66, "1", 'Historical Orders'!$C66, "A", 'Historical Orders'!$B66, "2")</f>
        <v>0</v>
      </c>
      <c r="N66" s="157">
        <f>SUMIFS('Historical Orders'!$E66, 'Historical Orders'!$D66, "1", 'Historical Orders'!$C66, "B", 'Historical Orders'!$B66, "2")</f>
        <v>0</v>
      </c>
      <c r="O66" s="157">
        <f>SUMIFS('Historical Orders'!$G66, 'Historical Orders'!$D66, "1", 'Historical Orders'!$C66, "B", 'Historical Orders'!$B66, "2")</f>
        <v>0</v>
      </c>
      <c r="P66" s="159">
        <f>SUMIFS('Historical Orders'!$E66, 'Historical Orders'!$D66, "2", 'Historical Orders'!$C66, "A", 'Historical Orders'!$B66, "1")</f>
        <v>0</v>
      </c>
      <c r="Q66" s="157">
        <f>SUMIFS('Historical Orders'!$G66, 'Historical Orders'!$D66, "2", 'Historical Orders'!$C66, "A", 'Historical Orders'!$B66, "1")</f>
        <v>0</v>
      </c>
      <c r="R66" s="159">
        <f>SUMIFS('Historical Orders'!$E66, 'Historical Orders'!$D66, "2", 'Historical Orders'!$C66, "B", 'Historical Orders'!$B66, "1")</f>
        <v>0</v>
      </c>
      <c r="S66" s="157">
        <f>SUMIFS('Historical Orders'!$G66, 'Historical Orders'!$D66, "2", 'Historical Orders'!$C66, "B", 'Historical Orders'!$B66, "1")</f>
        <v>0</v>
      </c>
      <c r="T66" s="159">
        <f>SUMIFS('Historical Orders'!$E66, 'Historical Orders'!$D66, "2", 'Historical Orders'!$C66, "A", 'Historical Orders'!$B66, "2")</f>
        <v>0</v>
      </c>
      <c r="U66" s="157">
        <f>SUMIFS('Historical Orders'!$G66, 'Historical Orders'!$D66, "2", 'Historical Orders'!$C66, "A", 'Historical Orders'!$B66, "2")</f>
        <v>0</v>
      </c>
      <c r="V66" s="159">
        <f>SUMIFS('Historical Orders'!$E66, 'Historical Orders'!$D66, "2", 'Historical Orders'!$C66, "B", 'Historical Orders'!$B66, "2")</f>
        <v>0</v>
      </c>
      <c r="W66" s="159">
        <f>SUMIFS('Historical Orders'!$G66, 'Historical Orders'!$D66, "2", 'Historical Orders'!$C66, "B", 'Historical Orders'!$B66, "2")</f>
        <v>0</v>
      </c>
      <c r="X66" s="159">
        <f>SUMIFS('Historical Orders'!$E66, 'Historical Orders'!$D66, "3", 'Historical Orders'!$C66, "A", 'Historical Orders'!$B66, "1")</f>
        <v>0</v>
      </c>
      <c r="Y66" s="159">
        <f>SUMIFS('Historical Orders'!$G66, 'Historical Orders'!$D66, "3", 'Historical Orders'!$C66, "A", 'Historical Orders'!$B66, "1")</f>
        <v>0</v>
      </c>
      <c r="Z66" s="159">
        <f>SUMIFS('Historical Orders'!$E66, 'Historical Orders'!$D66, "3", 'Historical Orders'!$C66, "B", 'Historical Orders'!$B66, "1")</f>
        <v>2050</v>
      </c>
      <c r="AA66" s="159">
        <f>SUMIFS('Historical Orders'!$G66, 'Historical Orders'!$D66, "3", 'Historical Orders'!$C66, "B", 'Historical Orders'!$B66, "1")</f>
        <v>17015</v>
      </c>
      <c r="AB66" s="159">
        <f>SUMIFS('Historical Orders'!$E66, 'Historical Orders'!$D66, "3", 'Historical Orders'!$C66, "A", 'Historical Orders'!$B66, "2")</f>
        <v>0</v>
      </c>
      <c r="AC66" s="159">
        <f>SUMIFS('Historical Orders'!$G66, 'Historical Orders'!$D66, "3", 'Historical Orders'!$C66, "A", 'Historical Orders'!$B66, "2")</f>
        <v>0</v>
      </c>
      <c r="AD66" s="159">
        <f>SUMIFS('Historical Orders'!$E66, 'Historical Orders'!$D66, "3", 'Historical Orders'!$C66, "B", 'Historical Orders'!$B66, "2")</f>
        <v>0</v>
      </c>
      <c r="AE66" s="157">
        <f>SUMIFS('Historical Orders'!$G66, 'Historical Orders'!$D66, "3", 'Historical Orders'!$C66, "B", 'Historical Orders'!$B66, "2")</f>
        <v>0</v>
      </c>
      <c r="AF66" s="157">
        <f>SUMIFS('Historical Orders'!$E66, 'Historical Orders'!$D66, "4", 'Historical Orders'!$C66, "A", 'Historical Orders'!$B66, "1")</f>
        <v>0</v>
      </c>
      <c r="AG66" s="157">
        <f>SUMIFS('Historical Orders'!$G66, 'Historical Orders'!$D66, "4", 'Historical Orders'!$C66, "A", 'Historical Orders'!$B66, "1")</f>
        <v>0</v>
      </c>
      <c r="AH66" s="157">
        <f>SUMIFS('Historical Orders'!$E66, 'Historical Orders'!$D66, "4", 'Historical Orders'!$C66, "B", 'Historical Orders'!$B66, "1")</f>
        <v>0</v>
      </c>
      <c r="AI66" s="157">
        <f>SUMIFS('Historical Orders'!$G66, 'Historical Orders'!$D66, "4", 'Historical Orders'!$C66, "B", 'Historical Orders'!$B66, "1")</f>
        <v>0</v>
      </c>
      <c r="AJ66" s="157">
        <f>SUMIFS('Historical Orders'!$E66, 'Historical Orders'!$D66, "4", 'Historical Orders'!$C66, "A", 'Historical Orders'!$B66, "2")</f>
        <v>0</v>
      </c>
      <c r="AK66" s="157">
        <f>SUMIFS('Historical Orders'!$G66, 'Historical Orders'!$D66, "4", 'Historical Orders'!$C66, "A", 'Historical Orders'!$B66, "2")</f>
        <v>0</v>
      </c>
      <c r="AL66" s="171">
        <f>SUMIFS('Historical Orders'!$E66, 'Historical Orders'!$D66, "4", 'Historical Orders'!$C66, "B", 'Historical Orders'!$B66, "2")</f>
        <v>0</v>
      </c>
      <c r="AM66" s="171">
        <f>SUMIFS('Historical Orders'!$G66, 'Historical Orders'!$D66, "4", 'Historical Orders'!$C66, "B", 'Historical Orders'!$B66, "2")</f>
        <v>0</v>
      </c>
      <c r="AN66" s="171">
        <f>SUMIFS('Historical Orders'!$G66, 'Historical Orders'!$C66, "A", 'Historical Orders'!$B66, "1")</f>
        <v>0</v>
      </c>
      <c r="AO66" s="171">
        <f>SUMIFS('Historical Orders'!$G66, 'Historical Orders'!$C66, "B", 'Historical Orders'!$B66, "1")</f>
        <v>17015</v>
      </c>
      <c r="AP66" s="171">
        <f>SUMIFS('Historical Orders'!$G66, 'Historical Orders'!$C66, "A", 'Historical Orders'!$B66, "2")</f>
        <v>0</v>
      </c>
      <c r="AQ66" s="171">
        <f>SUMIFS('Historical Orders'!$G66, 'Historical Orders'!$C66, "B", 'Historical Orders'!$B66, "2")</f>
        <v>0</v>
      </c>
      <c r="AR66" s="145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9"/>
      <c r="BW66" s="179"/>
      <c r="BX66" s="179"/>
      <c r="BY66" s="179"/>
      <c r="BZ66" s="179"/>
      <c r="CA66" s="179"/>
      <c r="CB66" s="179"/>
      <c r="CC66" s="179"/>
      <c r="CD66" s="179"/>
      <c r="CE66" s="179"/>
    </row>
    <row r="67" ht="15.75" customHeight="1">
      <c r="A67" s="151">
        <v>41925.0</v>
      </c>
      <c r="B67" s="152">
        <v>2.0</v>
      </c>
      <c r="C67" s="152" t="s">
        <v>46</v>
      </c>
      <c r="D67" s="152">
        <v>3.0</v>
      </c>
      <c r="E67" s="153">
        <v>2179.0</v>
      </c>
      <c r="F67" s="154">
        <v>8.3</v>
      </c>
      <c r="G67" s="155">
        <v>18085.7</v>
      </c>
      <c r="H67" s="159">
        <f>SUMIFS('Historical Orders'!$E67, 'Historical Orders'!$D67, "1", 'Historical Orders'!$C67, "A", 'Historical Orders'!$B67, "1")</f>
        <v>0</v>
      </c>
      <c r="I67" s="157">
        <f>SUMIFS('Historical Orders'!$G67, 'Historical Orders'!$D67, "1", 'Historical Orders'!$C67, "A", 'Historical Orders'!$B67, "1")</f>
        <v>0</v>
      </c>
      <c r="J67" s="157">
        <f>SUMIFS('Historical Orders'!$E67, 'Historical Orders'!$D67, "1", 'Historical Orders'!$C67, "B", 'Historical Orders'!$B67, "1")</f>
        <v>0</v>
      </c>
      <c r="K67" s="157">
        <f>SUMIFS('Historical Orders'!$G67, 'Historical Orders'!$D67, "1", 'Historical Orders'!$C67, "B", 'Historical Orders'!$B67, "1")</f>
        <v>0</v>
      </c>
      <c r="L67" s="159">
        <f>SUMIFS('Historical Orders'!$E67, 'Historical Orders'!$D67, "1", 'Historical Orders'!$C67, "A", 'Historical Orders'!$B67, "2")</f>
        <v>0</v>
      </c>
      <c r="M67" s="157">
        <f>SUMIFS('Historical Orders'!$G67, 'Historical Orders'!$D67, "1", 'Historical Orders'!$C67, "A", 'Historical Orders'!$B67, "2")</f>
        <v>0</v>
      </c>
      <c r="N67" s="157">
        <f>SUMIFS('Historical Orders'!$E67, 'Historical Orders'!$D67, "1", 'Historical Orders'!$C67, "B", 'Historical Orders'!$B67, "2")</f>
        <v>0</v>
      </c>
      <c r="O67" s="157">
        <f>SUMIFS('Historical Orders'!$G67, 'Historical Orders'!$D67, "1", 'Historical Orders'!$C67, "B", 'Historical Orders'!$B67, "2")</f>
        <v>0</v>
      </c>
      <c r="P67" s="159">
        <f>SUMIFS('Historical Orders'!$E67, 'Historical Orders'!$D67, "2", 'Historical Orders'!$C67, "A", 'Historical Orders'!$B67, "1")</f>
        <v>0</v>
      </c>
      <c r="Q67" s="157">
        <f>SUMIFS('Historical Orders'!$G67, 'Historical Orders'!$D67, "2", 'Historical Orders'!$C67, "A", 'Historical Orders'!$B67, "1")</f>
        <v>0</v>
      </c>
      <c r="R67" s="159">
        <f>SUMIFS('Historical Orders'!$E67, 'Historical Orders'!$D67, "2", 'Historical Orders'!$C67, "B", 'Historical Orders'!$B67, "1")</f>
        <v>0</v>
      </c>
      <c r="S67" s="157">
        <f>SUMIFS('Historical Orders'!$G67, 'Historical Orders'!$D67, "2", 'Historical Orders'!$C67, "B", 'Historical Orders'!$B67, "1")</f>
        <v>0</v>
      </c>
      <c r="T67" s="159">
        <f>SUMIFS('Historical Orders'!$E67, 'Historical Orders'!$D67, "2", 'Historical Orders'!$C67, "A", 'Historical Orders'!$B67, "2")</f>
        <v>0</v>
      </c>
      <c r="U67" s="157">
        <f>SUMIFS('Historical Orders'!$G67, 'Historical Orders'!$D67, "2", 'Historical Orders'!$C67, "A", 'Historical Orders'!$B67, "2")</f>
        <v>0</v>
      </c>
      <c r="V67" s="159">
        <f>SUMIFS('Historical Orders'!$E67, 'Historical Orders'!$D67, "2", 'Historical Orders'!$C67, "B", 'Historical Orders'!$B67, "2")</f>
        <v>0</v>
      </c>
      <c r="W67" s="159">
        <f>SUMIFS('Historical Orders'!$G67, 'Historical Orders'!$D67, "2", 'Historical Orders'!$C67, "B", 'Historical Orders'!$B67, "2")</f>
        <v>0</v>
      </c>
      <c r="X67" s="159">
        <f>SUMIFS('Historical Orders'!$E67, 'Historical Orders'!$D67, "3", 'Historical Orders'!$C67, "A", 'Historical Orders'!$B67, "1")</f>
        <v>0</v>
      </c>
      <c r="Y67" s="159">
        <f>SUMIFS('Historical Orders'!$G67, 'Historical Orders'!$D67, "3", 'Historical Orders'!$C67, "A", 'Historical Orders'!$B67, "1")</f>
        <v>0</v>
      </c>
      <c r="Z67" s="159">
        <f>SUMIFS('Historical Orders'!$E67, 'Historical Orders'!$D67, "3", 'Historical Orders'!$C67, "B", 'Historical Orders'!$B67, "1")</f>
        <v>0</v>
      </c>
      <c r="AA67" s="159">
        <f>SUMIFS('Historical Orders'!$G67, 'Historical Orders'!$D67, "3", 'Historical Orders'!$C67, "B", 'Historical Orders'!$B67, "1")</f>
        <v>0</v>
      </c>
      <c r="AB67" s="159">
        <f>SUMIFS('Historical Orders'!$E67, 'Historical Orders'!$D67, "3", 'Historical Orders'!$C67, "A", 'Historical Orders'!$B67, "2")</f>
        <v>0</v>
      </c>
      <c r="AC67" s="159">
        <f>SUMIFS('Historical Orders'!$G67, 'Historical Orders'!$D67, "3", 'Historical Orders'!$C67, "A", 'Historical Orders'!$B67, "2")</f>
        <v>0</v>
      </c>
      <c r="AD67" s="159">
        <f>SUMIFS('Historical Orders'!$E67, 'Historical Orders'!$D67, "3", 'Historical Orders'!$C67, "B", 'Historical Orders'!$B67, "2")</f>
        <v>2179</v>
      </c>
      <c r="AE67" s="157">
        <f>SUMIFS('Historical Orders'!$G67, 'Historical Orders'!$D67, "3", 'Historical Orders'!$C67, "B", 'Historical Orders'!$B67, "2")</f>
        <v>18085.7</v>
      </c>
      <c r="AF67" s="157">
        <f>SUMIFS('Historical Orders'!$E67, 'Historical Orders'!$D67, "4", 'Historical Orders'!$C67, "A", 'Historical Orders'!$B67, "1")</f>
        <v>0</v>
      </c>
      <c r="AG67" s="157">
        <f>SUMIFS('Historical Orders'!$G67, 'Historical Orders'!$D67, "4", 'Historical Orders'!$C67, "A", 'Historical Orders'!$B67, "1")</f>
        <v>0</v>
      </c>
      <c r="AH67" s="157">
        <f>SUMIFS('Historical Orders'!$E67, 'Historical Orders'!$D67, "4", 'Historical Orders'!$C67, "B", 'Historical Orders'!$B67, "1")</f>
        <v>0</v>
      </c>
      <c r="AI67" s="157">
        <f>SUMIFS('Historical Orders'!$G67, 'Historical Orders'!$D67, "4", 'Historical Orders'!$C67, "B", 'Historical Orders'!$B67, "1")</f>
        <v>0</v>
      </c>
      <c r="AJ67" s="157">
        <f>SUMIFS('Historical Orders'!$E67, 'Historical Orders'!$D67, "4", 'Historical Orders'!$C67, "A", 'Historical Orders'!$B67, "2")</f>
        <v>0</v>
      </c>
      <c r="AK67" s="157">
        <f>SUMIFS('Historical Orders'!$G67, 'Historical Orders'!$D67, "4", 'Historical Orders'!$C67, "A", 'Historical Orders'!$B67, "2")</f>
        <v>0</v>
      </c>
      <c r="AL67" s="171">
        <f>SUMIFS('Historical Orders'!$E67, 'Historical Orders'!$D67, "4", 'Historical Orders'!$C67, "B", 'Historical Orders'!$B67, "2")</f>
        <v>0</v>
      </c>
      <c r="AM67" s="171">
        <f>SUMIFS('Historical Orders'!$G67, 'Historical Orders'!$D67, "4", 'Historical Orders'!$C67, "B", 'Historical Orders'!$B67, "2")</f>
        <v>0</v>
      </c>
      <c r="AN67" s="171">
        <f>SUMIFS('Historical Orders'!$G67, 'Historical Orders'!$C67, "A", 'Historical Orders'!$B67, "1")</f>
        <v>0</v>
      </c>
      <c r="AO67" s="171">
        <f>SUMIFS('Historical Orders'!$G67, 'Historical Orders'!$C67, "B", 'Historical Orders'!$B67, "1")</f>
        <v>0</v>
      </c>
      <c r="AP67" s="171">
        <f>SUMIFS('Historical Orders'!$G67, 'Historical Orders'!$C67, "A", 'Historical Orders'!$B67, "2")</f>
        <v>0</v>
      </c>
      <c r="AQ67" s="171">
        <f>SUMIFS('Historical Orders'!$G67, 'Historical Orders'!$C67, "B", 'Historical Orders'!$B67, "2")</f>
        <v>18085.7</v>
      </c>
      <c r="AR67" s="145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9"/>
      <c r="BW67" s="179"/>
      <c r="BX67" s="179"/>
      <c r="BY67" s="179"/>
      <c r="BZ67" s="179"/>
      <c r="CA67" s="179"/>
      <c r="CB67" s="179"/>
      <c r="CC67" s="179"/>
      <c r="CD67" s="179"/>
      <c r="CE67" s="179"/>
    </row>
    <row r="68" ht="15.75" customHeight="1">
      <c r="A68" s="151">
        <v>41932.0</v>
      </c>
      <c r="B68" s="152">
        <v>1.0</v>
      </c>
      <c r="C68" s="152" t="s">
        <v>45</v>
      </c>
      <c r="D68" s="152">
        <v>1.0</v>
      </c>
      <c r="E68" s="153">
        <v>4227.0</v>
      </c>
      <c r="F68" s="154">
        <v>2.2</v>
      </c>
      <c r="G68" s="155">
        <v>9299.400000000001</v>
      </c>
      <c r="H68" s="159">
        <f>SUMIFS('Historical Orders'!$E68, 'Historical Orders'!$D68, "1", 'Historical Orders'!$C68, "A", 'Historical Orders'!$B68, "1")</f>
        <v>4227</v>
      </c>
      <c r="I68" s="157">
        <f>SUMIFS('Historical Orders'!$G68, 'Historical Orders'!$D68, "1", 'Historical Orders'!$C68, "A", 'Historical Orders'!$B68, "1")</f>
        <v>9299.4</v>
      </c>
      <c r="J68" s="157">
        <f>SUMIFS('Historical Orders'!$E68, 'Historical Orders'!$D68, "1", 'Historical Orders'!$C68, "B", 'Historical Orders'!$B68, "1")</f>
        <v>0</v>
      </c>
      <c r="K68" s="157">
        <f>SUMIFS('Historical Orders'!$G68, 'Historical Orders'!$D68, "1", 'Historical Orders'!$C68, "B", 'Historical Orders'!$B68, "1")</f>
        <v>0</v>
      </c>
      <c r="L68" s="159">
        <f>SUMIFS('Historical Orders'!$E68, 'Historical Orders'!$D68, "1", 'Historical Orders'!$C68, "A", 'Historical Orders'!$B68, "2")</f>
        <v>0</v>
      </c>
      <c r="M68" s="157">
        <f>SUMIFS('Historical Orders'!$G68, 'Historical Orders'!$D68, "1", 'Historical Orders'!$C68, "A", 'Historical Orders'!$B68, "2")</f>
        <v>0</v>
      </c>
      <c r="N68" s="157">
        <f>SUMIFS('Historical Orders'!$E68, 'Historical Orders'!$D68, "1", 'Historical Orders'!$C68, "B", 'Historical Orders'!$B68, "2")</f>
        <v>0</v>
      </c>
      <c r="O68" s="157">
        <f>SUMIFS('Historical Orders'!$G68, 'Historical Orders'!$D68, "1", 'Historical Orders'!$C68, "B", 'Historical Orders'!$B68, "2")</f>
        <v>0</v>
      </c>
      <c r="P68" s="159">
        <f>SUMIFS('Historical Orders'!$E68, 'Historical Orders'!$D68, "2", 'Historical Orders'!$C68, "A", 'Historical Orders'!$B68, "1")</f>
        <v>0</v>
      </c>
      <c r="Q68" s="157">
        <f>SUMIFS('Historical Orders'!$G68, 'Historical Orders'!$D68, "2", 'Historical Orders'!$C68, "A", 'Historical Orders'!$B68, "1")</f>
        <v>0</v>
      </c>
      <c r="R68" s="159">
        <f>SUMIFS('Historical Orders'!$E68, 'Historical Orders'!$D68, "2", 'Historical Orders'!$C68, "B", 'Historical Orders'!$B68, "1")</f>
        <v>0</v>
      </c>
      <c r="S68" s="157">
        <f>SUMIFS('Historical Orders'!$G68, 'Historical Orders'!$D68, "2", 'Historical Orders'!$C68, "B", 'Historical Orders'!$B68, "1")</f>
        <v>0</v>
      </c>
      <c r="T68" s="159">
        <f>SUMIFS('Historical Orders'!$E68, 'Historical Orders'!$D68, "2", 'Historical Orders'!$C68, "A", 'Historical Orders'!$B68, "2")</f>
        <v>0</v>
      </c>
      <c r="U68" s="157">
        <f>SUMIFS('Historical Orders'!$G68, 'Historical Orders'!$D68, "2", 'Historical Orders'!$C68, "A", 'Historical Orders'!$B68, "2")</f>
        <v>0</v>
      </c>
      <c r="V68" s="159">
        <f>SUMIFS('Historical Orders'!$E68, 'Historical Orders'!$D68, "2", 'Historical Orders'!$C68, "B", 'Historical Orders'!$B68, "2")</f>
        <v>0</v>
      </c>
      <c r="W68" s="159">
        <f>SUMIFS('Historical Orders'!$G68, 'Historical Orders'!$D68, "2", 'Historical Orders'!$C68, "B", 'Historical Orders'!$B68, "2")</f>
        <v>0</v>
      </c>
      <c r="X68" s="159">
        <f>SUMIFS('Historical Orders'!$E68, 'Historical Orders'!$D68, "3", 'Historical Orders'!$C68, "A", 'Historical Orders'!$B68, "1")</f>
        <v>0</v>
      </c>
      <c r="Y68" s="159">
        <f>SUMIFS('Historical Orders'!$G68, 'Historical Orders'!$D68, "3", 'Historical Orders'!$C68, "A", 'Historical Orders'!$B68, "1")</f>
        <v>0</v>
      </c>
      <c r="Z68" s="159">
        <f>SUMIFS('Historical Orders'!$E68, 'Historical Orders'!$D68, "3", 'Historical Orders'!$C68, "B", 'Historical Orders'!$B68, "1")</f>
        <v>0</v>
      </c>
      <c r="AA68" s="159">
        <f>SUMIFS('Historical Orders'!$G68, 'Historical Orders'!$D68, "3", 'Historical Orders'!$C68, "B", 'Historical Orders'!$B68, "1")</f>
        <v>0</v>
      </c>
      <c r="AB68" s="159">
        <f>SUMIFS('Historical Orders'!$E68, 'Historical Orders'!$D68, "3", 'Historical Orders'!$C68, "A", 'Historical Orders'!$B68, "2")</f>
        <v>0</v>
      </c>
      <c r="AC68" s="159">
        <f>SUMIFS('Historical Orders'!$G68, 'Historical Orders'!$D68, "3", 'Historical Orders'!$C68, "A", 'Historical Orders'!$B68, "2")</f>
        <v>0</v>
      </c>
      <c r="AD68" s="159">
        <f>SUMIFS('Historical Orders'!$E68, 'Historical Orders'!$D68, "3", 'Historical Orders'!$C68, "B", 'Historical Orders'!$B68, "2")</f>
        <v>0</v>
      </c>
      <c r="AE68" s="157">
        <f>SUMIFS('Historical Orders'!$G68, 'Historical Orders'!$D68, "3", 'Historical Orders'!$C68, "B", 'Historical Orders'!$B68, "2")</f>
        <v>0</v>
      </c>
      <c r="AF68" s="157">
        <f>SUMIFS('Historical Orders'!$E68, 'Historical Orders'!$D68, "4", 'Historical Orders'!$C68, "A", 'Historical Orders'!$B68, "1")</f>
        <v>0</v>
      </c>
      <c r="AG68" s="157">
        <f>SUMIFS('Historical Orders'!$G68, 'Historical Orders'!$D68, "4", 'Historical Orders'!$C68, "A", 'Historical Orders'!$B68, "1")</f>
        <v>0</v>
      </c>
      <c r="AH68" s="157">
        <f>SUMIFS('Historical Orders'!$E68, 'Historical Orders'!$D68, "4", 'Historical Orders'!$C68, "B", 'Historical Orders'!$B68, "1")</f>
        <v>0</v>
      </c>
      <c r="AI68" s="157">
        <f>SUMIFS('Historical Orders'!$G68, 'Historical Orders'!$D68, "4", 'Historical Orders'!$C68, "B", 'Historical Orders'!$B68, "1")</f>
        <v>0</v>
      </c>
      <c r="AJ68" s="157">
        <f>SUMIFS('Historical Orders'!$E68, 'Historical Orders'!$D68, "4", 'Historical Orders'!$C68, "A", 'Historical Orders'!$B68, "2")</f>
        <v>0</v>
      </c>
      <c r="AK68" s="157">
        <f>SUMIFS('Historical Orders'!$G68, 'Historical Orders'!$D68, "4", 'Historical Orders'!$C68, "A", 'Historical Orders'!$B68, "2")</f>
        <v>0</v>
      </c>
      <c r="AL68" s="171">
        <f>SUMIFS('Historical Orders'!$E68, 'Historical Orders'!$D68, "4", 'Historical Orders'!$C68, "B", 'Historical Orders'!$B68, "2")</f>
        <v>0</v>
      </c>
      <c r="AM68" s="171">
        <f>SUMIFS('Historical Orders'!$G68, 'Historical Orders'!$D68, "4", 'Historical Orders'!$C68, "B", 'Historical Orders'!$B68, "2")</f>
        <v>0</v>
      </c>
      <c r="AN68" s="171">
        <f>SUMIFS('Historical Orders'!$G68, 'Historical Orders'!$C68, "A", 'Historical Orders'!$B68, "1")</f>
        <v>9299.4</v>
      </c>
      <c r="AO68" s="171">
        <f>SUMIFS('Historical Orders'!$G68, 'Historical Orders'!$C68, "B", 'Historical Orders'!$B68, "1")</f>
        <v>0</v>
      </c>
      <c r="AP68" s="171">
        <f>SUMIFS('Historical Orders'!$G68, 'Historical Orders'!$C68, "A", 'Historical Orders'!$B68, "2")</f>
        <v>0</v>
      </c>
      <c r="AQ68" s="171">
        <f>SUMIFS('Historical Orders'!$G68, 'Historical Orders'!$C68, "B", 'Historical Orders'!$B68, "2")</f>
        <v>0</v>
      </c>
      <c r="AR68" s="145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9"/>
      <c r="BW68" s="179"/>
      <c r="BX68" s="179"/>
      <c r="BY68" s="179"/>
      <c r="BZ68" s="179"/>
      <c r="CA68" s="179"/>
      <c r="CB68" s="179"/>
      <c r="CC68" s="179"/>
      <c r="CD68" s="179"/>
      <c r="CE68" s="179"/>
    </row>
    <row r="69" ht="15.75" customHeight="1">
      <c r="A69" s="151">
        <v>41932.0</v>
      </c>
      <c r="B69" s="152">
        <v>1.0</v>
      </c>
      <c r="C69" s="152" t="s">
        <v>45</v>
      </c>
      <c r="D69" s="152">
        <v>2.0</v>
      </c>
      <c r="E69" s="153">
        <v>5523.0</v>
      </c>
      <c r="F69" s="154">
        <v>1.2</v>
      </c>
      <c r="G69" s="155">
        <v>6627.599999999999</v>
      </c>
      <c r="H69" s="159">
        <f>SUMIFS('Historical Orders'!$E69, 'Historical Orders'!$D69, "1", 'Historical Orders'!$C69, "A", 'Historical Orders'!$B69, "1")</f>
        <v>0</v>
      </c>
      <c r="I69" s="157">
        <f>SUMIFS('Historical Orders'!$G69, 'Historical Orders'!$D69, "1", 'Historical Orders'!$C69, "A", 'Historical Orders'!$B69, "1")</f>
        <v>0</v>
      </c>
      <c r="J69" s="157">
        <f>SUMIFS('Historical Orders'!$E69, 'Historical Orders'!$D69, "1", 'Historical Orders'!$C69, "B", 'Historical Orders'!$B69, "1")</f>
        <v>0</v>
      </c>
      <c r="K69" s="157">
        <f>SUMIFS('Historical Orders'!$G69, 'Historical Orders'!$D69, "1", 'Historical Orders'!$C69, "B", 'Historical Orders'!$B69, "1")</f>
        <v>0</v>
      </c>
      <c r="L69" s="159">
        <f>SUMIFS('Historical Orders'!$E69, 'Historical Orders'!$D69, "1", 'Historical Orders'!$C69, "A", 'Historical Orders'!$B69, "2")</f>
        <v>0</v>
      </c>
      <c r="M69" s="157">
        <f>SUMIFS('Historical Orders'!$G69, 'Historical Orders'!$D69, "1", 'Historical Orders'!$C69, "A", 'Historical Orders'!$B69, "2")</f>
        <v>0</v>
      </c>
      <c r="N69" s="157">
        <f>SUMIFS('Historical Orders'!$E69, 'Historical Orders'!$D69, "1", 'Historical Orders'!$C69, "B", 'Historical Orders'!$B69, "2")</f>
        <v>0</v>
      </c>
      <c r="O69" s="157">
        <f>SUMIFS('Historical Orders'!$G69, 'Historical Orders'!$D69, "1", 'Historical Orders'!$C69, "B", 'Historical Orders'!$B69, "2")</f>
        <v>0</v>
      </c>
      <c r="P69" s="159">
        <f>SUMIFS('Historical Orders'!$E69, 'Historical Orders'!$D69, "2", 'Historical Orders'!$C69, "A", 'Historical Orders'!$B69, "1")</f>
        <v>5523</v>
      </c>
      <c r="Q69" s="157">
        <f>SUMIFS('Historical Orders'!$G69, 'Historical Orders'!$D69, "2", 'Historical Orders'!$C69, "A", 'Historical Orders'!$B69, "1")</f>
        <v>6627.6</v>
      </c>
      <c r="R69" s="159">
        <f>SUMIFS('Historical Orders'!$E69, 'Historical Orders'!$D69, "2", 'Historical Orders'!$C69, "B", 'Historical Orders'!$B69, "1")</f>
        <v>0</v>
      </c>
      <c r="S69" s="157">
        <f>SUMIFS('Historical Orders'!$G69, 'Historical Orders'!$D69, "2", 'Historical Orders'!$C69, "B", 'Historical Orders'!$B69, "1")</f>
        <v>0</v>
      </c>
      <c r="T69" s="159">
        <f>SUMIFS('Historical Orders'!$E69, 'Historical Orders'!$D69, "2", 'Historical Orders'!$C69, "A", 'Historical Orders'!$B69, "2")</f>
        <v>0</v>
      </c>
      <c r="U69" s="157">
        <f>SUMIFS('Historical Orders'!$G69, 'Historical Orders'!$D69, "2", 'Historical Orders'!$C69, "A", 'Historical Orders'!$B69, "2")</f>
        <v>0</v>
      </c>
      <c r="V69" s="159">
        <f>SUMIFS('Historical Orders'!$E69, 'Historical Orders'!$D69, "2", 'Historical Orders'!$C69, "B", 'Historical Orders'!$B69, "2")</f>
        <v>0</v>
      </c>
      <c r="W69" s="159">
        <f>SUMIFS('Historical Orders'!$G69, 'Historical Orders'!$D69, "2", 'Historical Orders'!$C69, "B", 'Historical Orders'!$B69, "2")</f>
        <v>0</v>
      </c>
      <c r="X69" s="159">
        <f>SUMIFS('Historical Orders'!$E69, 'Historical Orders'!$D69, "3", 'Historical Orders'!$C69, "A", 'Historical Orders'!$B69, "1")</f>
        <v>0</v>
      </c>
      <c r="Y69" s="159">
        <f>SUMIFS('Historical Orders'!$G69, 'Historical Orders'!$D69, "3", 'Historical Orders'!$C69, "A", 'Historical Orders'!$B69, "1")</f>
        <v>0</v>
      </c>
      <c r="Z69" s="159">
        <f>SUMIFS('Historical Orders'!$E69, 'Historical Orders'!$D69, "3", 'Historical Orders'!$C69, "B", 'Historical Orders'!$B69, "1")</f>
        <v>0</v>
      </c>
      <c r="AA69" s="159">
        <f>SUMIFS('Historical Orders'!$G69, 'Historical Orders'!$D69, "3", 'Historical Orders'!$C69, "B", 'Historical Orders'!$B69, "1")</f>
        <v>0</v>
      </c>
      <c r="AB69" s="159">
        <f>SUMIFS('Historical Orders'!$E69, 'Historical Orders'!$D69, "3", 'Historical Orders'!$C69, "A", 'Historical Orders'!$B69, "2")</f>
        <v>0</v>
      </c>
      <c r="AC69" s="159">
        <f>SUMIFS('Historical Orders'!$G69, 'Historical Orders'!$D69, "3", 'Historical Orders'!$C69, "A", 'Historical Orders'!$B69, "2")</f>
        <v>0</v>
      </c>
      <c r="AD69" s="159">
        <f>SUMIFS('Historical Orders'!$E69, 'Historical Orders'!$D69, "3", 'Historical Orders'!$C69, "B", 'Historical Orders'!$B69, "2")</f>
        <v>0</v>
      </c>
      <c r="AE69" s="157">
        <f>SUMIFS('Historical Orders'!$G69, 'Historical Orders'!$D69, "3", 'Historical Orders'!$C69, "B", 'Historical Orders'!$B69, "2")</f>
        <v>0</v>
      </c>
      <c r="AF69" s="157">
        <f>SUMIFS('Historical Orders'!$E69, 'Historical Orders'!$D69, "4", 'Historical Orders'!$C69, "A", 'Historical Orders'!$B69, "1")</f>
        <v>0</v>
      </c>
      <c r="AG69" s="157">
        <f>SUMIFS('Historical Orders'!$G69, 'Historical Orders'!$D69, "4", 'Historical Orders'!$C69, "A", 'Historical Orders'!$B69, "1")</f>
        <v>0</v>
      </c>
      <c r="AH69" s="157">
        <f>SUMIFS('Historical Orders'!$E69, 'Historical Orders'!$D69, "4", 'Historical Orders'!$C69, "B", 'Historical Orders'!$B69, "1")</f>
        <v>0</v>
      </c>
      <c r="AI69" s="157">
        <f>SUMIFS('Historical Orders'!$G69, 'Historical Orders'!$D69, "4", 'Historical Orders'!$C69, "B", 'Historical Orders'!$B69, "1")</f>
        <v>0</v>
      </c>
      <c r="AJ69" s="157">
        <f>SUMIFS('Historical Orders'!$E69, 'Historical Orders'!$D69, "4", 'Historical Orders'!$C69, "A", 'Historical Orders'!$B69, "2")</f>
        <v>0</v>
      </c>
      <c r="AK69" s="157">
        <f>SUMIFS('Historical Orders'!$G69, 'Historical Orders'!$D69, "4", 'Historical Orders'!$C69, "A", 'Historical Orders'!$B69, "2")</f>
        <v>0</v>
      </c>
      <c r="AL69" s="171">
        <f>SUMIFS('Historical Orders'!$E69, 'Historical Orders'!$D69, "4", 'Historical Orders'!$C69, "B", 'Historical Orders'!$B69, "2")</f>
        <v>0</v>
      </c>
      <c r="AM69" s="171">
        <f>SUMIFS('Historical Orders'!$G69, 'Historical Orders'!$D69, "4", 'Historical Orders'!$C69, "B", 'Historical Orders'!$B69, "2")</f>
        <v>0</v>
      </c>
      <c r="AN69" s="171">
        <f>SUMIFS('Historical Orders'!$G69, 'Historical Orders'!$C69, "A", 'Historical Orders'!$B69, "1")</f>
        <v>6627.6</v>
      </c>
      <c r="AO69" s="171">
        <f>SUMIFS('Historical Orders'!$G69, 'Historical Orders'!$C69, "B", 'Historical Orders'!$B69, "1")</f>
        <v>0</v>
      </c>
      <c r="AP69" s="171">
        <f>SUMIFS('Historical Orders'!$G69, 'Historical Orders'!$C69, "A", 'Historical Orders'!$B69, "2")</f>
        <v>0</v>
      </c>
      <c r="AQ69" s="171">
        <f>SUMIFS('Historical Orders'!$G69, 'Historical Orders'!$C69, "B", 'Historical Orders'!$B69, "2")</f>
        <v>0</v>
      </c>
      <c r="AR69" s="145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  <c r="BF69" s="172"/>
      <c r="BG69" s="172"/>
      <c r="BH69" s="172"/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9"/>
      <c r="BW69" s="179"/>
      <c r="BX69" s="179"/>
      <c r="BY69" s="179"/>
      <c r="BZ69" s="179"/>
      <c r="CA69" s="179"/>
      <c r="CB69" s="179"/>
      <c r="CC69" s="179"/>
      <c r="CD69" s="179"/>
      <c r="CE69" s="179"/>
    </row>
    <row r="70" ht="15.75" customHeight="1">
      <c r="A70" s="151">
        <v>41932.0</v>
      </c>
      <c r="B70" s="152">
        <v>2.0</v>
      </c>
      <c r="C70" s="152" t="s">
        <v>45</v>
      </c>
      <c r="D70" s="152">
        <v>1.0</v>
      </c>
      <c r="E70" s="153">
        <v>3205.0</v>
      </c>
      <c r="F70" s="154">
        <v>2.2</v>
      </c>
      <c r="G70" s="155">
        <v>7051.000000000001</v>
      </c>
      <c r="H70" s="159">
        <f>SUMIFS('Historical Orders'!$E70, 'Historical Orders'!$D70, "1", 'Historical Orders'!$C70, "A", 'Historical Orders'!$B70, "1")</f>
        <v>0</v>
      </c>
      <c r="I70" s="157">
        <f>SUMIFS('Historical Orders'!$G70, 'Historical Orders'!$D70, "1", 'Historical Orders'!$C70, "A", 'Historical Orders'!$B70, "1")</f>
        <v>0</v>
      </c>
      <c r="J70" s="157">
        <f>SUMIFS('Historical Orders'!$E70, 'Historical Orders'!$D70, "1", 'Historical Orders'!$C70, "B", 'Historical Orders'!$B70, "1")</f>
        <v>0</v>
      </c>
      <c r="K70" s="157">
        <f>SUMIFS('Historical Orders'!$G70, 'Historical Orders'!$D70, "1", 'Historical Orders'!$C70, "B", 'Historical Orders'!$B70, "1")</f>
        <v>0</v>
      </c>
      <c r="L70" s="159">
        <f>SUMIFS('Historical Orders'!$E70, 'Historical Orders'!$D70, "1", 'Historical Orders'!$C70, "A", 'Historical Orders'!$B70, "2")</f>
        <v>3205</v>
      </c>
      <c r="M70" s="157">
        <f>SUMIFS('Historical Orders'!$G70, 'Historical Orders'!$D70, "1", 'Historical Orders'!$C70, "A", 'Historical Orders'!$B70, "2")</f>
        <v>7051</v>
      </c>
      <c r="N70" s="157">
        <f>SUMIFS('Historical Orders'!$E70, 'Historical Orders'!$D70, "1", 'Historical Orders'!$C70, "B", 'Historical Orders'!$B70, "2")</f>
        <v>0</v>
      </c>
      <c r="O70" s="157">
        <f>SUMIFS('Historical Orders'!$G70, 'Historical Orders'!$D70, "1", 'Historical Orders'!$C70, "B", 'Historical Orders'!$B70, "2")</f>
        <v>0</v>
      </c>
      <c r="P70" s="159">
        <f>SUMIFS('Historical Orders'!$E70, 'Historical Orders'!$D70, "2", 'Historical Orders'!$C70, "A", 'Historical Orders'!$B70, "1")</f>
        <v>0</v>
      </c>
      <c r="Q70" s="157">
        <f>SUMIFS('Historical Orders'!$G70, 'Historical Orders'!$D70, "2", 'Historical Orders'!$C70, "A", 'Historical Orders'!$B70, "1")</f>
        <v>0</v>
      </c>
      <c r="R70" s="159">
        <f>SUMIFS('Historical Orders'!$E70, 'Historical Orders'!$D70, "2", 'Historical Orders'!$C70, "B", 'Historical Orders'!$B70, "1")</f>
        <v>0</v>
      </c>
      <c r="S70" s="157">
        <f>SUMIFS('Historical Orders'!$G70, 'Historical Orders'!$D70, "2", 'Historical Orders'!$C70, "B", 'Historical Orders'!$B70, "1")</f>
        <v>0</v>
      </c>
      <c r="T70" s="159">
        <f>SUMIFS('Historical Orders'!$E70, 'Historical Orders'!$D70, "2", 'Historical Orders'!$C70, "A", 'Historical Orders'!$B70, "2")</f>
        <v>0</v>
      </c>
      <c r="U70" s="157">
        <f>SUMIFS('Historical Orders'!$G70, 'Historical Orders'!$D70, "2", 'Historical Orders'!$C70, "A", 'Historical Orders'!$B70, "2")</f>
        <v>0</v>
      </c>
      <c r="V70" s="159">
        <f>SUMIFS('Historical Orders'!$E70, 'Historical Orders'!$D70, "2", 'Historical Orders'!$C70, "B", 'Historical Orders'!$B70, "2")</f>
        <v>0</v>
      </c>
      <c r="W70" s="159">
        <f>SUMIFS('Historical Orders'!$G70, 'Historical Orders'!$D70, "2", 'Historical Orders'!$C70, "B", 'Historical Orders'!$B70, "2")</f>
        <v>0</v>
      </c>
      <c r="X70" s="159">
        <f>SUMIFS('Historical Orders'!$E70, 'Historical Orders'!$D70, "3", 'Historical Orders'!$C70, "A", 'Historical Orders'!$B70, "1")</f>
        <v>0</v>
      </c>
      <c r="Y70" s="159">
        <f>SUMIFS('Historical Orders'!$G70, 'Historical Orders'!$D70, "3", 'Historical Orders'!$C70, "A", 'Historical Orders'!$B70, "1")</f>
        <v>0</v>
      </c>
      <c r="Z70" s="159">
        <f>SUMIFS('Historical Orders'!$E70, 'Historical Orders'!$D70, "3", 'Historical Orders'!$C70, "B", 'Historical Orders'!$B70, "1")</f>
        <v>0</v>
      </c>
      <c r="AA70" s="159">
        <f>SUMIFS('Historical Orders'!$G70, 'Historical Orders'!$D70, "3", 'Historical Orders'!$C70, "B", 'Historical Orders'!$B70, "1")</f>
        <v>0</v>
      </c>
      <c r="AB70" s="159">
        <f>SUMIFS('Historical Orders'!$E70, 'Historical Orders'!$D70, "3", 'Historical Orders'!$C70, "A", 'Historical Orders'!$B70, "2")</f>
        <v>0</v>
      </c>
      <c r="AC70" s="159">
        <f>SUMIFS('Historical Orders'!$G70, 'Historical Orders'!$D70, "3", 'Historical Orders'!$C70, "A", 'Historical Orders'!$B70, "2")</f>
        <v>0</v>
      </c>
      <c r="AD70" s="159">
        <f>SUMIFS('Historical Orders'!$E70, 'Historical Orders'!$D70, "3", 'Historical Orders'!$C70, "B", 'Historical Orders'!$B70, "2")</f>
        <v>0</v>
      </c>
      <c r="AE70" s="157">
        <f>SUMIFS('Historical Orders'!$G70, 'Historical Orders'!$D70, "3", 'Historical Orders'!$C70, "B", 'Historical Orders'!$B70, "2")</f>
        <v>0</v>
      </c>
      <c r="AF70" s="157">
        <f>SUMIFS('Historical Orders'!$E70, 'Historical Orders'!$D70, "4", 'Historical Orders'!$C70, "A", 'Historical Orders'!$B70, "1")</f>
        <v>0</v>
      </c>
      <c r="AG70" s="157">
        <f>SUMIFS('Historical Orders'!$G70, 'Historical Orders'!$D70, "4", 'Historical Orders'!$C70, "A", 'Historical Orders'!$B70, "1")</f>
        <v>0</v>
      </c>
      <c r="AH70" s="157">
        <f>SUMIFS('Historical Orders'!$E70, 'Historical Orders'!$D70, "4", 'Historical Orders'!$C70, "B", 'Historical Orders'!$B70, "1")</f>
        <v>0</v>
      </c>
      <c r="AI70" s="157">
        <f>SUMIFS('Historical Orders'!$G70, 'Historical Orders'!$D70, "4", 'Historical Orders'!$C70, "B", 'Historical Orders'!$B70, "1")</f>
        <v>0</v>
      </c>
      <c r="AJ70" s="157">
        <f>SUMIFS('Historical Orders'!$E70, 'Historical Orders'!$D70, "4", 'Historical Orders'!$C70, "A", 'Historical Orders'!$B70, "2")</f>
        <v>0</v>
      </c>
      <c r="AK70" s="157">
        <f>SUMIFS('Historical Orders'!$G70, 'Historical Orders'!$D70, "4", 'Historical Orders'!$C70, "A", 'Historical Orders'!$B70, "2")</f>
        <v>0</v>
      </c>
      <c r="AL70" s="171">
        <f>SUMIFS('Historical Orders'!$E70, 'Historical Orders'!$D70, "4", 'Historical Orders'!$C70, "B", 'Historical Orders'!$B70, "2")</f>
        <v>0</v>
      </c>
      <c r="AM70" s="171">
        <f>SUMIFS('Historical Orders'!$G70, 'Historical Orders'!$D70, "4", 'Historical Orders'!$C70, "B", 'Historical Orders'!$B70, "2")</f>
        <v>0</v>
      </c>
      <c r="AN70" s="171">
        <f>SUMIFS('Historical Orders'!$G70, 'Historical Orders'!$C70, "A", 'Historical Orders'!$B70, "1")</f>
        <v>0</v>
      </c>
      <c r="AO70" s="171">
        <f>SUMIFS('Historical Orders'!$G70, 'Historical Orders'!$C70, "B", 'Historical Orders'!$B70, "1")</f>
        <v>0</v>
      </c>
      <c r="AP70" s="171">
        <f>SUMIFS('Historical Orders'!$G70, 'Historical Orders'!$C70, "A", 'Historical Orders'!$B70, "2")</f>
        <v>7051</v>
      </c>
      <c r="AQ70" s="171">
        <f>SUMIFS('Historical Orders'!$G70, 'Historical Orders'!$C70, "B", 'Historical Orders'!$B70, "2")</f>
        <v>0</v>
      </c>
      <c r="AR70" s="145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9"/>
      <c r="BW70" s="179"/>
      <c r="BX70" s="179"/>
      <c r="BY70" s="179"/>
      <c r="BZ70" s="179"/>
      <c r="CA70" s="179"/>
      <c r="CB70" s="179"/>
      <c r="CC70" s="179"/>
      <c r="CD70" s="179"/>
      <c r="CE70" s="179"/>
    </row>
    <row r="71" ht="15.75" customHeight="1">
      <c r="A71" s="151">
        <v>41932.0</v>
      </c>
      <c r="B71" s="152">
        <v>2.0</v>
      </c>
      <c r="C71" s="152" t="s">
        <v>45</v>
      </c>
      <c r="D71" s="152">
        <v>2.0</v>
      </c>
      <c r="E71" s="153">
        <v>5832.0</v>
      </c>
      <c r="F71" s="154">
        <v>1.2</v>
      </c>
      <c r="G71" s="155">
        <v>6998.4</v>
      </c>
      <c r="H71" s="159">
        <f>SUMIFS('Historical Orders'!$E71, 'Historical Orders'!$D71, "1", 'Historical Orders'!$C71, "A", 'Historical Orders'!$B71, "1")</f>
        <v>0</v>
      </c>
      <c r="I71" s="157">
        <f>SUMIFS('Historical Orders'!$G71, 'Historical Orders'!$D71, "1", 'Historical Orders'!$C71, "A", 'Historical Orders'!$B71, "1")</f>
        <v>0</v>
      </c>
      <c r="J71" s="157">
        <f>SUMIFS('Historical Orders'!$E71, 'Historical Orders'!$D71, "1", 'Historical Orders'!$C71, "B", 'Historical Orders'!$B71, "1")</f>
        <v>0</v>
      </c>
      <c r="K71" s="157">
        <f>SUMIFS('Historical Orders'!$G71, 'Historical Orders'!$D71, "1", 'Historical Orders'!$C71, "B", 'Historical Orders'!$B71, "1")</f>
        <v>0</v>
      </c>
      <c r="L71" s="159">
        <f>SUMIFS('Historical Orders'!$E71, 'Historical Orders'!$D71, "1", 'Historical Orders'!$C71, "A", 'Historical Orders'!$B71, "2")</f>
        <v>0</v>
      </c>
      <c r="M71" s="157">
        <f>SUMIFS('Historical Orders'!$G71, 'Historical Orders'!$D71, "1", 'Historical Orders'!$C71, "A", 'Historical Orders'!$B71, "2")</f>
        <v>0</v>
      </c>
      <c r="N71" s="157">
        <f>SUMIFS('Historical Orders'!$E71, 'Historical Orders'!$D71, "1", 'Historical Orders'!$C71, "B", 'Historical Orders'!$B71, "2")</f>
        <v>0</v>
      </c>
      <c r="O71" s="157">
        <f>SUMIFS('Historical Orders'!$G71, 'Historical Orders'!$D71, "1", 'Historical Orders'!$C71, "B", 'Historical Orders'!$B71, "2")</f>
        <v>0</v>
      </c>
      <c r="P71" s="159">
        <f>SUMIFS('Historical Orders'!$E71, 'Historical Orders'!$D71, "2", 'Historical Orders'!$C71, "A", 'Historical Orders'!$B71, "1")</f>
        <v>0</v>
      </c>
      <c r="Q71" s="157">
        <f>SUMIFS('Historical Orders'!$G71, 'Historical Orders'!$D71, "2", 'Historical Orders'!$C71, "A", 'Historical Orders'!$B71, "1")</f>
        <v>0</v>
      </c>
      <c r="R71" s="159">
        <f>SUMIFS('Historical Orders'!$E71, 'Historical Orders'!$D71, "2", 'Historical Orders'!$C71, "B", 'Historical Orders'!$B71, "1")</f>
        <v>0</v>
      </c>
      <c r="S71" s="157">
        <f>SUMIFS('Historical Orders'!$G71, 'Historical Orders'!$D71, "2", 'Historical Orders'!$C71, "B", 'Historical Orders'!$B71, "1")</f>
        <v>0</v>
      </c>
      <c r="T71" s="159">
        <f>SUMIFS('Historical Orders'!$E71, 'Historical Orders'!$D71, "2", 'Historical Orders'!$C71, "A", 'Historical Orders'!$B71, "2")</f>
        <v>5832</v>
      </c>
      <c r="U71" s="157">
        <f>SUMIFS('Historical Orders'!$G71, 'Historical Orders'!$D71, "2", 'Historical Orders'!$C71, "A", 'Historical Orders'!$B71, "2")</f>
        <v>6998.4</v>
      </c>
      <c r="V71" s="159">
        <f>SUMIFS('Historical Orders'!$E71, 'Historical Orders'!$D71, "2", 'Historical Orders'!$C71, "B", 'Historical Orders'!$B71, "2")</f>
        <v>0</v>
      </c>
      <c r="W71" s="159">
        <f>SUMIFS('Historical Orders'!$G71, 'Historical Orders'!$D71, "2", 'Historical Orders'!$C71, "B", 'Historical Orders'!$B71, "2")</f>
        <v>0</v>
      </c>
      <c r="X71" s="159">
        <f>SUMIFS('Historical Orders'!$E71, 'Historical Orders'!$D71, "3", 'Historical Orders'!$C71, "A", 'Historical Orders'!$B71, "1")</f>
        <v>0</v>
      </c>
      <c r="Y71" s="159">
        <f>SUMIFS('Historical Orders'!$G71, 'Historical Orders'!$D71, "3", 'Historical Orders'!$C71, "A", 'Historical Orders'!$B71, "1")</f>
        <v>0</v>
      </c>
      <c r="Z71" s="159">
        <f>SUMIFS('Historical Orders'!$E71, 'Historical Orders'!$D71, "3", 'Historical Orders'!$C71, "B", 'Historical Orders'!$B71, "1")</f>
        <v>0</v>
      </c>
      <c r="AA71" s="159">
        <f>SUMIFS('Historical Orders'!$G71, 'Historical Orders'!$D71, "3", 'Historical Orders'!$C71, "B", 'Historical Orders'!$B71, "1")</f>
        <v>0</v>
      </c>
      <c r="AB71" s="159">
        <f>SUMIFS('Historical Orders'!$E71, 'Historical Orders'!$D71, "3", 'Historical Orders'!$C71, "A", 'Historical Orders'!$B71, "2")</f>
        <v>0</v>
      </c>
      <c r="AC71" s="159">
        <f>SUMIFS('Historical Orders'!$G71, 'Historical Orders'!$D71, "3", 'Historical Orders'!$C71, "A", 'Historical Orders'!$B71, "2")</f>
        <v>0</v>
      </c>
      <c r="AD71" s="159">
        <f>SUMIFS('Historical Orders'!$E71, 'Historical Orders'!$D71, "3", 'Historical Orders'!$C71, "B", 'Historical Orders'!$B71, "2")</f>
        <v>0</v>
      </c>
      <c r="AE71" s="157">
        <f>SUMIFS('Historical Orders'!$G71, 'Historical Orders'!$D71, "3", 'Historical Orders'!$C71, "B", 'Historical Orders'!$B71, "2")</f>
        <v>0</v>
      </c>
      <c r="AF71" s="157">
        <f>SUMIFS('Historical Orders'!$E71, 'Historical Orders'!$D71, "4", 'Historical Orders'!$C71, "A", 'Historical Orders'!$B71, "1")</f>
        <v>0</v>
      </c>
      <c r="AG71" s="157">
        <f>SUMIFS('Historical Orders'!$G71, 'Historical Orders'!$D71, "4", 'Historical Orders'!$C71, "A", 'Historical Orders'!$B71, "1")</f>
        <v>0</v>
      </c>
      <c r="AH71" s="157">
        <f>SUMIFS('Historical Orders'!$E71, 'Historical Orders'!$D71, "4", 'Historical Orders'!$C71, "B", 'Historical Orders'!$B71, "1")</f>
        <v>0</v>
      </c>
      <c r="AI71" s="157">
        <f>SUMIFS('Historical Orders'!$G71, 'Historical Orders'!$D71, "4", 'Historical Orders'!$C71, "B", 'Historical Orders'!$B71, "1")</f>
        <v>0</v>
      </c>
      <c r="AJ71" s="157">
        <f>SUMIFS('Historical Orders'!$E71, 'Historical Orders'!$D71, "4", 'Historical Orders'!$C71, "A", 'Historical Orders'!$B71, "2")</f>
        <v>0</v>
      </c>
      <c r="AK71" s="157">
        <f>SUMIFS('Historical Orders'!$G71, 'Historical Orders'!$D71, "4", 'Historical Orders'!$C71, "A", 'Historical Orders'!$B71, "2")</f>
        <v>0</v>
      </c>
      <c r="AL71" s="171">
        <f>SUMIFS('Historical Orders'!$E71, 'Historical Orders'!$D71, "4", 'Historical Orders'!$C71, "B", 'Historical Orders'!$B71, "2")</f>
        <v>0</v>
      </c>
      <c r="AM71" s="171">
        <f>SUMIFS('Historical Orders'!$G71, 'Historical Orders'!$D71, "4", 'Historical Orders'!$C71, "B", 'Historical Orders'!$B71, "2")</f>
        <v>0</v>
      </c>
      <c r="AN71" s="171">
        <f>SUMIFS('Historical Orders'!$G71, 'Historical Orders'!$C71, "A", 'Historical Orders'!$B71, "1")</f>
        <v>0</v>
      </c>
      <c r="AO71" s="171">
        <f>SUMIFS('Historical Orders'!$G71, 'Historical Orders'!$C71, "B", 'Historical Orders'!$B71, "1")</f>
        <v>0</v>
      </c>
      <c r="AP71" s="171">
        <f>SUMIFS('Historical Orders'!$G71, 'Historical Orders'!$C71, "A", 'Historical Orders'!$B71, "2")</f>
        <v>6998.4</v>
      </c>
      <c r="AQ71" s="171">
        <f>SUMIFS('Historical Orders'!$G71, 'Historical Orders'!$C71, "B", 'Historical Orders'!$B71, "2")</f>
        <v>0</v>
      </c>
      <c r="AR71" s="145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9"/>
      <c r="BW71" s="179"/>
      <c r="BX71" s="179"/>
      <c r="BY71" s="179"/>
      <c r="BZ71" s="179"/>
      <c r="CA71" s="179"/>
      <c r="CB71" s="179"/>
      <c r="CC71" s="179"/>
      <c r="CD71" s="179"/>
      <c r="CE71" s="179"/>
    </row>
    <row r="72" ht="15.75" customHeight="1">
      <c r="A72" s="151">
        <v>41932.0</v>
      </c>
      <c r="B72" s="152">
        <v>1.0</v>
      </c>
      <c r="C72" s="152" t="s">
        <v>46</v>
      </c>
      <c r="D72" s="152">
        <v>3.0</v>
      </c>
      <c r="E72" s="153">
        <v>1890.0</v>
      </c>
      <c r="F72" s="154">
        <v>8.3</v>
      </c>
      <c r="G72" s="155">
        <v>15687.000000000002</v>
      </c>
      <c r="H72" s="159">
        <f>SUMIFS('Historical Orders'!$E72, 'Historical Orders'!$D72, "1", 'Historical Orders'!$C72, "A", 'Historical Orders'!$B72, "1")</f>
        <v>0</v>
      </c>
      <c r="I72" s="157">
        <f>SUMIFS('Historical Orders'!$G72, 'Historical Orders'!$D72, "1", 'Historical Orders'!$C72, "A", 'Historical Orders'!$B72, "1")</f>
        <v>0</v>
      </c>
      <c r="J72" s="157">
        <f>SUMIFS('Historical Orders'!$E72, 'Historical Orders'!$D72, "1", 'Historical Orders'!$C72, "B", 'Historical Orders'!$B72, "1")</f>
        <v>0</v>
      </c>
      <c r="K72" s="157">
        <f>SUMIFS('Historical Orders'!$G72, 'Historical Orders'!$D72, "1", 'Historical Orders'!$C72, "B", 'Historical Orders'!$B72, "1")</f>
        <v>0</v>
      </c>
      <c r="L72" s="159">
        <f>SUMIFS('Historical Orders'!$E72, 'Historical Orders'!$D72, "1", 'Historical Orders'!$C72, "A", 'Historical Orders'!$B72, "2")</f>
        <v>0</v>
      </c>
      <c r="M72" s="157">
        <f>SUMIFS('Historical Orders'!$G72, 'Historical Orders'!$D72, "1", 'Historical Orders'!$C72, "A", 'Historical Orders'!$B72, "2")</f>
        <v>0</v>
      </c>
      <c r="N72" s="157">
        <f>SUMIFS('Historical Orders'!$E72, 'Historical Orders'!$D72, "1", 'Historical Orders'!$C72, "B", 'Historical Orders'!$B72, "2")</f>
        <v>0</v>
      </c>
      <c r="O72" s="157">
        <f>SUMIFS('Historical Orders'!$G72, 'Historical Orders'!$D72, "1", 'Historical Orders'!$C72, "B", 'Historical Orders'!$B72, "2")</f>
        <v>0</v>
      </c>
      <c r="P72" s="159">
        <f>SUMIFS('Historical Orders'!$E72, 'Historical Orders'!$D72, "2", 'Historical Orders'!$C72, "A", 'Historical Orders'!$B72, "1")</f>
        <v>0</v>
      </c>
      <c r="Q72" s="157">
        <f>SUMIFS('Historical Orders'!$G72, 'Historical Orders'!$D72, "2", 'Historical Orders'!$C72, "A", 'Historical Orders'!$B72, "1")</f>
        <v>0</v>
      </c>
      <c r="R72" s="159">
        <f>SUMIFS('Historical Orders'!$E72, 'Historical Orders'!$D72, "2", 'Historical Orders'!$C72, "B", 'Historical Orders'!$B72, "1")</f>
        <v>0</v>
      </c>
      <c r="S72" s="157">
        <f>SUMIFS('Historical Orders'!$G72, 'Historical Orders'!$D72, "2", 'Historical Orders'!$C72, "B", 'Historical Orders'!$B72, "1")</f>
        <v>0</v>
      </c>
      <c r="T72" s="159">
        <f>SUMIFS('Historical Orders'!$E72, 'Historical Orders'!$D72, "2", 'Historical Orders'!$C72, "A", 'Historical Orders'!$B72, "2")</f>
        <v>0</v>
      </c>
      <c r="U72" s="157">
        <f>SUMIFS('Historical Orders'!$G72, 'Historical Orders'!$D72, "2", 'Historical Orders'!$C72, "A", 'Historical Orders'!$B72, "2")</f>
        <v>0</v>
      </c>
      <c r="V72" s="159">
        <f>SUMIFS('Historical Orders'!$E72, 'Historical Orders'!$D72, "2", 'Historical Orders'!$C72, "B", 'Historical Orders'!$B72, "2")</f>
        <v>0</v>
      </c>
      <c r="W72" s="159">
        <f>SUMIFS('Historical Orders'!$G72, 'Historical Orders'!$D72, "2", 'Historical Orders'!$C72, "B", 'Historical Orders'!$B72, "2")</f>
        <v>0</v>
      </c>
      <c r="X72" s="159">
        <f>SUMIFS('Historical Orders'!$E72, 'Historical Orders'!$D72, "3", 'Historical Orders'!$C72, "A", 'Historical Orders'!$B72, "1")</f>
        <v>0</v>
      </c>
      <c r="Y72" s="159">
        <f>SUMIFS('Historical Orders'!$G72, 'Historical Orders'!$D72, "3", 'Historical Orders'!$C72, "A", 'Historical Orders'!$B72, "1")</f>
        <v>0</v>
      </c>
      <c r="Z72" s="159">
        <f>SUMIFS('Historical Orders'!$E72, 'Historical Orders'!$D72, "3", 'Historical Orders'!$C72, "B", 'Historical Orders'!$B72, "1")</f>
        <v>1890</v>
      </c>
      <c r="AA72" s="159">
        <f>SUMIFS('Historical Orders'!$G72, 'Historical Orders'!$D72, "3", 'Historical Orders'!$C72, "B", 'Historical Orders'!$B72, "1")</f>
        <v>15687</v>
      </c>
      <c r="AB72" s="159">
        <f>SUMIFS('Historical Orders'!$E72, 'Historical Orders'!$D72, "3", 'Historical Orders'!$C72, "A", 'Historical Orders'!$B72, "2")</f>
        <v>0</v>
      </c>
      <c r="AC72" s="159">
        <f>SUMIFS('Historical Orders'!$G72, 'Historical Orders'!$D72, "3", 'Historical Orders'!$C72, "A", 'Historical Orders'!$B72, "2")</f>
        <v>0</v>
      </c>
      <c r="AD72" s="159">
        <f>SUMIFS('Historical Orders'!$E72, 'Historical Orders'!$D72, "3", 'Historical Orders'!$C72, "B", 'Historical Orders'!$B72, "2")</f>
        <v>0</v>
      </c>
      <c r="AE72" s="157">
        <f>SUMIFS('Historical Orders'!$G72, 'Historical Orders'!$D72, "3", 'Historical Orders'!$C72, "B", 'Historical Orders'!$B72, "2")</f>
        <v>0</v>
      </c>
      <c r="AF72" s="157">
        <f>SUMIFS('Historical Orders'!$E72, 'Historical Orders'!$D72, "4", 'Historical Orders'!$C72, "A", 'Historical Orders'!$B72, "1")</f>
        <v>0</v>
      </c>
      <c r="AG72" s="157">
        <f>SUMIFS('Historical Orders'!$G72, 'Historical Orders'!$D72, "4", 'Historical Orders'!$C72, "A", 'Historical Orders'!$B72, "1")</f>
        <v>0</v>
      </c>
      <c r="AH72" s="157">
        <f>SUMIFS('Historical Orders'!$E72, 'Historical Orders'!$D72, "4", 'Historical Orders'!$C72, "B", 'Historical Orders'!$B72, "1")</f>
        <v>0</v>
      </c>
      <c r="AI72" s="157">
        <f>SUMIFS('Historical Orders'!$G72, 'Historical Orders'!$D72, "4", 'Historical Orders'!$C72, "B", 'Historical Orders'!$B72, "1")</f>
        <v>0</v>
      </c>
      <c r="AJ72" s="157">
        <f>SUMIFS('Historical Orders'!$E72, 'Historical Orders'!$D72, "4", 'Historical Orders'!$C72, "A", 'Historical Orders'!$B72, "2")</f>
        <v>0</v>
      </c>
      <c r="AK72" s="157">
        <f>SUMIFS('Historical Orders'!$G72, 'Historical Orders'!$D72, "4", 'Historical Orders'!$C72, "A", 'Historical Orders'!$B72, "2")</f>
        <v>0</v>
      </c>
      <c r="AL72" s="171">
        <f>SUMIFS('Historical Orders'!$E72, 'Historical Orders'!$D72, "4", 'Historical Orders'!$C72, "B", 'Historical Orders'!$B72, "2")</f>
        <v>0</v>
      </c>
      <c r="AM72" s="171">
        <f>SUMIFS('Historical Orders'!$G72, 'Historical Orders'!$D72, "4", 'Historical Orders'!$C72, "B", 'Historical Orders'!$B72, "2")</f>
        <v>0</v>
      </c>
      <c r="AN72" s="171">
        <f>SUMIFS('Historical Orders'!$G72, 'Historical Orders'!$C72, "A", 'Historical Orders'!$B72, "1")</f>
        <v>0</v>
      </c>
      <c r="AO72" s="171">
        <f>SUMIFS('Historical Orders'!$G72, 'Historical Orders'!$C72, "B", 'Historical Orders'!$B72, "1")</f>
        <v>15687</v>
      </c>
      <c r="AP72" s="171">
        <f>SUMIFS('Historical Orders'!$G72, 'Historical Orders'!$C72, "A", 'Historical Orders'!$B72, "2")</f>
        <v>0</v>
      </c>
      <c r="AQ72" s="171">
        <f>SUMIFS('Historical Orders'!$G72, 'Historical Orders'!$C72, "B", 'Historical Orders'!$B72, "2")</f>
        <v>0</v>
      </c>
      <c r="AR72" s="145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172"/>
      <c r="BV72" s="179"/>
      <c r="BW72" s="179"/>
      <c r="BX72" s="179"/>
      <c r="BY72" s="179"/>
      <c r="BZ72" s="179"/>
      <c r="CA72" s="179"/>
      <c r="CB72" s="179"/>
      <c r="CC72" s="179"/>
      <c r="CD72" s="179"/>
      <c r="CE72" s="179"/>
    </row>
    <row r="73" ht="15.75" customHeight="1">
      <c r="A73" s="151">
        <v>41932.0</v>
      </c>
      <c r="B73" s="152">
        <v>2.0</v>
      </c>
      <c r="C73" s="152" t="s">
        <v>46</v>
      </c>
      <c r="D73" s="152">
        <v>3.0</v>
      </c>
      <c r="E73" s="153">
        <v>2538.0</v>
      </c>
      <c r="F73" s="154">
        <v>8.3</v>
      </c>
      <c r="G73" s="155">
        <v>21065.4</v>
      </c>
      <c r="H73" s="159">
        <f>SUMIFS('Historical Orders'!$E73, 'Historical Orders'!$D73, "1", 'Historical Orders'!$C73, "A", 'Historical Orders'!$B73, "1")</f>
        <v>0</v>
      </c>
      <c r="I73" s="157">
        <f>SUMIFS('Historical Orders'!$G73, 'Historical Orders'!$D73, "1", 'Historical Orders'!$C73, "A", 'Historical Orders'!$B73, "1")</f>
        <v>0</v>
      </c>
      <c r="J73" s="157">
        <f>SUMIFS('Historical Orders'!$E73, 'Historical Orders'!$D73, "1", 'Historical Orders'!$C73, "B", 'Historical Orders'!$B73, "1")</f>
        <v>0</v>
      </c>
      <c r="K73" s="157">
        <f>SUMIFS('Historical Orders'!$G73, 'Historical Orders'!$D73, "1", 'Historical Orders'!$C73, "B", 'Historical Orders'!$B73, "1")</f>
        <v>0</v>
      </c>
      <c r="L73" s="159">
        <f>SUMIFS('Historical Orders'!$E73, 'Historical Orders'!$D73, "1", 'Historical Orders'!$C73, "A", 'Historical Orders'!$B73, "2")</f>
        <v>0</v>
      </c>
      <c r="M73" s="157">
        <f>SUMIFS('Historical Orders'!$G73, 'Historical Orders'!$D73, "1", 'Historical Orders'!$C73, "A", 'Historical Orders'!$B73, "2")</f>
        <v>0</v>
      </c>
      <c r="N73" s="157">
        <f>SUMIFS('Historical Orders'!$E73, 'Historical Orders'!$D73, "1", 'Historical Orders'!$C73, "B", 'Historical Orders'!$B73, "2")</f>
        <v>0</v>
      </c>
      <c r="O73" s="157">
        <f>SUMIFS('Historical Orders'!$G73, 'Historical Orders'!$D73, "1", 'Historical Orders'!$C73, "B", 'Historical Orders'!$B73, "2")</f>
        <v>0</v>
      </c>
      <c r="P73" s="159">
        <f>SUMIFS('Historical Orders'!$E73, 'Historical Orders'!$D73, "2", 'Historical Orders'!$C73, "A", 'Historical Orders'!$B73, "1")</f>
        <v>0</v>
      </c>
      <c r="Q73" s="157">
        <f>SUMIFS('Historical Orders'!$G73, 'Historical Orders'!$D73, "2", 'Historical Orders'!$C73, "A", 'Historical Orders'!$B73, "1")</f>
        <v>0</v>
      </c>
      <c r="R73" s="159">
        <f>SUMIFS('Historical Orders'!$E73, 'Historical Orders'!$D73, "2", 'Historical Orders'!$C73, "B", 'Historical Orders'!$B73, "1")</f>
        <v>0</v>
      </c>
      <c r="S73" s="157">
        <f>SUMIFS('Historical Orders'!$G73, 'Historical Orders'!$D73, "2", 'Historical Orders'!$C73, "B", 'Historical Orders'!$B73, "1")</f>
        <v>0</v>
      </c>
      <c r="T73" s="159">
        <f>SUMIFS('Historical Orders'!$E73, 'Historical Orders'!$D73, "2", 'Historical Orders'!$C73, "A", 'Historical Orders'!$B73, "2")</f>
        <v>0</v>
      </c>
      <c r="U73" s="157">
        <f>SUMIFS('Historical Orders'!$G73, 'Historical Orders'!$D73, "2", 'Historical Orders'!$C73, "A", 'Historical Orders'!$B73, "2")</f>
        <v>0</v>
      </c>
      <c r="V73" s="159">
        <f>SUMIFS('Historical Orders'!$E73, 'Historical Orders'!$D73, "2", 'Historical Orders'!$C73, "B", 'Historical Orders'!$B73, "2")</f>
        <v>0</v>
      </c>
      <c r="W73" s="159">
        <f>SUMIFS('Historical Orders'!$G73, 'Historical Orders'!$D73, "2", 'Historical Orders'!$C73, "B", 'Historical Orders'!$B73, "2")</f>
        <v>0</v>
      </c>
      <c r="X73" s="159">
        <f>SUMIFS('Historical Orders'!$E73, 'Historical Orders'!$D73, "3", 'Historical Orders'!$C73, "A", 'Historical Orders'!$B73, "1")</f>
        <v>0</v>
      </c>
      <c r="Y73" s="159">
        <f>SUMIFS('Historical Orders'!$G73, 'Historical Orders'!$D73, "3", 'Historical Orders'!$C73, "A", 'Historical Orders'!$B73, "1")</f>
        <v>0</v>
      </c>
      <c r="Z73" s="159">
        <f>SUMIFS('Historical Orders'!$E73, 'Historical Orders'!$D73, "3", 'Historical Orders'!$C73, "B", 'Historical Orders'!$B73, "1")</f>
        <v>0</v>
      </c>
      <c r="AA73" s="159">
        <f>SUMIFS('Historical Orders'!$G73, 'Historical Orders'!$D73, "3", 'Historical Orders'!$C73, "B", 'Historical Orders'!$B73, "1")</f>
        <v>0</v>
      </c>
      <c r="AB73" s="159">
        <f>SUMIFS('Historical Orders'!$E73, 'Historical Orders'!$D73, "3", 'Historical Orders'!$C73, "A", 'Historical Orders'!$B73, "2")</f>
        <v>0</v>
      </c>
      <c r="AC73" s="159">
        <f>SUMIFS('Historical Orders'!$G73, 'Historical Orders'!$D73, "3", 'Historical Orders'!$C73, "A", 'Historical Orders'!$B73, "2")</f>
        <v>0</v>
      </c>
      <c r="AD73" s="159">
        <f>SUMIFS('Historical Orders'!$E73, 'Historical Orders'!$D73, "3", 'Historical Orders'!$C73, "B", 'Historical Orders'!$B73, "2")</f>
        <v>2538</v>
      </c>
      <c r="AE73" s="157">
        <f>SUMIFS('Historical Orders'!$G73, 'Historical Orders'!$D73, "3", 'Historical Orders'!$C73, "B", 'Historical Orders'!$B73, "2")</f>
        <v>21065.4</v>
      </c>
      <c r="AF73" s="157">
        <f>SUMIFS('Historical Orders'!$E73, 'Historical Orders'!$D73, "4", 'Historical Orders'!$C73, "A", 'Historical Orders'!$B73, "1")</f>
        <v>0</v>
      </c>
      <c r="AG73" s="157">
        <f>SUMIFS('Historical Orders'!$G73, 'Historical Orders'!$D73, "4", 'Historical Orders'!$C73, "A", 'Historical Orders'!$B73, "1")</f>
        <v>0</v>
      </c>
      <c r="AH73" s="157">
        <f>SUMIFS('Historical Orders'!$E73, 'Historical Orders'!$D73, "4", 'Historical Orders'!$C73, "B", 'Historical Orders'!$B73, "1")</f>
        <v>0</v>
      </c>
      <c r="AI73" s="157">
        <f>SUMIFS('Historical Orders'!$G73, 'Historical Orders'!$D73, "4", 'Historical Orders'!$C73, "B", 'Historical Orders'!$B73, "1")</f>
        <v>0</v>
      </c>
      <c r="AJ73" s="157">
        <f>SUMIFS('Historical Orders'!$E73, 'Historical Orders'!$D73, "4", 'Historical Orders'!$C73, "A", 'Historical Orders'!$B73, "2")</f>
        <v>0</v>
      </c>
      <c r="AK73" s="157">
        <f>SUMIFS('Historical Orders'!$G73, 'Historical Orders'!$D73, "4", 'Historical Orders'!$C73, "A", 'Historical Orders'!$B73, "2")</f>
        <v>0</v>
      </c>
      <c r="AL73" s="171">
        <f>SUMIFS('Historical Orders'!$E73, 'Historical Orders'!$D73, "4", 'Historical Orders'!$C73, "B", 'Historical Orders'!$B73, "2")</f>
        <v>0</v>
      </c>
      <c r="AM73" s="171">
        <f>SUMIFS('Historical Orders'!$G73, 'Historical Orders'!$D73, "4", 'Historical Orders'!$C73, "B", 'Historical Orders'!$B73, "2")</f>
        <v>0</v>
      </c>
      <c r="AN73" s="171">
        <f>SUMIFS('Historical Orders'!$G73, 'Historical Orders'!$C73, "A", 'Historical Orders'!$B73, "1")</f>
        <v>0</v>
      </c>
      <c r="AO73" s="171">
        <f>SUMIFS('Historical Orders'!$G73, 'Historical Orders'!$C73, "B", 'Historical Orders'!$B73, "1")</f>
        <v>0</v>
      </c>
      <c r="AP73" s="171">
        <f>SUMIFS('Historical Orders'!$G73, 'Historical Orders'!$C73, "A", 'Historical Orders'!$B73, "2")</f>
        <v>0</v>
      </c>
      <c r="AQ73" s="171">
        <f>SUMIFS('Historical Orders'!$G73, 'Historical Orders'!$C73, "B", 'Historical Orders'!$B73, "2")</f>
        <v>21065.4</v>
      </c>
      <c r="AR73" s="145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9"/>
      <c r="BW73" s="179"/>
      <c r="BX73" s="179"/>
      <c r="BY73" s="179"/>
      <c r="BZ73" s="179"/>
      <c r="CA73" s="179"/>
      <c r="CB73" s="179"/>
      <c r="CC73" s="179"/>
      <c r="CD73" s="179"/>
      <c r="CE73" s="179"/>
    </row>
    <row r="74" ht="15.75" customHeight="1">
      <c r="A74" s="151">
        <v>41939.0</v>
      </c>
      <c r="B74" s="152">
        <v>1.0</v>
      </c>
      <c r="C74" s="152" t="s">
        <v>45</v>
      </c>
      <c r="D74" s="152">
        <v>1.0</v>
      </c>
      <c r="E74" s="153">
        <v>2990.0</v>
      </c>
      <c r="F74" s="154">
        <v>2.2</v>
      </c>
      <c r="G74" s="155">
        <v>6578.000000000001</v>
      </c>
      <c r="H74" s="159">
        <f>SUMIFS('Historical Orders'!$E74, 'Historical Orders'!$D74, "1", 'Historical Orders'!$C74, "A", 'Historical Orders'!$B74, "1")</f>
        <v>2990</v>
      </c>
      <c r="I74" s="157">
        <f>SUMIFS('Historical Orders'!$G74, 'Historical Orders'!$D74, "1", 'Historical Orders'!$C74, "A", 'Historical Orders'!$B74, "1")</f>
        <v>6578</v>
      </c>
      <c r="J74" s="157">
        <f>SUMIFS('Historical Orders'!$E74, 'Historical Orders'!$D74, "1", 'Historical Orders'!$C74, "B", 'Historical Orders'!$B74, "1")</f>
        <v>0</v>
      </c>
      <c r="K74" s="157">
        <f>SUMIFS('Historical Orders'!$G74, 'Historical Orders'!$D74, "1", 'Historical Orders'!$C74, "B", 'Historical Orders'!$B74, "1")</f>
        <v>0</v>
      </c>
      <c r="L74" s="159">
        <f>SUMIFS('Historical Orders'!$E74, 'Historical Orders'!$D74, "1", 'Historical Orders'!$C74, "A", 'Historical Orders'!$B74, "2")</f>
        <v>0</v>
      </c>
      <c r="M74" s="157">
        <f>SUMIFS('Historical Orders'!$G74, 'Historical Orders'!$D74, "1", 'Historical Orders'!$C74, "A", 'Historical Orders'!$B74, "2")</f>
        <v>0</v>
      </c>
      <c r="N74" s="157">
        <f>SUMIFS('Historical Orders'!$E74, 'Historical Orders'!$D74, "1", 'Historical Orders'!$C74, "B", 'Historical Orders'!$B74, "2")</f>
        <v>0</v>
      </c>
      <c r="O74" s="157">
        <f>SUMIFS('Historical Orders'!$G74, 'Historical Orders'!$D74, "1", 'Historical Orders'!$C74, "B", 'Historical Orders'!$B74, "2")</f>
        <v>0</v>
      </c>
      <c r="P74" s="159">
        <f>SUMIFS('Historical Orders'!$E74, 'Historical Orders'!$D74, "2", 'Historical Orders'!$C74, "A", 'Historical Orders'!$B74, "1")</f>
        <v>0</v>
      </c>
      <c r="Q74" s="157">
        <f>SUMIFS('Historical Orders'!$G74, 'Historical Orders'!$D74, "2", 'Historical Orders'!$C74, "A", 'Historical Orders'!$B74, "1")</f>
        <v>0</v>
      </c>
      <c r="R74" s="159">
        <f>SUMIFS('Historical Orders'!$E74, 'Historical Orders'!$D74, "2", 'Historical Orders'!$C74, "B", 'Historical Orders'!$B74, "1")</f>
        <v>0</v>
      </c>
      <c r="S74" s="157">
        <f>SUMIFS('Historical Orders'!$G74, 'Historical Orders'!$D74, "2", 'Historical Orders'!$C74, "B", 'Historical Orders'!$B74, "1")</f>
        <v>0</v>
      </c>
      <c r="T74" s="159">
        <f>SUMIFS('Historical Orders'!$E74, 'Historical Orders'!$D74, "2", 'Historical Orders'!$C74, "A", 'Historical Orders'!$B74, "2")</f>
        <v>0</v>
      </c>
      <c r="U74" s="157">
        <f>SUMIFS('Historical Orders'!$G74, 'Historical Orders'!$D74, "2", 'Historical Orders'!$C74, "A", 'Historical Orders'!$B74, "2")</f>
        <v>0</v>
      </c>
      <c r="V74" s="159">
        <f>SUMIFS('Historical Orders'!$E74, 'Historical Orders'!$D74, "2", 'Historical Orders'!$C74, "B", 'Historical Orders'!$B74, "2")</f>
        <v>0</v>
      </c>
      <c r="W74" s="159">
        <f>SUMIFS('Historical Orders'!$G74, 'Historical Orders'!$D74, "2", 'Historical Orders'!$C74, "B", 'Historical Orders'!$B74, "2")</f>
        <v>0</v>
      </c>
      <c r="X74" s="159">
        <f>SUMIFS('Historical Orders'!$E74, 'Historical Orders'!$D74, "3", 'Historical Orders'!$C74, "A", 'Historical Orders'!$B74, "1")</f>
        <v>0</v>
      </c>
      <c r="Y74" s="159">
        <f>SUMIFS('Historical Orders'!$G74, 'Historical Orders'!$D74, "3", 'Historical Orders'!$C74, "A", 'Historical Orders'!$B74, "1")</f>
        <v>0</v>
      </c>
      <c r="Z74" s="159">
        <f>SUMIFS('Historical Orders'!$E74, 'Historical Orders'!$D74, "3", 'Historical Orders'!$C74, "B", 'Historical Orders'!$B74, "1")</f>
        <v>0</v>
      </c>
      <c r="AA74" s="159">
        <f>SUMIFS('Historical Orders'!$G74, 'Historical Orders'!$D74, "3", 'Historical Orders'!$C74, "B", 'Historical Orders'!$B74, "1")</f>
        <v>0</v>
      </c>
      <c r="AB74" s="159">
        <f>SUMIFS('Historical Orders'!$E74, 'Historical Orders'!$D74, "3", 'Historical Orders'!$C74, "A", 'Historical Orders'!$B74, "2")</f>
        <v>0</v>
      </c>
      <c r="AC74" s="159">
        <f>SUMIFS('Historical Orders'!$G74, 'Historical Orders'!$D74, "3", 'Historical Orders'!$C74, "A", 'Historical Orders'!$B74, "2")</f>
        <v>0</v>
      </c>
      <c r="AD74" s="159">
        <f>SUMIFS('Historical Orders'!$E74, 'Historical Orders'!$D74, "3", 'Historical Orders'!$C74, "B", 'Historical Orders'!$B74, "2")</f>
        <v>0</v>
      </c>
      <c r="AE74" s="157">
        <f>SUMIFS('Historical Orders'!$G74, 'Historical Orders'!$D74, "3", 'Historical Orders'!$C74, "B", 'Historical Orders'!$B74, "2")</f>
        <v>0</v>
      </c>
      <c r="AF74" s="157">
        <f>SUMIFS('Historical Orders'!$E74, 'Historical Orders'!$D74, "4", 'Historical Orders'!$C74, "A", 'Historical Orders'!$B74, "1")</f>
        <v>0</v>
      </c>
      <c r="AG74" s="157">
        <f>SUMIFS('Historical Orders'!$G74, 'Historical Orders'!$D74, "4", 'Historical Orders'!$C74, "A", 'Historical Orders'!$B74, "1")</f>
        <v>0</v>
      </c>
      <c r="AH74" s="157">
        <f>SUMIFS('Historical Orders'!$E74, 'Historical Orders'!$D74, "4", 'Historical Orders'!$C74, "B", 'Historical Orders'!$B74, "1")</f>
        <v>0</v>
      </c>
      <c r="AI74" s="157">
        <f>SUMIFS('Historical Orders'!$G74, 'Historical Orders'!$D74, "4", 'Historical Orders'!$C74, "B", 'Historical Orders'!$B74, "1")</f>
        <v>0</v>
      </c>
      <c r="AJ74" s="157">
        <f>SUMIFS('Historical Orders'!$E74, 'Historical Orders'!$D74, "4", 'Historical Orders'!$C74, "A", 'Historical Orders'!$B74, "2")</f>
        <v>0</v>
      </c>
      <c r="AK74" s="157">
        <f>SUMIFS('Historical Orders'!$G74, 'Historical Orders'!$D74, "4", 'Historical Orders'!$C74, "A", 'Historical Orders'!$B74, "2")</f>
        <v>0</v>
      </c>
      <c r="AL74" s="171">
        <f>SUMIFS('Historical Orders'!$E74, 'Historical Orders'!$D74, "4", 'Historical Orders'!$C74, "B", 'Historical Orders'!$B74, "2")</f>
        <v>0</v>
      </c>
      <c r="AM74" s="171">
        <f>SUMIFS('Historical Orders'!$G74, 'Historical Orders'!$D74, "4", 'Historical Orders'!$C74, "B", 'Historical Orders'!$B74, "2")</f>
        <v>0</v>
      </c>
      <c r="AN74" s="171">
        <f>SUMIFS('Historical Orders'!$G74, 'Historical Orders'!$C74, "A", 'Historical Orders'!$B74, "1")</f>
        <v>6578</v>
      </c>
      <c r="AO74" s="171">
        <f>SUMIFS('Historical Orders'!$G74, 'Historical Orders'!$C74, "B", 'Historical Orders'!$B74, "1")</f>
        <v>0</v>
      </c>
      <c r="AP74" s="171">
        <f>SUMIFS('Historical Orders'!$G74, 'Historical Orders'!$C74, "A", 'Historical Orders'!$B74, "2")</f>
        <v>0</v>
      </c>
      <c r="AQ74" s="171">
        <f>SUMIFS('Historical Orders'!$G74, 'Historical Orders'!$C74, "B", 'Historical Orders'!$B74, "2")</f>
        <v>0</v>
      </c>
      <c r="AR74" s="145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  <c r="BT74" s="172"/>
      <c r="BU74" s="172"/>
      <c r="BV74" s="179"/>
      <c r="BW74" s="179"/>
      <c r="BX74" s="179"/>
      <c r="BY74" s="179"/>
      <c r="BZ74" s="179"/>
      <c r="CA74" s="179"/>
      <c r="CB74" s="179"/>
      <c r="CC74" s="179"/>
      <c r="CD74" s="179"/>
      <c r="CE74" s="179"/>
    </row>
    <row r="75" ht="15.75" customHeight="1">
      <c r="A75" s="151">
        <v>41939.0</v>
      </c>
      <c r="B75" s="152">
        <v>1.0</v>
      </c>
      <c r="C75" s="152" t="s">
        <v>45</v>
      </c>
      <c r="D75" s="152">
        <v>2.0</v>
      </c>
      <c r="E75" s="153">
        <v>5490.0</v>
      </c>
      <c r="F75" s="154">
        <v>1.2</v>
      </c>
      <c r="G75" s="155">
        <v>6588.0</v>
      </c>
      <c r="H75" s="159">
        <f>SUMIFS('Historical Orders'!$E75, 'Historical Orders'!$D75, "1", 'Historical Orders'!$C75, "A", 'Historical Orders'!$B75, "1")</f>
        <v>0</v>
      </c>
      <c r="I75" s="157">
        <f>SUMIFS('Historical Orders'!$G75, 'Historical Orders'!$D75, "1", 'Historical Orders'!$C75, "A", 'Historical Orders'!$B75, "1")</f>
        <v>0</v>
      </c>
      <c r="J75" s="157">
        <f>SUMIFS('Historical Orders'!$E75, 'Historical Orders'!$D75, "1", 'Historical Orders'!$C75, "B", 'Historical Orders'!$B75, "1")</f>
        <v>0</v>
      </c>
      <c r="K75" s="157">
        <f>SUMIFS('Historical Orders'!$G75, 'Historical Orders'!$D75, "1", 'Historical Orders'!$C75, "B", 'Historical Orders'!$B75, "1")</f>
        <v>0</v>
      </c>
      <c r="L75" s="159">
        <f>SUMIFS('Historical Orders'!$E75, 'Historical Orders'!$D75, "1", 'Historical Orders'!$C75, "A", 'Historical Orders'!$B75, "2")</f>
        <v>0</v>
      </c>
      <c r="M75" s="157">
        <f>SUMIFS('Historical Orders'!$G75, 'Historical Orders'!$D75, "1", 'Historical Orders'!$C75, "A", 'Historical Orders'!$B75, "2")</f>
        <v>0</v>
      </c>
      <c r="N75" s="157">
        <f>SUMIFS('Historical Orders'!$E75, 'Historical Orders'!$D75, "1", 'Historical Orders'!$C75, "B", 'Historical Orders'!$B75, "2")</f>
        <v>0</v>
      </c>
      <c r="O75" s="157">
        <f>SUMIFS('Historical Orders'!$G75, 'Historical Orders'!$D75, "1", 'Historical Orders'!$C75, "B", 'Historical Orders'!$B75, "2")</f>
        <v>0</v>
      </c>
      <c r="P75" s="159">
        <f>SUMIFS('Historical Orders'!$E75, 'Historical Orders'!$D75, "2", 'Historical Orders'!$C75, "A", 'Historical Orders'!$B75, "1")</f>
        <v>5490</v>
      </c>
      <c r="Q75" s="157">
        <f>SUMIFS('Historical Orders'!$G75, 'Historical Orders'!$D75, "2", 'Historical Orders'!$C75, "A", 'Historical Orders'!$B75, "1")</f>
        <v>6588</v>
      </c>
      <c r="R75" s="159">
        <f>SUMIFS('Historical Orders'!$E75, 'Historical Orders'!$D75, "2", 'Historical Orders'!$C75, "B", 'Historical Orders'!$B75, "1")</f>
        <v>0</v>
      </c>
      <c r="S75" s="157">
        <f>SUMIFS('Historical Orders'!$G75, 'Historical Orders'!$D75, "2", 'Historical Orders'!$C75, "B", 'Historical Orders'!$B75, "1")</f>
        <v>0</v>
      </c>
      <c r="T75" s="159">
        <f>SUMIFS('Historical Orders'!$E75, 'Historical Orders'!$D75, "2", 'Historical Orders'!$C75, "A", 'Historical Orders'!$B75, "2")</f>
        <v>0</v>
      </c>
      <c r="U75" s="157">
        <f>SUMIFS('Historical Orders'!$G75, 'Historical Orders'!$D75, "2", 'Historical Orders'!$C75, "A", 'Historical Orders'!$B75, "2")</f>
        <v>0</v>
      </c>
      <c r="V75" s="159">
        <f>SUMIFS('Historical Orders'!$E75, 'Historical Orders'!$D75, "2", 'Historical Orders'!$C75, "B", 'Historical Orders'!$B75, "2")</f>
        <v>0</v>
      </c>
      <c r="W75" s="159">
        <f>SUMIFS('Historical Orders'!$G75, 'Historical Orders'!$D75, "2", 'Historical Orders'!$C75, "B", 'Historical Orders'!$B75, "2")</f>
        <v>0</v>
      </c>
      <c r="X75" s="159">
        <f>SUMIFS('Historical Orders'!$E75, 'Historical Orders'!$D75, "3", 'Historical Orders'!$C75, "A", 'Historical Orders'!$B75, "1")</f>
        <v>0</v>
      </c>
      <c r="Y75" s="159">
        <f>SUMIFS('Historical Orders'!$G75, 'Historical Orders'!$D75, "3", 'Historical Orders'!$C75, "A", 'Historical Orders'!$B75, "1")</f>
        <v>0</v>
      </c>
      <c r="Z75" s="159">
        <f>SUMIFS('Historical Orders'!$E75, 'Historical Orders'!$D75, "3", 'Historical Orders'!$C75, "B", 'Historical Orders'!$B75, "1")</f>
        <v>0</v>
      </c>
      <c r="AA75" s="159">
        <f>SUMIFS('Historical Orders'!$G75, 'Historical Orders'!$D75, "3", 'Historical Orders'!$C75, "B", 'Historical Orders'!$B75, "1")</f>
        <v>0</v>
      </c>
      <c r="AB75" s="159">
        <f>SUMIFS('Historical Orders'!$E75, 'Historical Orders'!$D75, "3", 'Historical Orders'!$C75, "A", 'Historical Orders'!$B75, "2")</f>
        <v>0</v>
      </c>
      <c r="AC75" s="159">
        <f>SUMIFS('Historical Orders'!$G75, 'Historical Orders'!$D75, "3", 'Historical Orders'!$C75, "A", 'Historical Orders'!$B75, "2")</f>
        <v>0</v>
      </c>
      <c r="AD75" s="159">
        <f>SUMIFS('Historical Orders'!$E75, 'Historical Orders'!$D75, "3", 'Historical Orders'!$C75, "B", 'Historical Orders'!$B75, "2")</f>
        <v>0</v>
      </c>
      <c r="AE75" s="157">
        <f>SUMIFS('Historical Orders'!$G75, 'Historical Orders'!$D75, "3", 'Historical Orders'!$C75, "B", 'Historical Orders'!$B75, "2")</f>
        <v>0</v>
      </c>
      <c r="AF75" s="157">
        <f>SUMIFS('Historical Orders'!$E75, 'Historical Orders'!$D75, "4", 'Historical Orders'!$C75, "A", 'Historical Orders'!$B75, "1")</f>
        <v>0</v>
      </c>
      <c r="AG75" s="157">
        <f>SUMIFS('Historical Orders'!$G75, 'Historical Orders'!$D75, "4", 'Historical Orders'!$C75, "A", 'Historical Orders'!$B75, "1")</f>
        <v>0</v>
      </c>
      <c r="AH75" s="157">
        <f>SUMIFS('Historical Orders'!$E75, 'Historical Orders'!$D75, "4", 'Historical Orders'!$C75, "B", 'Historical Orders'!$B75, "1")</f>
        <v>0</v>
      </c>
      <c r="AI75" s="157">
        <f>SUMIFS('Historical Orders'!$G75, 'Historical Orders'!$D75, "4", 'Historical Orders'!$C75, "B", 'Historical Orders'!$B75, "1")</f>
        <v>0</v>
      </c>
      <c r="AJ75" s="157">
        <f>SUMIFS('Historical Orders'!$E75, 'Historical Orders'!$D75, "4", 'Historical Orders'!$C75, "A", 'Historical Orders'!$B75, "2")</f>
        <v>0</v>
      </c>
      <c r="AK75" s="157">
        <f>SUMIFS('Historical Orders'!$G75, 'Historical Orders'!$D75, "4", 'Historical Orders'!$C75, "A", 'Historical Orders'!$B75, "2")</f>
        <v>0</v>
      </c>
      <c r="AL75" s="171">
        <f>SUMIFS('Historical Orders'!$E75, 'Historical Orders'!$D75, "4", 'Historical Orders'!$C75, "B", 'Historical Orders'!$B75, "2")</f>
        <v>0</v>
      </c>
      <c r="AM75" s="171">
        <f>SUMIFS('Historical Orders'!$G75, 'Historical Orders'!$D75, "4", 'Historical Orders'!$C75, "B", 'Historical Orders'!$B75, "2")</f>
        <v>0</v>
      </c>
      <c r="AN75" s="171">
        <f>SUMIFS('Historical Orders'!$G75, 'Historical Orders'!$C75, "A", 'Historical Orders'!$B75, "1")</f>
        <v>6588</v>
      </c>
      <c r="AO75" s="171">
        <f>SUMIFS('Historical Orders'!$G75, 'Historical Orders'!$C75, "B", 'Historical Orders'!$B75, "1")</f>
        <v>0</v>
      </c>
      <c r="AP75" s="171">
        <f>SUMIFS('Historical Orders'!$G75, 'Historical Orders'!$C75, "A", 'Historical Orders'!$B75, "2")</f>
        <v>0</v>
      </c>
      <c r="AQ75" s="171">
        <f>SUMIFS('Historical Orders'!$G75, 'Historical Orders'!$C75, "B", 'Historical Orders'!$B75, "2")</f>
        <v>0</v>
      </c>
      <c r="AR75" s="145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9"/>
      <c r="BW75" s="179"/>
      <c r="BX75" s="179"/>
      <c r="BY75" s="179"/>
      <c r="BZ75" s="179"/>
      <c r="CA75" s="179"/>
      <c r="CB75" s="179"/>
      <c r="CC75" s="179"/>
      <c r="CD75" s="179"/>
      <c r="CE75" s="179"/>
    </row>
    <row r="76" ht="15.75" customHeight="1">
      <c r="A76" s="151">
        <v>41939.0</v>
      </c>
      <c r="B76" s="152">
        <v>2.0</v>
      </c>
      <c r="C76" s="152" t="s">
        <v>45</v>
      </c>
      <c r="D76" s="152">
        <v>1.0</v>
      </c>
      <c r="E76" s="153">
        <v>1470.0</v>
      </c>
      <c r="F76" s="154">
        <v>2.2</v>
      </c>
      <c r="G76" s="155">
        <v>3234.0000000000005</v>
      </c>
      <c r="H76" s="159">
        <f>SUMIFS('Historical Orders'!$E76, 'Historical Orders'!$D76, "1", 'Historical Orders'!$C76, "A", 'Historical Orders'!$B76, "1")</f>
        <v>0</v>
      </c>
      <c r="I76" s="157">
        <f>SUMIFS('Historical Orders'!$G76, 'Historical Orders'!$D76, "1", 'Historical Orders'!$C76, "A", 'Historical Orders'!$B76, "1")</f>
        <v>0</v>
      </c>
      <c r="J76" s="157">
        <f>SUMIFS('Historical Orders'!$E76, 'Historical Orders'!$D76, "1", 'Historical Orders'!$C76, "B", 'Historical Orders'!$B76, "1")</f>
        <v>0</v>
      </c>
      <c r="K76" s="157">
        <f>SUMIFS('Historical Orders'!$G76, 'Historical Orders'!$D76, "1", 'Historical Orders'!$C76, "B", 'Historical Orders'!$B76, "1")</f>
        <v>0</v>
      </c>
      <c r="L76" s="159">
        <f>SUMIFS('Historical Orders'!$E76, 'Historical Orders'!$D76, "1", 'Historical Orders'!$C76, "A", 'Historical Orders'!$B76, "2")</f>
        <v>1470</v>
      </c>
      <c r="M76" s="157">
        <f>SUMIFS('Historical Orders'!$G76, 'Historical Orders'!$D76, "1", 'Historical Orders'!$C76, "A", 'Historical Orders'!$B76, "2")</f>
        <v>3234</v>
      </c>
      <c r="N76" s="157">
        <f>SUMIFS('Historical Orders'!$E76, 'Historical Orders'!$D76, "1", 'Historical Orders'!$C76, "B", 'Historical Orders'!$B76, "2")</f>
        <v>0</v>
      </c>
      <c r="O76" s="157">
        <f>SUMIFS('Historical Orders'!$G76, 'Historical Orders'!$D76, "1", 'Historical Orders'!$C76, "B", 'Historical Orders'!$B76, "2")</f>
        <v>0</v>
      </c>
      <c r="P76" s="159">
        <f>SUMIFS('Historical Orders'!$E76, 'Historical Orders'!$D76, "2", 'Historical Orders'!$C76, "A", 'Historical Orders'!$B76, "1")</f>
        <v>0</v>
      </c>
      <c r="Q76" s="157">
        <f>SUMIFS('Historical Orders'!$G76, 'Historical Orders'!$D76, "2", 'Historical Orders'!$C76, "A", 'Historical Orders'!$B76, "1")</f>
        <v>0</v>
      </c>
      <c r="R76" s="159">
        <f>SUMIFS('Historical Orders'!$E76, 'Historical Orders'!$D76, "2", 'Historical Orders'!$C76, "B", 'Historical Orders'!$B76, "1")</f>
        <v>0</v>
      </c>
      <c r="S76" s="157">
        <f>SUMIFS('Historical Orders'!$G76, 'Historical Orders'!$D76, "2", 'Historical Orders'!$C76, "B", 'Historical Orders'!$B76, "1")</f>
        <v>0</v>
      </c>
      <c r="T76" s="159">
        <f>SUMIFS('Historical Orders'!$E76, 'Historical Orders'!$D76, "2", 'Historical Orders'!$C76, "A", 'Historical Orders'!$B76, "2")</f>
        <v>0</v>
      </c>
      <c r="U76" s="157">
        <f>SUMIFS('Historical Orders'!$G76, 'Historical Orders'!$D76, "2", 'Historical Orders'!$C76, "A", 'Historical Orders'!$B76, "2")</f>
        <v>0</v>
      </c>
      <c r="V76" s="159">
        <f>SUMIFS('Historical Orders'!$E76, 'Historical Orders'!$D76, "2", 'Historical Orders'!$C76, "B", 'Historical Orders'!$B76, "2")</f>
        <v>0</v>
      </c>
      <c r="W76" s="159">
        <f>SUMIFS('Historical Orders'!$G76, 'Historical Orders'!$D76, "2", 'Historical Orders'!$C76, "B", 'Historical Orders'!$B76, "2")</f>
        <v>0</v>
      </c>
      <c r="X76" s="159">
        <f>SUMIFS('Historical Orders'!$E76, 'Historical Orders'!$D76, "3", 'Historical Orders'!$C76, "A", 'Historical Orders'!$B76, "1")</f>
        <v>0</v>
      </c>
      <c r="Y76" s="159">
        <f>SUMIFS('Historical Orders'!$G76, 'Historical Orders'!$D76, "3", 'Historical Orders'!$C76, "A", 'Historical Orders'!$B76, "1")</f>
        <v>0</v>
      </c>
      <c r="Z76" s="159">
        <f>SUMIFS('Historical Orders'!$E76, 'Historical Orders'!$D76, "3", 'Historical Orders'!$C76, "B", 'Historical Orders'!$B76, "1")</f>
        <v>0</v>
      </c>
      <c r="AA76" s="159">
        <f>SUMIFS('Historical Orders'!$G76, 'Historical Orders'!$D76, "3", 'Historical Orders'!$C76, "B", 'Historical Orders'!$B76, "1")</f>
        <v>0</v>
      </c>
      <c r="AB76" s="159">
        <f>SUMIFS('Historical Orders'!$E76, 'Historical Orders'!$D76, "3", 'Historical Orders'!$C76, "A", 'Historical Orders'!$B76, "2")</f>
        <v>0</v>
      </c>
      <c r="AC76" s="159">
        <f>SUMIFS('Historical Orders'!$G76, 'Historical Orders'!$D76, "3", 'Historical Orders'!$C76, "A", 'Historical Orders'!$B76, "2")</f>
        <v>0</v>
      </c>
      <c r="AD76" s="159">
        <f>SUMIFS('Historical Orders'!$E76, 'Historical Orders'!$D76, "3", 'Historical Orders'!$C76, "B", 'Historical Orders'!$B76, "2")</f>
        <v>0</v>
      </c>
      <c r="AE76" s="157">
        <f>SUMIFS('Historical Orders'!$G76, 'Historical Orders'!$D76, "3", 'Historical Orders'!$C76, "B", 'Historical Orders'!$B76, "2")</f>
        <v>0</v>
      </c>
      <c r="AF76" s="157">
        <f>SUMIFS('Historical Orders'!$E76, 'Historical Orders'!$D76, "4", 'Historical Orders'!$C76, "A", 'Historical Orders'!$B76, "1")</f>
        <v>0</v>
      </c>
      <c r="AG76" s="157">
        <f>SUMIFS('Historical Orders'!$G76, 'Historical Orders'!$D76, "4", 'Historical Orders'!$C76, "A", 'Historical Orders'!$B76, "1")</f>
        <v>0</v>
      </c>
      <c r="AH76" s="157">
        <f>SUMIFS('Historical Orders'!$E76, 'Historical Orders'!$D76, "4", 'Historical Orders'!$C76, "B", 'Historical Orders'!$B76, "1")</f>
        <v>0</v>
      </c>
      <c r="AI76" s="157">
        <f>SUMIFS('Historical Orders'!$G76, 'Historical Orders'!$D76, "4", 'Historical Orders'!$C76, "B", 'Historical Orders'!$B76, "1")</f>
        <v>0</v>
      </c>
      <c r="AJ76" s="157">
        <f>SUMIFS('Historical Orders'!$E76, 'Historical Orders'!$D76, "4", 'Historical Orders'!$C76, "A", 'Historical Orders'!$B76, "2")</f>
        <v>0</v>
      </c>
      <c r="AK76" s="157">
        <f>SUMIFS('Historical Orders'!$G76, 'Historical Orders'!$D76, "4", 'Historical Orders'!$C76, "A", 'Historical Orders'!$B76, "2")</f>
        <v>0</v>
      </c>
      <c r="AL76" s="171">
        <f>SUMIFS('Historical Orders'!$E76, 'Historical Orders'!$D76, "4", 'Historical Orders'!$C76, "B", 'Historical Orders'!$B76, "2")</f>
        <v>0</v>
      </c>
      <c r="AM76" s="171">
        <f>SUMIFS('Historical Orders'!$G76, 'Historical Orders'!$D76, "4", 'Historical Orders'!$C76, "B", 'Historical Orders'!$B76, "2")</f>
        <v>0</v>
      </c>
      <c r="AN76" s="171">
        <f>SUMIFS('Historical Orders'!$G76, 'Historical Orders'!$C76, "A", 'Historical Orders'!$B76, "1")</f>
        <v>0</v>
      </c>
      <c r="AO76" s="171">
        <f>SUMIFS('Historical Orders'!$G76, 'Historical Orders'!$C76, "B", 'Historical Orders'!$B76, "1")</f>
        <v>0</v>
      </c>
      <c r="AP76" s="171">
        <f>SUMIFS('Historical Orders'!$G76, 'Historical Orders'!$C76, "A", 'Historical Orders'!$B76, "2")</f>
        <v>3234</v>
      </c>
      <c r="AQ76" s="171">
        <f>SUMIFS('Historical Orders'!$G76, 'Historical Orders'!$C76, "B", 'Historical Orders'!$B76, "2")</f>
        <v>0</v>
      </c>
      <c r="AR76" s="145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  <c r="BT76" s="172"/>
      <c r="BU76" s="172"/>
      <c r="BV76" s="179"/>
      <c r="BW76" s="179"/>
      <c r="BX76" s="179"/>
      <c r="BY76" s="179"/>
      <c r="BZ76" s="179"/>
      <c r="CA76" s="179"/>
      <c r="CB76" s="179"/>
      <c r="CC76" s="179"/>
      <c r="CD76" s="179"/>
      <c r="CE76" s="179"/>
    </row>
    <row r="77" ht="15.75" customHeight="1">
      <c r="A77" s="151">
        <v>41939.0</v>
      </c>
      <c r="B77" s="152">
        <v>2.0</v>
      </c>
      <c r="C77" s="152" t="s">
        <v>45</v>
      </c>
      <c r="D77" s="152">
        <v>2.0</v>
      </c>
      <c r="E77" s="153">
        <v>5076.0</v>
      </c>
      <c r="F77" s="154">
        <v>1.2</v>
      </c>
      <c r="G77" s="155">
        <v>6091.2</v>
      </c>
      <c r="H77" s="159">
        <f>SUMIFS('Historical Orders'!$E77, 'Historical Orders'!$D77, "1", 'Historical Orders'!$C77, "A", 'Historical Orders'!$B77, "1")</f>
        <v>0</v>
      </c>
      <c r="I77" s="157">
        <f>SUMIFS('Historical Orders'!$G77, 'Historical Orders'!$D77, "1", 'Historical Orders'!$C77, "A", 'Historical Orders'!$B77, "1")</f>
        <v>0</v>
      </c>
      <c r="J77" s="157">
        <f>SUMIFS('Historical Orders'!$E77, 'Historical Orders'!$D77, "1", 'Historical Orders'!$C77, "B", 'Historical Orders'!$B77, "1")</f>
        <v>0</v>
      </c>
      <c r="K77" s="157">
        <f>SUMIFS('Historical Orders'!$G77, 'Historical Orders'!$D77, "1", 'Historical Orders'!$C77, "B", 'Historical Orders'!$B77, "1")</f>
        <v>0</v>
      </c>
      <c r="L77" s="159">
        <f>SUMIFS('Historical Orders'!$E77, 'Historical Orders'!$D77, "1", 'Historical Orders'!$C77, "A", 'Historical Orders'!$B77, "2")</f>
        <v>0</v>
      </c>
      <c r="M77" s="157">
        <f>SUMIFS('Historical Orders'!$G77, 'Historical Orders'!$D77, "1", 'Historical Orders'!$C77, "A", 'Historical Orders'!$B77, "2")</f>
        <v>0</v>
      </c>
      <c r="N77" s="157">
        <f>SUMIFS('Historical Orders'!$E77, 'Historical Orders'!$D77, "1", 'Historical Orders'!$C77, "B", 'Historical Orders'!$B77, "2")</f>
        <v>0</v>
      </c>
      <c r="O77" s="157">
        <f>SUMIFS('Historical Orders'!$G77, 'Historical Orders'!$D77, "1", 'Historical Orders'!$C77, "B", 'Historical Orders'!$B77, "2")</f>
        <v>0</v>
      </c>
      <c r="P77" s="159">
        <f>SUMIFS('Historical Orders'!$E77, 'Historical Orders'!$D77, "2", 'Historical Orders'!$C77, "A", 'Historical Orders'!$B77, "1")</f>
        <v>0</v>
      </c>
      <c r="Q77" s="157">
        <f>SUMIFS('Historical Orders'!$G77, 'Historical Orders'!$D77, "2", 'Historical Orders'!$C77, "A", 'Historical Orders'!$B77, "1")</f>
        <v>0</v>
      </c>
      <c r="R77" s="159">
        <f>SUMIFS('Historical Orders'!$E77, 'Historical Orders'!$D77, "2", 'Historical Orders'!$C77, "B", 'Historical Orders'!$B77, "1")</f>
        <v>0</v>
      </c>
      <c r="S77" s="157">
        <f>SUMIFS('Historical Orders'!$G77, 'Historical Orders'!$D77, "2", 'Historical Orders'!$C77, "B", 'Historical Orders'!$B77, "1")</f>
        <v>0</v>
      </c>
      <c r="T77" s="159">
        <f>SUMIFS('Historical Orders'!$E77, 'Historical Orders'!$D77, "2", 'Historical Orders'!$C77, "A", 'Historical Orders'!$B77, "2")</f>
        <v>5076</v>
      </c>
      <c r="U77" s="157">
        <f>SUMIFS('Historical Orders'!$G77, 'Historical Orders'!$D77, "2", 'Historical Orders'!$C77, "A", 'Historical Orders'!$B77, "2")</f>
        <v>6091.2</v>
      </c>
      <c r="V77" s="159">
        <f>SUMIFS('Historical Orders'!$E77, 'Historical Orders'!$D77, "2", 'Historical Orders'!$C77, "B", 'Historical Orders'!$B77, "2")</f>
        <v>0</v>
      </c>
      <c r="W77" s="159">
        <f>SUMIFS('Historical Orders'!$G77, 'Historical Orders'!$D77, "2", 'Historical Orders'!$C77, "B", 'Historical Orders'!$B77, "2")</f>
        <v>0</v>
      </c>
      <c r="X77" s="159">
        <f>SUMIFS('Historical Orders'!$E77, 'Historical Orders'!$D77, "3", 'Historical Orders'!$C77, "A", 'Historical Orders'!$B77, "1")</f>
        <v>0</v>
      </c>
      <c r="Y77" s="159">
        <f>SUMIFS('Historical Orders'!$G77, 'Historical Orders'!$D77, "3", 'Historical Orders'!$C77, "A", 'Historical Orders'!$B77, "1")</f>
        <v>0</v>
      </c>
      <c r="Z77" s="159">
        <f>SUMIFS('Historical Orders'!$E77, 'Historical Orders'!$D77, "3", 'Historical Orders'!$C77, "B", 'Historical Orders'!$B77, "1")</f>
        <v>0</v>
      </c>
      <c r="AA77" s="159">
        <f>SUMIFS('Historical Orders'!$G77, 'Historical Orders'!$D77, "3", 'Historical Orders'!$C77, "B", 'Historical Orders'!$B77, "1")</f>
        <v>0</v>
      </c>
      <c r="AB77" s="159">
        <f>SUMIFS('Historical Orders'!$E77, 'Historical Orders'!$D77, "3", 'Historical Orders'!$C77, "A", 'Historical Orders'!$B77, "2")</f>
        <v>0</v>
      </c>
      <c r="AC77" s="159">
        <f>SUMIFS('Historical Orders'!$G77, 'Historical Orders'!$D77, "3", 'Historical Orders'!$C77, "A", 'Historical Orders'!$B77, "2")</f>
        <v>0</v>
      </c>
      <c r="AD77" s="159">
        <f>SUMIFS('Historical Orders'!$E77, 'Historical Orders'!$D77, "3", 'Historical Orders'!$C77, "B", 'Historical Orders'!$B77, "2")</f>
        <v>0</v>
      </c>
      <c r="AE77" s="157">
        <f>SUMIFS('Historical Orders'!$G77, 'Historical Orders'!$D77, "3", 'Historical Orders'!$C77, "B", 'Historical Orders'!$B77, "2")</f>
        <v>0</v>
      </c>
      <c r="AF77" s="157">
        <f>SUMIFS('Historical Orders'!$E77, 'Historical Orders'!$D77, "4", 'Historical Orders'!$C77, "A", 'Historical Orders'!$B77, "1")</f>
        <v>0</v>
      </c>
      <c r="AG77" s="157">
        <f>SUMIFS('Historical Orders'!$G77, 'Historical Orders'!$D77, "4", 'Historical Orders'!$C77, "A", 'Historical Orders'!$B77, "1")</f>
        <v>0</v>
      </c>
      <c r="AH77" s="157">
        <f>SUMIFS('Historical Orders'!$E77, 'Historical Orders'!$D77, "4", 'Historical Orders'!$C77, "B", 'Historical Orders'!$B77, "1")</f>
        <v>0</v>
      </c>
      <c r="AI77" s="157">
        <f>SUMIFS('Historical Orders'!$G77, 'Historical Orders'!$D77, "4", 'Historical Orders'!$C77, "B", 'Historical Orders'!$B77, "1")</f>
        <v>0</v>
      </c>
      <c r="AJ77" s="157">
        <f>SUMIFS('Historical Orders'!$E77, 'Historical Orders'!$D77, "4", 'Historical Orders'!$C77, "A", 'Historical Orders'!$B77, "2")</f>
        <v>0</v>
      </c>
      <c r="AK77" s="157">
        <f>SUMIFS('Historical Orders'!$G77, 'Historical Orders'!$D77, "4", 'Historical Orders'!$C77, "A", 'Historical Orders'!$B77, "2")</f>
        <v>0</v>
      </c>
      <c r="AL77" s="171">
        <f>SUMIFS('Historical Orders'!$E77, 'Historical Orders'!$D77, "4", 'Historical Orders'!$C77, "B", 'Historical Orders'!$B77, "2")</f>
        <v>0</v>
      </c>
      <c r="AM77" s="171">
        <f>SUMIFS('Historical Orders'!$G77, 'Historical Orders'!$D77, "4", 'Historical Orders'!$C77, "B", 'Historical Orders'!$B77, "2")</f>
        <v>0</v>
      </c>
      <c r="AN77" s="171">
        <f>SUMIFS('Historical Orders'!$G77, 'Historical Orders'!$C77, "A", 'Historical Orders'!$B77, "1")</f>
        <v>0</v>
      </c>
      <c r="AO77" s="171">
        <f>SUMIFS('Historical Orders'!$G77, 'Historical Orders'!$C77, "B", 'Historical Orders'!$B77, "1")</f>
        <v>0</v>
      </c>
      <c r="AP77" s="171">
        <f>SUMIFS('Historical Orders'!$G77, 'Historical Orders'!$C77, "A", 'Historical Orders'!$B77, "2")</f>
        <v>6091.2</v>
      </c>
      <c r="AQ77" s="171">
        <f>SUMIFS('Historical Orders'!$G77, 'Historical Orders'!$C77, "B", 'Historical Orders'!$B77, "2")</f>
        <v>0</v>
      </c>
      <c r="AR77" s="145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  <c r="BT77" s="172"/>
      <c r="BU77" s="172"/>
      <c r="BV77" s="179"/>
      <c r="BW77" s="179"/>
      <c r="BX77" s="179"/>
      <c r="BY77" s="179"/>
      <c r="BZ77" s="179"/>
      <c r="CA77" s="179"/>
      <c r="CB77" s="179"/>
      <c r="CC77" s="179"/>
      <c r="CD77" s="179"/>
      <c r="CE77" s="179"/>
    </row>
    <row r="78" ht="15.75" customHeight="1">
      <c r="A78" s="151">
        <v>41939.0</v>
      </c>
      <c r="B78" s="152">
        <v>1.0</v>
      </c>
      <c r="C78" s="152" t="s">
        <v>46</v>
      </c>
      <c r="D78" s="152">
        <v>3.0</v>
      </c>
      <c r="E78" s="153">
        <v>2086.0</v>
      </c>
      <c r="F78" s="154">
        <v>8.3</v>
      </c>
      <c r="G78" s="155">
        <v>17313.800000000003</v>
      </c>
      <c r="H78" s="159">
        <f>SUMIFS('Historical Orders'!$E78, 'Historical Orders'!$D78, "1", 'Historical Orders'!$C78, "A", 'Historical Orders'!$B78, "1")</f>
        <v>0</v>
      </c>
      <c r="I78" s="157">
        <f>SUMIFS('Historical Orders'!$G78, 'Historical Orders'!$D78, "1", 'Historical Orders'!$C78, "A", 'Historical Orders'!$B78, "1")</f>
        <v>0</v>
      </c>
      <c r="J78" s="157">
        <f>SUMIFS('Historical Orders'!$E78, 'Historical Orders'!$D78, "1", 'Historical Orders'!$C78, "B", 'Historical Orders'!$B78, "1")</f>
        <v>0</v>
      </c>
      <c r="K78" s="157">
        <f>SUMIFS('Historical Orders'!$G78, 'Historical Orders'!$D78, "1", 'Historical Orders'!$C78, "B", 'Historical Orders'!$B78, "1")</f>
        <v>0</v>
      </c>
      <c r="L78" s="159">
        <f>SUMIFS('Historical Orders'!$E78, 'Historical Orders'!$D78, "1", 'Historical Orders'!$C78, "A", 'Historical Orders'!$B78, "2")</f>
        <v>0</v>
      </c>
      <c r="M78" s="157">
        <f>SUMIFS('Historical Orders'!$G78, 'Historical Orders'!$D78, "1", 'Historical Orders'!$C78, "A", 'Historical Orders'!$B78, "2")</f>
        <v>0</v>
      </c>
      <c r="N78" s="157">
        <f>SUMIFS('Historical Orders'!$E78, 'Historical Orders'!$D78, "1", 'Historical Orders'!$C78, "B", 'Historical Orders'!$B78, "2")</f>
        <v>0</v>
      </c>
      <c r="O78" s="157">
        <f>SUMIFS('Historical Orders'!$G78, 'Historical Orders'!$D78, "1", 'Historical Orders'!$C78, "B", 'Historical Orders'!$B78, "2")</f>
        <v>0</v>
      </c>
      <c r="P78" s="159">
        <f>SUMIFS('Historical Orders'!$E78, 'Historical Orders'!$D78, "2", 'Historical Orders'!$C78, "A", 'Historical Orders'!$B78, "1")</f>
        <v>0</v>
      </c>
      <c r="Q78" s="157">
        <f>SUMIFS('Historical Orders'!$G78, 'Historical Orders'!$D78, "2", 'Historical Orders'!$C78, "A", 'Historical Orders'!$B78, "1")</f>
        <v>0</v>
      </c>
      <c r="R78" s="159">
        <f>SUMIFS('Historical Orders'!$E78, 'Historical Orders'!$D78, "2", 'Historical Orders'!$C78, "B", 'Historical Orders'!$B78, "1")</f>
        <v>0</v>
      </c>
      <c r="S78" s="157">
        <f>SUMIFS('Historical Orders'!$G78, 'Historical Orders'!$D78, "2", 'Historical Orders'!$C78, "B", 'Historical Orders'!$B78, "1")</f>
        <v>0</v>
      </c>
      <c r="T78" s="159">
        <f>SUMIFS('Historical Orders'!$E78, 'Historical Orders'!$D78, "2", 'Historical Orders'!$C78, "A", 'Historical Orders'!$B78, "2")</f>
        <v>0</v>
      </c>
      <c r="U78" s="157">
        <f>SUMIFS('Historical Orders'!$G78, 'Historical Orders'!$D78, "2", 'Historical Orders'!$C78, "A", 'Historical Orders'!$B78, "2")</f>
        <v>0</v>
      </c>
      <c r="V78" s="159">
        <f>SUMIFS('Historical Orders'!$E78, 'Historical Orders'!$D78, "2", 'Historical Orders'!$C78, "B", 'Historical Orders'!$B78, "2")</f>
        <v>0</v>
      </c>
      <c r="W78" s="159">
        <f>SUMIFS('Historical Orders'!$G78, 'Historical Orders'!$D78, "2", 'Historical Orders'!$C78, "B", 'Historical Orders'!$B78, "2")</f>
        <v>0</v>
      </c>
      <c r="X78" s="159">
        <f>SUMIFS('Historical Orders'!$E78, 'Historical Orders'!$D78, "3", 'Historical Orders'!$C78, "A", 'Historical Orders'!$B78, "1")</f>
        <v>0</v>
      </c>
      <c r="Y78" s="159">
        <f>SUMIFS('Historical Orders'!$G78, 'Historical Orders'!$D78, "3", 'Historical Orders'!$C78, "A", 'Historical Orders'!$B78, "1")</f>
        <v>0</v>
      </c>
      <c r="Z78" s="159">
        <f>SUMIFS('Historical Orders'!$E78, 'Historical Orders'!$D78, "3", 'Historical Orders'!$C78, "B", 'Historical Orders'!$B78, "1")</f>
        <v>2086</v>
      </c>
      <c r="AA78" s="159">
        <f>SUMIFS('Historical Orders'!$G78, 'Historical Orders'!$D78, "3", 'Historical Orders'!$C78, "B", 'Historical Orders'!$B78, "1")</f>
        <v>17313.8</v>
      </c>
      <c r="AB78" s="159">
        <f>SUMIFS('Historical Orders'!$E78, 'Historical Orders'!$D78, "3", 'Historical Orders'!$C78, "A", 'Historical Orders'!$B78, "2")</f>
        <v>0</v>
      </c>
      <c r="AC78" s="159">
        <f>SUMIFS('Historical Orders'!$G78, 'Historical Orders'!$D78, "3", 'Historical Orders'!$C78, "A", 'Historical Orders'!$B78, "2")</f>
        <v>0</v>
      </c>
      <c r="AD78" s="159">
        <f>SUMIFS('Historical Orders'!$E78, 'Historical Orders'!$D78, "3", 'Historical Orders'!$C78, "B", 'Historical Orders'!$B78, "2")</f>
        <v>0</v>
      </c>
      <c r="AE78" s="157">
        <f>SUMIFS('Historical Orders'!$G78, 'Historical Orders'!$D78, "3", 'Historical Orders'!$C78, "B", 'Historical Orders'!$B78, "2")</f>
        <v>0</v>
      </c>
      <c r="AF78" s="157">
        <f>SUMIFS('Historical Orders'!$E78, 'Historical Orders'!$D78, "4", 'Historical Orders'!$C78, "A", 'Historical Orders'!$B78, "1")</f>
        <v>0</v>
      </c>
      <c r="AG78" s="157">
        <f>SUMIFS('Historical Orders'!$G78, 'Historical Orders'!$D78, "4", 'Historical Orders'!$C78, "A", 'Historical Orders'!$B78, "1")</f>
        <v>0</v>
      </c>
      <c r="AH78" s="157">
        <f>SUMIFS('Historical Orders'!$E78, 'Historical Orders'!$D78, "4", 'Historical Orders'!$C78, "B", 'Historical Orders'!$B78, "1")</f>
        <v>0</v>
      </c>
      <c r="AI78" s="157">
        <f>SUMIFS('Historical Orders'!$G78, 'Historical Orders'!$D78, "4", 'Historical Orders'!$C78, "B", 'Historical Orders'!$B78, "1")</f>
        <v>0</v>
      </c>
      <c r="AJ78" s="157">
        <f>SUMIFS('Historical Orders'!$E78, 'Historical Orders'!$D78, "4", 'Historical Orders'!$C78, "A", 'Historical Orders'!$B78, "2")</f>
        <v>0</v>
      </c>
      <c r="AK78" s="157">
        <f>SUMIFS('Historical Orders'!$G78, 'Historical Orders'!$D78, "4", 'Historical Orders'!$C78, "A", 'Historical Orders'!$B78, "2")</f>
        <v>0</v>
      </c>
      <c r="AL78" s="171">
        <f>SUMIFS('Historical Orders'!$E78, 'Historical Orders'!$D78, "4", 'Historical Orders'!$C78, "B", 'Historical Orders'!$B78, "2")</f>
        <v>0</v>
      </c>
      <c r="AM78" s="171">
        <f>SUMIFS('Historical Orders'!$G78, 'Historical Orders'!$D78, "4", 'Historical Orders'!$C78, "B", 'Historical Orders'!$B78, "2")</f>
        <v>0</v>
      </c>
      <c r="AN78" s="171">
        <f>SUMIFS('Historical Orders'!$G78, 'Historical Orders'!$C78, "A", 'Historical Orders'!$B78, "1")</f>
        <v>0</v>
      </c>
      <c r="AO78" s="171">
        <f>SUMIFS('Historical Orders'!$G78, 'Historical Orders'!$C78, "B", 'Historical Orders'!$B78, "1")</f>
        <v>17313.8</v>
      </c>
      <c r="AP78" s="171">
        <f>SUMIFS('Historical Orders'!$G78, 'Historical Orders'!$C78, "A", 'Historical Orders'!$B78, "2")</f>
        <v>0</v>
      </c>
      <c r="AQ78" s="171">
        <f>SUMIFS('Historical Orders'!$G78, 'Historical Orders'!$C78, "B", 'Historical Orders'!$B78, "2")</f>
        <v>0</v>
      </c>
      <c r="AR78" s="145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  <c r="BT78" s="172"/>
      <c r="BU78" s="172"/>
      <c r="BV78" s="179"/>
      <c r="BW78" s="179"/>
      <c r="BX78" s="179"/>
      <c r="BY78" s="179"/>
      <c r="BZ78" s="179"/>
      <c r="CA78" s="179"/>
      <c r="CB78" s="179"/>
      <c r="CC78" s="179"/>
      <c r="CD78" s="179"/>
      <c r="CE78" s="179"/>
    </row>
    <row r="79" ht="15.75" customHeight="1">
      <c r="A79" s="151">
        <v>41939.0</v>
      </c>
      <c r="B79" s="152">
        <v>2.0</v>
      </c>
      <c r="C79" s="152" t="s">
        <v>46</v>
      </c>
      <c r="D79" s="152">
        <v>3.0</v>
      </c>
      <c r="E79" s="153">
        <v>2833.0</v>
      </c>
      <c r="F79" s="154">
        <v>8.3</v>
      </c>
      <c r="G79" s="155">
        <v>23513.9</v>
      </c>
      <c r="H79" s="159">
        <f>SUMIFS('Historical Orders'!$E79, 'Historical Orders'!$D79, "1", 'Historical Orders'!$C79, "A", 'Historical Orders'!$B79, "1")</f>
        <v>0</v>
      </c>
      <c r="I79" s="157">
        <f>SUMIFS('Historical Orders'!$G79, 'Historical Orders'!$D79, "1", 'Historical Orders'!$C79, "A", 'Historical Orders'!$B79, "1")</f>
        <v>0</v>
      </c>
      <c r="J79" s="157">
        <f>SUMIFS('Historical Orders'!$E79, 'Historical Orders'!$D79, "1", 'Historical Orders'!$C79, "B", 'Historical Orders'!$B79, "1")</f>
        <v>0</v>
      </c>
      <c r="K79" s="157">
        <f>SUMIFS('Historical Orders'!$G79, 'Historical Orders'!$D79, "1", 'Historical Orders'!$C79, "B", 'Historical Orders'!$B79, "1")</f>
        <v>0</v>
      </c>
      <c r="L79" s="159">
        <f>SUMIFS('Historical Orders'!$E79, 'Historical Orders'!$D79, "1", 'Historical Orders'!$C79, "A", 'Historical Orders'!$B79, "2")</f>
        <v>0</v>
      </c>
      <c r="M79" s="157">
        <f>SUMIFS('Historical Orders'!$G79, 'Historical Orders'!$D79, "1", 'Historical Orders'!$C79, "A", 'Historical Orders'!$B79, "2")</f>
        <v>0</v>
      </c>
      <c r="N79" s="157">
        <f>SUMIFS('Historical Orders'!$E79, 'Historical Orders'!$D79, "1", 'Historical Orders'!$C79, "B", 'Historical Orders'!$B79, "2")</f>
        <v>0</v>
      </c>
      <c r="O79" s="157">
        <f>SUMIFS('Historical Orders'!$G79, 'Historical Orders'!$D79, "1", 'Historical Orders'!$C79, "B", 'Historical Orders'!$B79, "2")</f>
        <v>0</v>
      </c>
      <c r="P79" s="159">
        <f>SUMIFS('Historical Orders'!$E79, 'Historical Orders'!$D79, "2", 'Historical Orders'!$C79, "A", 'Historical Orders'!$B79, "1")</f>
        <v>0</v>
      </c>
      <c r="Q79" s="157">
        <f>SUMIFS('Historical Orders'!$G79, 'Historical Orders'!$D79, "2", 'Historical Orders'!$C79, "A", 'Historical Orders'!$B79, "1")</f>
        <v>0</v>
      </c>
      <c r="R79" s="159">
        <f>SUMIFS('Historical Orders'!$E79, 'Historical Orders'!$D79, "2", 'Historical Orders'!$C79, "B", 'Historical Orders'!$B79, "1")</f>
        <v>0</v>
      </c>
      <c r="S79" s="157">
        <f>SUMIFS('Historical Orders'!$G79, 'Historical Orders'!$D79, "2", 'Historical Orders'!$C79, "B", 'Historical Orders'!$B79, "1")</f>
        <v>0</v>
      </c>
      <c r="T79" s="159">
        <f>SUMIFS('Historical Orders'!$E79, 'Historical Orders'!$D79, "2", 'Historical Orders'!$C79, "A", 'Historical Orders'!$B79, "2")</f>
        <v>0</v>
      </c>
      <c r="U79" s="157">
        <f>SUMIFS('Historical Orders'!$G79, 'Historical Orders'!$D79, "2", 'Historical Orders'!$C79, "A", 'Historical Orders'!$B79, "2")</f>
        <v>0</v>
      </c>
      <c r="V79" s="159">
        <f>SUMIFS('Historical Orders'!$E79, 'Historical Orders'!$D79, "2", 'Historical Orders'!$C79, "B", 'Historical Orders'!$B79, "2")</f>
        <v>0</v>
      </c>
      <c r="W79" s="159">
        <f>SUMIFS('Historical Orders'!$G79, 'Historical Orders'!$D79, "2", 'Historical Orders'!$C79, "B", 'Historical Orders'!$B79, "2")</f>
        <v>0</v>
      </c>
      <c r="X79" s="159">
        <f>SUMIFS('Historical Orders'!$E79, 'Historical Orders'!$D79, "3", 'Historical Orders'!$C79, "A", 'Historical Orders'!$B79, "1")</f>
        <v>0</v>
      </c>
      <c r="Y79" s="159">
        <f>SUMIFS('Historical Orders'!$G79, 'Historical Orders'!$D79, "3", 'Historical Orders'!$C79, "A", 'Historical Orders'!$B79, "1")</f>
        <v>0</v>
      </c>
      <c r="Z79" s="159">
        <f>SUMIFS('Historical Orders'!$E79, 'Historical Orders'!$D79, "3", 'Historical Orders'!$C79, "B", 'Historical Orders'!$B79, "1")</f>
        <v>0</v>
      </c>
      <c r="AA79" s="159">
        <f>SUMIFS('Historical Orders'!$G79, 'Historical Orders'!$D79, "3", 'Historical Orders'!$C79, "B", 'Historical Orders'!$B79, "1")</f>
        <v>0</v>
      </c>
      <c r="AB79" s="159">
        <f>SUMIFS('Historical Orders'!$E79, 'Historical Orders'!$D79, "3", 'Historical Orders'!$C79, "A", 'Historical Orders'!$B79, "2")</f>
        <v>0</v>
      </c>
      <c r="AC79" s="159">
        <f>SUMIFS('Historical Orders'!$G79, 'Historical Orders'!$D79, "3", 'Historical Orders'!$C79, "A", 'Historical Orders'!$B79, "2")</f>
        <v>0</v>
      </c>
      <c r="AD79" s="159">
        <f>SUMIFS('Historical Orders'!$E79, 'Historical Orders'!$D79, "3", 'Historical Orders'!$C79, "B", 'Historical Orders'!$B79, "2")</f>
        <v>2833</v>
      </c>
      <c r="AE79" s="157">
        <f>SUMIFS('Historical Orders'!$G79, 'Historical Orders'!$D79, "3", 'Historical Orders'!$C79, "B", 'Historical Orders'!$B79, "2")</f>
        <v>23513.9</v>
      </c>
      <c r="AF79" s="157">
        <f>SUMIFS('Historical Orders'!$E79, 'Historical Orders'!$D79, "4", 'Historical Orders'!$C79, "A", 'Historical Orders'!$B79, "1")</f>
        <v>0</v>
      </c>
      <c r="AG79" s="157">
        <f>SUMIFS('Historical Orders'!$G79, 'Historical Orders'!$D79, "4", 'Historical Orders'!$C79, "A", 'Historical Orders'!$B79, "1")</f>
        <v>0</v>
      </c>
      <c r="AH79" s="157">
        <f>SUMIFS('Historical Orders'!$E79, 'Historical Orders'!$D79, "4", 'Historical Orders'!$C79, "B", 'Historical Orders'!$B79, "1")</f>
        <v>0</v>
      </c>
      <c r="AI79" s="157">
        <f>SUMIFS('Historical Orders'!$G79, 'Historical Orders'!$D79, "4", 'Historical Orders'!$C79, "B", 'Historical Orders'!$B79, "1")</f>
        <v>0</v>
      </c>
      <c r="AJ79" s="157">
        <f>SUMIFS('Historical Orders'!$E79, 'Historical Orders'!$D79, "4", 'Historical Orders'!$C79, "A", 'Historical Orders'!$B79, "2")</f>
        <v>0</v>
      </c>
      <c r="AK79" s="157">
        <f>SUMIFS('Historical Orders'!$G79, 'Historical Orders'!$D79, "4", 'Historical Orders'!$C79, "A", 'Historical Orders'!$B79, "2")</f>
        <v>0</v>
      </c>
      <c r="AL79" s="171">
        <f>SUMIFS('Historical Orders'!$E79, 'Historical Orders'!$D79, "4", 'Historical Orders'!$C79, "B", 'Historical Orders'!$B79, "2")</f>
        <v>0</v>
      </c>
      <c r="AM79" s="171">
        <f>SUMIFS('Historical Orders'!$G79, 'Historical Orders'!$D79, "4", 'Historical Orders'!$C79, "B", 'Historical Orders'!$B79, "2")</f>
        <v>0</v>
      </c>
      <c r="AN79" s="171">
        <f>SUMIFS('Historical Orders'!$G79, 'Historical Orders'!$C79, "A", 'Historical Orders'!$B79, "1")</f>
        <v>0</v>
      </c>
      <c r="AO79" s="171">
        <f>SUMIFS('Historical Orders'!$G79, 'Historical Orders'!$C79, "B", 'Historical Orders'!$B79, "1")</f>
        <v>0</v>
      </c>
      <c r="AP79" s="171">
        <f>SUMIFS('Historical Orders'!$G79, 'Historical Orders'!$C79, "A", 'Historical Orders'!$B79, "2")</f>
        <v>0</v>
      </c>
      <c r="AQ79" s="171">
        <f>SUMIFS('Historical Orders'!$G79, 'Historical Orders'!$C79, "B", 'Historical Orders'!$B79, "2")</f>
        <v>23513.9</v>
      </c>
      <c r="AR79" s="145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9"/>
      <c r="BW79" s="179"/>
      <c r="BX79" s="179"/>
      <c r="BY79" s="179"/>
      <c r="BZ79" s="179"/>
      <c r="CA79" s="179"/>
      <c r="CB79" s="179"/>
      <c r="CC79" s="179"/>
      <c r="CD79" s="179"/>
      <c r="CE79" s="179"/>
    </row>
    <row r="80" ht="15.75" customHeight="1">
      <c r="A80" s="151">
        <v>41946.0</v>
      </c>
      <c r="B80" s="152">
        <v>1.0</v>
      </c>
      <c r="C80" s="152" t="s">
        <v>45</v>
      </c>
      <c r="D80" s="152">
        <v>1.0</v>
      </c>
      <c r="E80" s="153">
        <v>3493.0</v>
      </c>
      <c r="F80" s="154">
        <v>2.2</v>
      </c>
      <c r="G80" s="155">
        <v>7684.6</v>
      </c>
      <c r="H80" s="159">
        <f>SUMIFS('Historical Orders'!$E80, 'Historical Orders'!$D80, "1", 'Historical Orders'!$C80, "A", 'Historical Orders'!$B80, "1")</f>
        <v>3493</v>
      </c>
      <c r="I80" s="157">
        <f>SUMIFS('Historical Orders'!$G80, 'Historical Orders'!$D80, "1", 'Historical Orders'!$C80, "A", 'Historical Orders'!$B80, "1")</f>
        <v>7684.6</v>
      </c>
      <c r="J80" s="157">
        <f>SUMIFS('Historical Orders'!$E80, 'Historical Orders'!$D80, "1", 'Historical Orders'!$C80, "B", 'Historical Orders'!$B80, "1")</f>
        <v>0</v>
      </c>
      <c r="K80" s="157">
        <f>SUMIFS('Historical Orders'!$G80, 'Historical Orders'!$D80, "1", 'Historical Orders'!$C80, "B", 'Historical Orders'!$B80, "1")</f>
        <v>0</v>
      </c>
      <c r="L80" s="159">
        <f>SUMIFS('Historical Orders'!$E80, 'Historical Orders'!$D80, "1", 'Historical Orders'!$C80, "A", 'Historical Orders'!$B80, "2")</f>
        <v>0</v>
      </c>
      <c r="M80" s="157">
        <f>SUMIFS('Historical Orders'!$G80, 'Historical Orders'!$D80, "1", 'Historical Orders'!$C80, "A", 'Historical Orders'!$B80, "2")</f>
        <v>0</v>
      </c>
      <c r="N80" s="157">
        <f>SUMIFS('Historical Orders'!$E80, 'Historical Orders'!$D80, "1", 'Historical Orders'!$C80, "B", 'Historical Orders'!$B80, "2")</f>
        <v>0</v>
      </c>
      <c r="O80" s="157">
        <f>SUMIFS('Historical Orders'!$G80, 'Historical Orders'!$D80, "1", 'Historical Orders'!$C80, "B", 'Historical Orders'!$B80, "2")</f>
        <v>0</v>
      </c>
      <c r="P80" s="159">
        <f>SUMIFS('Historical Orders'!$E80, 'Historical Orders'!$D80, "2", 'Historical Orders'!$C80, "A", 'Historical Orders'!$B80, "1")</f>
        <v>0</v>
      </c>
      <c r="Q80" s="157">
        <f>SUMIFS('Historical Orders'!$G80, 'Historical Orders'!$D80, "2", 'Historical Orders'!$C80, "A", 'Historical Orders'!$B80, "1")</f>
        <v>0</v>
      </c>
      <c r="R80" s="159">
        <f>SUMIFS('Historical Orders'!$E80, 'Historical Orders'!$D80, "2", 'Historical Orders'!$C80, "B", 'Historical Orders'!$B80, "1")</f>
        <v>0</v>
      </c>
      <c r="S80" s="157">
        <f>SUMIFS('Historical Orders'!$G80, 'Historical Orders'!$D80, "2", 'Historical Orders'!$C80, "B", 'Historical Orders'!$B80, "1")</f>
        <v>0</v>
      </c>
      <c r="T80" s="159">
        <f>SUMIFS('Historical Orders'!$E80, 'Historical Orders'!$D80, "2", 'Historical Orders'!$C80, "A", 'Historical Orders'!$B80, "2")</f>
        <v>0</v>
      </c>
      <c r="U80" s="157">
        <f>SUMIFS('Historical Orders'!$G80, 'Historical Orders'!$D80, "2", 'Historical Orders'!$C80, "A", 'Historical Orders'!$B80, "2")</f>
        <v>0</v>
      </c>
      <c r="V80" s="159">
        <f>SUMIFS('Historical Orders'!$E80, 'Historical Orders'!$D80, "2", 'Historical Orders'!$C80, "B", 'Historical Orders'!$B80, "2")</f>
        <v>0</v>
      </c>
      <c r="W80" s="159">
        <f>SUMIFS('Historical Orders'!$G80, 'Historical Orders'!$D80, "2", 'Historical Orders'!$C80, "B", 'Historical Orders'!$B80, "2")</f>
        <v>0</v>
      </c>
      <c r="X80" s="159">
        <f>SUMIFS('Historical Orders'!$E80, 'Historical Orders'!$D80, "3", 'Historical Orders'!$C80, "A", 'Historical Orders'!$B80, "1")</f>
        <v>0</v>
      </c>
      <c r="Y80" s="159">
        <f>SUMIFS('Historical Orders'!$G80, 'Historical Orders'!$D80, "3", 'Historical Orders'!$C80, "A", 'Historical Orders'!$B80, "1")</f>
        <v>0</v>
      </c>
      <c r="Z80" s="159">
        <f>SUMIFS('Historical Orders'!$E80, 'Historical Orders'!$D80, "3", 'Historical Orders'!$C80, "B", 'Historical Orders'!$B80, "1")</f>
        <v>0</v>
      </c>
      <c r="AA80" s="159">
        <f>SUMIFS('Historical Orders'!$G80, 'Historical Orders'!$D80, "3", 'Historical Orders'!$C80, "B", 'Historical Orders'!$B80, "1")</f>
        <v>0</v>
      </c>
      <c r="AB80" s="159">
        <f>SUMIFS('Historical Orders'!$E80, 'Historical Orders'!$D80, "3", 'Historical Orders'!$C80, "A", 'Historical Orders'!$B80, "2")</f>
        <v>0</v>
      </c>
      <c r="AC80" s="159">
        <f>SUMIFS('Historical Orders'!$G80, 'Historical Orders'!$D80, "3", 'Historical Orders'!$C80, "A", 'Historical Orders'!$B80, "2")</f>
        <v>0</v>
      </c>
      <c r="AD80" s="159">
        <f>SUMIFS('Historical Orders'!$E80, 'Historical Orders'!$D80, "3", 'Historical Orders'!$C80, "B", 'Historical Orders'!$B80, "2")</f>
        <v>0</v>
      </c>
      <c r="AE80" s="157">
        <f>SUMIFS('Historical Orders'!$G80, 'Historical Orders'!$D80, "3", 'Historical Orders'!$C80, "B", 'Historical Orders'!$B80, "2")</f>
        <v>0</v>
      </c>
      <c r="AF80" s="157">
        <f>SUMIFS('Historical Orders'!$E80, 'Historical Orders'!$D80, "4", 'Historical Orders'!$C80, "A", 'Historical Orders'!$B80, "1")</f>
        <v>0</v>
      </c>
      <c r="AG80" s="157">
        <f>SUMIFS('Historical Orders'!$G80, 'Historical Orders'!$D80, "4", 'Historical Orders'!$C80, "A", 'Historical Orders'!$B80, "1")</f>
        <v>0</v>
      </c>
      <c r="AH80" s="157">
        <f>SUMIFS('Historical Orders'!$E80, 'Historical Orders'!$D80, "4", 'Historical Orders'!$C80, "B", 'Historical Orders'!$B80, "1")</f>
        <v>0</v>
      </c>
      <c r="AI80" s="157">
        <f>SUMIFS('Historical Orders'!$G80, 'Historical Orders'!$D80, "4", 'Historical Orders'!$C80, "B", 'Historical Orders'!$B80, "1")</f>
        <v>0</v>
      </c>
      <c r="AJ80" s="157">
        <f>SUMIFS('Historical Orders'!$E80, 'Historical Orders'!$D80, "4", 'Historical Orders'!$C80, "A", 'Historical Orders'!$B80, "2")</f>
        <v>0</v>
      </c>
      <c r="AK80" s="157">
        <f>SUMIFS('Historical Orders'!$G80, 'Historical Orders'!$D80, "4", 'Historical Orders'!$C80, "A", 'Historical Orders'!$B80, "2")</f>
        <v>0</v>
      </c>
      <c r="AL80" s="171">
        <f>SUMIFS('Historical Orders'!$E80, 'Historical Orders'!$D80, "4", 'Historical Orders'!$C80, "B", 'Historical Orders'!$B80, "2")</f>
        <v>0</v>
      </c>
      <c r="AM80" s="171">
        <f>SUMIFS('Historical Orders'!$G80, 'Historical Orders'!$D80, "4", 'Historical Orders'!$C80, "B", 'Historical Orders'!$B80, "2")</f>
        <v>0</v>
      </c>
      <c r="AN80" s="171">
        <f>SUMIFS('Historical Orders'!$G80, 'Historical Orders'!$C80, "A", 'Historical Orders'!$B80, "1")</f>
        <v>7684.6</v>
      </c>
      <c r="AO80" s="171">
        <f>SUMIFS('Historical Orders'!$G80, 'Historical Orders'!$C80, "B", 'Historical Orders'!$B80, "1")</f>
        <v>0</v>
      </c>
      <c r="AP80" s="171">
        <f>SUMIFS('Historical Orders'!$G80, 'Historical Orders'!$C80, "A", 'Historical Orders'!$B80, "2")</f>
        <v>0</v>
      </c>
      <c r="AQ80" s="171">
        <f>SUMIFS('Historical Orders'!$G80, 'Historical Orders'!$C80, "B", 'Historical Orders'!$B80, "2")</f>
        <v>0</v>
      </c>
      <c r="AR80" s="145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9"/>
      <c r="BW80" s="179"/>
      <c r="BX80" s="179"/>
      <c r="BY80" s="179"/>
      <c r="BZ80" s="179"/>
      <c r="CA80" s="179"/>
      <c r="CB80" s="179"/>
      <c r="CC80" s="179"/>
      <c r="CD80" s="179"/>
      <c r="CE80" s="179"/>
    </row>
    <row r="81" ht="15.75" customHeight="1">
      <c r="A81" s="151">
        <v>41946.0</v>
      </c>
      <c r="B81" s="152">
        <v>1.0</v>
      </c>
      <c r="C81" s="152" t="s">
        <v>45</v>
      </c>
      <c r="D81" s="152">
        <v>2.0</v>
      </c>
      <c r="E81" s="153">
        <v>5618.0</v>
      </c>
      <c r="F81" s="154">
        <v>1.2</v>
      </c>
      <c r="G81" s="155">
        <v>6741.599999999999</v>
      </c>
      <c r="H81" s="159">
        <f>SUMIFS('Historical Orders'!$E81, 'Historical Orders'!$D81, "1", 'Historical Orders'!$C81, "A", 'Historical Orders'!$B81, "1")</f>
        <v>0</v>
      </c>
      <c r="I81" s="157">
        <f>SUMIFS('Historical Orders'!$G81, 'Historical Orders'!$D81, "1", 'Historical Orders'!$C81, "A", 'Historical Orders'!$B81, "1")</f>
        <v>0</v>
      </c>
      <c r="J81" s="157">
        <f>SUMIFS('Historical Orders'!$E81, 'Historical Orders'!$D81, "1", 'Historical Orders'!$C81, "B", 'Historical Orders'!$B81, "1")</f>
        <v>0</v>
      </c>
      <c r="K81" s="157">
        <f>SUMIFS('Historical Orders'!$G81, 'Historical Orders'!$D81, "1", 'Historical Orders'!$C81, "B", 'Historical Orders'!$B81, "1")</f>
        <v>0</v>
      </c>
      <c r="L81" s="159">
        <f>SUMIFS('Historical Orders'!$E81, 'Historical Orders'!$D81, "1", 'Historical Orders'!$C81, "A", 'Historical Orders'!$B81, "2")</f>
        <v>0</v>
      </c>
      <c r="M81" s="157">
        <f>SUMIFS('Historical Orders'!$G81, 'Historical Orders'!$D81, "1", 'Historical Orders'!$C81, "A", 'Historical Orders'!$B81, "2")</f>
        <v>0</v>
      </c>
      <c r="N81" s="157">
        <f>SUMIFS('Historical Orders'!$E81, 'Historical Orders'!$D81, "1", 'Historical Orders'!$C81, "B", 'Historical Orders'!$B81, "2")</f>
        <v>0</v>
      </c>
      <c r="O81" s="157">
        <f>SUMIFS('Historical Orders'!$G81, 'Historical Orders'!$D81, "1", 'Historical Orders'!$C81, "B", 'Historical Orders'!$B81, "2")</f>
        <v>0</v>
      </c>
      <c r="P81" s="159">
        <f>SUMIFS('Historical Orders'!$E81, 'Historical Orders'!$D81, "2", 'Historical Orders'!$C81, "A", 'Historical Orders'!$B81, "1")</f>
        <v>5618</v>
      </c>
      <c r="Q81" s="157">
        <f>SUMIFS('Historical Orders'!$G81, 'Historical Orders'!$D81, "2", 'Historical Orders'!$C81, "A", 'Historical Orders'!$B81, "1")</f>
        <v>6741.6</v>
      </c>
      <c r="R81" s="159">
        <f>SUMIFS('Historical Orders'!$E81, 'Historical Orders'!$D81, "2", 'Historical Orders'!$C81, "B", 'Historical Orders'!$B81, "1")</f>
        <v>0</v>
      </c>
      <c r="S81" s="157">
        <f>SUMIFS('Historical Orders'!$G81, 'Historical Orders'!$D81, "2", 'Historical Orders'!$C81, "B", 'Historical Orders'!$B81, "1")</f>
        <v>0</v>
      </c>
      <c r="T81" s="159">
        <f>SUMIFS('Historical Orders'!$E81, 'Historical Orders'!$D81, "2", 'Historical Orders'!$C81, "A", 'Historical Orders'!$B81, "2")</f>
        <v>0</v>
      </c>
      <c r="U81" s="157">
        <f>SUMIFS('Historical Orders'!$G81, 'Historical Orders'!$D81, "2", 'Historical Orders'!$C81, "A", 'Historical Orders'!$B81, "2")</f>
        <v>0</v>
      </c>
      <c r="V81" s="159">
        <f>SUMIFS('Historical Orders'!$E81, 'Historical Orders'!$D81, "2", 'Historical Orders'!$C81, "B", 'Historical Orders'!$B81, "2")</f>
        <v>0</v>
      </c>
      <c r="W81" s="159">
        <f>SUMIFS('Historical Orders'!$G81, 'Historical Orders'!$D81, "2", 'Historical Orders'!$C81, "B", 'Historical Orders'!$B81, "2")</f>
        <v>0</v>
      </c>
      <c r="X81" s="159">
        <f>SUMIFS('Historical Orders'!$E81, 'Historical Orders'!$D81, "3", 'Historical Orders'!$C81, "A", 'Historical Orders'!$B81, "1")</f>
        <v>0</v>
      </c>
      <c r="Y81" s="159">
        <f>SUMIFS('Historical Orders'!$G81, 'Historical Orders'!$D81, "3", 'Historical Orders'!$C81, "A", 'Historical Orders'!$B81, "1")</f>
        <v>0</v>
      </c>
      <c r="Z81" s="159">
        <f>SUMIFS('Historical Orders'!$E81, 'Historical Orders'!$D81, "3", 'Historical Orders'!$C81, "B", 'Historical Orders'!$B81, "1")</f>
        <v>0</v>
      </c>
      <c r="AA81" s="159">
        <f>SUMIFS('Historical Orders'!$G81, 'Historical Orders'!$D81, "3", 'Historical Orders'!$C81, "B", 'Historical Orders'!$B81, "1")</f>
        <v>0</v>
      </c>
      <c r="AB81" s="159">
        <f>SUMIFS('Historical Orders'!$E81, 'Historical Orders'!$D81, "3", 'Historical Orders'!$C81, "A", 'Historical Orders'!$B81, "2")</f>
        <v>0</v>
      </c>
      <c r="AC81" s="159">
        <f>SUMIFS('Historical Orders'!$G81, 'Historical Orders'!$D81, "3", 'Historical Orders'!$C81, "A", 'Historical Orders'!$B81, "2")</f>
        <v>0</v>
      </c>
      <c r="AD81" s="159">
        <f>SUMIFS('Historical Orders'!$E81, 'Historical Orders'!$D81, "3", 'Historical Orders'!$C81, "B", 'Historical Orders'!$B81, "2")</f>
        <v>0</v>
      </c>
      <c r="AE81" s="157">
        <f>SUMIFS('Historical Orders'!$G81, 'Historical Orders'!$D81, "3", 'Historical Orders'!$C81, "B", 'Historical Orders'!$B81, "2")</f>
        <v>0</v>
      </c>
      <c r="AF81" s="157">
        <f>SUMIFS('Historical Orders'!$E81, 'Historical Orders'!$D81, "4", 'Historical Orders'!$C81, "A", 'Historical Orders'!$B81, "1")</f>
        <v>0</v>
      </c>
      <c r="AG81" s="157">
        <f>SUMIFS('Historical Orders'!$G81, 'Historical Orders'!$D81, "4", 'Historical Orders'!$C81, "A", 'Historical Orders'!$B81, "1")</f>
        <v>0</v>
      </c>
      <c r="AH81" s="157">
        <f>SUMIFS('Historical Orders'!$E81, 'Historical Orders'!$D81, "4", 'Historical Orders'!$C81, "B", 'Historical Orders'!$B81, "1")</f>
        <v>0</v>
      </c>
      <c r="AI81" s="157">
        <f>SUMIFS('Historical Orders'!$G81, 'Historical Orders'!$D81, "4", 'Historical Orders'!$C81, "B", 'Historical Orders'!$B81, "1")</f>
        <v>0</v>
      </c>
      <c r="AJ81" s="157">
        <f>SUMIFS('Historical Orders'!$E81, 'Historical Orders'!$D81, "4", 'Historical Orders'!$C81, "A", 'Historical Orders'!$B81, "2")</f>
        <v>0</v>
      </c>
      <c r="AK81" s="157">
        <f>SUMIFS('Historical Orders'!$G81, 'Historical Orders'!$D81, "4", 'Historical Orders'!$C81, "A", 'Historical Orders'!$B81, "2")</f>
        <v>0</v>
      </c>
      <c r="AL81" s="171">
        <f>SUMIFS('Historical Orders'!$E81, 'Historical Orders'!$D81, "4", 'Historical Orders'!$C81, "B", 'Historical Orders'!$B81, "2")</f>
        <v>0</v>
      </c>
      <c r="AM81" s="171">
        <f>SUMIFS('Historical Orders'!$G81, 'Historical Orders'!$D81, "4", 'Historical Orders'!$C81, "B", 'Historical Orders'!$B81, "2")</f>
        <v>0</v>
      </c>
      <c r="AN81" s="171">
        <f>SUMIFS('Historical Orders'!$G81, 'Historical Orders'!$C81, "A", 'Historical Orders'!$B81, "1")</f>
        <v>6741.6</v>
      </c>
      <c r="AO81" s="171">
        <f>SUMIFS('Historical Orders'!$G81, 'Historical Orders'!$C81, "B", 'Historical Orders'!$B81, "1")</f>
        <v>0</v>
      </c>
      <c r="AP81" s="171">
        <f>SUMIFS('Historical Orders'!$G81, 'Historical Orders'!$C81, "A", 'Historical Orders'!$B81, "2")</f>
        <v>0</v>
      </c>
      <c r="AQ81" s="171">
        <f>SUMIFS('Historical Orders'!$G81, 'Historical Orders'!$C81, "B", 'Historical Orders'!$B81, "2")</f>
        <v>0</v>
      </c>
      <c r="AR81" s="145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9"/>
      <c r="BW81" s="179"/>
      <c r="BX81" s="179"/>
      <c r="BY81" s="179"/>
      <c r="BZ81" s="179"/>
      <c r="CA81" s="179"/>
      <c r="CB81" s="179"/>
      <c r="CC81" s="179"/>
      <c r="CD81" s="179"/>
      <c r="CE81" s="179"/>
    </row>
    <row r="82" ht="15.75" customHeight="1">
      <c r="A82" s="151">
        <v>41946.0</v>
      </c>
      <c r="B82" s="152">
        <v>2.0</v>
      </c>
      <c r="C82" s="152" t="s">
        <v>45</v>
      </c>
      <c r="D82" s="152">
        <v>1.0</v>
      </c>
      <c r="E82" s="153">
        <v>2842.0</v>
      </c>
      <c r="F82" s="154">
        <v>2.2</v>
      </c>
      <c r="G82" s="155">
        <v>6252.400000000001</v>
      </c>
      <c r="H82" s="159">
        <f>SUMIFS('Historical Orders'!$E82, 'Historical Orders'!$D82, "1", 'Historical Orders'!$C82, "A", 'Historical Orders'!$B82, "1")</f>
        <v>0</v>
      </c>
      <c r="I82" s="157">
        <f>SUMIFS('Historical Orders'!$G82, 'Historical Orders'!$D82, "1", 'Historical Orders'!$C82, "A", 'Historical Orders'!$B82, "1")</f>
        <v>0</v>
      </c>
      <c r="J82" s="157">
        <f>SUMIFS('Historical Orders'!$E82, 'Historical Orders'!$D82, "1", 'Historical Orders'!$C82, "B", 'Historical Orders'!$B82, "1")</f>
        <v>0</v>
      </c>
      <c r="K82" s="157">
        <f>SUMIFS('Historical Orders'!$G82, 'Historical Orders'!$D82, "1", 'Historical Orders'!$C82, "B", 'Historical Orders'!$B82, "1")</f>
        <v>0</v>
      </c>
      <c r="L82" s="159">
        <f>SUMIFS('Historical Orders'!$E82, 'Historical Orders'!$D82, "1", 'Historical Orders'!$C82, "A", 'Historical Orders'!$B82, "2")</f>
        <v>2842</v>
      </c>
      <c r="M82" s="157">
        <f>SUMIFS('Historical Orders'!$G82, 'Historical Orders'!$D82, "1", 'Historical Orders'!$C82, "A", 'Historical Orders'!$B82, "2")</f>
        <v>6252.4</v>
      </c>
      <c r="N82" s="157">
        <f>SUMIFS('Historical Orders'!$E82, 'Historical Orders'!$D82, "1", 'Historical Orders'!$C82, "B", 'Historical Orders'!$B82, "2")</f>
        <v>0</v>
      </c>
      <c r="O82" s="157">
        <f>SUMIFS('Historical Orders'!$G82, 'Historical Orders'!$D82, "1", 'Historical Orders'!$C82, "B", 'Historical Orders'!$B82, "2")</f>
        <v>0</v>
      </c>
      <c r="P82" s="159">
        <f>SUMIFS('Historical Orders'!$E82, 'Historical Orders'!$D82, "2", 'Historical Orders'!$C82, "A", 'Historical Orders'!$B82, "1")</f>
        <v>0</v>
      </c>
      <c r="Q82" s="157">
        <f>SUMIFS('Historical Orders'!$G82, 'Historical Orders'!$D82, "2", 'Historical Orders'!$C82, "A", 'Historical Orders'!$B82, "1")</f>
        <v>0</v>
      </c>
      <c r="R82" s="159">
        <f>SUMIFS('Historical Orders'!$E82, 'Historical Orders'!$D82, "2", 'Historical Orders'!$C82, "B", 'Historical Orders'!$B82, "1")</f>
        <v>0</v>
      </c>
      <c r="S82" s="157">
        <f>SUMIFS('Historical Orders'!$G82, 'Historical Orders'!$D82, "2", 'Historical Orders'!$C82, "B", 'Historical Orders'!$B82, "1")</f>
        <v>0</v>
      </c>
      <c r="T82" s="159">
        <f>SUMIFS('Historical Orders'!$E82, 'Historical Orders'!$D82, "2", 'Historical Orders'!$C82, "A", 'Historical Orders'!$B82, "2")</f>
        <v>0</v>
      </c>
      <c r="U82" s="157">
        <f>SUMIFS('Historical Orders'!$G82, 'Historical Orders'!$D82, "2", 'Historical Orders'!$C82, "A", 'Historical Orders'!$B82, "2")</f>
        <v>0</v>
      </c>
      <c r="V82" s="159">
        <f>SUMIFS('Historical Orders'!$E82, 'Historical Orders'!$D82, "2", 'Historical Orders'!$C82, "B", 'Historical Orders'!$B82, "2")</f>
        <v>0</v>
      </c>
      <c r="W82" s="159">
        <f>SUMIFS('Historical Orders'!$G82, 'Historical Orders'!$D82, "2", 'Historical Orders'!$C82, "B", 'Historical Orders'!$B82, "2")</f>
        <v>0</v>
      </c>
      <c r="X82" s="159">
        <f>SUMIFS('Historical Orders'!$E82, 'Historical Orders'!$D82, "3", 'Historical Orders'!$C82, "A", 'Historical Orders'!$B82, "1")</f>
        <v>0</v>
      </c>
      <c r="Y82" s="159">
        <f>SUMIFS('Historical Orders'!$G82, 'Historical Orders'!$D82, "3", 'Historical Orders'!$C82, "A", 'Historical Orders'!$B82, "1")</f>
        <v>0</v>
      </c>
      <c r="Z82" s="159">
        <f>SUMIFS('Historical Orders'!$E82, 'Historical Orders'!$D82, "3", 'Historical Orders'!$C82, "B", 'Historical Orders'!$B82, "1")</f>
        <v>0</v>
      </c>
      <c r="AA82" s="159">
        <f>SUMIFS('Historical Orders'!$G82, 'Historical Orders'!$D82, "3", 'Historical Orders'!$C82, "B", 'Historical Orders'!$B82, "1")</f>
        <v>0</v>
      </c>
      <c r="AB82" s="159">
        <f>SUMIFS('Historical Orders'!$E82, 'Historical Orders'!$D82, "3", 'Historical Orders'!$C82, "A", 'Historical Orders'!$B82, "2")</f>
        <v>0</v>
      </c>
      <c r="AC82" s="159">
        <f>SUMIFS('Historical Orders'!$G82, 'Historical Orders'!$D82, "3", 'Historical Orders'!$C82, "A", 'Historical Orders'!$B82, "2")</f>
        <v>0</v>
      </c>
      <c r="AD82" s="159">
        <f>SUMIFS('Historical Orders'!$E82, 'Historical Orders'!$D82, "3", 'Historical Orders'!$C82, "B", 'Historical Orders'!$B82, "2")</f>
        <v>0</v>
      </c>
      <c r="AE82" s="157">
        <f>SUMIFS('Historical Orders'!$G82, 'Historical Orders'!$D82, "3", 'Historical Orders'!$C82, "B", 'Historical Orders'!$B82, "2")</f>
        <v>0</v>
      </c>
      <c r="AF82" s="157">
        <f>SUMIFS('Historical Orders'!$E82, 'Historical Orders'!$D82, "4", 'Historical Orders'!$C82, "A", 'Historical Orders'!$B82, "1")</f>
        <v>0</v>
      </c>
      <c r="AG82" s="157">
        <f>SUMIFS('Historical Orders'!$G82, 'Historical Orders'!$D82, "4", 'Historical Orders'!$C82, "A", 'Historical Orders'!$B82, "1")</f>
        <v>0</v>
      </c>
      <c r="AH82" s="157">
        <f>SUMIFS('Historical Orders'!$E82, 'Historical Orders'!$D82, "4", 'Historical Orders'!$C82, "B", 'Historical Orders'!$B82, "1")</f>
        <v>0</v>
      </c>
      <c r="AI82" s="157">
        <f>SUMIFS('Historical Orders'!$G82, 'Historical Orders'!$D82, "4", 'Historical Orders'!$C82, "B", 'Historical Orders'!$B82, "1")</f>
        <v>0</v>
      </c>
      <c r="AJ82" s="157">
        <f>SUMIFS('Historical Orders'!$E82, 'Historical Orders'!$D82, "4", 'Historical Orders'!$C82, "A", 'Historical Orders'!$B82, "2")</f>
        <v>0</v>
      </c>
      <c r="AK82" s="157">
        <f>SUMIFS('Historical Orders'!$G82, 'Historical Orders'!$D82, "4", 'Historical Orders'!$C82, "A", 'Historical Orders'!$B82, "2")</f>
        <v>0</v>
      </c>
      <c r="AL82" s="171">
        <f>SUMIFS('Historical Orders'!$E82, 'Historical Orders'!$D82, "4", 'Historical Orders'!$C82, "B", 'Historical Orders'!$B82, "2")</f>
        <v>0</v>
      </c>
      <c r="AM82" s="171">
        <f>SUMIFS('Historical Orders'!$G82, 'Historical Orders'!$D82, "4", 'Historical Orders'!$C82, "B", 'Historical Orders'!$B82, "2")</f>
        <v>0</v>
      </c>
      <c r="AN82" s="171">
        <f>SUMIFS('Historical Orders'!$G82, 'Historical Orders'!$C82, "A", 'Historical Orders'!$B82, "1")</f>
        <v>0</v>
      </c>
      <c r="AO82" s="171">
        <f>SUMIFS('Historical Orders'!$G82, 'Historical Orders'!$C82, "B", 'Historical Orders'!$B82, "1")</f>
        <v>0</v>
      </c>
      <c r="AP82" s="171">
        <f>SUMIFS('Historical Orders'!$G82, 'Historical Orders'!$C82, "A", 'Historical Orders'!$B82, "2")</f>
        <v>6252.4</v>
      </c>
      <c r="AQ82" s="171">
        <f>SUMIFS('Historical Orders'!$G82, 'Historical Orders'!$C82, "B", 'Historical Orders'!$B82, "2")</f>
        <v>0</v>
      </c>
      <c r="AR82" s="145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9"/>
      <c r="BW82" s="179"/>
      <c r="BX82" s="179"/>
      <c r="BY82" s="179"/>
      <c r="BZ82" s="179"/>
      <c r="CA82" s="179"/>
      <c r="CB82" s="179"/>
      <c r="CC82" s="179"/>
      <c r="CD82" s="179"/>
      <c r="CE82" s="179"/>
    </row>
    <row r="83" ht="15.75" customHeight="1">
      <c r="A83" s="151">
        <v>41946.0</v>
      </c>
      <c r="B83" s="152">
        <v>2.0</v>
      </c>
      <c r="C83" s="152" t="s">
        <v>45</v>
      </c>
      <c r="D83" s="152">
        <v>2.0</v>
      </c>
      <c r="E83" s="153">
        <v>5293.0</v>
      </c>
      <c r="F83" s="154">
        <v>1.2</v>
      </c>
      <c r="G83" s="155">
        <v>6351.599999999999</v>
      </c>
      <c r="H83" s="159">
        <f>SUMIFS('Historical Orders'!$E83, 'Historical Orders'!$D83, "1", 'Historical Orders'!$C83, "A", 'Historical Orders'!$B83, "1")</f>
        <v>0</v>
      </c>
      <c r="I83" s="157">
        <f>SUMIFS('Historical Orders'!$G83, 'Historical Orders'!$D83, "1", 'Historical Orders'!$C83, "A", 'Historical Orders'!$B83, "1")</f>
        <v>0</v>
      </c>
      <c r="J83" s="157">
        <f>SUMIFS('Historical Orders'!$E83, 'Historical Orders'!$D83, "1", 'Historical Orders'!$C83, "B", 'Historical Orders'!$B83, "1")</f>
        <v>0</v>
      </c>
      <c r="K83" s="157">
        <f>SUMIFS('Historical Orders'!$G83, 'Historical Orders'!$D83, "1", 'Historical Orders'!$C83, "B", 'Historical Orders'!$B83, "1")</f>
        <v>0</v>
      </c>
      <c r="L83" s="159">
        <f>SUMIFS('Historical Orders'!$E83, 'Historical Orders'!$D83, "1", 'Historical Orders'!$C83, "A", 'Historical Orders'!$B83, "2")</f>
        <v>0</v>
      </c>
      <c r="M83" s="157">
        <f>SUMIFS('Historical Orders'!$G83, 'Historical Orders'!$D83, "1", 'Historical Orders'!$C83, "A", 'Historical Orders'!$B83, "2")</f>
        <v>0</v>
      </c>
      <c r="N83" s="157">
        <f>SUMIFS('Historical Orders'!$E83, 'Historical Orders'!$D83, "1", 'Historical Orders'!$C83, "B", 'Historical Orders'!$B83, "2")</f>
        <v>0</v>
      </c>
      <c r="O83" s="157">
        <f>SUMIFS('Historical Orders'!$G83, 'Historical Orders'!$D83, "1", 'Historical Orders'!$C83, "B", 'Historical Orders'!$B83, "2")</f>
        <v>0</v>
      </c>
      <c r="P83" s="159">
        <f>SUMIFS('Historical Orders'!$E83, 'Historical Orders'!$D83, "2", 'Historical Orders'!$C83, "A", 'Historical Orders'!$B83, "1")</f>
        <v>0</v>
      </c>
      <c r="Q83" s="157">
        <f>SUMIFS('Historical Orders'!$G83, 'Historical Orders'!$D83, "2", 'Historical Orders'!$C83, "A", 'Historical Orders'!$B83, "1")</f>
        <v>0</v>
      </c>
      <c r="R83" s="159">
        <f>SUMIFS('Historical Orders'!$E83, 'Historical Orders'!$D83, "2", 'Historical Orders'!$C83, "B", 'Historical Orders'!$B83, "1")</f>
        <v>0</v>
      </c>
      <c r="S83" s="157">
        <f>SUMIFS('Historical Orders'!$G83, 'Historical Orders'!$D83, "2", 'Historical Orders'!$C83, "B", 'Historical Orders'!$B83, "1")</f>
        <v>0</v>
      </c>
      <c r="T83" s="159">
        <f>SUMIFS('Historical Orders'!$E83, 'Historical Orders'!$D83, "2", 'Historical Orders'!$C83, "A", 'Historical Orders'!$B83, "2")</f>
        <v>5293</v>
      </c>
      <c r="U83" s="157">
        <f>SUMIFS('Historical Orders'!$G83, 'Historical Orders'!$D83, "2", 'Historical Orders'!$C83, "A", 'Historical Orders'!$B83, "2")</f>
        <v>6351.6</v>
      </c>
      <c r="V83" s="159">
        <f>SUMIFS('Historical Orders'!$E83, 'Historical Orders'!$D83, "2", 'Historical Orders'!$C83, "B", 'Historical Orders'!$B83, "2")</f>
        <v>0</v>
      </c>
      <c r="W83" s="159">
        <f>SUMIFS('Historical Orders'!$G83, 'Historical Orders'!$D83, "2", 'Historical Orders'!$C83, "B", 'Historical Orders'!$B83, "2")</f>
        <v>0</v>
      </c>
      <c r="X83" s="159">
        <f>SUMIFS('Historical Orders'!$E83, 'Historical Orders'!$D83, "3", 'Historical Orders'!$C83, "A", 'Historical Orders'!$B83, "1")</f>
        <v>0</v>
      </c>
      <c r="Y83" s="159">
        <f>SUMIFS('Historical Orders'!$G83, 'Historical Orders'!$D83, "3", 'Historical Orders'!$C83, "A", 'Historical Orders'!$B83, "1")</f>
        <v>0</v>
      </c>
      <c r="Z83" s="159">
        <f>SUMIFS('Historical Orders'!$E83, 'Historical Orders'!$D83, "3", 'Historical Orders'!$C83, "B", 'Historical Orders'!$B83, "1")</f>
        <v>0</v>
      </c>
      <c r="AA83" s="159">
        <f>SUMIFS('Historical Orders'!$G83, 'Historical Orders'!$D83, "3", 'Historical Orders'!$C83, "B", 'Historical Orders'!$B83, "1")</f>
        <v>0</v>
      </c>
      <c r="AB83" s="159">
        <f>SUMIFS('Historical Orders'!$E83, 'Historical Orders'!$D83, "3", 'Historical Orders'!$C83, "A", 'Historical Orders'!$B83, "2")</f>
        <v>0</v>
      </c>
      <c r="AC83" s="159">
        <f>SUMIFS('Historical Orders'!$G83, 'Historical Orders'!$D83, "3", 'Historical Orders'!$C83, "A", 'Historical Orders'!$B83, "2")</f>
        <v>0</v>
      </c>
      <c r="AD83" s="159">
        <f>SUMIFS('Historical Orders'!$E83, 'Historical Orders'!$D83, "3", 'Historical Orders'!$C83, "B", 'Historical Orders'!$B83, "2")</f>
        <v>0</v>
      </c>
      <c r="AE83" s="157">
        <f>SUMIFS('Historical Orders'!$G83, 'Historical Orders'!$D83, "3", 'Historical Orders'!$C83, "B", 'Historical Orders'!$B83, "2")</f>
        <v>0</v>
      </c>
      <c r="AF83" s="157">
        <f>SUMIFS('Historical Orders'!$E83, 'Historical Orders'!$D83, "4", 'Historical Orders'!$C83, "A", 'Historical Orders'!$B83, "1")</f>
        <v>0</v>
      </c>
      <c r="AG83" s="157">
        <f>SUMIFS('Historical Orders'!$G83, 'Historical Orders'!$D83, "4", 'Historical Orders'!$C83, "A", 'Historical Orders'!$B83, "1")</f>
        <v>0</v>
      </c>
      <c r="AH83" s="157">
        <f>SUMIFS('Historical Orders'!$E83, 'Historical Orders'!$D83, "4", 'Historical Orders'!$C83, "B", 'Historical Orders'!$B83, "1")</f>
        <v>0</v>
      </c>
      <c r="AI83" s="157">
        <f>SUMIFS('Historical Orders'!$G83, 'Historical Orders'!$D83, "4", 'Historical Orders'!$C83, "B", 'Historical Orders'!$B83, "1")</f>
        <v>0</v>
      </c>
      <c r="AJ83" s="157">
        <f>SUMIFS('Historical Orders'!$E83, 'Historical Orders'!$D83, "4", 'Historical Orders'!$C83, "A", 'Historical Orders'!$B83, "2")</f>
        <v>0</v>
      </c>
      <c r="AK83" s="157">
        <f>SUMIFS('Historical Orders'!$G83, 'Historical Orders'!$D83, "4", 'Historical Orders'!$C83, "A", 'Historical Orders'!$B83, "2")</f>
        <v>0</v>
      </c>
      <c r="AL83" s="171">
        <f>SUMIFS('Historical Orders'!$E83, 'Historical Orders'!$D83, "4", 'Historical Orders'!$C83, "B", 'Historical Orders'!$B83, "2")</f>
        <v>0</v>
      </c>
      <c r="AM83" s="171">
        <f>SUMIFS('Historical Orders'!$G83, 'Historical Orders'!$D83, "4", 'Historical Orders'!$C83, "B", 'Historical Orders'!$B83, "2")</f>
        <v>0</v>
      </c>
      <c r="AN83" s="171">
        <f>SUMIFS('Historical Orders'!$G83, 'Historical Orders'!$C83, "A", 'Historical Orders'!$B83, "1")</f>
        <v>0</v>
      </c>
      <c r="AO83" s="171">
        <f>SUMIFS('Historical Orders'!$G83, 'Historical Orders'!$C83, "B", 'Historical Orders'!$B83, "1")</f>
        <v>0</v>
      </c>
      <c r="AP83" s="171">
        <f>SUMIFS('Historical Orders'!$G83, 'Historical Orders'!$C83, "A", 'Historical Orders'!$B83, "2")</f>
        <v>6351.6</v>
      </c>
      <c r="AQ83" s="171">
        <f>SUMIFS('Historical Orders'!$G83, 'Historical Orders'!$C83, "B", 'Historical Orders'!$B83, "2")</f>
        <v>0</v>
      </c>
      <c r="AR83" s="145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9"/>
      <c r="BW83" s="179"/>
      <c r="BX83" s="179"/>
      <c r="BY83" s="179"/>
      <c r="BZ83" s="179"/>
      <c r="CA83" s="179"/>
      <c r="CB83" s="179"/>
      <c r="CC83" s="179"/>
      <c r="CD83" s="179"/>
      <c r="CE83" s="179"/>
    </row>
    <row r="84" ht="15.75" customHeight="1">
      <c r="A84" s="151">
        <v>41946.0</v>
      </c>
      <c r="B84" s="152">
        <v>1.0</v>
      </c>
      <c r="C84" s="152" t="s">
        <v>46</v>
      </c>
      <c r="D84" s="152">
        <v>3.0</v>
      </c>
      <c r="E84" s="153">
        <v>1966.0</v>
      </c>
      <c r="F84" s="154">
        <v>8.3</v>
      </c>
      <c r="G84" s="155">
        <v>16317.800000000001</v>
      </c>
      <c r="H84" s="159">
        <f>SUMIFS('Historical Orders'!$E84, 'Historical Orders'!$D84, "1", 'Historical Orders'!$C84, "A", 'Historical Orders'!$B84, "1")</f>
        <v>0</v>
      </c>
      <c r="I84" s="157">
        <f>SUMIFS('Historical Orders'!$G84, 'Historical Orders'!$D84, "1", 'Historical Orders'!$C84, "A", 'Historical Orders'!$B84, "1")</f>
        <v>0</v>
      </c>
      <c r="J84" s="157">
        <f>SUMIFS('Historical Orders'!$E84, 'Historical Orders'!$D84, "1", 'Historical Orders'!$C84, "B", 'Historical Orders'!$B84, "1")</f>
        <v>0</v>
      </c>
      <c r="K84" s="157">
        <f>SUMIFS('Historical Orders'!$G84, 'Historical Orders'!$D84, "1", 'Historical Orders'!$C84, "B", 'Historical Orders'!$B84, "1")</f>
        <v>0</v>
      </c>
      <c r="L84" s="159">
        <f>SUMIFS('Historical Orders'!$E84, 'Historical Orders'!$D84, "1", 'Historical Orders'!$C84, "A", 'Historical Orders'!$B84, "2")</f>
        <v>0</v>
      </c>
      <c r="M84" s="157">
        <f>SUMIFS('Historical Orders'!$G84, 'Historical Orders'!$D84, "1", 'Historical Orders'!$C84, "A", 'Historical Orders'!$B84, "2")</f>
        <v>0</v>
      </c>
      <c r="N84" s="157">
        <f>SUMIFS('Historical Orders'!$E84, 'Historical Orders'!$D84, "1", 'Historical Orders'!$C84, "B", 'Historical Orders'!$B84, "2")</f>
        <v>0</v>
      </c>
      <c r="O84" s="157">
        <f>SUMIFS('Historical Orders'!$G84, 'Historical Orders'!$D84, "1", 'Historical Orders'!$C84, "B", 'Historical Orders'!$B84, "2")</f>
        <v>0</v>
      </c>
      <c r="P84" s="159">
        <f>SUMIFS('Historical Orders'!$E84, 'Historical Orders'!$D84, "2", 'Historical Orders'!$C84, "A", 'Historical Orders'!$B84, "1")</f>
        <v>0</v>
      </c>
      <c r="Q84" s="157">
        <f>SUMIFS('Historical Orders'!$G84, 'Historical Orders'!$D84, "2", 'Historical Orders'!$C84, "A", 'Historical Orders'!$B84, "1")</f>
        <v>0</v>
      </c>
      <c r="R84" s="159">
        <f>SUMIFS('Historical Orders'!$E84, 'Historical Orders'!$D84, "2", 'Historical Orders'!$C84, "B", 'Historical Orders'!$B84, "1")</f>
        <v>0</v>
      </c>
      <c r="S84" s="157">
        <f>SUMIFS('Historical Orders'!$G84, 'Historical Orders'!$D84, "2", 'Historical Orders'!$C84, "B", 'Historical Orders'!$B84, "1")</f>
        <v>0</v>
      </c>
      <c r="T84" s="159">
        <f>SUMIFS('Historical Orders'!$E84, 'Historical Orders'!$D84, "2", 'Historical Orders'!$C84, "A", 'Historical Orders'!$B84, "2")</f>
        <v>0</v>
      </c>
      <c r="U84" s="157">
        <f>SUMIFS('Historical Orders'!$G84, 'Historical Orders'!$D84, "2", 'Historical Orders'!$C84, "A", 'Historical Orders'!$B84, "2")</f>
        <v>0</v>
      </c>
      <c r="V84" s="159">
        <f>SUMIFS('Historical Orders'!$E84, 'Historical Orders'!$D84, "2", 'Historical Orders'!$C84, "B", 'Historical Orders'!$B84, "2")</f>
        <v>0</v>
      </c>
      <c r="W84" s="159">
        <f>SUMIFS('Historical Orders'!$G84, 'Historical Orders'!$D84, "2", 'Historical Orders'!$C84, "B", 'Historical Orders'!$B84, "2")</f>
        <v>0</v>
      </c>
      <c r="X84" s="159">
        <f>SUMIFS('Historical Orders'!$E84, 'Historical Orders'!$D84, "3", 'Historical Orders'!$C84, "A", 'Historical Orders'!$B84, "1")</f>
        <v>0</v>
      </c>
      <c r="Y84" s="159">
        <f>SUMIFS('Historical Orders'!$G84, 'Historical Orders'!$D84, "3", 'Historical Orders'!$C84, "A", 'Historical Orders'!$B84, "1")</f>
        <v>0</v>
      </c>
      <c r="Z84" s="159">
        <f>SUMIFS('Historical Orders'!$E84, 'Historical Orders'!$D84, "3", 'Historical Orders'!$C84, "B", 'Historical Orders'!$B84, "1")</f>
        <v>1966</v>
      </c>
      <c r="AA84" s="159">
        <f>SUMIFS('Historical Orders'!$G84, 'Historical Orders'!$D84, "3", 'Historical Orders'!$C84, "B", 'Historical Orders'!$B84, "1")</f>
        <v>16317.8</v>
      </c>
      <c r="AB84" s="159">
        <f>SUMIFS('Historical Orders'!$E84, 'Historical Orders'!$D84, "3", 'Historical Orders'!$C84, "A", 'Historical Orders'!$B84, "2")</f>
        <v>0</v>
      </c>
      <c r="AC84" s="159">
        <f>SUMIFS('Historical Orders'!$G84, 'Historical Orders'!$D84, "3", 'Historical Orders'!$C84, "A", 'Historical Orders'!$B84, "2")</f>
        <v>0</v>
      </c>
      <c r="AD84" s="159">
        <f>SUMIFS('Historical Orders'!$E84, 'Historical Orders'!$D84, "3", 'Historical Orders'!$C84, "B", 'Historical Orders'!$B84, "2")</f>
        <v>0</v>
      </c>
      <c r="AE84" s="157">
        <f>SUMIFS('Historical Orders'!$G84, 'Historical Orders'!$D84, "3", 'Historical Orders'!$C84, "B", 'Historical Orders'!$B84, "2")</f>
        <v>0</v>
      </c>
      <c r="AF84" s="157">
        <f>SUMIFS('Historical Orders'!$E84, 'Historical Orders'!$D84, "4", 'Historical Orders'!$C84, "A", 'Historical Orders'!$B84, "1")</f>
        <v>0</v>
      </c>
      <c r="AG84" s="157">
        <f>SUMIFS('Historical Orders'!$G84, 'Historical Orders'!$D84, "4", 'Historical Orders'!$C84, "A", 'Historical Orders'!$B84, "1")</f>
        <v>0</v>
      </c>
      <c r="AH84" s="157">
        <f>SUMIFS('Historical Orders'!$E84, 'Historical Orders'!$D84, "4", 'Historical Orders'!$C84, "B", 'Historical Orders'!$B84, "1")</f>
        <v>0</v>
      </c>
      <c r="AI84" s="157">
        <f>SUMIFS('Historical Orders'!$G84, 'Historical Orders'!$D84, "4", 'Historical Orders'!$C84, "B", 'Historical Orders'!$B84, "1")</f>
        <v>0</v>
      </c>
      <c r="AJ84" s="157">
        <f>SUMIFS('Historical Orders'!$E84, 'Historical Orders'!$D84, "4", 'Historical Orders'!$C84, "A", 'Historical Orders'!$B84, "2")</f>
        <v>0</v>
      </c>
      <c r="AK84" s="157">
        <f>SUMIFS('Historical Orders'!$G84, 'Historical Orders'!$D84, "4", 'Historical Orders'!$C84, "A", 'Historical Orders'!$B84, "2")</f>
        <v>0</v>
      </c>
      <c r="AL84" s="171">
        <f>SUMIFS('Historical Orders'!$E84, 'Historical Orders'!$D84, "4", 'Historical Orders'!$C84, "B", 'Historical Orders'!$B84, "2")</f>
        <v>0</v>
      </c>
      <c r="AM84" s="171">
        <f>SUMIFS('Historical Orders'!$G84, 'Historical Orders'!$D84, "4", 'Historical Orders'!$C84, "B", 'Historical Orders'!$B84, "2")</f>
        <v>0</v>
      </c>
      <c r="AN84" s="171">
        <f>SUMIFS('Historical Orders'!$G84, 'Historical Orders'!$C84, "A", 'Historical Orders'!$B84, "1")</f>
        <v>0</v>
      </c>
      <c r="AO84" s="171">
        <f>SUMIFS('Historical Orders'!$G84, 'Historical Orders'!$C84, "B", 'Historical Orders'!$B84, "1")</f>
        <v>16317.8</v>
      </c>
      <c r="AP84" s="171">
        <f>SUMIFS('Historical Orders'!$G84, 'Historical Orders'!$C84, "A", 'Historical Orders'!$B84, "2")</f>
        <v>0</v>
      </c>
      <c r="AQ84" s="171">
        <f>SUMIFS('Historical Orders'!$G84, 'Historical Orders'!$C84, "B", 'Historical Orders'!$B84, "2")</f>
        <v>0</v>
      </c>
      <c r="AR84" s="145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  <c r="BT84" s="172"/>
      <c r="BU84" s="172"/>
      <c r="BV84" s="179"/>
      <c r="BW84" s="179"/>
      <c r="BX84" s="179"/>
      <c r="BY84" s="179"/>
      <c r="BZ84" s="179"/>
      <c r="CA84" s="179"/>
      <c r="CB84" s="179"/>
      <c r="CC84" s="179"/>
      <c r="CD84" s="179"/>
      <c r="CE84" s="179"/>
    </row>
    <row r="85" ht="15.75" customHeight="1">
      <c r="A85" s="151">
        <v>41946.0</v>
      </c>
      <c r="B85" s="152">
        <v>2.0</v>
      </c>
      <c r="C85" s="152" t="s">
        <v>46</v>
      </c>
      <c r="D85" s="152">
        <v>3.0</v>
      </c>
      <c r="E85" s="153">
        <v>2353.0</v>
      </c>
      <c r="F85" s="154">
        <v>8.3</v>
      </c>
      <c r="G85" s="155">
        <v>19529.9</v>
      </c>
      <c r="H85" s="159">
        <f>SUMIFS('Historical Orders'!$E85, 'Historical Orders'!$D85, "1", 'Historical Orders'!$C85, "A", 'Historical Orders'!$B85, "1")</f>
        <v>0</v>
      </c>
      <c r="I85" s="157">
        <f>SUMIFS('Historical Orders'!$G85, 'Historical Orders'!$D85, "1", 'Historical Orders'!$C85, "A", 'Historical Orders'!$B85, "1")</f>
        <v>0</v>
      </c>
      <c r="J85" s="157">
        <f>SUMIFS('Historical Orders'!$E85, 'Historical Orders'!$D85, "1", 'Historical Orders'!$C85, "B", 'Historical Orders'!$B85, "1")</f>
        <v>0</v>
      </c>
      <c r="K85" s="157">
        <f>SUMIFS('Historical Orders'!$G85, 'Historical Orders'!$D85, "1", 'Historical Orders'!$C85, "B", 'Historical Orders'!$B85, "1")</f>
        <v>0</v>
      </c>
      <c r="L85" s="159">
        <f>SUMIFS('Historical Orders'!$E85, 'Historical Orders'!$D85, "1", 'Historical Orders'!$C85, "A", 'Historical Orders'!$B85, "2")</f>
        <v>0</v>
      </c>
      <c r="M85" s="157">
        <f>SUMIFS('Historical Orders'!$G85, 'Historical Orders'!$D85, "1", 'Historical Orders'!$C85, "A", 'Historical Orders'!$B85, "2")</f>
        <v>0</v>
      </c>
      <c r="N85" s="157">
        <f>SUMIFS('Historical Orders'!$E85, 'Historical Orders'!$D85, "1", 'Historical Orders'!$C85, "B", 'Historical Orders'!$B85, "2")</f>
        <v>0</v>
      </c>
      <c r="O85" s="157">
        <f>SUMIFS('Historical Orders'!$G85, 'Historical Orders'!$D85, "1", 'Historical Orders'!$C85, "B", 'Historical Orders'!$B85, "2")</f>
        <v>0</v>
      </c>
      <c r="P85" s="159">
        <f>SUMIFS('Historical Orders'!$E85, 'Historical Orders'!$D85, "2", 'Historical Orders'!$C85, "A", 'Historical Orders'!$B85, "1")</f>
        <v>0</v>
      </c>
      <c r="Q85" s="157">
        <f>SUMIFS('Historical Orders'!$G85, 'Historical Orders'!$D85, "2", 'Historical Orders'!$C85, "A", 'Historical Orders'!$B85, "1")</f>
        <v>0</v>
      </c>
      <c r="R85" s="159">
        <f>SUMIFS('Historical Orders'!$E85, 'Historical Orders'!$D85, "2", 'Historical Orders'!$C85, "B", 'Historical Orders'!$B85, "1")</f>
        <v>0</v>
      </c>
      <c r="S85" s="157">
        <f>SUMIFS('Historical Orders'!$G85, 'Historical Orders'!$D85, "2", 'Historical Orders'!$C85, "B", 'Historical Orders'!$B85, "1")</f>
        <v>0</v>
      </c>
      <c r="T85" s="159">
        <f>SUMIFS('Historical Orders'!$E85, 'Historical Orders'!$D85, "2", 'Historical Orders'!$C85, "A", 'Historical Orders'!$B85, "2")</f>
        <v>0</v>
      </c>
      <c r="U85" s="157">
        <f>SUMIFS('Historical Orders'!$G85, 'Historical Orders'!$D85, "2", 'Historical Orders'!$C85, "A", 'Historical Orders'!$B85, "2")</f>
        <v>0</v>
      </c>
      <c r="V85" s="159">
        <f>SUMIFS('Historical Orders'!$E85, 'Historical Orders'!$D85, "2", 'Historical Orders'!$C85, "B", 'Historical Orders'!$B85, "2")</f>
        <v>0</v>
      </c>
      <c r="W85" s="159">
        <f>SUMIFS('Historical Orders'!$G85, 'Historical Orders'!$D85, "2", 'Historical Orders'!$C85, "B", 'Historical Orders'!$B85, "2")</f>
        <v>0</v>
      </c>
      <c r="X85" s="159">
        <f>SUMIFS('Historical Orders'!$E85, 'Historical Orders'!$D85, "3", 'Historical Orders'!$C85, "A", 'Historical Orders'!$B85, "1")</f>
        <v>0</v>
      </c>
      <c r="Y85" s="159">
        <f>SUMIFS('Historical Orders'!$G85, 'Historical Orders'!$D85, "3", 'Historical Orders'!$C85, "A", 'Historical Orders'!$B85, "1")</f>
        <v>0</v>
      </c>
      <c r="Z85" s="159">
        <f>SUMIFS('Historical Orders'!$E85, 'Historical Orders'!$D85, "3", 'Historical Orders'!$C85, "B", 'Historical Orders'!$B85, "1")</f>
        <v>0</v>
      </c>
      <c r="AA85" s="159">
        <f>SUMIFS('Historical Orders'!$G85, 'Historical Orders'!$D85, "3", 'Historical Orders'!$C85, "B", 'Historical Orders'!$B85, "1")</f>
        <v>0</v>
      </c>
      <c r="AB85" s="159">
        <f>SUMIFS('Historical Orders'!$E85, 'Historical Orders'!$D85, "3", 'Historical Orders'!$C85, "A", 'Historical Orders'!$B85, "2")</f>
        <v>0</v>
      </c>
      <c r="AC85" s="159">
        <f>SUMIFS('Historical Orders'!$G85, 'Historical Orders'!$D85, "3", 'Historical Orders'!$C85, "A", 'Historical Orders'!$B85, "2")</f>
        <v>0</v>
      </c>
      <c r="AD85" s="159">
        <f>SUMIFS('Historical Orders'!$E85, 'Historical Orders'!$D85, "3", 'Historical Orders'!$C85, "B", 'Historical Orders'!$B85, "2")</f>
        <v>2353</v>
      </c>
      <c r="AE85" s="157">
        <f>SUMIFS('Historical Orders'!$G85, 'Historical Orders'!$D85, "3", 'Historical Orders'!$C85, "B", 'Historical Orders'!$B85, "2")</f>
        <v>19529.9</v>
      </c>
      <c r="AF85" s="157">
        <f>SUMIFS('Historical Orders'!$E85, 'Historical Orders'!$D85, "4", 'Historical Orders'!$C85, "A", 'Historical Orders'!$B85, "1")</f>
        <v>0</v>
      </c>
      <c r="AG85" s="157">
        <f>SUMIFS('Historical Orders'!$G85, 'Historical Orders'!$D85, "4", 'Historical Orders'!$C85, "A", 'Historical Orders'!$B85, "1")</f>
        <v>0</v>
      </c>
      <c r="AH85" s="157">
        <f>SUMIFS('Historical Orders'!$E85, 'Historical Orders'!$D85, "4", 'Historical Orders'!$C85, "B", 'Historical Orders'!$B85, "1")</f>
        <v>0</v>
      </c>
      <c r="AI85" s="157">
        <f>SUMIFS('Historical Orders'!$G85, 'Historical Orders'!$D85, "4", 'Historical Orders'!$C85, "B", 'Historical Orders'!$B85, "1")</f>
        <v>0</v>
      </c>
      <c r="AJ85" s="157">
        <f>SUMIFS('Historical Orders'!$E85, 'Historical Orders'!$D85, "4", 'Historical Orders'!$C85, "A", 'Historical Orders'!$B85, "2")</f>
        <v>0</v>
      </c>
      <c r="AK85" s="157">
        <f>SUMIFS('Historical Orders'!$G85, 'Historical Orders'!$D85, "4", 'Historical Orders'!$C85, "A", 'Historical Orders'!$B85, "2")</f>
        <v>0</v>
      </c>
      <c r="AL85" s="171">
        <f>SUMIFS('Historical Orders'!$E85, 'Historical Orders'!$D85, "4", 'Historical Orders'!$C85, "B", 'Historical Orders'!$B85, "2")</f>
        <v>0</v>
      </c>
      <c r="AM85" s="171">
        <f>SUMIFS('Historical Orders'!$G85, 'Historical Orders'!$D85, "4", 'Historical Orders'!$C85, "B", 'Historical Orders'!$B85, "2")</f>
        <v>0</v>
      </c>
      <c r="AN85" s="171">
        <f>SUMIFS('Historical Orders'!$G85, 'Historical Orders'!$C85, "A", 'Historical Orders'!$B85, "1")</f>
        <v>0</v>
      </c>
      <c r="AO85" s="171">
        <f>SUMIFS('Historical Orders'!$G85, 'Historical Orders'!$C85, "B", 'Historical Orders'!$B85, "1")</f>
        <v>0</v>
      </c>
      <c r="AP85" s="171">
        <f>SUMIFS('Historical Orders'!$G85, 'Historical Orders'!$C85, "A", 'Historical Orders'!$B85, "2")</f>
        <v>0</v>
      </c>
      <c r="AQ85" s="171">
        <f>SUMIFS('Historical Orders'!$G85, 'Historical Orders'!$C85, "B", 'Historical Orders'!$B85, "2")</f>
        <v>19529.9</v>
      </c>
      <c r="AR85" s="145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9"/>
      <c r="BW85" s="179"/>
      <c r="BX85" s="179"/>
      <c r="BY85" s="179"/>
      <c r="BZ85" s="179"/>
      <c r="CA85" s="179"/>
      <c r="CB85" s="179"/>
      <c r="CC85" s="179"/>
      <c r="CD85" s="179"/>
      <c r="CE85" s="179"/>
    </row>
    <row r="86" ht="15.75" customHeight="1">
      <c r="A86" s="151">
        <v>41953.0</v>
      </c>
      <c r="B86" s="152">
        <v>1.0</v>
      </c>
      <c r="C86" s="152" t="s">
        <v>45</v>
      </c>
      <c r="D86" s="152">
        <v>1.0</v>
      </c>
      <c r="E86" s="153">
        <v>4838.0</v>
      </c>
      <c r="F86" s="154">
        <v>2.2</v>
      </c>
      <c r="G86" s="155">
        <v>10643.6</v>
      </c>
      <c r="H86" s="159">
        <f>SUMIFS('Historical Orders'!$E86, 'Historical Orders'!$D86, "1", 'Historical Orders'!$C86, "A", 'Historical Orders'!$B86, "1")</f>
        <v>4838</v>
      </c>
      <c r="I86" s="157">
        <f>SUMIFS('Historical Orders'!$G86, 'Historical Orders'!$D86, "1", 'Historical Orders'!$C86, "A", 'Historical Orders'!$B86, "1")</f>
        <v>10643.6</v>
      </c>
      <c r="J86" s="157">
        <f>SUMIFS('Historical Orders'!$E86, 'Historical Orders'!$D86, "1", 'Historical Orders'!$C86, "B", 'Historical Orders'!$B86, "1")</f>
        <v>0</v>
      </c>
      <c r="K86" s="157">
        <f>SUMIFS('Historical Orders'!$G86, 'Historical Orders'!$D86, "1", 'Historical Orders'!$C86, "B", 'Historical Orders'!$B86, "1")</f>
        <v>0</v>
      </c>
      <c r="L86" s="159">
        <f>SUMIFS('Historical Orders'!$E86, 'Historical Orders'!$D86, "1", 'Historical Orders'!$C86, "A", 'Historical Orders'!$B86, "2")</f>
        <v>0</v>
      </c>
      <c r="M86" s="157">
        <f>SUMIFS('Historical Orders'!$G86, 'Historical Orders'!$D86, "1", 'Historical Orders'!$C86, "A", 'Historical Orders'!$B86, "2")</f>
        <v>0</v>
      </c>
      <c r="N86" s="157">
        <f>SUMIFS('Historical Orders'!$E86, 'Historical Orders'!$D86, "1", 'Historical Orders'!$C86, "B", 'Historical Orders'!$B86, "2")</f>
        <v>0</v>
      </c>
      <c r="O86" s="157">
        <f>SUMIFS('Historical Orders'!$G86, 'Historical Orders'!$D86, "1", 'Historical Orders'!$C86, "B", 'Historical Orders'!$B86, "2")</f>
        <v>0</v>
      </c>
      <c r="P86" s="159">
        <f>SUMIFS('Historical Orders'!$E86, 'Historical Orders'!$D86, "2", 'Historical Orders'!$C86, "A", 'Historical Orders'!$B86, "1")</f>
        <v>0</v>
      </c>
      <c r="Q86" s="157">
        <f>SUMIFS('Historical Orders'!$G86, 'Historical Orders'!$D86, "2", 'Historical Orders'!$C86, "A", 'Historical Orders'!$B86, "1")</f>
        <v>0</v>
      </c>
      <c r="R86" s="159">
        <f>SUMIFS('Historical Orders'!$E86, 'Historical Orders'!$D86, "2", 'Historical Orders'!$C86, "B", 'Historical Orders'!$B86, "1")</f>
        <v>0</v>
      </c>
      <c r="S86" s="157">
        <f>SUMIFS('Historical Orders'!$G86, 'Historical Orders'!$D86, "2", 'Historical Orders'!$C86, "B", 'Historical Orders'!$B86, "1")</f>
        <v>0</v>
      </c>
      <c r="T86" s="159">
        <f>SUMIFS('Historical Orders'!$E86, 'Historical Orders'!$D86, "2", 'Historical Orders'!$C86, "A", 'Historical Orders'!$B86, "2")</f>
        <v>0</v>
      </c>
      <c r="U86" s="157">
        <f>SUMIFS('Historical Orders'!$G86, 'Historical Orders'!$D86, "2", 'Historical Orders'!$C86, "A", 'Historical Orders'!$B86, "2")</f>
        <v>0</v>
      </c>
      <c r="V86" s="159">
        <f>SUMIFS('Historical Orders'!$E86, 'Historical Orders'!$D86, "2", 'Historical Orders'!$C86, "B", 'Historical Orders'!$B86, "2")</f>
        <v>0</v>
      </c>
      <c r="W86" s="159">
        <f>SUMIFS('Historical Orders'!$G86, 'Historical Orders'!$D86, "2", 'Historical Orders'!$C86, "B", 'Historical Orders'!$B86, "2")</f>
        <v>0</v>
      </c>
      <c r="X86" s="159">
        <f>SUMIFS('Historical Orders'!$E86, 'Historical Orders'!$D86, "3", 'Historical Orders'!$C86, "A", 'Historical Orders'!$B86, "1")</f>
        <v>0</v>
      </c>
      <c r="Y86" s="159">
        <f>SUMIFS('Historical Orders'!$G86, 'Historical Orders'!$D86, "3", 'Historical Orders'!$C86, "A", 'Historical Orders'!$B86, "1")</f>
        <v>0</v>
      </c>
      <c r="Z86" s="159">
        <f>SUMIFS('Historical Orders'!$E86, 'Historical Orders'!$D86, "3", 'Historical Orders'!$C86, "B", 'Historical Orders'!$B86, "1")</f>
        <v>0</v>
      </c>
      <c r="AA86" s="159">
        <f>SUMIFS('Historical Orders'!$G86, 'Historical Orders'!$D86, "3", 'Historical Orders'!$C86, "B", 'Historical Orders'!$B86, "1")</f>
        <v>0</v>
      </c>
      <c r="AB86" s="159">
        <f>SUMIFS('Historical Orders'!$E86, 'Historical Orders'!$D86, "3", 'Historical Orders'!$C86, "A", 'Historical Orders'!$B86, "2")</f>
        <v>0</v>
      </c>
      <c r="AC86" s="159">
        <f>SUMIFS('Historical Orders'!$G86, 'Historical Orders'!$D86, "3", 'Historical Orders'!$C86, "A", 'Historical Orders'!$B86, "2")</f>
        <v>0</v>
      </c>
      <c r="AD86" s="159">
        <f>SUMIFS('Historical Orders'!$E86, 'Historical Orders'!$D86, "3", 'Historical Orders'!$C86, "B", 'Historical Orders'!$B86, "2")</f>
        <v>0</v>
      </c>
      <c r="AE86" s="157">
        <f>SUMIFS('Historical Orders'!$G86, 'Historical Orders'!$D86, "3", 'Historical Orders'!$C86, "B", 'Historical Orders'!$B86, "2")</f>
        <v>0</v>
      </c>
      <c r="AF86" s="157">
        <f>SUMIFS('Historical Orders'!$E86, 'Historical Orders'!$D86, "4", 'Historical Orders'!$C86, "A", 'Historical Orders'!$B86, "1")</f>
        <v>0</v>
      </c>
      <c r="AG86" s="157">
        <f>SUMIFS('Historical Orders'!$G86, 'Historical Orders'!$D86, "4", 'Historical Orders'!$C86, "A", 'Historical Orders'!$B86, "1")</f>
        <v>0</v>
      </c>
      <c r="AH86" s="157">
        <f>SUMIFS('Historical Orders'!$E86, 'Historical Orders'!$D86, "4", 'Historical Orders'!$C86, "B", 'Historical Orders'!$B86, "1")</f>
        <v>0</v>
      </c>
      <c r="AI86" s="157">
        <f>SUMIFS('Historical Orders'!$G86, 'Historical Orders'!$D86, "4", 'Historical Orders'!$C86, "B", 'Historical Orders'!$B86, "1")</f>
        <v>0</v>
      </c>
      <c r="AJ86" s="157">
        <f>SUMIFS('Historical Orders'!$E86, 'Historical Orders'!$D86, "4", 'Historical Orders'!$C86, "A", 'Historical Orders'!$B86, "2")</f>
        <v>0</v>
      </c>
      <c r="AK86" s="157">
        <f>SUMIFS('Historical Orders'!$G86, 'Historical Orders'!$D86, "4", 'Historical Orders'!$C86, "A", 'Historical Orders'!$B86, "2")</f>
        <v>0</v>
      </c>
      <c r="AL86" s="171">
        <f>SUMIFS('Historical Orders'!$E86, 'Historical Orders'!$D86, "4", 'Historical Orders'!$C86, "B", 'Historical Orders'!$B86, "2")</f>
        <v>0</v>
      </c>
      <c r="AM86" s="171">
        <f>SUMIFS('Historical Orders'!$G86, 'Historical Orders'!$D86, "4", 'Historical Orders'!$C86, "B", 'Historical Orders'!$B86, "2")</f>
        <v>0</v>
      </c>
      <c r="AN86" s="171">
        <f>SUMIFS('Historical Orders'!$G86, 'Historical Orders'!$C86, "A", 'Historical Orders'!$B86, "1")</f>
        <v>10643.6</v>
      </c>
      <c r="AO86" s="171">
        <f>SUMIFS('Historical Orders'!$G86, 'Historical Orders'!$C86, "B", 'Historical Orders'!$B86, "1")</f>
        <v>0</v>
      </c>
      <c r="AP86" s="171">
        <f>SUMIFS('Historical Orders'!$G86, 'Historical Orders'!$C86, "A", 'Historical Orders'!$B86, "2")</f>
        <v>0</v>
      </c>
      <c r="AQ86" s="171">
        <f>SUMIFS('Historical Orders'!$G86, 'Historical Orders'!$C86, "B", 'Historical Orders'!$B86, "2")</f>
        <v>0</v>
      </c>
      <c r="AR86" s="145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  <c r="BT86" s="172"/>
      <c r="BU86" s="172"/>
      <c r="BV86" s="179"/>
      <c r="BW86" s="179"/>
      <c r="BX86" s="179"/>
      <c r="BY86" s="179"/>
      <c r="BZ86" s="179"/>
      <c r="CA86" s="179"/>
      <c r="CB86" s="179"/>
      <c r="CC86" s="179"/>
      <c r="CD86" s="179"/>
      <c r="CE86" s="179"/>
    </row>
    <row r="87" ht="15.75" customHeight="1">
      <c r="A87" s="151">
        <v>41953.0</v>
      </c>
      <c r="B87" s="152">
        <v>1.0</v>
      </c>
      <c r="C87" s="152" t="s">
        <v>45</v>
      </c>
      <c r="D87" s="152">
        <v>2.0</v>
      </c>
      <c r="E87" s="153">
        <v>6438.0</v>
      </c>
      <c r="F87" s="154">
        <v>1.2</v>
      </c>
      <c r="G87" s="155">
        <v>7725.599999999999</v>
      </c>
      <c r="H87" s="159">
        <f>SUMIFS('Historical Orders'!$E87, 'Historical Orders'!$D87, "1", 'Historical Orders'!$C87, "A", 'Historical Orders'!$B87, "1")</f>
        <v>0</v>
      </c>
      <c r="I87" s="157">
        <f>SUMIFS('Historical Orders'!$G87, 'Historical Orders'!$D87, "1", 'Historical Orders'!$C87, "A", 'Historical Orders'!$B87, "1")</f>
        <v>0</v>
      </c>
      <c r="J87" s="157">
        <f>SUMIFS('Historical Orders'!$E87, 'Historical Orders'!$D87, "1", 'Historical Orders'!$C87, "B", 'Historical Orders'!$B87, "1")</f>
        <v>0</v>
      </c>
      <c r="K87" s="157">
        <f>SUMIFS('Historical Orders'!$G87, 'Historical Orders'!$D87, "1", 'Historical Orders'!$C87, "B", 'Historical Orders'!$B87, "1")</f>
        <v>0</v>
      </c>
      <c r="L87" s="159">
        <f>SUMIFS('Historical Orders'!$E87, 'Historical Orders'!$D87, "1", 'Historical Orders'!$C87, "A", 'Historical Orders'!$B87, "2")</f>
        <v>0</v>
      </c>
      <c r="M87" s="157">
        <f>SUMIFS('Historical Orders'!$G87, 'Historical Orders'!$D87, "1", 'Historical Orders'!$C87, "A", 'Historical Orders'!$B87, "2")</f>
        <v>0</v>
      </c>
      <c r="N87" s="157">
        <f>SUMIFS('Historical Orders'!$E87, 'Historical Orders'!$D87, "1", 'Historical Orders'!$C87, "B", 'Historical Orders'!$B87, "2")</f>
        <v>0</v>
      </c>
      <c r="O87" s="157">
        <f>SUMIFS('Historical Orders'!$G87, 'Historical Orders'!$D87, "1", 'Historical Orders'!$C87, "B", 'Historical Orders'!$B87, "2")</f>
        <v>0</v>
      </c>
      <c r="P87" s="159">
        <f>SUMIFS('Historical Orders'!$E87, 'Historical Orders'!$D87, "2", 'Historical Orders'!$C87, "A", 'Historical Orders'!$B87, "1")</f>
        <v>6438</v>
      </c>
      <c r="Q87" s="157">
        <f>SUMIFS('Historical Orders'!$G87, 'Historical Orders'!$D87, "2", 'Historical Orders'!$C87, "A", 'Historical Orders'!$B87, "1")</f>
        <v>7725.6</v>
      </c>
      <c r="R87" s="159">
        <f>SUMIFS('Historical Orders'!$E87, 'Historical Orders'!$D87, "2", 'Historical Orders'!$C87, "B", 'Historical Orders'!$B87, "1")</f>
        <v>0</v>
      </c>
      <c r="S87" s="157">
        <f>SUMIFS('Historical Orders'!$G87, 'Historical Orders'!$D87, "2", 'Historical Orders'!$C87, "B", 'Historical Orders'!$B87, "1")</f>
        <v>0</v>
      </c>
      <c r="T87" s="159">
        <f>SUMIFS('Historical Orders'!$E87, 'Historical Orders'!$D87, "2", 'Historical Orders'!$C87, "A", 'Historical Orders'!$B87, "2")</f>
        <v>0</v>
      </c>
      <c r="U87" s="157">
        <f>SUMIFS('Historical Orders'!$G87, 'Historical Orders'!$D87, "2", 'Historical Orders'!$C87, "A", 'Historical Orders'!$B87, "2")</f>
        <v>0</v>
      </c>
      <c r="V87" s="159">
        <f>SUMIFS('Historical Orders'!$E87, 'Historical Orders'!$D87, "2", 'Historical Orders'!$C87, "B", 'Historical Orders'!$B87, "2")</f>
        <v>0</v>
      </c>
      <c r="W87" s="159">
        <f>SUMIFS('Historical Orders'!$G87, 'Historical Orders'!$D87, "2", 'Historical Orders'!$C87, "B", 'Historical Orders'!$B87, "2")</f>
        <v>0</v>
      </c>
      <c r="X87" s="159">
        <f>SUMIFS('Historical Orders'!$E87, 'Historical Orders'!$D87, "3", 'Historical Orders'!$C87, "A", 'Historical Orders'!$B87, "1")</f>
        <v>0</v>
      </c>
      <c r="Y87" s="159">
        <f>SUMIFS('Historical Orders'!$G87, 'Historical Orders'!$D87, "3", 'Historical Orders'!$C87, "A", 'Historical Orders'!$B87, "1")</f>
        <v>0</v>
      </c>
      <c r="Z87" s="159">
        <f>SUMIFS('Historical Orders'!$E87, 'Historical Orders'!$D87, "3", 'Historical Orders'!$C87, "B", 'Historical Orders'!$B87, "1")</f>
        <v>0</v>
      </c>
      <c r="AA87" s="159">
        <f>SUMIFS('Historical Orders'!$G87, 'Historical Orders'!$D87, "3", 'Historical Orders'!$C87, "B", 'Historical Orders'!$B87, "1")</f>
        <v>0</v>
      </c>
      <c r="AB87" s="159">
        <f>SUMIFS('Historical Orders'!$E87, 'Historical Orders'!$D87, "3", 'Historical Orders'!$C87, "A", 'Historical Orders'!$B87, "2")</f>
        <v>0</v>
      </c>
      <c r="AC87" s="159">
        <f>SUMIFS('Historical Orders'!$G87, 'Historical Orders'!$D87, "3", 'Historical Orders'!$C87, "A", 'Historical Orders'!$B87, "2")</f>
        <v>0</v>
      </c>
      <c r="AD87" s="159">
        <f>SUMIFS('Historical Orders'!$E87, 'Historical Orders'!$D87, "3", 'Historical Orders'!$C87, "B", 'Historical Orders'!$B87, "2")</f>
        <v>0</v>
      </c>
      <c r="AE87" s="157">
        <f>SUMIFS('Historical Orders'!$G87, 'Historical Orders'!$D87, "3", 'Historical Orders'!$C87, "B", 'Historical Orders'!$B87, "2")</f>
        <v>0</v>
      </c>
      <c r="AF87" s="157">
        <f>SUMIFS('Historical Orders'!$E87, 'Historical Orders'!$D87, "4", 'Historical Orders'!$C87, "A", 'Historical Orders'!$B87, "1")</f>
        <v>0</v>
      </c>
      <c r="AG87" s="157">
        <f>SUMIFS('Historical Orders'!$G87, 'Historical Orders'!$D87, "4", 'Historical Orders'!$C87, "A", 'Historical Orders'!$B87, "1")</f>
        <v>0</v>
      </c>
      <c r="AH87" s="157">
        <f>SUMIFS('Historical Orders'!$E87, 'Historical Orders'!$D87, "4", 'Historical Orders'!$C87, "B", 'Historical Orders'!$B87, "1")</f>
        <v>0</v>
      </c>
      <c r="AI87" s="157">
        <f>SUMIFS('Historical Orders'!$G87, 'Historical Orders'!$D87, "4", 'Historical Orders'!$C87, "B", 'Historical Orders'!$B87, "1")</f>
        <v>0</v>
      </c>
      <c r="AJ87" s="157">
        <f>SUMIFS('Historical Orders'!$E87, 'Historical Orders'!$D87, "4", 'Historical Orders'!$C87, "A", 'Historical Orders'!$B87, "2")</f>
        <v>0</v>
      </c>
      <c r="AK87" s="157">
        <f>SUMIFS('Historical Orders'!$G87, 'Historical Orders'!$D87, "4", 'Historical Orders'!$C87, "A", 'Historical Orders'!$B87, "2")</f>
        <v>0</v>
      </c>
      <c r="AL87" s="171">
        <f>SUMIFS('Historical Orders'!$E87, 'Historical Orders'!$D87, "4", 'Historical Orders'!$C87, "B", 'Historical Orders'!$B87, "2")</f>
        <v>0</v>
      </c>
      <c r="AM87" s="171">
        <f>SUMIFS('Historical Orders'!$G87, 'Historical Orders'!$D87, "4", 'Historical Orders'!$C87, "B", 'Historical Orders'!$B87, "2")</f>
        <v>0</v>
      </c>
      <c r="AN87" s="171">
        <f>SUMIFS('Historical Orders'!$G87, 'Historical Orders'!$C87, "A", 'Historical Orders'!$B87, "1")</f>
        <v>7725.6</v>
      </c>
      <c r="AO87" s="171">
        <f>SUMIFS('Historical Orders'!$G87, 'Historical Orders'!$C87, "B", 'Historical Orders'!$B87, "1")</f>
        <v>0</v>
      </c>
      <c r="AP87" s="171">
        <f>SUMIFS('Historical Orders'!$G87, 'Historical Orders'!$C87, "A", 'Historical Orders'!$B87, "2")</f>
        <v>0</v>
      </c>
      <c r="AQ87" s="171">
        <f>SUMIFS('Historical Orders'!$G87, 'Historical Orders'!$C87, "B", 'Historical Orders'!$B87, "2")</f>
        <v>0</v>
      </c>
      <c r="AR87" s="145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9"/>
      <c r="BW87" s="179"/>
      <c r="BX87" s="179"/>
      <c r="BY87" s="179"/>
      <c r="BZ87" s="179"/>
      <c r="CA87" s="179"/>
      <c r="CB87" s="179"/>
      <c r="CC87" s="179"/>
      <c r="CD87" s="179"/>
      <c r="CE87" s="179"/>
    </row>
    <row r="88" ht="15.75" customHeight="1">
      <c r="A88" s="151">
        <v>41953.0</v>
      </c>
      <c r="B88" s="152">
        <v>2.0</v>
      </c>
      <c r="C88" s="152" t="s">
        <v>45</v>
      </c>
      <c r="D88" s="152">
        <v>1.0</v>
      </c>
      <c r="E88" s="153">
        <v>3750.0</v>
      </c>
      <c r="F88" s="154">
        <v>2.2</v>
      </c>
      <c r="G88" s="155">
        <v>8250.0</v>
      </c>
      <c r="H88" s="159">
        <f>SUMIFS('Historical Orders'!$E88, 'Historical Orders'!$D88, "1", 'Historical Orders'!$C88, "A", 'Historical Orders'!$B88, "1")</f>
        <v>0</v>
      </c>
      <c r="I88" s="157">
        <f>SUMIFS('Historical Orders'!$G88, 'Historical Orders'!$D88, "1", 'Historical Orders'!$C88, "A", 'Historical Orders'!$B88, "1")</f>
        <v>0</v>
      </c>
      <c r="J88" s="157">
        <f>SUMIFS('Historical Orders'!$E88, 'Historical Orders'!$D88, "1", 'Historical Orders'!$C88, "B", 'Historical Orders'!$B88, "1")</f>
        <v>0</v>
      </c>
      <c r="K88" s="157">
        <f>SUMIFS('Historical Orders'!$G88, 'Historical Orders'!$D88, "1", 'Historical Orders'!$C88, "B", 'Historical Orders'!$B88, "1")</f>
        <v>0</v>
      </c>
      <c r="L88" s="159">
        <f>SUMIFS('Historical Orders'!$E88, 'Historical Orders'!$D88, "1", 'Historical Orders'!$C88, "A", 'Historical Orders'!$B88, "2")</f>
        <v>3750</v>
      </c>
      <c r="M88" s="157">
        <f>SUMIFS('Historical Orders'!$G88, 'Historical Orders'!$D88, "1", 'Historical Orders'!$C88, "A", 'Historical Orders'!$B88, "2")</f>
        <v>8250</v>
      </c>
      <c r="N88" s="157">
        <f>SUMIFS('Historical Orders'!$E88, 'Historical Orders'!$D88, "1", 'Historical Orders'!$C88, "B", 'Historical Orders'!$B88, "2")</f>
        <v>0</v>
      </c>
      <c r="O88" s="157">
        <f>SUMIFS('Historical Orders'!$G88, 'Historical Orders'!$D88, "1", 'Historical Orders'!$C88, "B", 'Historical Orders'!$B88, "2")</f>
        <v>0</v>
      </c>
      <c r="P88" s="159">
        <f>SUMIFS('Historical Orders'!$E88, 'Historical Orders'!$D88, "2", 'Historical Orders'!$C88, "A", 'Historical Orders'!$B88, "1")</f>
        <v>0</v>
      </c>
      <c r="Q88" s="157">
        <f>SUMIFS('Historical Orders'!$G88, 'Historical Orders'!$D88, "2", 'Historical Orders'!$C88, "A", 'Historical Orders'!$B88, "1")</f>
        <v>0</v>
      </c>
      <c r="R88" s="159">
        <f>SUMIFS('Historical Orders'!$E88, 'Historical Orders'!$D88, "2", 'Historical Orders'!$C88, "B", 'Historical Orders'!$B88, "1")</f>
        <v>0</v>
      </c>
      <c r="S88" s="157">
        <f>SUMIFS('Historical Orders'!$G88, 'Historical Orders'!$D88, "2", 'Historical Orders'!$C88, "B", 'Historical Orders'!$B88, "1")</f>
        <v>0</v>
      </c>
      <c r="T88" s="159">
        <f>SUMIFS('Historical Orders'!$E88, 'Historical Orders'!$D88, "2", 'Historical Orders'!$C88, "A", 'Historical Orders'!$B88, "2")</f>
        <v>0</v>
      </c>
      <c r="U88" s="157">
        <f>SUMIFS('Historical Orders'!$G88, 'Historical Orders'!$D88, "2", 'Historical Orders'!$C88, "A", 'Historical Orders'!$B88, "2")</f>
        <v>0</v>
      </c>
      <c r="V88" s="159">
        <f>SUMIFS('Historical Orders'!$E88, 'Historical Orders'!$D88, "2", 'Historical Orders'!$C88, "B", 'Historical Orders'!$B88, "2")</f>
        <v>0</v>
      </c>
      <c r="W88" s="159">
        <f>SUMIFS('Historical Orders'!$G88, 'Historical Orders'!$D88, "2", 'Historical Orders'!$C88, "B", 'Historical Orders'!$B88, "2")</f>
        <v>0</v>
      </c>
      <c r="X88" s="159">
        <f>SUMIFS('Historical Orders'!$E88, 'Historical Orders'!$D88, "3", 'Historical Orders'!$C88, "A", 'Historical Orders'!$B88, "1")</f>
        <v>0</v>
      </c>
      <c r="Y88" s="159">
        <f>SUMIFS('Historical Orders'!$G88, 'Historical Orders'!$D88, "3", 'Historical Orders'!$C88, "A", 'Historical Orders'!$B88, "1")</f>
        <v>0</v>
      </c>
      <c r="Z88" s="159">
        <f>SUMIFS('Historical Orders'!$E88, 'Historical Orders'!$D88, "3", 'Historical Orders'!$C88, "B", 'Historical Orders'!$B88, "1")</f>
        <v>0</v>
      </c>
      <c r="AA88" s="159">
        <f>SUMIFS('Historical Orders'!$G88, 'Historical Orders'!$D88, "3", 'Historical Orders'!$C88, "B", 'Historical Orders'!$B88, "1")</f>
        <v>0</v>
      </c>
      <c r="AB88" s="159">
        <f>SUMIFS('Historical Orders'!$E88, 'Historical Orders'!$D88, "3", 'Historical Orders'!$C88, "A", 'Historical Orders'!$B88, "2")</f>
        <v>0</v>
      </c>
      <c r="AC88" s="159">
        <f>SUMIFS('Historical Orders'!$G88, 'Historical Orders'!$D88, "3", 'Historical Orders'!$C88, "A", 'Historical Orders'!$B88, "2")</f>
        <v>0</v>
      </c>
      <c r="AD88" s="159">
        <f>SUMIFS('Historical Orders'!$E88, 'Historical Orders'!$D88, "3", 'Historical Orders'!$C88, "B", 'Historical Orders'!$B88, "2")</f>
        <v>0</v>
      </c>
      <c r="AE88" s="157">
        <f>SUMIFS('Historical Orders'!$G88, 'Historical Orders'!$D88, "3", 'Historical Orders'!$C88, "B", 'Historical Orders'!$B88, "2")</f>
        <v>0</v>
      </c>
      <c r="AF88" s="157">
        <f>SUMIFS('Historical Orders'!$E88, 'Historical Orders'!$D88, "4", 'Historical Orders'!$C88, "A", 'Historical Orders'!$B88, "1")</f>
        <v>0</v>
      </c>
      <c r="AG88" s="157">
        <f>SUMIFS('Historical Orders'!$G88, 'Historical Orders'!$D88, "4", 'Historical Orders'!$C88, "A", 'Historical Orders'!$B88, "1")</f>
        <v>0</v>
      </c>
      <c r="AH88" s="157">
        <f>SUMIFS('Historical Orders'!$E88, 'Historical Orders'!$D88, "4", 'Historical Orders'!$C88, "B", 'Historical Orders'!$B88, "1")</f>
        <v>0</v>
      </c>
      <c r="AI88" s="157">
        <f>SUMIFS('Historical Orders'!$G88, 'Historical Orders'!$D88, "4", 'Historical Orders'!$C88, "B", 'Historical Orders'!$B88, "1")</f>
        <v>0</v>
      </c>
      <c r="AJ88" s="157">
        <f>SUMIFS('Historical Orders'!$E88, 'Historical Orders'!$D88, "4", 'Historical Orders'!$C88, "A", 'Historical Orders'!$B88, "2")</f>
        <v>0</v>
      </c>
      <c r="AK88" s="157">
        <f>SUMIFS('Historical Orders'!$G88, 'Historical Orders'!$D88, "4", 'Historical Orders'!$C88, "A", 'Historical Orders'!$B88, "2")</f>
        <v>0</v>
      </c>
      <c r="AL88" s="171">
        <f>SUMIFS('Historical Orders'!$E88, 'Historical Orders'!$D88, "4", 'Historical Orders'!$C88, "B", 'Historical Orders'!$B88, "2")</f>
        <v>0</v>
      </c>
      <c r="AM88" s="171">
        <f>SUMIFS('Historical Orders'!$G88, 'Historical Orders'!$D88, "4", 'Historical Orders'!$C88, "B", 'Historical Orders'!$B88, "2")</f>
        <v>0</v>
      </c>
      <c r="AN88" s="171">
        <f>SUMIFS('Historical Orders'!$G88, 'Historical Orders'!$C88, "A", 'Historical Orders'!$B88, "1")</f>
        <v>0</v>
      </c>
      <c r="AO88" s="171">
        <f>SUMIFS('Historical Orders'!$G88, 'Historical Orders'!$C88, "B", 'Historical Orders'!$B88, "1")</f>
        <v>0</v>
      </c>
      <c r="AP88" s="171">
        <f>SUMIFS('Historical Orders'!$G88, 'Historical Orders'!$C88, "A", 'Historical Orders'!$B88, "2")</f>
        <v>8250</v>
      </c>
      <c r="AQ88" s="171">
        <f>SUMIFS('Historical Orders'!$G88, 'Historical Orders'!$C88, "B", 'Historical Orders'!$B88, "2")</f>
        <v>0</v>
      </c>
      <c r="AR88" s="145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9"/>
      <c r="BW88" s="179"/>
      <c r="BX88" s="179"/>
      <c r="BY88" s="179"/>
      <c r="BZ88" s="179"/>
      <c r="CA88" s="179"/>
      <c r="CB88" s="179"/>
      <c r="CC88" s="179"/>
      <c r="CD88" s="179"/>
      <c r="CE88" s="179"/>
    </row>
    <row r="89" ht="15.75" customHeight="1">
      <c r="A89" s="151">
        <v>41953.0</v>
      </c>
      <c r="B89" s="152">
        <v>2.0</v>
      </c>
      <c r="C89" s="152" t="s">
        <v>45</v>
      </c>
      <c r="D89" s="152">
        <v>2.0</v>
      </c>
      <c r="E89" s="153">
        <v>6325.0</v>
      </c>
      <c r="F89" s="154">
        <v>1.2</v>
      </c>
      <c r="G89" s="155">
        <v>7590.0</v>
      </c>
      <c r="H89" s="159">
        <f>SUMIFS('Historical Orders'!$E89, 'Historical Orders'!$D89, "1", 'Historical Orders'!$C89, "A", 'Historical Orders'!$B89, "1")</f>
        <v>0</v>
      </c>
      <c r="I89" s="157">
        <f>SUMIFS('Historical Orders'!$G89, 'Historical Orders'!$D89, "1", 'Historical Orders'!$C89, "A", 'Historical Orders'!$B89, "1")</f>
        <v>0</v>
      </c>
      <c r="J89" s="157">
        <f>SUMIFS('Historical Orders'!$E89, 'Historical Orders'!$D89, "1", 'Historical Orders'!$C89, "B", 'Historical Orders'!$B89, "1")</f>
        <v>0</v>
      </c>
      <c r="K89" s="157">
        <f>SUMIFS('Historical Orders'!$G89, 'Historical Orders'!$D89, "1", 'Historical Orders'!$C89, "B", 'Historical Orders'!$B89, "1")</f>
        <v>0</v>
      </c>
      <c r="L89" s="159">
        <f>SUMIFS('Historical Orders'!$E89, 'Historical Orders'!$D89, "1", 'Historical Orders'!$C89, "A", 'Historical Orders'!$B89, "2")</f>
        <v>0</v>
      </c>
      <c r="M89" s="157">
        <f>SUMIFS('Historical Orders'!$G89, 'Historical Orders'!$D89, "1", 'Historical Orders'!$C89, "A", 'Historical Orders'!$B89, "2")</f>
        <v>0</v>
      </c>
      <c r="N89" s="157">
        <f>SUMIFS('Historical Orders'!$E89, 'Historical Orders'!$D89, "1", 'Historical Orders'!$C89, "B", 'Historical Orders'!$B89, "2")</f>
        <v>0</v>
      </c>
      <c r="O89" s="157">
        <f>SUMIFS('Historical Orders'!$G89, 'Historical Orders'!$D89, "1", 'Historical Orders'!$C89, "B", 'Historical Orders'!$B89, "2")</f>
        <v>0</v>
      </c>
      <c r="P89" s="159">
        <f>SUMIFS('Historical Orders'!$E89, 'Historical Orders'!$D89, "2", 'Historical Orders'!$C89, "A", 'Historical Orders'!$B89, "1")</f>
        <v>0</v>
      </c>
      <c r="Q89" s="157">
        <f>SUMIFS('Historical Orders'!$G89, 'Historical Orders'!$D89, "2", 'Historical Orders'!$C89, "A", 'Historical Orders'!$B89, "1")</f>
        <v>0</v>
      </c>
      <c r="R89" s="159">
        <f>SUMIFS('Historical Orders'!$E89, 'Historical Orders'!$D89, "2", 'Historical Orders'!$C89, "B", 'Historical Orders'!$B89, "1")</f>
        <v>0</v>
      </c>
      <c r="S89" s="157">
        <f>SUMIFS('Historical Orders'!$G89, 'Historical Orders'!$D89, "2", 'Historical Orders'!$C89, "B", 'Historical Orders'!$B89, "1")</f>
        <v>0</v>
      </c>
      <c r="T89" s="159">
        <f>SUMIFS('Historical Orders'!$E89, 'Historical Orders'!$D89, "2", 'Historical Orders'!$C89, "A", 'Historical Orders'!$B89, "2")</f>
        <v>6325</v>
      </c>
      <c r="U89" s="157">
        <f>SUMIFS('Historical Orders'!$G89, 'Historical Orders'!$D89, "2", 'Historical Orders'!$C89, "A", 'Historical Orders'!$B89, "2")</f>
        <v>7590</v>
      </c>
      <c r="V89" s="159">
        <f>SUMIFS('Historical Orders'!$E89, 'Historical Orders'!$D89, "2", 'Historical Orders'!$C89, "B", 'Historical Orders'!$B89, "2")</f>
        <v>0</v>
      </c>
      <c r="W89" s="159">
        <f>SUMIFS('Historical Orders'!$G89, 'Historical Orders'!$D89, "2", 'Historical Orders'!$C89, "B", 'Historical Orders'!$B89, "2")</f>
        <v>0</v>
      </c>
      <c r="X89" s="159">
        <f>SUMIFS('Historical Orders'!$E89, 'Historical Orders'!$D89, "3", 'Historical Orders'!$C89, "A", 'Historical Orders'!$B89, "1")</f>
        <v>0</v>
      </c>
      <c r="Y89" s="159">
        <f>SUMIFS('Historical Orders'!$G89, 'Historical Orders'!$D89, "3", 'Historical Orders'!$C89, "A", 'Historical Orders'!$B89, "1")</f>
        <v>0</v>
      </c>
      <c r="Z89" s="159">
        <f>SUMIFS('Historical Orders'!$E89, 'Historical Orders'!$D89, "3", 'Historical Orders'!$C89, "B", 'Historical Orders'!$B89, "1")</f>
        <v>0</v>
      </c>
      <c r="AA89" s="159">
        <f>SUMIFS('Historical Orders'!$G89, 'Historical Orders'!$D89, "3", 'Historical Orders'!$C89, "B", 'Historical Orders'!$B89, "1")</f>
        <v>0</v>
      </c>
      <c r="AB89" s="159">
        <f>SUMIFS('Historical Orders'!$E89, 'Historical Orders'!$D89, "3", 'Historical Orders'!$C89, "A", 'Historical Orders'!$B89, "2")</f>
        <v>0</v>
      </c>
      <c r="AC89" s="159">
        <f>SUMIFS('Historical Orders'!$G89, 'Historical Orders'!$D89, "3", 'Historical Orders'!$C89, "A", 'Historical Orders'!$B89, "2")</f>
        <v>0</v>
      </c>
      <c r="AD89" s="159">
        <f>SUMIFS('Historical Orders'!$E89, 'Historical Orders'!$D89, "3", 'Historical Orders'!$C89, "B", 'Historical Orders'!$B89, "2")</f>
        <v>0</v>
      </c>
      <c r="AE89" s="157">
        <f>SUMIFS('Historical Orders'!$G89, 'Historical Orders'!$D89, "3", 'Historical Orders'!$C89, "B", 'Historical Orders'!$B89, "2")</f>
        <v>0</v>
      </c>
      <c r="AF89" s="157">
        <f>SUMIFS('Historical Orders'!$E89, 'Historical Orders'!$D89, "4", 'Historical Orders'!$C89, "A", 'Historical Orders'!$B89, "1")</f>
        <v>0</v>
      </c>
      <c r="AG89" s="157">
        <f>SUMIFS('Historical Orders'!$G89, 'Historical Orders'!$D89, "4", 'Historical Orders'!$C89, "A", 'Historical Orders'!$B89, "1")</f>
        <v>0</v>
      </c>
      <c r="AH89" s="157">
        <f>SUMIFS('Historical Orders'!$E89, 'Historical Orders'!$D89, "4", 'Historical Orders'!$C89, "B", 'Historical Orders'!$B89, "1")</f>
        <v>0</v>
      </c>
      <c r="AI89" s="157">
        <f>SUMIFS('Historical Orders'!$G89, 'Historical Orders'!$D89, "4", 'Historical Orders'!$C89, "B", 'Historical Orders'!$B89, "1")</f>
        <v>0</v>
      </c>
      <c r="AJ89" s="157">
        <f>SUMIFS('Historical Orders'!$E89, 'Historical Orders'!$D89, "4", 'Historical Orders'!$C89, "A", 'Historical Orders'!$B89, "2")</f>
        <v>0</v>
      </c>
      <c r="AK89" s="157">
        <f>SUMIFS('Historical Orders'!$G89, 'Historical Orders'!$D89, "4", 'Historical Orders'!$C89, "A", 'Historical Orders'!$B89, "2")</f>
        <v>0</v>
      </c>
      <c r="AL89" s="171">
        <f>SUMIFS('Historical Orders'!$E89, 'Historical Orders'!$D89, "4", 'Historical Orders'!$C89, "B", 'Historical Orders'!$B89, "2")</f>
        <v>0</v>
      </c>
      <c r="AM89" s="171">
        <f>SUMIFS('Historical Orders'!$G89, 'Historical Orders'!$D89, "4", 'Historical Orders'!$C89, "B", 'Historical Orders'!$B89, "2")</f>
        <v>0</v>
      </c>
      <c r="AN89" s="171">
        <f>SUMIFS('Historical Orders'!$G89, 'Historical Orders'!$C89, "A", 'Historical Orders'!$B89, "1")</f>
        <v>0</v>
      </c>
      <c r="AO89" s="171">
        <f>SUMIFS('Historical Orders'!$G89, 'Historical Orders'!$C89, "B", 'Historical Orders'!$B89, "1")</f>
        <v>0</v>
      </c>
      <c r="AP89" s="171">
        <f>SUMIFS('Historical Orders'!$G89, 'Historical Orders'!$C89, "A", 'Historical Orders'!$B89, "2")</f>
        <v>7590</v>
      </c>
      <c r="AQ89" s="171">
        <f>SUMIFS('Historical Orders'!$G89, 'Historical Orders'!$C89, "B", 'Historical Orders'!$B89, "2")</f>
        <v>0</v>
      </c>
      <c r="AR89" s="145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  <c r="BT89" s="172"/>
      <c r="BU89" s="172"/>
      <c r="BV89" s="179"/>
      <c r="BW89" s="179"/>
      <c r="BX89" s="179"/>
      <c r="BY89" s="179"/>
      <c r="BZ89" s="179"/>
      <c r="CA89" s="179"/>
      <c r="CB89" s="179"/>
      <c r="CC89" s="179"/>
      <c r="CD89" s="179"/>
      <c r="CE89" s="179"/>
    </row>
    <row r="90" ht="15.75" customHeight="1">
      <c r="A90" s="151">
        <v>41953.0</v>
      </c>
      <c r="B90" s="152">
        <v>1.0</v>
      </c>
      <c r="C90" s="152" t="s">
        <v>46</v>
      </c>
      <c r="D90" s="152">
        <v>3.0</v>
      </c>
      <c r="E90" s="153">
        <v>1875.0</v>
      </c>
      <c r="F90" s="154">
        <v>8.3</v>
      </c>
      <c r="G90" s="155">
        <v>15562.500000000002</v>
      </c>
      <c r="H90" s="159">
        <f>SUMIFS('Historical Orders'!$E90, 'Historical Orders'!$D90, "1", 'Historical Orders'!$C90, "A", 'Historical Orders'!$B90, "1")</f>
        <v>0</v>
      </c>
      <c r="I90" s="157">
        <f>SUMIFS('Historical Orders'!$G90, 'Historical Orders'!$D90, "1", 'Historical Orders'!$C90, "A", 'Historical Orders'!$B90, "1")</f>
        <v>0</v>
      </c>
      <c r="J90" s="157">
        <f>SUMIFS('Historical Orders'!$E90, 'Historical Orders'!$D90, "1", 'Historical Orders'!$C90, "B", 'Historical Orders'!$B90, "1")</f>
        <v>0</v>
      </c>
      <c r="K90" s="157">
        <f>SUMIFS('Historical Orders'!$G90, 'Historical Orders'!$D90, "1", 'Historical Orders'!$C90, "B", 'Historical Orders'!$B90, "1")</f>
        <v>0</v>
      </c>
      <c r="L90" s="159">
        <f>SUMIFS('Historical Orders'!$E90, 'Historical Orders'!$D90, "1", 'Historical Orders'!$C90, "A", 'Historical Orders'!$B90, "2")</f>
        <v>0</v>
      </c>
      <c r="M90" s="157">
        <f>SUMIFS('Historical Orders'!$G90, 'Historical Orders'!$D90, "1", 'Historical Orders'!$C90, "A", 'Historical Orders'!$B90, "2")</f>
        <v>0</v>
      </c>
      <c r="N90" s="157">
        <f>SUMIFS('Historical Orders'!$E90, 'Historical Orders'!$D90, "1", 'Historical Orders'!$C90, "B", 'Historical Orders'!$B90, "2")</f>
        <v>0</v>
      </c>
      <c r="O90" s="157">
        <f>SUMIFS('Historical Orders'!$G90, 'Historical Orders'!$D90, "1", 'Historical Orders'!$C90, "B", 'Historical Orders'!$B90, "2")</f>
        <v>0</v>
      </c>
      <c r="P90" s="159">
        <f>SUMIFS('Historical Orders'!$E90, 'Historical Orders'!$D90, "2", 'Historical Orders'!$C90, "A", 'Historical Orders'!$B90, "1")</f>
        <v>0</v>
      </c>
      <c r="Q90" s="157">
        <f>SUMIFS('Historical Orders'!$G90, 'Historical Orders'!$D90, "2", 'Historical Orders'!$C90, "A", 'Historical Orders'!$B90, "1")</f>
        <v>0</v>
      </c>
      <c r="R90" s="159">
        <f>SUMIFS('Historical Orders'!$E90, 'Historical Orders'!$D90, "2", 'Historical Orders'!$C90, "B", 'Historical Orders'!$B90, "1")</f>
        <v>0</v>
      </c>
      <c r="S90" s="157">
        <f>SUMIFS('Historical Orders'!$G90, 'Historical Orders'!$D90, "2", 'Historical Orders'!$C90, "B", 'Historical Orders'!$B90, "1")</f>
        <v>0</v>
      </c>
      <c r="T90" s="159">
        <f>SUMIFS('Historical Orders'!$E90, 'Historical Orders'!$D90, "2", 'Historical Orders'!$C90, "A", 'Historical Orders'!$B90, "2")</f>
        <v>0</v>
      </c>
      <c r="U90" s="157">
        <f>SUMIFS('Historical Orders'!$G90, 'Historical Orders'!$D90, "2", 'Historical Orders'!$C90, "A", 'Historical Orders'!$B90, "2")</f>
        <v>0</v>
      </c>
      <c r="V90" s="159">
        <f>SUMIFS('Historical Orders'!$E90, 'Historical Orders'!$D90, "2", 'Historical Orders'!$C90, "B", 'Historical Orders'!$B90, "2")</f>
        <v>0</v>
      </c>
      <c r="W90" s="159">
        <f>SUMIFS('Historical Orders'!$G90, 'Historical Orders'!$D90, "2", 'Historical Orders'!$C90, "B", 'Historical Orders'!$B90, "2")</f>
        <v>0</v>
      </c>
      <c r="X90" s="159">
        <f>SUMIFS('Historical Orders'!$E90, 'Historical Orders'!$D90, "3", 'Historical Orders'!$C90, "A", 'Historical Orders'!$B90, "1")</f>
        <v>0</v>
      </c>
      <c r="Y90" s="159">
        <f>SUMIFS('Historical Orders'!$G90, 'Historical Orders'!$D90, "3", 'Historical Orders'!$C90, "A", 'Historical Orders'!$B90, "1")</f>
        <v>0</v>
      </c>
      <c r="Z90" s="159">
        <f>SUMIFS('Historical Orders'!$E90, 'Historical Orders'!$D90, "3", 'Historical Orders'!$C90, "B", 'Historical Orders'!$B90, "1")</f>
        <v>1875</v>
      </c>
      <c r="AA90" s="159">
        <f>SUMIFS('Historical Orders'!$G90, 'Historical Orders'!$D90, "3", 'Historical Orders'!$C90, "B", 'Historical Orders'!$B90, "1")</f>
        <v>15562.5</v>
      </c>
      <c r="AB90" s="159">
        <f>SUMIFS('Historical Orders'!$E90, 'Historical Orders'!$D90, "3", 'Historical Orders'!$C90, "A", 'Historical Orders'!$B90, "2")</f>
        <v>0</v>
      </c>
      <c r="AC90" s="159">
        <f>SUMIFS('Historical Orders'!$G90, 'Historical Orders'!$D90, "3", 'Historical Orders'!$C90, "A", 'Historical Orders'!$B90, "2")</f>
        <v>0</v>
      </c>
      <c r="AD90" s="159">
        <f>SUMIFS('Historical Orders'!$E90, 'Historical Orders'!$D90, "3", 'Historical Orders'!$C90, "B", 'Historical Orders'!$B90, "2")</f>
        <v>0</v>
      </c>
      <c r="AE90" s="157">
        <f>SUMIFS('Historical Orders'!$G90, 'Historical Orders'!$D90, "3", 'Historical Orders'!$C90, "B", 'Historical Orders'!$B90, "2")</f>
        <v>0</v>
      </c>
      <c r="AF90" s="157">
        <f>SUMIFS('Historical Orders'!$E90, 'Historical Orders'!$D90, "4", 'Historical Orders'!$C90, "A", 'Historical Orders'!$B90, "1")</f>
        <v>0</v>
      </c>
      <c r="AG90" s="157">
        <f>SUMIFS('Historical Orders'!$G90, 'Historical Orders'!$D90, "4", 'Historical Orders'!$C90, "A", 'Historical Orders'!$B90, "1")</f>
        <v>0</v>
      </c>
      <c r="AH90" s="157">
        <f>SUMIFS('Historical Orders'!$E90, 'Historical Orders'!$D90, "4", 'Historical Orders'!$C90, "B", 'Historical Orders'!$B90, "1")</f>
        <v>0</v>
      </c>
      <c r="AI90" s="157">
        <f>SUMIFS('Historical Orders'!$G90, 'Historical Orders'!$D90, "4", 'Historical Orders'!$C90, "B", 'Historical Orders'!$B90, "1")</f>
        <v>0</v>
      </c>
      <c r="AJ90" s="157">
        <f>SUMIFS('Historical Orders'!$E90, 'Historical Orders'!$D90, "4", 'Historical Orders'!$C90, "A", 'Historical Orders'!$B90, "2")</f>
        <v>0</v>
      </c>
      <c r="AK90" s="157">
        <f>SUMIFS('Historical Orders'!$G90, 'Historical Orders'!$D90, "4", 'Historical Orders'!$C90, "A", 'Historical Orders'!$B90, "2")</f>
        <v>0</v>
      </c>
      <c r="AL90" s="171">
        <f>SUMIFS('Historical Orders'!$E90, 'Historical Orders'!$D90, "4", 'Historical Orders'!$C90, "B", 'Historical Orders'!$B90, "2")</f>
        <v>0</v>
      </c>
      <c r="AM90" s="171">
        <f>SUMIFS('Historical Orders'!$G90, 'Historical Orders'!$D90, "4", 'Historical Orders'!$C90, "B", 'Historical Orders'!$B90, "2")</f>
        <v>0</v>
      </c>
      <c r="AN90" s="171">
        <f>SUMIFS('Historical Orders'!$G90, 'Historical Orders'!$C90, "A", 'Historical Orders'!$B90, "1")</f>
        <v>0</v>
      </c>
      <c r="AO90" s="171">
        <f>SUMIFS('Historical Orders'!$G90, 'Historical Orders'!$C90, "B", 'Historical Orders'!$B90, "1")</f>
        <v>15562.5</v>
      </c>
      <c r="AP90" s="171">
        <f>SUMIFS('Historical Orders'!$G90, 'Historical Orders'!$C90, "A", 'Historical Orders'!$B90, "2")</f>
        <v>0</v>
      </c>
      <c r="AQ90" s="171">
        <f>SUMIFS('Historical Orders'!$G90, 'Historical Orders'!$C90, "B", 'Historical Orders'!$B90, "2")</f>
        <v>0</v>
      </c>
      <c r="AR90" s="145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9"/>
      <c r="BW90" s="179"/>
      <c r="BX90" s="179"/>
      <c r="BY90" s="179"/>
      <c r="BZ90" s="179"/>
      <c r="CA90" s="179"/>
      <c r="CB90" s="179"/>
      <c r="CC90" s="179"/>
      <c r="CD90" s="179"/>
      <c r="CE90" s="179"/>
    </row>
    <row r="91" ht="15.75" customHeight="1">
      <c r="A91" s="151">
        <v>41953.0</v>
      </c>
      <c r="B91" s="152">
        <v>2.0</v>
      </c>
      <c r="C91" s="152" t="s">
        <v>46</v>
      </c>
      <c r="D91" s="152">
        <v>3.0</v>
      </c>
      <c r="E91" s="153">
        <v>2515.0</v>
      </c>
      <c r="F91" s="154">
        <v>8.3</v>
      </c>
      <c r="G91" s="155">
        <v>20874.5</v>
      </c>
      <c r="H91" s="159">
        <f>SUMIFS('Historical Orders'!$E91, 'Historical Orders'!$D91, "1", 'Historical Orders'!$C91, "A", 'Historical Orders'!$B91, "1")</f>
        <v>0</v>
      </c>
      <c r="I91" s="157">
        <f>SUMIFS('Historical Orders'!$G91, 'Historical Orders'!$D91, "1", 'Historical Orders'!$C91, "A", 'Historical Orders'!$B91, "1")</f>
        <v>0</v>
      </c>
      <c r="J91" s="157">
        <f>SUMIFS('Historical Orders'!$E91, 'Historical Orders'!$D91, "1", 'Historical Orders'!$C91, "B", 'Historical Orders'!$B91, "1")</f>
        <v>0</v>
      </c>
      <c r="K91" s="157">
        <f>SUMIFS('Historical Orders'!$G91, 'Historical Orders'!$D91, "1", 'Historical Orders'!$C91, "B", 'Historical Orders'!$B91, "1")</f>
        <v>0</v>
      </c>
      <c r="L91" s="159">
        <f>SUMIFS('Historical Orders'!$E91, 'Historical Orders'!$D91, "1", 'Historical Orders'!$C91, "A", 'Historical Orders'!$B91, "2")</f>
        <v>0</v>
      </c>
      <c r="M91" s="157">
        <f>SUMIFS('Historical Orders'!$G91, 'Historical Orders'!$D91, "1", 'Historical Orders'!$C91, "A", 'Historical Orders'!$B91, "2")</f>
        <v>0</v>
      </c>
      <c r="N91" s="157">
        <f>SUMIFS('Historical Orders'!$E91, 'Historical Orders'!$D91, "1", 'Historical Orders'!$C91, "B", 'Historical Orders'!$B91, "2")</f>
        <v>0</v>
      </c>
      <c r="O91" s="157">
        <f>SUMIFS('Historical Orders'!$G91, 'Historical Orders'!$D91, "1", 'Historical Orders'!$C91, "B", 'Historical Orders'!$B91, "2")</f>
        <v>0</v>
      </c>
      <c r="P91" s="159">
        <f>SUMIFS('Historical Orders'!$E91, 'Historical Orders'!$D91, "2", 'Historical Orders'!$C91, "A", 'Historical Orders'!$B91, "1")</f>
        <v>0</v>
      </c>
      <c r="Q91" s="157">
        <f>SUMIFS('Historical Orders'!$G91, 'Historical Orders'!$D91, "2", 'Historical Orders'!$C91, "A", 'Historical Orders'!$B91, "1")</f>
        <v>0</v>
      </c>
      <c r="R91" s="159">
        <f>SUMIFS('Historical Orders'!$E91, 'Historical Orders'!$D91, "2", 'Historical Orders'!$C91, "B", 'Historical Orders'!$B91, "1")</f>
        <v>0</v>
      </c>
      <c r="S91" s="157">
        <f>SUMIFS('Historical Orders'!$G91, 'Historical Orders'!$D91, "2", 'Historical Orders'!$C91, "B", 'Historical Orders'!$B91, "1")</f>
        <v>0</v>
      </c>
      <c r="T91" s="159">
        <f>SUMIFS('Historical Orders'!$E91, 'Historical Orders'!$D91, "2", 'Historical Orders'!$C91, "A", 'Historical Orders'!$B91, "2")</f>
        <v>0</v>
      </c>
      <c r="U91" s="157">
        <f>SUMIFS('Historical Orders'!$G91, 'Historical Orders'!$D91, "2", 'Historical Orders'!$C91, "A", 'Historical Orders'!$B91, "2")</f>
        <v>0</v>
      </c>
      <c r="V91" s="159">
        <f>SUMIFS('Historical Orders'!$E91, 'Historical Orders'!$D91, "2", 'Historical Orders'!$C91, "B", 'Historical Orders'!$B91, "2")</f>
        <v>0</v>
      </c>
      <c r="W91" s="159">
        <f>SUMIFS('Historical Orders'!$G91, 'Historical Orders'!$D91, "2", 'Historical Orders'!$C91, "B", 'Historical Orders'!$B91, "2")</f>
        <v>0</v>
      </c>
      <c r="X91" s="159">
        <f>SUMIFS('Historical Orders'!$E91, 'Historical Orders'!$D91, "3", 'Historical Orders'!$C91, "A", 'Historical Orders'!$B91, "1")</f>
        <v>0</v>
      </c>
      <c r="Y91" s="159">
        <f>SUMIFS('Historical Orders'!$G91, 'Historical Orders'!$D91, "3", 'Historical Orders'!$C91, "A", 'Historical Orders'!$B91, "1")</f>
        <v>0</v>
      </c>
      <c r="Z91" s="159">
        <f>SUMIFS('Historical Orders'!$E91, 'Historical Orders'!$D91, "3", 'Historical Orders'!$C91, "B", 'Historical Orders'!$B91, "1")</f>
        <v>0</v>
      </c>
      <c r="AA91" s="159">
        <f>SUMIFS('Historical Orders'!$G91, 'Historical Orders'!$D91, "3", 'Historical Orders'!$C91, "B", 'Historical Orders'!$B91, "1")</f>
        <v>0</v>
      </c>
      <c r="AB91" s="159">
        <f>SUMIFS('Historical Orders'!$E91, 'Historical Orders'!$D91, "3", 'Historical Orders'!$C91, "A", 'Historical Orders'!$B91, "2")</f>
        <v>0</v>
      </c>
      <c r="AC91" s="159">
        <f>SUMIFS('Historical Orders'!$G91, 'Historical Orders'!$D91, "3", 'Historical Orders'!$C91, "A", 'Historical Orders'!$B91, "2")</f>
        <v>0</v>
      </c>
      <c r="AD91" s="159">
        <f>SUMIFS('Historical Orders'!$E91, 'Historical Orders'!$D91, "3", 'Historical Orders'!$C91, "B", 'Historical Orders'!$B91, "2")</f>
        <v>2515</v>
      </c>
      <c r="AE91" s="157">
        <f>SUMIFS('Historical Orders'!$G91, 'Historical Orders'!$D91, "3", 'Historical Orders'!$C91, "B", 'Historical Orders'!$B91, "2")</f>
        <v>20874.5</v>
      </c>
      <c r="AF91" s="157">
        <f>SUMIFS('Historical Orders'!$E91, 'Historical Orders'!$D91, "4", 'Historical Orders'!$C91, "A", 'Historical Orders'!$B91, "1")</f>
        <v>0</v>
      </c>
      <c r="AG91" s="157">
        <f>SUMIFS('Historical Orders'!$G91, 'Historical Orders'!$D91, "4", 'Historical Orders'!$C91, "A", 'Historical Orders'!$B91, "1")</f>
        <v>0</v>
      </c>
      <c r="AH91" s="157">
        <f>SUMIFS('Historical Orders'!$E91, 'Historical Orders'!$D91, "4", 'Historical Orders'!$C91, "B", 'Historical Orders'!$B91, "1")</f>
        <v>0</v>
      </c>
      <c r="AI91" s="157">
        <f>SUMIFS('Historical Orders'!$G91, 'Historical Orders'!$D91, "4", 'Historical Orders'!$C91, "B", 'Historical Orders'!$B91, "1")</f>
        <v>0</v>
      </c>
      <c r="AJ91" s="157">
        <f>SUMIFS('Historical Orders'!$E91, 'Historical Orders'!$D91, "4", 'Historical Orders'!$C91, "A", 'Historical Orders'!$B91, "2")</f>
        <v>0</v>
      </c>
      <c r="AK91" s="157">
        <f>SUMIFS('Historical Orders'!$G91, 'Historical Orders'!$D91, "4", 'Historical Orders'!$C91, "A", 'Historical Orders'!$B91, "2")</f>
        <v>0</v>
      </c>
      <c r="AL91" s="171">
        <f>SUMIFS('Historical Orders'!$E91, 'Historical Orders'!$D91, "4", 'Historical Orders'!$C91, "B", 'Historical Orders'!$B91, "2")</f>
        <v>0</v>
      </c>
      <c r="AM91" s="171">
        <f>SUMIFS('Historical Orders'!$G91, 'Historical Orders'!$D91, "4", 'Historical Orders'!$C91, "B", 'Historical Orders'!$B91, "2")</f>
        <v>0</v>
      </c>
      <c r="AN91" s="171">
        <f>SUMIFS('Historical Orders'!$G91, 'Historical Orders'!$C91, "A", 'Historical Orders'!$B91, "1")</f>
        <v>0</v>
      </c>
      <c r="AO91" s="171">
        <f>SUMIFS('Historical Orders'!$G91, 'Historical Orders'!$C91, "B", 'Historical Orders'!$B91, "1")</f>
        <v>0</v>
      </c>
      <c r="AP91" s="171">
        <f>SUMIFS('Historical Orders'!$G91, 'Historical Orders'!$C91, "A", 'Historical Orders'!$B91, "2")</f>
        <v>0</v>
      </c>
      <c r="AQ91" s="171">
        <f>SUMIFS('Historical Orders'!$G91, 'Historical Orders'!$C91, "B", 'Historical Orders'!$B91, "2")</f>
        <v>20874.5</v>
      </c>
      <c r="AR91" s="145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9"/>
      <c r="BW91" s="179"/>
      <c r="BX91" s="179"/>
      <c r="BY91" s="179"/>
      <c r="BZ91" s="179"/>
      <c r="CA91" s="179"/>
      <c r="CB91" s="179"/>
      <c r="CC91" s="179"/>
      <c r="CD91" s="179"/>
      <c r="CE91" s="179"/>
    </row>
    <row r="92" ht="15.75" customHeight="1">
      <c r="A92" s="151">
        <v>41960.0</v>
      </c>
      <c r="B92" s="152">
        <v>1.0</v>
      </c>
      <c r="C92" s="152" t="s">
        <v>45</v>
      </c>
      <c r="D92" s="152">
        <v>1.0</v>
      </c>
      <c r="E92" s="153">
        <v>3560.0</v>
      </c>
      <c r="F92" s="154">
        <v>2.2</v>
      </c>
      <c r="G92" s="155">
        <v>7832.000000000001</v>
      </c>
      <c r="H92" s="159">
        <f>SUMIFS('Historical Orders'!$E92, 'Historical Orders'!$D92, "1", 'Historical Orders'!$C92, "A", 'Historical Orders'!$B92, "1")</f>
        <v>3560</v>
      </c>
      <c r="I92" s="157">
        <f>SUMIFS('Historical Orders'!$G92, 'Historical Orders'!$D92, "1", 'Historical Orders'!$C92, "A", 'Historical Orders'!$B92, "1")</f>
        <v>7832</v>
      </c>
      <c r="J92" s="157">
        <f>SUMIFS('Historical Orders'!$E92, 'Historical Orders'!$D92, "1", 'Historical Orders'!$C92, "B", 'Historical Orders'!$B92, "1")</f>
        <v>0</v>
      </c>
      <c r="K92" s="157">
        <f>SUMIFS('Historical Orders'!$G92, 'Historical Orders'!$D92, "1", 'Historical Orders'!$C92, "B", 'Historical Orders'!$B92, "1")</f>
        <v>0</v>
      </c>
      <c r="L92" s="159">
        <f>SUMIFS('Historical Orders'!$E92, 'Historical Orders'!$D92, "1", 'Historical Orders'!$C92, "A", 'Historical Orders'!$B92, "2")</f>
        <v>0</v>
      </c>
      <c r="M92" s="157">
        <f>SUMIFS('Historical Orders'!$G92, 'Historical Orders'!$D92, "1", 'Historical Orders'!$C92, "A", 'Historical Orders'!$B92, "2")</f>
        <v>0</v>
      </c>
      <c r="N92" s="157">
        <f>SUMIFS('Historical Orders'!$E92, 'Historical Orders'!$D92, "1", 'Historical Orders'!$C92, "B", 'Historical Orders'!$B92, "2")</f>
        <v>0</v>
      </c>
      <c r="O92" s="157">
        <f>SUMIFS('Historical Orders'!$G92, 'Historical Orders'!$D92, "1", 'Historical Orders'!$C92, "B", 'Historical Orders'!$B92, "2")</f>
        <v>0</v>
      </c>
      <c r="P92" s="159">
        <f>SUMIFS('Historical Orders'!$E92, 'Historical Orders'!$D92, "2", 'Historical Orders'!$C92, "A", 'Historical Orders'!$B92, "1")</f>
        <v>0</v>
      </c>
      <c r="Q92" s="157">
        <f>SUMIFS('Historical Orders'!$G92, 'Historical Orders'!$D92, "2", 'Historical Orders'!$C92, "A", 'Historical Orders'!$B92, "1")</f>
        <v>0</v>
      </c>
      <c r="R92" s="159">
        <f>SUMIFS('Historical Orders'!$E92, 'Historical Orders'!$D92, "2", 'Historical Orders'!$C92, "B", 'Historical Orders'!$B92, "1")</f>
        <v>0</v>
      </c>
      <c r="S92" s="157">
        <f>SUMIFS('Historical Orders'!$G92, 'Historical Orders'!$D92, "2", 'Historical Orders'!$C92, "B", 'Historical Orders'!$B92, "1")</f>
        <v>0</v>
      </c>
      <c r="T92" s="159">
        <f>SUMIFS('Historical Orders'!$E92, 'Historical Orders'!$D92, "2", 'Historical Orders'!$C92, "A", 'Historical Orders'!$B92, "2")</f>
        <v>0</v>
      </c>
      <c r="U92" s="157">
        <f>SUMIFS('Historical Orders'!$G92, 'Historical Orders'!$D92, "2", 'Historical Orders'!$C92, "A", 'Historical Orders'!$B92, "2")</f>
        <v>0</v>
      </c>
      <c r="V92" s="159">
        <f>SUMIFS('Historical Orders'!$E92, 'Historical Orders'!$D92, "2", 'Historical Orders'!$C92, "B", 'Historical Orders'!$B92, "2")</f>
        <v>0</v>
      </c>
      <c r="W92" s="159">
        <f>SUMIFS('Historical Orders'!$G92, 'Historical Orders'!$D92, "2", 'Historical Orders'!$C92, "B", 'Historical Orders'!$B92, "2")</f>
        <v>0</v>
      </c>
      <c r="X92" s="159">
        <f>SUMIFS('Historical Orders'!$E92, 'Historical Orders'!$D92, "3", 'Historical Orders'!$C92, "A", 'Historical Orders'!$B92, "1")</f>
        <v>0</v>
      </c>
      <c r="Y92" s="159">
        <f>SUMIFS('Historical Orders'!$G92, 'Historical Orders'!$D92, "3", 'Historical Orders'!$C92, "A", 'Historical Orders'!$B92, "1")</f>
        <v>0</v>
      </c>
      <c r="Z92" s="159">
        <f>SUMIFS('Historical Orders'!$E92, 'Historical Orders'!$D92, "3", 'Historical Orders'!$C92, "B", 'Historical Orders'!$B92, "1")</f>
        <v>0</v>
      </c>
      <c r="AA92" s="159">
        <f>SUMIFS('Historical Orders'!$G92, 'Historical Orders'!$D92, "3", 'Historical Orders'!$C92, "B", 'Historical Orders'!$B92, "1")</f>
        <v>0</v>
      </c>
      <c r="AB92" s="159">
        <f>SUMIFS('Historical Orders'!$E92, 'Historical Orders'!$D92, "3", 'Historical Orders'!$C92, "A", 'Historical Orders'!$B92, "2")</f>
        <v>0</v>
      </c>
      <c r="AC92" s="159">
        <f>SUMIFS('Historical Orders'!$G92, 'Historical Orders'!$D92, "3", 'Historical Orders'!$C92, "A", 'Historical Orders'!$B92, "2")</f>
        <v>0</v>
      </c>
      <c r="AD92" s="159">
        <f>SUMIFS('Historical Orders'!$E92, 'Historical Orders'!$D92, "3", 'Historical Orders'!$C92, "B", 'Historical Orders'!$B92, "2")</f>
        <v>0</v>
      </c>
      <c r="AE92" s="157">
        <f>SUMIFS('Historical Orders'!$G92, 'Historical Orders'!$D92, "3", 'Historical Orders'!$C92, "B", 'Historical Orders'!$B92, "2")</f>
        <v>0</v>
      </c>
      <c r="AF92" s="157">
        <f>SUMIFS('Historical Orders'!$E92, 'Historical Orders'!$D92, "4", 'Historical Orders'!$C92, "A", 'Historical Orders'!$B92, "1")</f>
        <v>0</v>
      </c>
      <c r="AG92" s="157">
        <f>SUMIFS('Historical Orders'!$G92, 'Historical Orders'!$D92, "4", 'Historical Orders'!$C92, "A", 'Historical Orders'!$B92, "1")</f>
        <v>0</v>
      </c>
      <c r="AH92" s="157">
        <f>SUMIFS('Historical Orders'!$E92, 'Historical Orders'!$D92, "4", 'Historical Orders'!$C92, "B", 'Historical Orders'!$B92, "1")</f>
        <v>0</v>
      </c>
      <c r="AI92" s="157">
        <f>SUMIFS('Historical Orders'!$G92, 'Historical Orders'!$D92, "4", 'Historical Orders'!$C92, "B", 'Historical Orders'!$B92, "1")</f>
        <v>0</v>
      </c>
      <c r="AJ92" s="157">
        <f>SUMIFS('Historical Orders'!$E92, 'Historical Orders'!$D92, "4", 'Historical Orders'!$C92, "A", 'Historical Orders'!$B92, "2")</f>
        <v>0</v>
      </c>
      <c r="AK92" s="157">
        <f>SUMIFS('Historical Orders'!$G92, 'Historical Orders'!$D92, "4", 'Historical Orders'!$C92, "A", 'Historical Orders'!$B92, "2")</f>
        <v>0</v>
      </c>
      <c r="AL92" s="171">
        <f>SUMIFS('Historical Orders'!$E92, 'Historical Orders'!$D92, "4", 'Historical Orders'!$C92, "B", 'Historical Orders'!$B92, "2")</f>
        <v>0</v>
      </c>
      <c r="AM92" s="171">
        <f>SUMIFS('Historical Orders'!$G92, 'Historical Orders'!$D92, "4", 'Historical Orders'!$C92, "B", 'Historical Orders'!$B92, "2")</f>
        <v>0</v>
      </c>
      <c r="AN92" s="171">
        <f>SUMIFS('Historical Orders'!$G92, 'Historical Orders'!$C92, "A", 'Historical Orders'!$B92, "1")</f>
        <v>7832</v>
      </c>
      <c r="AO92" s="171">
        <f>SUMIFS('Historical Orders'!$G92, 'Historical Orders'!$C92, "B", 'Historical Orders'!$B92, "1")</f>
        <v>0</v>
      </c>
      <c r="AP92" s="171">
        <f>SUMIFS('Historical Orders'!$G92, 'Historical Orders'!$C92, "A", 'Historical Orders'!$B92, "2")</f>
        <v>0</v>
      </c>
      <c r="AQ92" s="171">
        <f>SUMIFS('Historical Orders'!$G92, 'Historical Orders'!$C92, "B", 'Historical Orders'!$B92, "2")</f>
        <v>0</v>
      </c>
      <c r="AR92" s="145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9"/>
      <c r="BW92" s="179"/>
      <c r="BX92" s="179"/>
      <c r="BY92" s="179"/>
      <c r="BZ92" s="179"/>
      <c r="CA92" s="179"/>
      <c r="CB92" s="179"/>
      <c r="CC92" s="179"/>
      <c r="CD92" s="179"/>
      <c r="CE92" s="179"/>
    </row>
    <row r="93" ht="15.75" customHeight="1">
      <c r="A93" s="151">
        <v>41960.0</v>
      </c>
      <c r="B93" s="152">
        <v>1.0</v>
      </c>
      <c r="C93" s="152" t="s">
        <v>45</v>
      </c>
      <c r="D93" s="152">
        <v>2.0</v>
      </c>
      <c r="E93" s="153">
        <v>5746.0</v>
      </c>
      <c r="F93" s="154">
        <v>1.2</v>
      </c>
      <c r="G93" s="155">
        <v>6895.2</v>
      </c>
      <c r="H93" s="159">
        <f>SUMIFS('Historical Orders'!$E93, 'Historical Orders'!$D93, "1", 'Historical Orders'!$C93, "A", 'Historical Orders'!$B93, "1")</f>
        <v>0</v>
      </c>
      <c r="I93" s="157">
        <f>SUMIFS('Historical Orders'!$G93, 'Historical Orders'!$D93, "1", 'Historical Orders'!$C93, "A", 'Historical Orders'!$B93, "1")</f>
        <v>0</v>
      </c>
      <c r="J93" s="157">
        <f>SUMIFS('Historical Orders'!$E93, 'Historical Orders'!$D93, "1", 'Historical Orders'!$C93, "B", 'Historical Orders'!$B93, "1")</f>
        <v>0</v>
      </c>
      <c r="K93" s="157">
        <f>SUMIFS('Historical Orders'!$G93, 'Historical Orders'!$D93, "1", 'Historical Orders'!$C93, "B", 'Historical Orders'!$B93, "1")</f>
        <v>0</v>
      </c>
      <c r="L93" s="159">
        <f>SUMIFS('Historical Orders'!$E93, 'Historical Orders'!$D93, "1", 'Historical Orders'!$C93, "A", 'Historical Orders'!$B93, "2")</f>
        <v>0</v>
      </c>
      <c r="M93" s="157">
        <f>SUMIFS('Historical Orders'!$G93, 'Historical Orders'!$D93, "1", 'Historical Orders'!$C93, "A", 'Historical Orders'!$B93, "2")</f>
        <v>0</v>
      </c>
      <c r="N93" s="157">
        <f>SUMIFS('Historical Orders'!$E93, 'Historical Orders'!$D93, "1", 'Historical Orders'!$C93, "B", 'Historical Orders'!$B93, "2")</f>
        <v>0</v>
      </c>
      <c r="O93" s="157">
        <f>SUMIFS('Historical Orders'!$G93, 'Historical Orders'!$D93, "1", 'Historical Orders'!$C93, "B", 'Historical Orders'!$B93, "2")</f>
        <v>0</v>
      </c>
      <c r="P93" s="159">
        <f>SUMIFS('Historical Orders'!$E93, 'Historical Orders'!$D93, "2", 'Historical Orders'!$C93, "A", 'Historical Orders'!$B93, "1")</f>
        <v>5746</v>
      </c>
      <c r="Q93" s="157">
        <f>SUMIFS('Historical Orders'!$G93, 'Historical Orders'!$D93, "2", 'Historical Orders'!$C93, "A", 'Historical Orders'!$B93, "1")</f>
        <v>6895.2</v>
      </c>
      <c r="R93" s="159">
        <f>SUMIFS('Historical Orders'!$E93, 'Historical Orders'!$D93, "2", 'Historical Orders'!$C93, "B", 'Historical Orders'!$B93, "1")</f>
        <v>0</v>
      </c>
      <c r="S93" s="157">
        <f>SUMIFS('Historical Orders'!$G93, 'Historical Orders'!$D93, "2", 'Historical Orders'!$C93, "B", 'Historical Orders'!$B93, "1")</f>
        <v>0</v>
      </c>
      <c r="T93" s="159">
        <f>SUMIFS('Historical Orders'!$E93, 'Historical Orders'!$D93, "2", 'Historical Orders'!$C93, "A", 'Historical Orders'!$B93, "2")</f>
        <v>0</v>
      </c>
      <c r="U93" s="157">
        <f>SUMIFS('Historical Orders'!$G93, 'Historical Orders'!$D93, "2", 'Historical Orders'!$C93, "A", 'Historical Orders'!$B93, "2")</f>
        <v>0</v>
      </c>
      <c r="V93" s="159">
        <f>SUMIFS('Historical Orders'!$E93, 'Historical Orders'!$D93, "2", 'Historical Orders'!$C93, "B", 'Historical Orders'!$B93, "2")</f>
        <v>0</v>
      </c>
      <c r="W93" s="159">
        <f>SUMIFS('Historical Orders'!$G93, 'Historical Orders'!$D93, "2", 'Historical Orders'!$C93, "B", 'Historical Orders'!$B93, "2")</f>
        <v>0</v>
      </c>
      <c r="X93" s="159">
        <f>SUMIFS('Historical Orders'!$E93, 'Historical Orders'!$D93, "3", 'Historical Orders'!$C93, "A", 'Historical Orders'!$B93, "1")</f>
        <v>0</v>
      </c>
      <c r="Y93" s="159">
        <f>SUMIFS('Historical Orders'!$G93, 'Historical Orders'!$D93, "3", 'Historical Orders'!$C93, "A", 'Historical Orders'!$B93, "1")</f>
        <v>0</v>
      </c>
      <c r="Z93" s="159">
        <f>SUMIFS('Historical Orders'!$E93, 'Historical Orders'!$D93, "3", 'Historical Orders'!$C93, "B", 'Historical Orders'!$B93, "1")</f>
        <v>0</v>
      </c>
      <c r="AA93" s="159">
        <f>SUMIFS('Historical Orders'!$G93, 'Historical Orders'!$D93, "3", 'Historical Orders'!$C93, "B", 'Historical Orders'!$B93, "1")</f>
        <v>0</v>
      </c>
      <c r="AB93" s="159">
        <f>SUMIFS('Historical Orders'!$E93, 'Historical Orders'!$D93, "3", 'Historical Orders'!$C93, "A", 'Historical Orders'!$B93, "2")</f>
        <v>0</v>
      </c>
      <c r="AC93" s="159">
        <f>SUMIFS('Historical Orders'!$G93, 'Historical Orders'!$D93, "3", 'Historical Orders'!$C93, "A", 'Historical Orders'!$B93, "2")</f>
        <v>0</v>
      </c>
      <c r="AD93" s="159">
        <f>SUMIFS('Historical Orders'!$E93, 'Historical Orders'!$D93, "3", 'Historical Orders'!$C93, "B", 'Historical Orders'!$B93, "2")</f>
        <v>0</v>
      </c>
      <c r="AE93" s="157">
        <f>SUMIFS('Historical Orders'!$G93, 'Historical Orders'!$D93, "3", 'Historical Orders'!$C93, "B", 'Historical Orders'!$B93, "2")</f>
        <v>0</v>
      </c>
      <c r="AF93" s="157">
        <f>SUMIFS('Historical Orders'!$E93, 'Historical Orders'!$D93, "4", 'Historical Orders'!$C93, "A", 'Historical Orders'!$B93, "1")</f>
        <v>0</v>
      </c>
      <c r="AG93" s="157">
        <f>SUMIFS('Historical Orders'!$G93, 'Historical Orders'!$D93, "4", 'Historical Orders'!$C93, "A", 'Historical Orders'!$B93, "1")</f>
        <v>0</v>
      </c>
      <c r="AH93" s="157">
        <f>SUMIFS('Historical Orders'!$E93, 'Historical Orders'!$D93, "4", 'Historical Orders'!$C93, "B", 'Historical Orders'!$B93, "1")</f>
        <v>0</v>
      </c>
      <c r="AI93" s="157">
        <f>SUMIFS('Historical Orders'!$G93, 'Historical Orders'!$D93, "4", 'Historical Orders'!$C93, "B", 'Historical Orders'!$B93, "1")</f>
        <v>0</v>
      </c>
      <c r="AJ93" s="157">
        <f>SUMIFS('Historical Orders'!$E93, 'Historical Orders'!$D93, "4", 'Historical Orders'!$C93, "A", 'Historical Orders'!$B93, "2")</f>
        <v>0</v>
      </c>
      <c r="AK93" s="157">
        <f>SUMIFS('Historical Orders'!$G93, 'Historical Orders'!$D93, "4", 'Historical Orders'!$C93, "A", 'Historical Orders'!$B93, "2")</f>
        <v>0</v>
      </c>
      <c r="AL93" s="171">
        <f>SUMIFS('Historical Orders'!$E93, 'Historical Orders'!$D93, "4", 'Historical Orders'!$C93, "B", 'Historical Orders'!$B93, "2")</f>
        <v>0</v>
      </c>
      <c r="AM93" s="171">
        <f>SUMIFS('Historical Orders'!$G93, 'Historical Orders'!$D93, "4", 'Historical Orders'!$C93, "B", 'Historical Orders'!$B93, "2")</f>
        <v>0</v>
      </c>
      <c r="AN93" s="171">
        <f>SUMIFS('Historical Orders'!$G93, 'Historical Orders'!$C93, "A", 'Historical Orders'!$B93, "1")</f>
        <v>6895.2</v>
      </c>
      <c r="AO93" s="171">
        <f>SUMIFS('Historical Orders'!$G93, 'Historical Orders'!$C93, "B", 'Historical Orders'!$B93, "1")</f>
        <v>0</v>
      </c>
      <c r="AP93" s="171">
        <f>SUMIFS('Historical Orders'!$G93, 'Historical Orders'!$C93, "A", 'Historical Orders'!$B93, "2")</f>
        <v>0</v>
      </c>
      <c r="AQ93" s="171">
        <f>SUMIFS('Historical Orders'!$G93, 'Historical Orders'!$C93, "B", 'Historical Orders'!$B93, "2")</f>
        <v>0</v>
      </c>
      <c r="AR93" s="145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9"/>
      <c r="BW93" s="179"/>
      <c r="BX93" s="179"/>
      <c r="BY93" s="179"/>
      <c r="BZ93" s="179"/>
      <c r="CA93" s="179"/>
      <c r="CB93" s="179"/>
      <c r="CC93" s="179"/>
      <c r="CD93" s="179"/>
      <c r="CE93" s="179"/>
    </row>
    <row r="94" ht="15.75" customHeight="1">
      <c r="A94" s="151">
        <v>41960.0</v>
      </c>
      <c r="B94" s="152">
        <v>2.0</v>
      </c>
      <c r="C94" s="152" t="s">
        <v>45</v>
      </c>
      <c r="D94" s="152">
        <v>1.0</v>
      </c>
      <c r="E94" s="153">
        <v>2293.0</v>
      </c>
      <c r="F94" s="154">
        <v>2.2</v>
      </c>
      <c r="G94" s="155">
        <v>5044.6</v>
      </c>
      <c r="H94" s="159">
        <f>SUMIFS('Historical Orders'!$E94, 'Historical Orders'!$D94, "1", 'Historical Orders'!$C94, "A", 'Historical Orders'!$B94, "1")</f>
        <v>0</v>
      </c>
      <c r="I94" s="157">
        <f>SUMIFS('Historical Orders'!$G94, 'Historical Orders'!$D94, "1", 'Historical Orders'!$C94, "A", 'Historical Orders'!$B94, "1")</f>
        <v>0</v>
      </c>
      <c r="J94" s="157">
        <f>SUMIFS('Historical Orders'!$E94, 'Historical Orders'!$D94, "1", 'Historical Orders'!$C94, "B", 'Historical Orders'!$B94, "1")</f>
        <v>0</v>
      </c>
      <c r="K94" s="157">
        <f>SUMIFS('Historical Orders'!$G94, 'Historical Orders'!$D94, "1", 'Historical Orders'!$C94, "B", 'Historical Orders'!$B94, "1")</f>
        <v>0</v>
      </c>
      <c r="L94" s="159">
        <f>SUMIFS('Historical Orders'!$E94, 'Historical Orders'!$D94, "1", 'Historical Orders'!$C94, "A", 'Historical Orders'!$B94, "2")</f>
        <v>2293</v>
      </c>
      <c r="M94" s="157">
        <f>SUMIFS('Historical Orders'!$G94, 'Historical Orders'!$D94, "1", 'Historical Orders'!$C94, "A", 'Historical Orders'!$B94, "2")</f>
        <v>5044.6</v>
      </c>
      <c r="N94" s="157">
        <f>SUMIFS('Historical Orders'!$E94, 'Historical Orders'!$D94, "1", 'Historical Orders'!$C94, "B", 'Historical Orders'!$B94, "2")</f>
        <v>0</v>
      </c>
      <c r="O94" s="157">
        <f>SUMIFS('Historical Orders'!$G94, 'Historical Orders'!$D94, "1", 'Historical Orders'!$C94, "B", 'Historical Orders'!$B94, "2")</f>
        <v>0</v>
      </c>
      <c r="P94" s="159">
        <f>SUMIFS('Historical Orders'!$E94, 'Historical Orders'!$D94, "2", 'Historical Orders'!$C94, "A", 'Historical Orders'!$B94, "1")</f>
        <v>0</v>
      </c>
      <c r="Q94" s="157">
        <f>SUMIFS('Historical Orders'!$G94, 'Historical Orders'!$D94, "2", 'Historical Orders'!$C94, "A", 'Historical Orders'!$B94, "1")</f>
        <v>0</v>
      </c>
      <c r="R94" s="159">
        <f>SUMIFS('Historical Orders'!$E94, 'Historical Orders'!$D94, "2", 'Historical Orders'!$C94, "B", 'Historical Orders'!$B94, "1")</f>
        <v>0</v>
      </c>
      <c r="S94" s="157">
        <f>SUMIFS('Historical Orders'!$G94, 'Historical Orders'!$D94, "2", 'Historical Orders'!$C94, "B", 'Historical Orders'!$B94, "1")</f>
        <v>0</v>
      </c>
      <c r="T94" s="159">
        <f>SUMIFS('Historical Orders'!$E94, 'Historical Orders'!$D94, "2", 'Historical Orders'!$C94, "A", 'Historical Orders'!$B94, "2")</f>
        <v>0</v>
      </c>
      <c r="U94" s="157">
        <f>SUMIFS('Historical Orders'!$G94, 'Historical Orders'!$D94, "2", 'Historical Orders'!$C94, "A", 'Historical Orders'!$B94, "2")</f>
        <v>0</v>
      </c>
      <c r="V94" s="159">
        <f>SUMIFS('Historical Orders'!$E94, 'Historical Orders'!$D94, "2", 'Historical Orders'!$C94, "B", 'Historical Orders'!$B94, "2")</f>
        <v>0</v>
      </c>
      <c r="W94" s="159">
        <f>SUMIFS('Historical Orders'!$G94, 'Historical Orders'!$D94, "2", 'Historical Orders'!$C94, "B", 'Historical Orders'!$B94, "2")</f>
        <v>0</v>
      </c>
      <c r="X94" s="159">
        <f>SUMIFS('Historical Orders'!$E94, 'Historical Orders'!$D94, "3", 'Historical Orders'!$C94, "A", 'Historical Orders'!$B94, "1")</f>
        <v>0</v>
      </c>
      <c r="Y94" s="159">
        <f>SUMIFS('Historical Orders'!$G94, 'Historical Orders'!$D94, "3", 'Historical Orders'!$C94, "A", 'Historical Orders'!$B94, "1")</f>
        <v>0</v>
      </c>
      <c r="Z94" s="159">
        <f>SUMIFS('Historical Orders'!$E94, 'Historical Orders'!$D94, "3", 'Historical Orders'!$C94, "B", 'Historical Orders'!$B94, "1")</f>
        <v>0</v>
      </c>
      <c r="AA94" s="159">
        <f>SUMIFS('Historical Orders'!$G94, 'Historical Orders'!$D94, "3", 'Historical Orders'!$C94, "B", 'Historical Orders'!$B94, "1")</f>
        <v>0</v>
      </c>
      <c r="AB94" s="159">
        <f>SUMIFS('Historical Orders'!$E94, 'Historical Orders'!$D94, "3", 'Historical Orders'!$C94, "A", 'Historical Orders'!$B94, "2")</f>
        <v>0</v>
      </c>
      <c r="AC94" s="159">
        <f>SUMIFS('Historical Orders'!$G94, 'Historical Orders'!$D94, "3", 'Historical Orders'!$C94, "A", 'Historical Orders'!$B94, "2")</f>
        <v>0</v>
      </c>
      <c r="AD94" s="159">
        <f>SUMIFS('Historical Orders'!$E94, 'Historical Orders'!$D94, "3", 'Historical Orders'!$C94, "B", 'Historical Orders'!$B94, "2")</f>
        <v>0</v>
      </c>
      <c r="AE94" s="157">
        <f>SUMIFS('Historical Orders'!$G94, 'Historical Orders'!$D94, "3", 'Historical Orders'!$C94, "B", 'Historical Orders'!$B94, "2")</f>
        <v>0</v>
      </c>
      <c r="AF94" s="157">
        <f>SUMIFS('Historical Orders'!$E94, 'Historical Orders'!$D94, "4", 'Historical Orders'!$C94, "A", 'Historical Orders'!$B94, "1")</f>
        <v>0</v>
      </c>
      <c r="AG94" s="157">
        <f>SUMIFS('Historical Orders'!$G94, 'Historical Orders'!$D94, "4", 'Historical Orders'!$C94, "A", 'Historical Orders'!$B94, "1")</f>
        <v>0</v>
      </c>
      <c r="AH94" s="157">
        <f>SUMIFS('Historical Orders'!$E94, 'Historical Orders'!$D94, "4", 'Historical Orders'!$C94, "B", 'Historical Orders'!$B94, "1")</f>
        <v>0</v>
      </c>
      <c r="AI94" s="157">
        <f>SUMIFS('Historical Orders'!$G94, 'Historical Orders'!$D94, "4", 'Historical Orders'!$C94, "B", 'Historical Orders'!$B94, "1")</f>
        <v>0</v>
      </c>
      <c r="AJ94" s="157">
        <f>SUMIFS('Historical Orders'!$E94, 'Historical Orders'!$D94, "4", 'Historical Orders'!$C94, "A", 'Historical Orders'!$B94, "2")</f>
        <v>0</v>
      </c>
      <c r="AK94" s="157">
        <f>SUMIFS('Historical Orders'!$G94, 'Historical Orders'!$D94, "4", 'Historical Orders'!$C94, "A", 'Historical Orders'!$B94, "2")</f>
        <v>0</v>
      </c>
      <c r="AL94" s="171">
        <f>SUMIFS('Historical Orders'!$E94, 'Historical Orders'!$D94, "4", 'Historical Orders'!$C94, "B", 'Historical Orders'!$B94, "2")</f>
        <v>0</v>
      </c>
      <c r="AM94" s="171">
        <f>SUMIFS('Historical Orders'!$G94, 'Historical Orders'!$D94, "4", 'Historical Orders'!$C94, "B", 'Historical Orders'!$B94, "2")</f>
        <v>0</v>
      </c>
      <c r="AN94" s="171">
        <f>SUMIFS('Historical Orders'!$G94, 'Historical Orders'!$C94, "A", 'Historical Orders'!$B94, "1")</f>
        <v>0</v>
      </c>
      <c r="AO94" s="171">
        <f>SUMIFS('Historical Orders'!$G94, 'Historical Orders'!$C94, "B", 'Historical Orders'!$B94, "1")</f>
        <v>0</v>
      </c>
      <c r="AP94" s="171">
        <f>SUMIFS('Historical Orders'!$G94, 'Historical Orders'!$C94, "A", 'Historical Orders'!$B94, "2")</f>
        <v>5044.6</v>
      </c>
      <c r="AQ94" s="171">
        <f>SUMIFS('Historical Orders'!$G94, 'Historical Orders'!$C94, "B", 'Historical Orders'!$B94, "2")</f>
        <v>0</v>
      </c>
      <c r="AR94" s="145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9"/>
      <c r="BW94" s="179"/>
      <c r="BX94" s="179"/>
      <c r="BY94" s="179"/>
      <c r="BZ94" s="179"/>
      <c r="CA94" s="179"/>
      <c r="CB94" s="179"/>
      <c r="CC94" s="179"/>
      <c r="CD94" s="179"/>
      <c r="CE94" s="179"/>
    </row>
    <row r="95" ht="15.75" customHeight="1">
      <c r="A95" s="151">
        <v>41960.0</v>
      </c>
      <c r="B95" s="152">
        <v>2.0</v>
      </c>
      <c r="C95" s="152" t="s">
        <v>45</v>
      </c>
      <c r="D95" s="152">
        <v>2.0</v>
      </c>
      <c r="E95" s="153">
        <v>6842.0</v>
      </c>
      <c r="F95" s="154">
        <v>1.2</v>
      </c>
      <c r="G95" s="155">
        <v>8210.4</v>
      </c>
      <c r="H95" s="159">
        <f>SUMIFS('Historical Orders'!$E95, 'Historical Orders'!$D95, "1", 'Historical Orders'!$C95, "A", 'Historical Orders'!$B95, "1")</f>
        <v>0</v>
      </c>
      <c r="I95" s="157">
        <f>SUMIFS('Historical Orders'!$G95, 'Historical Orders'!$D95, "1", 'Historical Orders'!$C95, "A", 'Historical Orders'!$B95, "1")</f>
        <v>0</v>
      </c>
      <c r="J95" s="157">
        <f>SUMIFS('Historical Orders'!$E95, 'Historical Orders'!$D95, "1", 'Historical Orders'!$C95, "B", 'Historical Orders'!$B95, "1")</f>
        <v>0</v>
      </c>
      <c r="K95" s="157">
        <f>SUMIFS('Historical Orders'!$G95, 'Historical Orders'!$D95, "1", 'Historical Orders'!$C95, "B", 'Historical Orders'!$B95, "1")</f>
        <v>0</v>
      </c>
      <c r="L95" s="159">
        <f>SUMIFS('Historical Orders'!$E95, 'Historical Orders'!$D95, "1", 'Historical Orders'!$C95, "A", 'Historical Orders'!$B95, "2")</f>
        <v>0</v>
      </c>
      <c r="M95" s="157">
        <f>SUMIFS('Historical Orders'!$G95, 'Historical Orders'!$D95, "1", 'Historical Orders'!$C95, "A", 'Historical Orders'!$B95, "2")</f>
        <v>0</v>
      </c>
      <c r="N95" s="157">
        <f>SUMIFS('Historical Orders'!$E95, 'Historical Orders'!$D95, "1", 'Historical Orders'!$C95, "B", 'Historical Orders'!$B95, "2")</f>
        <v>0</v>
      </c>
      <c r="O95" s="157">
        <f>SUMIFS('Historical Orders'!$G95, 'Historical Orders'!$D95, "1", 'Historical Orders'!$C95, "B", 'Historical Orders'!$B95, "2")</f>
        <v>0</v>
      </c>
      <c r="P95" s="159">
        <f>SUMIFS('Historical Orders'!$E95, 'Historical Orders'!$D95, "2", 'Historical Orders'!$C95, "A", 'Historical Orders'!$B95, "1")</f>
        <v>0</v>
      </c>
      <c r="Q95" s="157">
        <f>SUMIFS('Historical Orders'!$G95, 'Historical Orders'!$D95, "2", 'Historical Orders'!$C95, "A", 'Historical Orders'!$B95, "1")</f>
        <v>0</v>
      </c>
      <c r="R95" s="159">
        <f>SUMIFS('Historical Orders'!$E95, 'Historical Orders'!$D95, "2", 'Historical Orders'!$C95, "B", 'Historical Orders'!$B95, "1")</f>
        <v>0</v>
      </c>
      <c r="S95" s="157">
        <f>SUMIFS('Historical Orders'!$G95, 'Historical Orders'!$D95, "2", 'Historical Orders'!$C95, "B", 'Historical Orders'!$B95, "1")</f>
        <v>0</v>
      </c>
      <c r="T95" s="159">
        <f>SUMIFS('Historical Orders'!$E95, 'Historical Orders'!$D95, "2", 'Historical Orders'!$C95, "A", 'Historical Orders'!$B95, "2")</f>
        <v>6842</v>
      </c>
      <c r="U95" s="157">
        <f>SUMIFS('Historical Orders'!$G95, 'Historical Orders'!$D95, "2", 'Historical Orders'!$C95, "A", 'Historical Orders'!$B95, "2")</f>
        <v>8210.4</v>
      </c>
      <c r="V95" s="159">
        <f>SUMIFS('Historical Orders'!$E95, 'Historical Orders'!$D95, "2", 'Historical Orders'!$C95, "B", 'Historical Orders'!$B95, "2")</f>
        <v>0</v>
      </c>
      <c r="W95" s="159">
        <f>SUMIFS('Historical Orders'!$G95, 'Historical Orders'!$D95, "2", 'Historical Orders'!$C95, "B", 'Historical Orders'!$B95, "2")</f>
        <v>0</v>
      </c>
      <c r="X95" s="159">
        <f>SUMIFS('Historical Orders'!$E95, 'Historical Orders'!$D95, "3", 'Historical Orders'!$C95, "A", 'Historical Orders'!$B95, "1")</f>
        <v>0</v>
      </c>
      <c r="Y95" s="159">
        <f>SUMIFS('Historical Orders'!$G95, 'Historical Orders'!$D95, "3", 'Historical Orders'!$C95, "A", 'Historical Orders'!$B95, "1")</f>
        <v>0</v>
      </c>
      <c r="Z95" s="159">
        <f>SUMIFS('Historical Orders'!$E95, 'Historical Orders'!$D95, "3", 'Historical Orders'!$C95, "B", 'Historical Orders'!$B95, "1")</f>
        <v>0</v>
      </c>
      <c r="AA95" s="159">
        <f>SUMIFS('Historical Orders'!$G95, 'Historical Orders'!$D95, "3", 'Historical Orders'!$C95, "B", 'Historical Orders'!$B95, "1")</f>
        <v>0</v>
      </c>
      <c r="AB95" s="159">
        <f>SUMIFS('Historical Orders'!$E95, 'Historical Orders'!$D95, "3", 'Historical Orders'!$C95, "A", 'Historical Orders'!$B95, "2")</f>
        <v>0</v>
      </c>
      <c r="AC95" s="159">
        <f>SUMIFS('Historical Orders'!$G95, 'Historical Orders'!$D95, "3", 'Historical Orders'!$C95, "A", 'Historical Orders'!$B95, "2")</f>
        <v>0</v>
      </c>
      <c r="AD95" s="159">
        <f>SUMIFS('Historical Orders'!$E95, 'Historical Orders'!$D95, "3", 'Historical Orders'!$C95, "B", 'Historical Orders'!$B95, "2")</f>
        <v>0</v>
      </c>
      <c r="AE95" s="157">
        <f>SUMIFS('Historical Orders'!$G95, 'Historical Orders'!$D95, "3", 'Historical Orders'!$C95, "B", 'Historical Orders'!$B95, "2")</f>
        <v>0</v>
      </c>
      <c r="AF95" s="157">
        <f>SUMIFS('Historical Orders'!$E95, 'Historical Orders'!$D95, "4", 'Historical Orders'!$C95, "A", 'Historical Orders'!$B95, "1")</f>
        <v>0</v>
      </c>
      <c r="AG95" s="157">
        <f>SUMIFS('Historical Orders'!$G95, 'Historical Orders'!$D95, "4", 'Historical Orders'!$C95, "A", 'Historical Orders'!$B95, "1")</f>
        <v>0</v>
      </c>
      <c r="AH95" s="157">
        <f>SUMIFS('Historical Orders'!$E95, 'Historical Orders'!$D95, "4", 'Historical Orders'!$C95, "B", 'Historical Orders'!$B95, "1")</f>
        <v>0</v>
      </c>
      <c r="AI95" s="157">
        <f>SUMIFS('Historical Orders'!$G95, 'Historical Orders'!$D95, "4", 'Historical Orders'!$C95, "B", 'Historical Orders'!$B95, "1")</f>
        <v>0</v>
      </c>
      <c r="AJ95" s="157">
        <f>SUMIFS('Historical Orders'!$E95, 'Historical Orders'!$D95, "4", 'Historical Orders'!$C95, "A", 'Historical Orders'!$B95, "2")</f>
        <v>0</v>
      </c>
      <c r="AK95" s="157">
        <f>SUMIFS('Historical Orders'!$G95, 'Historical Orders'!$D95, "4", 'Historical Orders'!$C95, "A", 'Historical Orders'!$B95, "2")</f>
        <v>0</v>
      </c>
      <c r="AL95" s="171">
        <f>SUMIFS('Historical Orders'!$E95, 'Historical Orders'!$D95, "4", 'Historical Orders'!$C95, "B", 'Historical Orders'!$B95, "2")</f>
        <v>0</v>
      </c>
      <c r="AM95" s="171">
        <f>SUMIFS('Historical Orders'!$G95, 'Historical Orders'!$D95, "4", 'Historical Orders'!$C95, "B", 'Historical Orders'!$B95, "2")</f>
        <v>0</v>
      </c>
      <c r="AN95" s="171">
        <f>SUMIFS('Historical Orders'!$G95, 'Historical Orders'!$C95, "A", 'Historical Orders'!$B95, "1")</f>
        <v>0</v>
      </c>
      <c r="AO95" s="171">
        <f>SUMIFS('Historical Orders'!$G95, 'Historical Orders'!$C95, "B", 'Historical Orders'!$B95, "1")</f>
        <v>0</v>
      </c>
      <c r="AP95" s="171">
        <f>SUMIFS('Historical Orders'!$G95, 'Historical Orders'!$C95, "A", 'Historical Orders'!$B95, "2")</f>
        <v>8210.4</v>
      </c>
      <c r="AQ95" s="171">
        <f>SUMIFS('Historical Orders'!$G95, 'Historical Orders'!$C95, "B", 'Historical Orders'!$B95, "2")</f>
        <v>0</v>
      </c>
      <c r="AR95" s="145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9"/>
      <c r="BW95" s="179"/>
      <c r="BX95" s="179"/>
      <c r="BY95" s="179"/>
      <c r="BZ95" s="179"/>
      <c r="CA95" s="179"/>
      <c r="CB95" s="179"/>
      <c r="CC95" s="179"/>
      <c r="CD95" s="179"/>
      <c r="CE95" s="179"/>
    </row>
    <row r="96" ht="15.75" customHeight="1">
      <c r="A96" s="151">
        <v>41960.0</v>
      </c>
      <c r="B96" s="152">
        <v>1.0</v>
      </c>
      <c r="C96" s="152" t="s">
        <v>46</v>
      </c>
      <c r="D96" s="152">
        <v>3.0</v>
      </c>
      <c r="E96" s="153">
        <v>1798.0</v>
      </c>
      <c r="F96" s="154">
        <v>8.3</v>
      </c>
      <c r="G96" s="155">
        <v>14923.400000000001</v>
      </c>
      <c r="H96" s="159">
        <f>SUMIFS('Historical Orders'!$E96, 'Historical Orders'!$D96, "1", 'Historical Orders'!$C96, "A", 'Historical Orders'!$B96, "1")</f>
        <v>0</v>
      </c>
      <c r="I96" s="157">
        <f>SUMIFS('Historical Orders'!$G96, 'Historical Orders'!$D96, "1", 'Historical Orders'!$C96, "A", 'Historical Orders'!$B96, "1")</f>
        <v>0</v>
      </c>
      <c r="J96" s="157">
        <f>SUMIFS('Historical Orders'!$E96, 'Historical Orders'!$D96, "1", 'Historical Orders'!$C96, "B", 'Historical Orders'!$B96, "1")</f>
        <v>0</v>
      </c>
      <c r="K96" s="157">
        <f>SUMIFS('Historical Orders'!$G96, 'Historical Orders'!$D96, "1", 'Historical Orders'!$C96, "B", 'Historical Orders'!$B96, "1")</f>
        <v>0</v>
      </c>
      <c r="L96" s="159">
        <f>SUMIFS('Historical Orders'!$E96, 'Historical Orders'!$D96, "1", 'Historical Orders'!$C96, "A", 'Historical Orders'!$B96, "2")</f>
        <v>0</v>
      </c>
      <c r="M96" s="157">
        <f>SUMIFS('Historical Orders'!$G96, 'Historical Orders'!$D96, "1", 'Historical Orders'!$C96, "A", 'Historical Orders'!$B96, "2")</f>
        <v>0</v>
      </c>
      <c r="N96" s="157">
        <f>SUMIFS('Historical Orders'!$E96, 'Historical Orders'!$D96, "1", 'Historical Orders'!$C96, "B", 'Historical Orders'!$B96, "2")</f>
        <v>0</v>
      </c>
      <c r="O96" s="157">
        <f>SUMIFS('Historical Orders'!$G96, 'Historical Orders'!$D96, "1", 'Historical Orders'!$C96, "B", 'Historical Orders'!$B96, "2")</f>
        <v>0</v>
      </c>
      <c r="P96" s="159">
        <f>SUMIFS('Historical Orders'!$E96, 'Historical Orders'!$D96, "2", 'Historical Orders'!$C96, "A", 'Historical Orders'!$B96, "1")</f>
        <v>0</v>
      </c>
      <c r="Q96" s="157">
        <f>SUMIFS('Historical Orders'!$G96, 'Historical Orders'!$D96, "2", 'Historical Orders'!$C96, "A", 'Historical Orders'!$B96, "1")</f>
        <v>0</v>
      </c>
      <c r="R96" s="159">
        <f>SUMIFS('Historical Orders'!$E96, 'Historical Orders'!$D96, "2", 'Historical Orders'!$C96, "B", 'Historical Orders'!$B96, "1")</f>
        <v>0</v>
      </c>
      <c r="S96" s="157">
        <f>SUMIFS('Historical Orders'!$G96, 'Historical Orders'!$D96, "2", 'Historical Orders'!$C96, "B", 'Historical Orders'!$B96, "1")</f>
        <v>0</v>
      </c>
      <c r="T96" s="159">
        <f>SUMIFS('Historical Orders'!$E96, 'Historical Orders'!$D96, "2", 'Historical Orders'!$C96, "A", 'Historical Orders'!$B96, "2")</f>
        <v>0</v>
      </c>
      <c r="U96" s="157">
        <f>SUMIFS('Historical Orders'!$G96, 'Historical Orders'!$D96, "2", 'Historical Orders'!$C96, "A", 'Historical Orders'!$B96, "2")</f>
        <v>0</v>
      </c>
      <c r="V96" s="159">
        <f>SUMIFS('Historical Orders'!$E96, 'Historical Orders'!$D96, "2", 'Historical Orders'!$C96, "B", 'Historical Orders'!$B96, "2")</f>
        <v>0</v>
      </c>
      <c r="W96" s="159">
        <f>SUMIFS('Historical Orders'!$G96, 'Historical Orders'!$D96, "2", 'Historical Orders'!$C96, "B", 'Historical Orders'!$B96, "2")</f>
        <v>0</v>
      </c>
      <c r="X96" s="159">
        <f>SUMIFS('Historical Orders'!$E96, 'Historical Orders'!$D96, "3", 'Historical Orders'!$C96, "A", 'Historical Orders'!$B96, "1")</f>
        <v>0</v>
      </c>
      <c r="Y96" s="159">
        <f>SUMIFS('Historical Orders'!$G96, 'Historical Orders'!$D96, "3", 'Historical Orders'!$C96, "A", 'Historical Orders'!$B96, "1")</f>
        <v>0</v>
      </c>
      <c r="Z96" s="159">
        <f>SUMIFS('Historical Orders'!$E96, 'Historical Orders'!$D96, "3", 'Historical Orders'!$C96, "B", 'Historical Orders'!$B96, "1")</f>
        <v>1798</v>
      </c>
      <c r="AA96" s="159">
        <f>SUMIFS('Historical Orders'!$G96, 'Historical Orders'!$D96, "3", 'Historical Orders'!$C96, "B", 'Historical Orders'!$B96, "1")</f>
        <v>14923.4</v>
      </c>
      <c r="AB96" s="159">
        <f>SUMIFS('Historical Orders'!$E96, 'Historical Orders'!$D96, "3", 'Historical Orders'!$C96, "A", 'Historical Orders'!$B96, "2")</f>
        <v>0</v>
      </c>
      <c r="AC96" s="159">
        <f>SUMIFS('Historical Orders'!$G96, 'Historical Orders'!$D96, "3", 'Historical Orders'!$C96, "A", 'Historical Orders'!$B96, "2")</f>
        <v>0</v>
      </c>
      <c r="AD96" s="159">
        <f>SUMIFS('Historical Orders'!$E96, 'Historical Orders'!$D96, "3", 'Historical Orders'!$C96, "B", 'Historical Orders'!$B96, "2")</f>
        <v>0</v>
      </c>
      <c r="AE96" s="157">
        <f>SUMIFS('Historical Orders'!$G96, 'Historical Orders'!$D96, "3", 'Historical Orders'!$C96, "B", 'Historical Orders'!$B96, "2")</f>
        <v>0</v>
      </c>
      <c r="AF96" s="157">
        <f>SUMIFS('Historical Orders'!$E96, 'Historical Orders'!$D96, "4", 'Historical Orders'!$C96, "A", 'Historical Orders'!$B96, "1")</f>
        <v>0</v>
      </c>
      <c r="AG96" s="157">
        <f>SUMIFS('Historical Orders'!$G96, 'Historical Orders'!$D96, "4", 'Historical Orders'!$C96, "A", 'Historical Orders'!$B96, "1")</f>
        <v>0</v>
      </c>
      <c r="AH96" s="157">
        <f>SUMIFS('Historical Orders'!$E96, 'Historical Orders'!$D96, "4", 'Historical Orders'!$C96, "B", 'Historical Orders'!$B96, "1")</f>
        <v>0</v>
      </c>
      <c r="AI96" s="157">
        <f>SUMIFS('Historical Orders'!$G96, 'Historical Orders'!$D96, "4", 'Historical Orders'!$C96, "B", 'Historical Orders'!$B96, "1")</f>
        <v>0</v>
      </c>
      <c r="AJ96" s="157">
        <f>SUMIFS('Historical Orders'!$E96, 'Historical Orders'!$D96, "4", 'Historical Orders'!$C96, "A", 'Historical Orders'!$B96, "2")</f>
        <v>0</v>
      </c>
      <c r="AK96" s="157">
        <f>SUMIFS('Historical Orders'!$G96, 'Historical Orders'!$D96, "4", 'Historical Orders'!$C96, "A", 'Historical Orders'!$B96, "2")</f>
        <v>0</v>
      </c>
      <c r="AL96" s="171">
        <f>SUMIFS('Historical Orders'!$E96, 'Historical Orders'!$D96, "4", 'Historical Orders'!$C96, "B", 'Historical Orders'!$B96, "2")</f>
        <v>0</v>
      </c>
      <c r="AM96" s="171">
        <f>SUMIFS('Historical Orders'!$G96, 'Historical Orders'!$D96, "4", 'Historical Orders'!$C96, "B", 'Historical Orders'!$B96, "2")</f>
        <v>0</v>
      </c>
      <c r="AN96" s="171">
        <f>SUMIFS('Historical Orders'!$G96, 'Historical Orders'!$C96, "A", 'Historical Orders'!$B96, "1")</f>
        <v>0</v>
      </c>
      <c r="AO96" s="171">
        <f>SUMIFS('Historical Orders'!$G96, 'Historical Orders'!$C96, "B", 'Historical Orders'!$B96, "1")</f>
        <v>14923.4</v>
      </c>
      <c r="AP96" s="171">
        <f>SUMIFS('Historical Orders'!$G96, 'Historical Orders'!$C96, "A", 'Historical Orders'!$B96, "2")</f>
        <v>0</v>
      </c>
      <c r="AQ96" s="171">
        <f>SUMIFS('Historical Orders'!$G96, 'Historical Orders'!$C96, "B", 'Historical Orders'!$B96, "2")</f>
        <v>0</v>
      </c>
      <c r="AR96" s="145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9"/>
      <c r="BW96" s="179"/>
      <c r="BX96" s="179"/>
      <c r="BY96" s="179"/>
      <c r="BZ96" s="179"/>
      <c r="CA96" s="179"/>
      <c r="CB96" s="179"/>
      <c r="CC96" s="179"/>
      <c r="CD96" s="179"/>
      <c r="CE96" s="179"/>
    </row>
    <row r="97" ht="15.75" customHeight="1">
      <c r="A97" s="151">
        <v>41960.0</v>
      </c>
      <c r="B97" s="152">
        <v>2.0</v>
      </c>
      <c r="C97" s="152" t="s">
        <v>46</v>
      </c>
      <c r="D97" s="152">
        <v>3.0</v>
      </c>
      <c r="E97" s="153">
        <v>1806.0</v>
      </c>
      <c r="F97" s="154">
        <v>8.3</v>
      </c>
      <c r="G97" s="155">
        <v>14989.800000000001</v>
      </c>
      <c r="H97" s="159">
        <f>SUMIFS('Historical Orders'!$E97, 'Historical Orders'!$D97, "1", 'Historical Orders'!$C97, "A", 'Historical Orders'!$B97, "1")</f>
        <v>0</v>
      </c>
      <c r="I97" s="157">
        <f>SUMIFS('Historical Orders'!$G97, 'Historical Orders'!$D97, "1", 'Historical Orders'!$C97, "A", 'Historical Orders'!$B97, "1")</f>
        <v>0</v>
      </c>
      <c r="J97" s="157">
        <f>SUMIFS('Historical Orders'!$E97, 'Historical Orders'!$D97, "1", 'Historical Orders'!$C97, "B", 'Historical Orders'!$B97, "1")</f>
        <v>0</v>
      </c>
      <c r="K97" s="157">
        <f>SUMIFS('Historical Orders'!$G97, 'Historical Orders'!$D97, "1", 'Historical Orders'!$C97, "B", 'Historical Orders'!$B97, "1")</f>
        <v>0</v>
      </c>
      <c r="L97" s="159">
        <f>SUMIFS('Historical Orders'!$E97, 'Historical Orders'!$D97, "1", 'Historical Orders'!$C97, "A", 'Historical Orders'!$B97, "2")</f>
        <v>0</v>
      </c>
      <c r="M97" s="157">
        <f>SUMIFS('Historical Orders'!$G97, 'Historical Orders'!$D97, "1", 'Historical Orders'!$C97, "A", 'Historical Orders'!$B97, "2")</f>
        <v>0</v>
      </c>
      <c r="N97" s="157">
        <f>SUMIFS('Historical Orders'!$E97, 'Historical Orders'!$D97, "1", 'Historical Orders'!$C97, "B", 'Historical Orders'!$B97, "2")</f>
        <v>0</v>
      </c>
      <c r="O97" s="157">
        <f>SUMIFS('Historical Orders'!$G97, 'Historical Orders'!$D97, "1", 'Historical Orders'!$C97, "B", 'Historical Orders'!$B97, "2")</f>
        <v>0</v>
      </c>
      <c r="P97" s="159">
        <f>SUMIFS('Historical Orders'!$E97, 'Historical Orders'!$D97, "2", 'Historical Orders'!$C97, "A", 'Historical Orders'!$B97, "1")</f>
        <v>0</v>
      </c>
      <c r="Q97" s="157">
        <f>SUMIFS('Historical Orders'!$G97, 'Historical Orders'!$D97, "2", 'Historical Orders'!$C97, "A", 'Historical Orders'!$B97, "1")</f>
        <v>0</v>
      </c>
      <c r="R97" s="159">
        <f>SUMIFS('Historical Orders'!$E97, 'Historical Orders'!$D97, "2", 'Historical Orders'!$C97, "B", 'Historical Orders'!$B97, "1")</f>
        <v>0</v>
      </c>
      <c r="S97" s="157">
        <f>SUMIFS('Historical Orders'!$G97, 'Historical Orders'!$D97, "2", 'Historical Orders'!$C97, "B", 'Historical Orders'!$B97, "1")</f>
        <v>0</v>
      </c>
      <c r="T97" s="159">
        <f>SUMIFS('Historical Orders'!$E97, 'Historical Orders'!$D97, "2", 'Historical Orders'!$C97, "A", 'Historical Orders'!$B97, "2")</f>
        <v>0</v>
      </c>
      <c r="U97" s="157">
        <f>SUMIFS('Historical Orders'!$G97, 'Historical Orders'!$D97, "2", 'Historical Orders'!$C97, "A", 'Historical Orders'!$B97, "2")</f>
        <v>0</v>
      </c>
      <c r="V97" s="159">
        <f>SUMIFS('Historical Orders'!$E97, 'Historical Orders'!$D97, "2", 'Historical Orders'!$C97, "B", 'Historical Orders'!$B97, "2")</f>
        <v>0</v>
      </c>
      <c r="W97" s="159">
        <f>SUMIFS('Historical Orders'!$G97, 'Historical Orders'!$D97, "2", 'Historical Orders'!$C97, "B", 'Historical Orders'!$B97, "2")</f>
        <v>0</v>
      </c>
      <c r="X97" s="159">
        <f>SUMIFS('Historical Orders'!$E97, 'Historical Orders'!$D97, "3", 'Historical Orders'!$C97, "A", 'Historical Orders'!$B97, "1")</f>
        <v>0</v>
      </c>
      <c r="Y97" s="159">
        <f>SUMIFS('Historical Orders'!$G97, 'Historical Orders'!$D97, "3", 'Historical Orders'!$C97, "A", 'Historical Orders'!$B97, "1")</f>
        <v>0</v>
      </c>
      <c r="Z97" s="159">
        <f>SUMIFS('Historical Orders'!$E97, 'Historical Orders'!$D97, "3", 'Historical Orders'!$C97, "B", 'Historical Orders'!$B97, "1")</f>
        <v>0</v>
      </c>
      <c r="AA97" s="159">
        <f>SUMIFS('Historical Orders'!$G97, 'Historical Orders'!$D97, "3", 'Historical Orders'!$C97, "B", 'Historical Orders'!$B97, "1")</f>
        <v>0</v>
      </c>
      <c r="AB97" s="159">
        <f>SUMIFS('Historical Orders'!$E97, 'Historical Orders'!$D97, "3", 'Historical Orders'!$C97, "A", 'Historical Orders'!$B97, "2")</f>
        <v>0</v>
      </c>
      <c r="AC97" s="159">
        <f>SUMIFS('Historical Orders'!$G97, 'Historical Orders'!$D97, "3", 'Historical Orders'!$C97, "A", 'Historical Orders'!$B97, "2")</f>
        <v>0</v>
      </c>
      <c r="AD97" s="159">
        <f>SUMIFS('Historical Orders'!$E97, 'Historical Orders'!$D97, "3", 'Historical Orders'!$C97, "B", 'Historical Orders'!$B97, "2")</f>
        <v>1806</v>
      </c>
      <c r="AE97" s="157">
        <f>SUMIFS('Historical Orders'!$G97, 'Historical Orders'!$D97, "3", 'Historical Orders'!$C97, "B", 'Historical Orders'!$B97, "2")</f>
        <v>14989.8</v>
      </c>
      <c r="AF97" s="157">
        <f>SUMIFS('Historical Orders'!$E97, 'Historical Orders'!$D97, "4", 'Historical Orders'!$C97, "A", 'Historical Orders'!$B97, "1")</f>
        <v>0</v>
      </c>
      <c r="AG97" s="157">
        <f>SUMIFS('Historical Orders'!$G97, 'Historical Orders'!$D97, "4", 'Historical Orders'!$C97, "A", 'Historical Orders'!$B97, "1")</f>
        <v>0</v>
      </c>
      <c r="AH97" s="157">
        <f>SUMIFS('Historical Orders'!$E97, 'Historical Orders'!$D97, "4", 'Historical Orders'!$C97, "B", 'Historical Orders'!$B97, "1")</f>
        <v>0</v>
      </c>
      <c r="AI97" s="157">
        <f>SUMIFS('Historical Orders'!$G97, 'Historical Orders'!$D97, "4", 'Historical Orders'!$C97, "B", 'Historical Orders'!$B97, "1")</f>
        <v>0</v>
      </c>
      <c r="AJ97" s="157">
        <f>SUMIFS('Historical Orders'!$E97, 'Historical Orders'!$D97, "4", 'Historical Orders'!$C97, "A", 'Historical Orders'!$B97, "2")</f>
        <v>0</v>
      </c>
      <c r="AK97" s="157">
        <f>SUMIFS('Historical Orders'!$G97, 'Historical Orders'!$D97, "4", 'Historical Orders'!$C97, "A", 'Historical Orders'!$B97, "2")</f>
        <v>0</v>
      </c>
      <c r="AL97" s="171">
        <f>SUMIFS('Historical Orders'!$E97, 'Historical Orders'!$D97, "4", 'Historical Orders'!$C97, "B", 'Historical Orders'!$B97, "2")</f>
        <v>0</v>
      </c>
      <c r="AM97" s="171">
        <f>SUMIFS('Historical Orders'!$G97, 'Historical Orders'!$D97, "4", 'Historical Orders'!$C97, "B", 'Historical Orders'!$B97, "2")</f>
        <v>0</v>
      </c>
      <c r="AN97" s="171">
        <f>SUMIFS('Historical Orders'!$G97, 'Historical Orders'!$C97, "A", 'Historical Orders'!$B97, "1")</f>
        <v>0</v>
      </c>
      <c r="AO97" s="171">
        <f>SUMIFS('Historical Orders'!$G97, 'Historical Orders'!$C97, "B", 'Historical Orders'!$B97, "1")</f>
        <v>0</v>
      </c>
      <c r="AP97" s="171">
        <f>SUMIFS('Historical Orders'!$G97, 'Historical Orders'!$C97, "A", 'Historical Orders'!$B97, "2")</f>
        <v>0</v>
      </c>
      <c r="AQ97" s="171">
        <f>SUMIFS('Historical Orders'!$G97, 'Historical Orders'!$C97, "B", 'Historical Orders'!$B97, "2")</f>
        <v>14989.8</v>
      </c>
      <c r="AR97" s="145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9"/>
      <c r="BW97" s="179"/>
      <c r="BX97" s="179"/>
      <c r="BY97" s="179"/>
      <c r="BZ97" s="179"/>
      <c r="CA97" s="179"/>
      <c r="CB97" s="179"/>
      <c r="CC97" s="179"/>
      <c r="CD97" s="179"/>
      <c r="CE97" s="179"/>
    </row>
    <row r="98" ht="15.75" customHeight="1">
      <c r="A98" s="151">
        <v>41967.0</v>
      </c>
      <c r="B98" s="152">
        <v>1.0</v>
      </c>
      <c r="C98" s="152" t="s">
        <v>45</v>
      </c>
      <c r="D98" s="152">
        <v>1.0</v>
      </c>
      <c r="E98" s="153">
        <v>4329.0</v>
      </c>
      <c r="F98" s="154">
        <v>2.2</v>
      </c>
      <c r="G98" s="155">
        <v>9523.800000000001</v>
      </c>
      <c r="H98" s="159">
        <f>SUMIFS('Historical Orders'!$E98, 'Historical Orders'!$D98, "1", 'Historical Orders'!$C98, "A", 'Historical Orders'!$B98, "1")</f>
        <v>4329</v>
      </c>
      <c r="I98" s="157">
        <f>SUMIFS('Historical Orders'!$G98, 'Historical Orders'!$D98, "1", 'Historical Orders'!$C98, "A", 'Historical Orders'!$B98, "1")</f>
        <v>9523.8</v>
      </c>
      <c r="J98" s="157">
        <f>SUMIFS('Historical Orders'!$E98, 'Historical Orders'!$D98, "1", 'Historical Orders'!$C98, "B", 'Historical Orders'!$B98, "1")</f>
        <v>0</v>
      </c>
      <c r="K98" s="157">
        <f>SUMIFS('Historical Orders'!$G98, 'Historical Orders'!$D98, "1", 'Historical Orders'!$C98, "B", 'Historical Orders'!$B98, "1")</f>
        <v>0</v>
      </c>
      <c r="L98" s="159">
        <f>SUMIFS('Historical Orders'!$E98, 'Historical Orders'!$D98, "1", 'Historical Orders'!$C98, "A", 'Historical Orders'!$B98, "2")</f>
        <v>0</v>
      </c>
      <c r="M98" s="157">
        <f>SUMIFS('Historical Orders'!$G98, 'Historical Orders'!$D98, "1", 'Historical Orders'!$C98, "A", 'Historical Orders'!$B98, "2")</f>
        <v>0</v>
      </c>
      <c r="N98" s="157">
        <f>SUMIFS('Historical Orders'!$E98, 'Historical Orders'!$D98, "1", 'Historical Orders'!$C98, "B", 'Historical Orders'!$B98, "2")</f>
        <v>0</v>
      </c>
      <c r="O98" s="157">
        <f>SUMIFS('Historical Orders'!$G98, 'Historical Orders'!$D98, "1", 'Historical Orders'!$C98, "B", 'Historical Orders'!$B98, "2")</f>
        <v>0</v>
      </c>
      <c r="P98" s="159">
        <f>SUMIFS('Historical Orders'!$E98, 'Historical Orders'!$D98, "2", 'Historical Orders'!$C98, "A", 'Historical Orders'!$B98, "1")</f>
        <v>0</v>
      </c>
      <c r="Q98" s="157">
        <f>SUMIFS('Historical Orders'!$G98, 'Historical Orders'!$D98, "2", 'Historical Orders'!$C98, "A", 'Historical Orders'!$B98, "1")</f>
        <v>0</v>
      </c>
      <c r="R98" s="159">
        <f>SUMIFS('Historical Orders'!$E98, 'Historical Orders'!$D98, "2", 'Historical Orders'!$C98, "B", 'Historical Orders'!$B98, "1")</f>
        <v>0</v>
      </c>
      <c r="S98" s="157">
        <f>SUMIFS('Historical Orders'!$G98, 'Historical Orders'!$D98, "2", 'Historical Orders'!$C98, "B", 'Historical Orders'!$B98, "1")</f>
        <v>0</v>
      </c>
      <c r="T98" s="159">
        <f>SUMIFS('Historical Orders'!$E98, 'Historical Orders'!$D98, "2", 'Historical Orders'!$C98, "A", 'Historical Orders'!$B98, "2")</f>
        <v>0</v>
      </c>
      <c r="U98" s="157">
        <f>SUMIFS('Historical Orders'!$G98, 'Historical Orders'!$D98, "2", 'Historical Orders'!$C98, "A", 'Historical Orders'!$B98, "2")</f>
        <v>0</v>
      </c>
      <c r="V98" s="159">
        <f>SUMIFS('Historical Orders'!$E98, 'Historical Orders'!$D98, "2", 'Historical Orders'!$C98, "B", 'Historical Orders'!$B98, "2")</f>
        <v>0</v>
      </c>
      <c r="W98" s="159">
        <f>SUMIFS('Historical Orders'!$G98, 'Historical Orders'!$D98, "2", 'Historical Orders'!$C98, "B", 'Historical Orders'!$B98, "2")</f>
        <v>0</v>
      </c>
      <c r="X98" s="159">
        <f>SUMIFS('Historical Orders'!$E98, 'Historical Orders'!$D98, "3", 'Historical Orders'!$C98, "A", 'Historical Orders'!$B98, "1")</f>
        <v>0</v>
      </c>
      <c r="Y98" s="159">
        <f>SUMIFS('Historical Orders'!$G98, 'Historical Orders'!$D98, "3", 'Historical Orders'!$C98, "A", 'Historical Orders'!$B98, "1")</f>
        <v>0</v>
      </c>
      <c r="Z98" s="159">
        <f>SUMIFS('Historical Orders'!$E98, 'Historical Orders'!$D98, "3", 'Historical Orders'!$C98, "B", 'Historical Orders'!$B98, "1")</f>
        <v>0</v>
      </c>
      <c r="AA98" s="159">
        <f>SUMIFS('Historical Orders'!$G98, 'Historical Orders'!$D98, "3", 'Historical Orders'!$C98, "B", 'Historical Orders'!$B98, "1")</f>
        <v>0</v>
      </c>
      <c r="AB98" s="159">
        <f>SUMIFS('Historical Orders'!$E98, 'Historical Orders'!$D98, "3", 'Historical Orders'!$C98, "A", 'Historical Orders'!$B98, "2")</f>
        <v>0</v>
      </c>
      <c r="AC98" s="159">
        <f>SUMIFS('Historical Orders'!$G98, 'Historical Orders'!$D98, "3", 'Historical Orders'!$C98, "A", 'Historical Orders'!$B98, "2")</f>
        <v>0</v>
      </c>
      <c r="AD98" s="159">
        <f>SUMIFS('Historical Orders'!$E98, 'Historical Orders'!$D98, "3", 'Historical Orders'!$C98, "B", 'Historical Orders'!$B98, "2")</f>
        <v>0</v>
      </c>
      <c r="AE98" s="157">
        <f>SUMIFS('Historical Orders'!$G98, 'Historical Orders'!$D98, "3", 'Historical Orders'!$C98, "B", 'Historical Orders'!$B98, "2")</f>
        <v>0</v>
      </c>
      <c r="AF98" s="157">
        <f>SUMIFS('Historical Orders'!$E98, 'Historical Orders'!$D98, "4", 'Historical Orders'!$C98, "A", 'Historical Orders'!$B98, "1")</f>
        <v>0</v>
      </c>
      <c r="AG98" s="157">
        <f>SUMIFS('Historical Orders'!$G98, 'Historical Orders'!$D98, "4", 'Historical Orders'!$C98, "A", 'Historical Orders'!$B98, "1")</f>
        <v>0</v>
      </c>
      <c r="AH98" s="157">
        <f>SUMIFS('Historical Orders'!$E98, 'Historical Orders'!$D98, "4", 'Historical Orders'!$C98, "B", 'Historical Orders'!$B98, "1")</f>
        <v>0</v>
      </c>
      <c r="AI98" s="157">
        <f>SUMIFS('Historical Orders'!$G98, 'Historical Orders'!$D98, "4", 'Historical Orders'!$C98, "B", 'Historical Orders'!$B98, "1")</f>
        <v>0</v>
      </c>
      <c r="AJ98" s="157">
        <f>SUMIFS('Historical Orders'!$E98, 'Historical Orders'!$D98, "4", 'Historical Orders'!$C98, "A", 'Historical Orders'!$B98, "2")</f>
        <v>0</v>
      </c>
      <c r="AK98" s="157">
        <f>SUMIFS('Historical Orders'!$G98, 'Historical Orders'!$D98, "4", 'Historical Orders'!$C98, "A", 'Historical Orders'!$B98, "2")</f>
        <v>0</v>
      </c>
      <c r="AL98" s="171">
        <f>SUMIFS('Historical Orders'!$E98, 'Historical Orders'!$D98, "4", 'Historical Orders'!$C98, "B", 'Historical Orders'!$B98, "2")</f>
        <v>0</v>
      </c>
      <c r="AM98" s="171">
        <f>SUMIFS('Historical Orders'!$G98, 'Historical Orders'!$D98, "4", 'Historical Orders'!$C98, "B", 'Historical Orders'!$B98, "2")</f>
        <v>0</v>
      </c>
      <c r="AN98" s="171">
        <f>SUMIFS('Historical Orders'!$G98, 'Historical Orders'!$C98, "A", 'Historical Orders'!$B98, "1")</f>
        <v>9523.8</v>
      </c>
      <c r="AO98" s="171">
        <f>SUMIFS('Historical Orders'!$G98, 'Historical Orders'!$C98, "B", 'Historical Orders'!$B98, "1")</f>
        <v>0</v>
      </c>
      <c r="AP98" s="171">
        <f>SUMIFS('Historical Orders'!$G98, 'Historical Orders'!$C98, "A", 'Historical Orders'!$B98, "2")</f>
        <v>0</v>
      </c>
      <c r="AQ98" s="171">
        <f>SUMIFS('Historical Orders'!$G98, 'Historical Orders'!$C98, "B", 'Historical Orders'!$B98, "2")</f>
        <v>0</v>
      </c>
      <c r="AR98" s="145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9"/>
      <c r="BW98" s="179"/>
      <c r="BX98" s="179"/>
      <c r="BY98" s="179"/>
      <c r="BZ98" s="179"/>
      <c r="CA98" s="179"/>
      <c r="CB98" s="179"/>
      <c r="CC98" s="179"/>
      <c r="CD98" s="179"/>
      <c r="CE98" s="179"/>
    </row>
    <row r="99" ht="15.75" customHeight="1">
      <c r="A99" s="151">
        <v>41967.0</v>
      </c>
      <c r="B99" s="152">
        <v>1.0</v>
      </c>
      <c r="C99" s="152" t="s">
        <v>45</v>
      </c>
      <c r="D99" s="152">
        <v>2.0</v>
      </c>
      <c r="E99" s="153">
        <v>4950.0</v>
      </c>
      <c r="F99" s="154">
        <v>1.2</v>
      </c>
      <c r="G99" s="155">
        <v>5940.0</v>
      </c>
      <c r="H99" s="159">
        <f>SUMIFS('Historical Orders'!$E99, 'Historical Orders'!$D99, "1", 'Historical Orders'!$C99, "A", 'Historical Orders'!$B99, "1")</f>
        <v>0</v>
      </c>
      <c r="I99" s="157">
        <f>SUMIFS('Historical Orders'!$G99, 'Historical Orders'!$D99, "1", 'Historical Orders'!$C99, "A", 'Historical Orders'!$B99, "1")</f>
        <v>0</v>
      </c>
      <c r="J99" s="157">
        <f>SUMIFS('Historical Orders'!$E99, 'Historical Orders'!$D99, "1", 'Historical Orders'!$C99, "B", 'Historical Orders'!$B99, "1")</f>
        <v>0</v>
      </c>
      <c r="K99" s="157">
        <f>SUMIFS('Historical Orders'!$G99, 'Historical Orders'!$D99, "1", 'Historical Orders'!$C99, "B", 'Historical Orders'!$B99, "1")</f>
        <v>0</v>
      </c>
      <c r="L99" s="159">
        <f>SUMIFS('Historical Orders'!$E99, 'Historical Orders'!$D99, "1", 'Historical Orders'!$C99, "A", 'Historical Orders'!$B99, "2")</f>
        <v>0</v>
      </c>
      <c r="M99" s="157">
        <f>SUMIFS('Historical Orders'!$G99, 'Historical Orders'!$D99, "1", 'Historical Orders'!$C99, "A", 'Historical Orders'!$B99, "2")</f>
        <v>0</v>
      </c>
      <c r="N99" s="157">
        <f>SUMIFS('Historical Orders'!$E99, 'Historical Orders'!$D99, "1", 'Historical Orders'!$C99, "B", 'Historical Orders'!$B99, "2")</f>
        <v>0</v>
      </c>
      <c r="O99" s="157">
        <f>SUMIFS('Historical Orders'!$G99, 'Historical Orders'!$D99, "1", 'Historical Orders'!$C99, "B", 'Historical Orders'!$B99, "2")</f>
        <v>0</v>
      </c>
      <c r="P99" s="159">
        <f>SUMIFS('Historical Orders'!$E99, 'Historical Orders'!$D99, "2", 'Historical Orders'!$C99, "A", 'Historical Orders'!$B99, "1")</f>
        <v>4950</v>
      </c>
      <c r="Q99" s="157">
        <f>SUMIFS('Historical Orders'!$G99, 'Historical Orders'!$D99, "2", 'Historical Orders'!$C99, "A", 'Historical Orders'!$B99, "1")</f>
        <v>5940</v>
      </c>
      <c r="R99" s="159">
        <f>SUMIFS('Historical Orders'!$E99, 'Historical Orders'!$D99, "2", 'Historical Orders'!$C99, "B", 'Historical Orders'!$B99, "1")</f>
        <v>0</v>
      </c>
      <c r="S99" s="157">
        <f>SUMIFS('Historical Orders'!$G99, 'Historical Orders'!$D99, "2", 'Historical Orders'!$C99, "B", 'Historical Orders'!$B99, "1")</f>
        <v>0</v>
      </c>
      <c r="T99" s="159">
        <f>SUMIFS('Historical Orders'!$E99, 'Historical Orders'!$D99, "2", 'Historical Orders'!$C99, "A", 'Historical Orders'!$B99, "2")</f>
        <v>0</v>
      </c>
      <c r="U99" s="157">
        <f>SUMIFS('Historical Orders'!$G99, 'Historical Orders'!$D99, "2", 'Historical Orders'!$C99, "A", 'Historical Orders'!$B99, "2")</f>
        <v>0</v>
      </c>
      <c r="V99" s="159">
        <f>SUMIFS('Historical Orders'!$E99, 'Historical Orders'!$D99, "2", 'Historical Orders'!$C99, "B", 'Historical Orders'!$B99, "2")</f>
        <v>0</v>
      </c>
      <c r="W99" s="159">
        <f>SUMIFS('Historical Orders'!$G99, 'Historical Orders'!$D99, "2", 'Historical Orders'!$C99, "B", 'Historical Orders'!$B99, "2")</f>
        <v>0</v>
      </c>
      <c r="X99" s="159">
        <f>SUMIFS('Historical Orders'!$E99, 'Historical Orders'!$D99, "3", 'Historical Orders'!$C99, "A", 'Historical Orders'!$B99, "1")</f>
        <v>0</v>
      </c>
      <c r="Y99" s="159">
        <f>SUMIFS('Historical Orders'!$G99, 'Historical Orders'!$D99, "3", 'Historical Orders'!$C99, "A", 'Historical Orders'!$B99, "1")</f>
        <v>0</v>
      </c>
      <c r="Z99" s="159">
        <f>SUMIFS('Historical Orders'!$E99, 'Historical Orders'!$D99, "3", 'Historical Orders'!$C99, "B", 'Historical Orders'!$B99, "1")</f>
        <v>0</v>
      </c>
      <c r="AA99" s="159">
        <f>SUMIFS('Historical Orders'!$G99, 'Historical Orders'!$D99, "3", 'Historical Orders'!$C99, "B", 'Historical Orders'!$B99, "1")</f>
        <v>0</v>
      </c>
      <c r="AB99" s="159">
        <f>SUMIFS('Historical Orders'!$E99, 'Historical Orders'!$D99, "3", 'Historical Orders'!$C99, "A", 'Historical Orders'!$B99, "2")</f>
        <v>0</v>
      </c>
      <c r="AC99" s="159">
        <f>SUMIFS('Historical Orders'!$G99, 'Historical Orders'!$D99, "3", 'Historical Orders'!$C99, "A", 'Historical Orders'!$B99, "2")</f>
        <v>0</v>
      </c>
      <c r="AD99" s="159">
        <f>SUMIFS('Historical Orders'!$E99, 'Historical Orders'!$D99, "3", 'Historical Orders'!$C99, "B", 'Historical Orders'!$B99, "2")</f>
        <v>0</v>
      </c>
      <c r="AE99" s="157">
        <f>SUMIFS('Historical Orders'!$G99, 'Historical Orders'!$D99, "3", 'Historical Orders'!$C99, "B", 'Historical Orders'!$B99, "2")</f>
        <v>0</v>
      </c>
      <c r="AF99" s="157">
        <f>SUMIFS('Historical Orders'!$E99, 'Historical Orders'!$D99, "4", 'Historical Orders'!$C99, "A", 'Historical Orders'!$B99, "1")</f>
        <v>0</v>
      </c>
      <c r="AG99" s="157">
        <f>SUMIFS('Historical Orders'!$G99, 'Historical Orders'!$D99, "4", 'Historical Orders'!$C99, "A", 'Historical Orders'!$B99, "1")</f>
        <v>0</v>
      </c>
      <c r="AH99" s="157">
        <f>SUMIFS('Historical Orders'!$E99, 'Historical Orders'!$D99, "4", 'Historical Orders'!$C99, "B", 'Historical Orders'!$B99, "1")</f>
        <v>0</v>
      </c>
      <c r="AI99" s="157">
        <f>SUMIFS('Historical Orders'!$G99, 'Historical Orders'!$D99, "4", 'Historical Orders'!$C99, "B", 'Historical Orders'!$B99, "1")</f>
        <v>0</v>
      </c>
      <c r="AJ99" s="157">
        <f>SUMIFS('Historical Orders'!$E99, 'Historical Orders'!$D99, "4", 'Historical Orders'!$C99, "A", 'Historical Orders'!$B99, "2")</f>
        <v>0</v>
      </c>
      <c r="AK99" s="157">
        <f>SUMIFS('Historical Orders'!$G99, 'Historical Orders'!$D99, "4", 'Historical Orders'!$C99, "A", 'Historical Orders'!$B99, "2")</f>
        <v>0</v>
      </c>
      <c r="AL99" s="171">
        <f>SUMIFS('Historical Orders'!$E99, 'Historical Orders'!$D99, "4", 'Historical Orders'!$C99, "B", 'Historical Orders'!$B99, "2")</f>
        <v>0</v>
      </c>
      <c r="AM99" s="171">
        <f>SUMIFS('Historical Orders'!$G99, 'Historical Orders'!$D99, "4", 'Historical Orders'!$C99, "B", 'Historical Orders'!$B99, "2")</f>
        <v>0</v>
      </c>
      <c r="AN99" s="171">
        <f>SUMIFS('Historical Orders'!$G99, 'Historical Orders'!$C99, "A", 'Historical Orders'!$B99, "1")</f>
        <v>5940</v>
      </c>
      <c r="AO99" s="171">
        <f>SUMIFS('Historical Orders'!$G99, 'Historical Orders'!$C99, "B", 'Historical Orders'!$B99, "1")</f>
        <v>0</v>
      </c>
      <c r="AP99" s="171">
        <f>SUMIFS('Historical Orders'!$G99, 'Historical Orders'!$C99, "A", 'Historical Orders'!$B99, "2")</f>
        <v>0</v>
      </c>
      <c r="AQ99" s="171">
        <f>SUMIFS('Historical Orders'!$G99, 'Historical Orders'!$C99, "B", 'Historical Orders'!$B99, "2")</f>
        <v>0</v>
      </c>
      <c r="AR99" s="145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9"/>
      <c r="BW99" s="179"/>
      <c r="BX99" s="179"/>
      <c r="BY99" s="179"/>
      <c r="BZ99" s="179"/>
      <c r="CA99" s="179"/>
      <c r="CB99" s="179"/>
      <c r="CC99" s="179"/>
      <c r="CD99" s="179"/>
      <c r="CE99" s="179"/>
    </row>
    <row r="100" ht="15.75" customHeight="1">
      <c r="A100" s="151">
        <v>41967.0</v>
      </c>
      <c r="B100" s="152">
        <v>2.0</v>
      </c>
      <c r="C100" s="152" t="s">
        <v>45</v>
      </c>
      <c r="D100" s="152">
        <v>1.0</v>
      </c>
      <c r="E100" s="153">
        <v>3295.0</v>
      </c>
      <c r="F100" s="154">
        <v>2.2</v>
      </c>
      <c r="G100" s="155">
        <v>7249.000000000001</v>
      </c>
      <c r="H100" s="159">
        <f>SUMIFS('Historical Orders'!$E100, 'Historical Orders'!$D100, "1", 'Historical Orders'!$C100, "A", 'Historical Orders'!$B100, "1")</f>
        <v>0</v>
      </c>
      <c r="I100" s="157">
        <f>SUMIFS('Historical Orders'!$G100, 'Historical Orders'!$D100, "1", 'Historical Orders'!$C100, "A", 'Historical Orders'!$B100, "1")</f>
        <v>0</v>
      </c>
      <c r="J100" s="157">
        <f>SUMIFS('Historical Orders'!$E100, 'Historical Orders'!$D100, "1", 'Historical Orders'!$C100, "B", 'Historical Orders'!$B100, "1")</f>
        <v>0</v>
      </c>
      <c r="K100" s="157">
        <f>SUMIFS('Historical Orders'!$G100, 'Historical Orders'!$D100, "1", 'Historical Orders'!$C100, "B", 'Historical Orders'!$B100, "1")</f>
        <v>0</v>
      </c>
      <c r="L100" s="159">
        <f>SUMIFS('Historical Orders'!$E100, 'Historical Orders'!$D100, "1", 'Historical Orders'!$C100, "A", 'Historical Orders'!$B100, "2")</f>
        <v>3295</v>
      </c>
      <c r="M100" s="157">
        <f>SUMIFS('Historical Orders'!$G100, 'Historical Orders'!$D100, "1", 'Historical Orders'!$C100, "A", 'Historical Orders'!$B100, "2")</f>
        <v>7249</v>
      </c>
      <c r="N100" s="157">
        <f>SUMIFS('Historical Orders'!$E100, 'Historical Orders'!$D100, "1", 'Historical Orders'!$C100, "B", 'Historical Orders'!$B100, "2")</f>
        <v>0</v>
      </c>
      <c r="O100" s="157">
        <f>SUMIFS('Historical Orders'!$G100, 'Historical Orders'!$D100, "1", 'Historical Orders'!$C100, "B", 'Historical Orders'!$B100, "2")</f>
        <v>0</v>
      </c>
      <c r="P100" s="159">
        <f>SUMIFS('Historical Orders'!$E100, 'Historical Orders'!$D100, "2", 'Historical Orders'!$C100, "A", 'Historical Orders'!$B100, "1")</f>
        <v>0</v>
      </c>
      <c r="Q100" s="157">
        <f>SUMIFS('Historical Orders'!$G100, 'Historical Orders'!$D100, "2", 'Historical Orders'!$C100, "A", 'Historical Orders'!$B100, "1")</f>
        <v>0</v>
      </c>
      <c r="R100" s="159">
        <f>SUMIFS('Historical Orders'!$E100, 'Historical Orders'!$D100, "2", 'Historical Orders'!$C100, "B", 'Historical Orders'!$B100, "1")</f>
        <v>0</v>
      </c>
      <c r="S100" s="157">
        <f>SUMIFS('Historical Orders'!$G100, 'Historical Orders'!$D100, "2", 'Historical Orders'!$C100, "B", 'Historical Orders'!$B100, "1")</f>
        <v>0</v>
      </c>
      <c r="T100" s="159">
        <f>SUMIFS('Historical Orders'!$E100, 'Historical Orders'!$D100, "2", 'Historical Orders'!$C100, "A", 'Historical Orders'!$B100, "2")</f>
        <v>0</v>
      </c>
      <c r="U100" s="157">
        <f>SUMIFS('Historical Orders'!$G100, 'Historical Orders'!$D100, "2", 'Historical Orders'!$C100, "A", 'Historical Orders'!$B100, "2")</f>
        <v>0</v>
      </c>
      <c r="V100" s="159">
        <f>SUMIFS('Historical Orders'!$E100, 'Historical Orders'!$D100, "2", 'Historical Orders'!$C100, "B", 'Historical Orders'!$B100, "2")</f>
        <v>0</v>
      </c>
      <c r="W100" s="159">
        <f>SUMIFS('Historical Orders'!$G100, 'Historical Orders'!$D100, "2", 'Historical Orders'!$C100, "B", 'Historical Orders'!$B100, "2")</f>
        <v>0</v>
      </c>
      <c r="X100" s="159">
        <f>SUMIFS('Historical Orders'!$E100, 'Historical Orders'!$D100, "3", 'Historical Orders'!$C100, "A", 'Historical Orders'!$B100, "1")</f>
        <v>0</v>
      </c>
      <c r="Y100" s="159">
        <f>SUMIFS('Historical Orders'!$G100, 'Historical Orders'!$D100, "3", 'Historical Orders'!$C100, "A", 'Historical Orders'!$B100, "1")</f>
        <v>0</v>
      </c>
      <c r="Z100" s="159">
        <f>SUMIFS('Historical Orders'!$E100, 'Historical Orders'!$D100, "3", 'Historical Orders'!$C100, "B", 'Historical Orders'!$B100, "1")</f>
        <v>0</v>
      </c>
      <c r="AA100" s="159">
        <f>SUMIFS('Historical Orders'!$G100, 'Historical Orders'!$D100, "3", 'Historical Orders'!$C100, "B", 'Historical Orders'!$B100, "1")</f>
        <v>0</v>
      </c>
      <c r="AB100" s="159">
        <f>SUMIFS('Historical Orders'!$E100, 'Historical Orders'!$D100, "3", 'Historical Orders'!$C100, "A", 'Historical Orders'!$B100, "2")</f>
        <v>0</v>
      </c>
      <c r="AC100" s="159">
        <f>SUMIFS('Historical Orders'!$G100, 'Historical Orders'!$D100, "3", 'Historical Orders'!$C100, "A", 'Historical Orders'!$B100, "2")</f>
        <v>0</v>
      </c>
      <c r="AD100" s="159">
        <f>SUMIFS('Historical Orders'!$E100, 'Historical Orders'!$D100, "3", 'Historical Orders'!$C100, "B", 'Historical Orders'!$B100, "2")</f>
        <v>0</v>
      </c>
      <c r="AE100" s="157">
        <f>SUMIFS('Historical Orders'!$G100, 'Historical Orders'!$D100, "3", 'Historical Orders'!$C100, "B", 'Historical Orders'!$B100, "2")</f>
        <v>0</v>
      </c>
      <c r="AF100" s="157">
        <f>SUMIFS('Historical Orders'!$E100, 'Historical Orders'!$D100, "4", 'Historical Orders'!$C100, "A", 'Historical Orders'!$B100, "1")</f>
        <v>0</v>
      </c>
      <c r="AG100" s="157">
        <f>SUMIFS('Historical Orders'!$G100, 'Historical Orders'!$D100, "4", 'Historical Orders'!$C100, "A", 'Historical Orders'!$B100, "1")</f>
        <v>0</v>
      </c>
      <c r="AH100" s="157">
        <f>SUMIFS('Historical Orders'!$E100, 'Historical Orders'!$D100, "4", 'Historical Orders'!$C100, "B", 'Historical Orders'!$B100, "1")</f>
        <v>0</v>
      </c>
      <c r="AI100" s="157">
        <f>SUMIFS('Historical Orders'!$G100, 'Historical Orders'!$D100, "4", 'Historical Orders'!$C100, "B", 'Historical Orders'!$B100, "1")</f>
        <v>0</v>
      </c>
      <c r="AJ100" s="157">
        <f>SUMIFS('Historical Orders'!$E100, 'Historical Orders'!$D100, "4", 'Historical Orders'!$C100, "A", 'Historical Orders'!$B100, "2")</f>
        <v>0</v>
      </c>
      <c r="AK100" s="157">
        <f>SUMIFS('Historical Orders'!$G100, 'Historical Orders'!$D100, "4", 'Historical Orders'!$C100, "A", 'Historical Orders'!$B100, "2")</f>
        <v>0</v>
      </c>
      <c r="AL100" s="171">
        <f>SUMIFS('Historical Orders'!$E100, 'Historical Orders'!$D100, "4", 'Historical Orders'!$C100, "B", 'Historical Orders'!$B100, "2")</f>
        <v>0</v>
      </c>
      <c r="AM100" s="171">
        <f>SUMIFS('Historical Orders'!$G100, 'Historical Orders'!$D100, "4", 'Historical Orders'!$C100, "B", 'Historical Orders'!$B100, "2")</f>
        <v>0</v>
      </c>
      <c r="AN100" s="171">
        <f>SUMIFS('Historical Orders'!$G100, 'Historical Orders'!$C100, "A", 'Historical Orders'!$B100, "1")</f>
        <v>0</v>
      </c>
      <c r="AO100" s="171">
        <f>SUMIFS('Historical Orders'!$G100, 'Historical Orders'!$C100, "B", 'Historical Orders'!$B100, "1")</f>
        <v>0</v>
      </c>
      <c r="AP100" s="171">
        <f>SUMIFS('Historical Orders'!$G100, 'Historical Orders'!$C100, "A", 'Historical Orders'!$B100, "2")</f>
        <v>7249</v>
      </c>
      <c r="AQ100" s="171">
        <f>SUMIFS('Historical Orders'!$G100, 'Historical Orders'!$C100, "B", 'Historical Orders'!$B100, "2")</f>
        <v>0</v>
      </c>
      <c r="AR100" s="145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9"/>
      <c r="BW100" s="179"/>
      <c r="BX100" s="179"/>
      <c r="BY100" s="179"/>
      <c r="BZ100" s="179"/>
      <c r="CA100" s="179"/>
      <c r="CB100" s="179"/>
      <c r="CC100" s="179"/>
      <c r="CD100" s="179"/>
      <c r="CE100" s="179"/>
    </row>
    <row r="101" ht="15.75" customHeight="1">
      <c r="A101" s="151">
        <v>41967.0</v>
      </c>
      <c r="B101" s="152">
        <v>2.0</v>
      </c>
      <c r="C101" s="152" t="s">
        <v>45</v>
      </c>
      <c r="D101" s="152">
        <v>2.0</v>
      </c>
      <c r="E101" s="153">
        <v>4361.0</v>
      </c>
      <c r="F101" s="154">
        <v>1.2</v>
      </c>
      <c r="G101" s="155">
        <v>5233.2</v>
      </c>
      <c r="H101" s="159">
        <f>SUMIFS('Historical Orders'!$E101, 'Historical Orders'!$D101, "1", 'Historical Orders'!$C101, "A", 'Historical Orders'!$B101, "1")</f>
        <v>0</v>
      </c>
      <c r="I101" s="157">
        <f>SUMIFS('Historical Orders'!$G101, 'Historical Orders'!$D101, "1", 'Historical Orders'!$C101, "A", 'Historical Orders'!$B101, "1")</f>
        <v>0</v>
      </c>
      <c r="J101" s="157">
        <f>SUMIFS('Historical Orders'!$E101, 'Historical Orders'!$D101, "1", 'Historical Orders'!$C101, "B", 'Historical Orders'!$B101, "1")</f>
        <v>0</v>
      </c>
      <c r="K101" s="157">
        <f>SUMIFS('Historical Orders'!$G101, 'Historical Orders'!$D101, "1", 'Historical Orders'!$C101, "B", 'Historical Orders'!$B101, "1")</f>
        <v>0</v>
      </c>
      <c r="L101" s="159">
        <f>SUMIFS('Historical Orders'!$E101, 'Historical Orders'!$D101, "1", 'Historical Orders'!$C101, "A", 'Historical Orders'!$B101, "2")</f>
        <v>0</v>
      </c>
      <c r="M101" s="157">
        <f>SUMIFS('Historical Orders'!$G101, 'Historical Orders'!$D101, "1", 'Historical Orders'!$C101, "A", 'Historical Orders'!$B101, "2")</f>
        <v>0</v>
      </c>
      <c r="N101" s="157">
        <f>SUMIFS('Historical Orders'!$E101, 'Historical Orders'!$D101, "1", 'Historical Orders'!$C101, "B", 'Historical Orders'!$B101, "2")</f>
        <v>0</v>
      </c>
      <c r="O101" s="157">
        <f>SUMIFS('Historical Orders'!$G101, 'Historical Orders'!$D101, "1", 'Historical Orders'!$C101, "B", 'Historical Orders'!$B101, "2")</f>
        <v>0</v>
      </c>
      <c r="P101" s="159">
        <f>SUMIFS('Historical Orders'!$E101, 'Historical Orders'!$D101, "2", 'Historical Orders'!$C101, "A", 'Historical Orders'!$B101, "1")</f>
        <v>0</v>
      </c>
      <c r="Q101" s="157">
        <f>SUMIFS('Historical Orders'!$G101, 'Historical Orders'!$D101, "2", 'Historical Orders'!$C101, "A", 'Historical Orders'!$B101, "1")</f>
        <v>0</v>
      </c>
      <c r="R101" s="159">
        <f>SUMIFS('Historical Orders'!$E101, 'Historical Orders'!$D101, "2", 'Historical Orders'!$C101, "B", 'Historical Orders'!$B101, "1")</f>
        <v>0</v>
      </c>
      <c r="S101" s="157">
        <f>SUMIFS('Historical Orders'!$G101, 'Historical Orders'!$D101, "2", 'Historical Orders'!$C101, "B", 'Historical Orders'!$B101, "1")</f>
        <v>0</v>
      </c>
      <c r="T101" s="159">
        <f>SUMIFS('Historical Orders'!$E101, 'Historical Orders'!$D101, "2", 'Historical Orders'!$C101, "A", 'Historical Orders'!$B101, "2")</f>
        <v>4361</v>
      </c>
      <c r="U101" s="157">
        <f>SUMIFS('Historical Orders'!$G101, 'Historical Orders'!$D101, "2", 'Historical Orders'!$C101, "A", 'Historical Orders'!$B101, "2")</f>
        <v>5233.2</v>
      </c>
      <c r="V101" s="159">
        <f>SUMIFS('Historical Orders'!$E101, 'Historical Orders'!$D101, "2", 'Historical Orders'!$C101, "B", 'Historical Orders'!$B101, "2")</f>
        <v>0</v>
      </c>
      <c r="W101" s="159">
        <f>SUMIFS('Historical Orders'!$G101, 'Historical Orders'!$D101, "2", 'Historical Orders'!$C101, "B", 'Historical Orders'!$B101, "2")</f>
        <v>0</v>
      </c>
      <c r="X101" s="159">
        <f>SUMIFS('Historical Orders'!$E101, 'Historical Orders'!$D101, "3", 'Historical Orders'!$C101, "A", 'Historical Orders'!$B101, "1")</f>
        <v>0</v>
      </c>
      <c r="Y101" s="159">
        <f>SUMIFS('Historical Orders'!$G101, 'Historical Orders'!$D101, "3", 'Historical Orders'!$C101, "A", 'Historical Orders'!$B101, "1")</f>
        <v>0</v>
      </c>
      <c r="Z101" s="159">
        <f>SUMIFS('Historical Orders'!$E101, 'Historical Orders'!$D101, "3", 'Historical Orders'!$C101, "B", 'Historical Orders'!$B101, "1")</f>
        <v>0</v>
      </c>
      <c r="AA101" s="159">
        <f>SUMIFS('Historical Orders'!$G101, 'Historical Orders'!$D101, "3", 'Historical Orders'!$C101, "B", 'Historical Orders'!$B101, "1")</f>
        <v>0</v>
      </c>
      <c r="AB101" s="159">
        <f>SUMIFS('Historical Orders'!$E101, 'Historical Orders'!$D101, "3", 'Historical Orders'!$C101, "A", 'Historical Orders'!$B101, "2")</f>
        <v>0</v>
      </c>
      <c r="AC101" s="159">
        <f>SUMIFS('Historical Orders'!$G101, 'Historical Orders'!$D101, "3", 'Historical Orders'!$C101, "A", 'Historical Orders'!$B101, "2")</f>
        <v>0</v>
      </c>
      <c r="AD101" s="159">
        <f>SUMIFS('Historical Orders'!$E101, 'Historical Orders'!$D101, "3", 'Historical Orders'!$C101, "B", 'Historical Orders'!$B101, "2")</f>
        <v>0</v>
      </c>
      <c r="AE101" s="157">
        <f>SUMIFS('Historical Orders'!$G101, 'Historical Orders'!$D101, "3", 'Historical Orders'!$C101, "B", 'Historical Orders'!$B101, "2")</f>
        <v>0</v>
      </c>
      <c r="AF101" s="157">
        <f>SUMIFS('Historical Orders'!$E101, 'Historical Orders'!$D101, "4", 'Historical Orders'!$C101, "A", 'Historical Orders'!$B101, "1")</f>
        <v>0</v>
      </c>
      <c r="AG101" s="157">
        <f>SUMIFS('Historical Orders'!$G101, 'Historical Orders'!$D101, "4", 'Historical Orders'!$C101, "A", 'Historical Orders'!$B101, "1")</f>
        <v>0</v>
      </c>
      <c r="AH101" s="157">
        <f>SUMIFS('Historical Orders'!$E101, 'Historical Orders'!$D101, "4", 'Historical Orders'!$C101, "B", 'Historical Orders'!$B101, "1")</f>
        <v>0</v>
      </c>
      <c r="AI101" s="157">
        <f>SUMIFS('Historical Orders'!$G101, 'Historical Orders'!$D101, "4", 'Historical Orders'!$C101, "B", 'Historical Orders'!$B101, "1")</f>
        <v>0</v>
      </c>
      <c r="AJ101" s="157">
        <f>SUMIFS('Historical Orders'!$E101, 'Historical Orders'!$D101, "4", 'Historical Orders'!$C101, "A", 'Historical Orders'!$B101, "2")</f>
        <v>0</v>
      </c>
      <c r="AK101" s="157">
        <f>SUMIFS('Historical Orders'!$G101, 'Historical Orders'!$D101, "4", 'Historical Orders'!$C101, "A", 'Historical Orders'!$B101, "2")</f>
        <v>0</v>
      </c>
      <c r="AL101" s="171">
        <f>SUMIFS('Historical Orders'!$E101, 'Historical Orders'!$D101, "4", 'Historical Orders'!$C101, "B", 'Historical Orders'!$B101, "2")</f>
        <v>0</v>
      </c>
      <c r="AM101" s="171">
        <f>SUMIFS('Historical Orders'!$G101, 'Historical Orders'!$D101, "4", 'Historical Orders'!$C101, "B", 'Historical Orders'!$B101, "2")</f>
        <v>0</v>
      </c>
      <c r="AN101" s="171">
        <f>SUMIFS('Historical Orders'!$G101, 'Historical Orders'!$C101, "A", 'Historical Orders'!$B101, "1")</f>
        <v>0</v>
      </c>
      <c r="AO101" s="171">
        <f>SUMIFS('Historical Orders'!$G101, 'Historical Orders'!$C101, "B", 'Historical Orders'!$B101, "1")</f>
        <v>0</v>
      </c>
      <c r="AP101" s="171">
        <f>SUMIFS('Historical Orders'!$G101, 'Historical Orders'!$C101, "A", 'Historical Orders'!$B101, "2")</f>
        <v>5233.2</v>
      </c>
      <c r="AQ101" s="171">
        <f>SUMIFS('Historical Orders'!$G101, 'Historical Orders'!$C101, "B", 'Historical Orders'!$B101, "2")</f>
        <v>0</v>
      </c>
      <c r="AR101" s="145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9"/>
      <c r="BW101" s="179"/>
      <c r="BX101" s="179"/>
      <c r="BY101" s="179"/>
      <c r="BZ101" s="179"/>
      <c r="CA101" s="179"/>
      <c r="CB101" s="179"/>
      <c r="CC101" s="179"/>
      <c r="CD101" s="179"/>
      <c r="CE101" s="179"/>
    </row>
    <row r="102" ht="15.75" customHeight="1">
      <c r="A102" s="151">
        <v>41967.0</v>
      </c>
      <c r="B102" s="152">
        <v>1.0</v>
      </c>
      <c r="C102" s="152" t="s">
        <v>46</v>
      </c>
      <c r="D102" s="152">
        <v>3.0</v>
      </c>
      <c r="E102" s="153">
        <v>1927.0</v>
      </c>
      <c r="F102" s="154">
        <v>8.3</v>
      </c>
      <c r="G102" s="155">
        <v>15994.100000000002</v>
      </c>
      <c r="H102" s="159">
        <f>SUMIFS('Historical Orders'!$E102, 'Historical Orders'!$D102, "1", 'Historical Orders'!$C102, "A", 'Historical Orders'!$B102, "1")</f>
        <v>0</v>
      </c>
      <c r="I102" s="157">
        <f>SUMIFS('Historical Orders'!$G102, 'Historical Orders'!$D102, "1", 'Historical Orders'!$C102, "A", 'Historical Orders'!$B102, "1")</f>
        <v>0</v>
      </c>
      <c r="J102" s="157">
        <f>SUMIFS('Historical Orders'!$E102, 'Historical Orders'!$D102, "1", 'Historical Orders'!$C102, "B", 'Historical Orders'!$B102, "1")</f>
        <v>0</v>
      </c>
      <c r="K102" s="157">
        <f>SUMIFS('Historical Orders'!$G102, 'Historical Orders'!$D102, "1", 'Historical Orders'!$C102, "B", 'Historical Orders'!$B102, "1")</f>
        <v>0</v>
      </c>
      <c r="L102" s="159">
        <f>SUMIFS('Historical Orders'!$E102, 'Historical Orders'!$D102, "1", 'Historical Orders'!$C102, "A", 'Historical Orders'!$B102, "2")</f>
        <v>0</v>
      </c>
      <c r="M102" s="157">
        <f>SUMIFS('Historical Orders'!$G102, 'Historical Orders'!$D102, "1", 'Historical Orders'!$C102, "A", 'Historical Orders'!$B102, "2")</f>
        <v>0</v>
      </c>
      <c r="N102" s="157">
        <f>SUMIFS('Historical Orders'!$E102, 'Historical Orders'!$D102, "1", 'Historical Orders'!$C102, "B", 'Historical Orders'!$B102, "2")</f>
        <v>0</v>
      </c>
      <c r="O102" s="157">
        <f>SUMIFS('Historical Orders'!$G102, 'Historical Orders'!$D102, "1", 'Historical Orders'!$C102, "B", 'Historical Orders'!$B102, "2")</f>
        <v>0</v>
      </c>
      <c r="P102" s="159">
        <f>SUMIFS('Historical Orders'!$E102, 'Historical Orders'!$D102, "2", 'Historical Orders'!$C102, "A", 'Historical Orders'!$B102, "1")</f>
        <v>0</v>
      </c>
      <c r="Q102" s="157">
        <f>SUMIFS('Historical Orders'!$G102, 'Historical Orders'!$D102, "2", 'Historical Orders'!$C102, "A", 'Historical Orders'!$B102, "1")</f>
        <v>0</v>
      </c>
      <c r="R102" s="159">
        <f>SUMIFS('Historical Orders'!$E102, 'Historical Orders'!$D102, "2", 'Historical Orders'!$C102, "B", 'Historical Orders'!$B102, "1")</f>
        <v>0</v>
      </c>
      <c r="S102" s="157">
        <f>SUMIFS('Historical Orders'!$G102, 'Historical Orders'!$D102, "2", 'Historical Orders'!$C102, "B", 'Historical Orders'!$B102, "1")</f>
        <v>0</v>
      </c>
      <c r="T102" s="159">
        <f>SUMIFS('Historical Orders'!$E102, 'Historical Orders'!$D102, "2", 'Historical Orders'!$C102, "A", 'Historical Orders'!$B102, "2")</f>
        <v>0</v>
      </c>
      <c r="U102" s="157">
        <f>SUMIFS('Historical Orders'!$G102, 'Historical Orders'!$D102, "2", 'Historical Orders'!$C102, "A", 'Historical Orders'!$B102, "2")</f>
        <v>0</v>
      </c>
      <c r="V102" s="159">
        <f>SUMIFS('Historical Orders'!$E102, 'Historical Orders'!$D102, "2", 'Historical Orders'!$C102, "B", 'Historical Orders'!$B102, "2")</f>
        <v>0</v>
      </c>
      <c r="W102" s="159">
        <f>SUMIFS('Historical Orders'!$G102, 'Historical Orders'!$D102, "2", 'Historical Orders'!$C102, "B", 'Historical Orders'!$B102, "2")</f>
        <v>0</v>
      </c>
      <c r="X102" s="159">
        <f>SUMIFS('Historical Orders'!$E102, 'Historical Orders'!$D102, "3", 'Historical Orders'!$C102, "A", 'Historical Orders'!$B102, "1")</f>
        <v>0</v>
      </c>
      <c r="Y102" s="159">
        <f>SUMIFS('Historical Orders'!$G102, 'Historical Orders'!$D102, "3", 'Historical Orders'!$C102, "A", 'Historical Orders'!$B102, "1")</f>
        <v>0</v>
      </c>
      <c r="Z102" s="159">
        <f>SUMIFS('Historical Orders'!$E102, 'Historical Orders'!$D102, "3", 'Historical Orders'!$C102, "B", 'Historical Orders'!$B102, "1")</f>
        <v>1927</v>
      </c>
      <c r="AA102" s="159">
        <f>SUMIFS('Historical Orders'!$G102, 'Historical Orders'!$D102, "3", 'Historical Orders'!$C102, "B", 'Historical Orders'!$B102, "1")</f>
        <v>15994.1</v>
      </c>
      <c r="AB102" s="159">
        <f>SUMIFS('Historical Orders'!$E102, 'Historical Orders'!$D102, "3", 'Historical Orders'!$C102, "A", 'Historical Orders'!$B102, "2")</f>
        <v>0</v>
      </c>
      <c r="AC102" s="159">
        <f>SUMIFS('Historical Orders'!$G102, 'Historical Orders'!$D102, "3", 'Historical Orders'!$C102, "A", 'Historical Orders'!$B102, "2")</f>
        <v>0</v>
      </c>
      <c r="AD102" s="159">
        <f>SUMIFS('Historical Orders'!$E102, 'Historical Orders'!$D102, "3", 'Historical Orders'!$C102, "B", 'Historical Orders'!$B102, "2")</f>
        <v>0</v>
      </c>
      <c r="AE102" s="157">
        <f>SUMIFS('Historical Orders'!$G102, 'Historical Orders'!$D102, "3", 'Historical Orders'!$C102, "B", 'Historical Orders'!$B102, "2")</f>
        <v>0</v>
      </c>
      <c r="AF102" s="157">
        <f>SUMIFS('Historical Orders'!$E102, 'Historical Orders'!$D102, "4", 'Historical Orders'!$C102, "A", 'Historical Orders'!$B102, "1")</f>
        <v>0</v>
      </c>
      <c r="AG102" s="157">
        <f>SUMIFS('Historical Orders'!$G102, 'Historical Orders'!$D102, "4", 'Historical Orders'!$C102, "A", 'Historical Orders'!$B102, "1")</f>
        <v>0</v>
      </c>
      <c r="AH102" s="157">
        <f>SUMIFS('Historical Orders'!$E102, 'Historical Orders'!$D102, "4", 'Historical Orders'!$C102, "B", 'Historical Orders'!$B102, "1")</f>
        <v>0</v>
      </c>
      <c r="AI102" s="157">
        <f>SUMIFS('Historical Orders'!$G102, 'Historical Orders'!$D102, "4", 'Historical Orders'!$C102, "B", 'Historical Orders'!$B102, "1")</f>
        <v>0</v>
      </c>
      <c r="AJ102" s="157">
        <f>SUMIFS('Historical Orders'!$E102, 'Historical Orders'!$D102, "4", 'Historical Orders'!$C102, "A", 'Historical Orders'!$B102, "2")</f>
        <v>0</v>
      </c>
      <c r="AK102" s="157">
        <f>SUMIFS('Historical Orders'!$G102, 'Historical Orders'!$D102, "4", 'Historical Orders'!$C102, "A", 'Historical Orders'!$B102, "2")</f>
        <v>0</v>
      </c>
      <c r="AL102" s="171">
        <f>SUMIFS('Historical Orders'!$E102, 'Historical Orders'!$D102, "4", 'Historical Orders'!$C102, "B", 'Historical Orders'!$B102, "2")</f>
        <v>0</v>
      </c>
      <c r="AM102" s="171">
        <f>SUMIFS('Historical Orders'!$G102, 'Historical Orders'!$D102, "4", 'Historical Orders'!$C102, "B", 'Historical Orders'!$B102, "2")</f>
        <v>0</v>
      </c>
      <c r="AN102" s="171">
        <f>SUMIFS('Historical Orders'!$G102, 'Historical Orders'!$C102, "A", 'Historical Orders'!$B102, "1")</f>
        <v>0</v>
      </c>
      <c r="AO102" s="171">
        <f>SUMIFS('Historical Orders'!$G102, 'Historical Orders'!$C102, "B", 'Historical Orders'!$B102, "1")</f>
        <v>15994.1</v>
      </c>
      <c r="AP102" s="171">
        <f>SUMIFS('Historical Orders'!$G102, 'Historical Orders'!$C102, "A", 'Historical Orders'!$B102, "2")</f>
        <v>0</v>
      </c>
      <c r="AQ102" s="171">
        <f>SUMIFS('Historical Orders'!$G102, 'Historical Orders'!$C102, "B", 'Historical Orders'!$B102, "2")</f>
        <v>0</v>
      </c>
      <c r="AR102" s="145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9"/>
      <c r="BW102" s="179"/>
      <c r="BX102" s="179"/>
      <c r="BY102" s="179"/>
      <c r="BZ102" s="179"/>
      <c r="CA102" s="179"/>
      <c r="CB102" s="179"/>
      <c r="CC102" s="179"/>
      <c r="CD102" s="179"/>
      <c r="CE102" s="179"/>
    </row>
    <row r="103" ht="15.75" customHeight="1">
      <c r="A103" s="151">
        <v>41967.0</v>
      </c>
      <c r="B103" s="152">
        <v>2.0</v>
      </c>
      <c r="C103" s="152" t="s">
        <v>46</v>
      </c>
      <c r="D103" s="152">
        <v>3.0</v>
      </c>
      <c r="E103" s="153">
        <v>2000.0</v>
      </c>
      <c r="F103" s="154">
        <v>8.3</v>
      </c>
      <c r="G103" s="155">
        <v>16600.0</v>
      </c>
      <c r="H103" s="159">
        <f>SUMIFS('Historical Orders'!$E103, 'Historical Orders'!$D103, "1", 'Historical Orders'!$C103, "A", 'Historical Orders'!$B103, "1")</f>
        <v>0</v>
      </c>
      <c r="I103" s="157">
        <f>SUMIFS('Historical Orders'!$G103, 'Historical Orders'!$D103, "1", 'Historical Orders'!$C103, "A", 'Historical Orders'!$B103, "1")</f>
        <v>0</v>
      </c>
      <c r="J103" s="157">
        <f>SUMIFS('Historical Orders'!$E103, 'Historical Orders'!$D103, "1", 'Historical Orders'!$C103, "B", 'Historical Orders'!$B103, "1")</f>
        <v>0</v>
      </c>
      <c r="K103" s="157">
        <f>SUMIFS('Historical Orders'!$G103, 'Historical Orders'!$D103, "1", 'Historical Orders'!$C103, "B", 'Historical Orders'!$B103, "1")</f>
        <v>0</v>
      </c>
      <c r="L103" s="159">
        <f>SUMIFS('Historical Orders'!$E103, 'Historical Orders'!$D103, "1", 'Historical Orders'!$C103, "A", 'Historical Orders'!$B103, "2")</f>
        <v>0</v>
      </c>
      <c r="M103" s="157">
        <f>SUMIFS('Historical Orders'!$G103, 'Historical Orders'!$D103, "1", 'Historical Orders'!$C103, "A", 'Historical Orders'!$B103, "2")</f>
        <v>0</v>
      </c>
      <c r="N103" s="157">
        <f>SUMIFS('Historical Orders'!$E103, 'Historical Orders'!$D103, "1", 'Historical Orders'!$C103, "B", 'Historical Orders'!$B103, "2")</f>
        <v>0</v>
      </c>
      <c r="O103" s="157">
        <f>SUMIFS('Historical Orders'!$G103, 'Historical Orders'!$D103, "1", 'Historical Orders'!$C103, "B", 'Historical Orders'!$B103, "2")</f>
        <v>0</v>
      </c>
      <c r="P103" s="159">
        <f>SUMIFS('Historical Orders'!$E103, 'Historical Orders'!$D103, "2", 'Historical Orders'!$C103, "A", 'Historical Orders'!$B103, "1")</f>
        <v>0</v>
      </c>
      <c r="Q103" s="157">
        <f>SUMIFS('Historical Orders'!$G103, 'Historical Orders'!$D103, "2", 'Historical Orders'!$C103, "A", 'Historical Orders'!$B103, "1")</f>
        <v>0</v>
      </c>
      <c r="R103" s="159">
        <f>SUMIFS('Historical Orders'!$E103, 'Historical Orders'!$D103, "2", 'Historical Orders'!$C103, "B", 'Historical Orders'!$B103, "1")</f>
        <v>0</v>
      </c>
      <c r="S103" s="157">
        <f>SUMIFS('Historical Orders'!$G103, 'Historical Orders'!$D103, "2", 'Historical Orders'!$C103, "B", 'Historical Orders'!$B103, "1")</f>
        <v>0</v>
      </c>
      <c r="T103" s="159">
        <f>SUMIFS('Historical Orders'!$E103, 'Historical Orders'!$D103, "2", 'Historical Orders'!$C103, "A", 'Historical Orders'!$B103, "2")</f>
        <v>0</v>
      </c>
      <c r="U103" s="157">
        <f>SUMIFS('Historical Orders'!$G103, 'Historical Orders'!$D103, "2", 'Historical Orders'!$C103, "A", 'Historical Orders'!$B103, "2")</f>
        <v>0</v>
      </c>
      <c r="V103" s="159">
        <f>SUMIFS('Historical Orders'!$E103, 'Historical Orders'!$D103, "2", 'Historical Orders'!$C103, "B", 'Historical Orders'!$B103, "2")</f>
        <v>0</v>
      </c>
      <c r="W103" s="159">
        <f>SUMIFS('Historical Orders'!$G103, 'Historical Orders'!$D103, "2", 'Historical Orders'!$C103, "B", 'Historical Orders'!$B103, "2")</f>
        <v>0</v>
      </c>
      <c r="X103" s="159">
        <f>SUMIFS('Historical Orders'!$E103, 'Historical Orders'!$D103, "3", 'Historical Orders'!$C103, "A", 'Historical Orders'!$B103, "1")</f>
        <v>0</v>
      </c>
      <c r="Y103" s="159">
        <f>SUMIFS('Historical Orders'!$G103, 'Historical Orders'!$D103, "3", 'Historical Orders'!$C103, "A", 'Historical Orders'!$B103, "1")</f>
        <v>0</v>
      </c>
      <c r="Z103" s="159">
        <f>SUMIFS('Historical Orders'!$E103, 'Historical Orders'!$D103, "3", 'Historical Orders'!$C103, "B", 'Historical Orders'!$B103, "1")</f>
        <v>0</v>
      </c>
      <c r="AA103" s="159">
        <f>SUMIFS('Historical Orders'!$G103, 'Historical Orders'!$D103, "3", 'Historical Orders'!$C103, "B", 'Historical Orders'!$B103, "1")</f>
        <v>0</v>
      </c>
      <c r="AB103" s="159">
        <f>SUMIFS('Historical Orders'!$E103, 'Historical Orders'!$D103, "3", 'Historical Orders'!$C103, "A", 'Historical Orders'!$B103, "2")</f>
        <v>0</v>
      </c>
      <c r="AC103" s="159">
        <f>SUMIFS('Historical Orders'!$G103, 'Historical Orders'!$D103, "3", 'Historical Orders'!$C103, "A", 'Historical Orders'!$B103, "2")</f>
        <v>0</v>
      </c>
      <c r="AD103" s="159">
        <f>SUMIFS('Historical Orders'!$E103, 'Historical Orders'!$D103, "3", 'Historical Orders'!$C103, "B", 'Historical Orders'!$B103, "2")</f>
        <v>2000</v>
      </c>
      <c r="AE103" s="157">
        <f>SUMIFS('Historical Orders'!$G103, 'Historical Orders'!$D103, "3", 'Historical Orders'!$C103, "B", 'Historical Orders'!$B103, "2")</f>
        <v>16600</v>
      </c>
      <c r="AF103" s="157">
        <f>SUMIFS('Historical Orders'!$E103, 'Historical Orders'!$D103, "4", 'Historical Orders'!$C103, "A", 'Historical Orders'!$B103, "1")</f>
        <v>0</v>
      </c>
      <c r="AG103" s="157">
        <f>SUMIFS('Historical Orders'!$G103, 'Historical Orders'!$D103, "4", 'Historical Orders'!$C103, "A", 'Historical Orders'!$B103, "1")</f>
        <v>0</v>
      </c>
      <c r="AH103" s="157">
        <f>SUMIFS('Historical Orders'!$E103, 'Historical Orders'!$D103, "4", 'Historical Orders'!$C103, "B", 'Historical Orders'!$B103, "1")</f>
        <v>0</v>
      </c>
      <c r="AI103" s="157">
        <f>SUMIFS('Historical Orders'!$G103, 'Historical Orders'!$D103, "4", 'Historical Orders'!$C103, "B", 'Historical Orders'!$B103, "1")</f>
        <v>0</v>
      </c>
      <c r="AJ103" s="157">
        <f>SUMIFS('Historical Orders'!$E103, 'Historical Orders'!$D103, "4", 'Historical Orders'!$C103, "A", 'Historical Orders'!$B103, "2")</f>
        <v>0</v>
      </c>
      <c r="AK103" s="157">
        <f>SUMIFS('Historical Orders'!$G103, 'Historical Orders'!$D103, "4", 'Historical Orders'!$C103, "A", 'Historical Orders'!$B103, "2")</f>
        <v>0</v>
      </c>
      <c r="AL103" s="171">
        <f>SUMIFS('Historical Orders'!$E103, 'Historical Orders'!$D103, "4", 'Historical Orders'!$C103, "B", 'Historical Orders'!$B103, "2")</f>
        <v>0</v>
      </c>
      <c r="AM103" s="171">
        <f>SUMIFS('Historical Orders'!$G103, 'Historical Orders'!$D103, "4", 'Historical Orders'!$C103, "B", 'Historical Orders'!$B103, "2")</f>
        <v>0</v>
      </c>
      <c r="AN103" s="171">
        <f>SUMIFS('Historical Orders'!$G103, 'Historical Orders'!$C103, "A", 'Historical Orders'!$B103, "1")</f>
        <v>0</v>
      </c>
      <c r="AO103" s="171">
        <f>SUMIFS('Historical Orders'!$G103, 'Historical Orders'!$C103, "B", 'Historical Orders'!$B103, "1")</f>
        <v>0</v>
      </c>
      <c r="AP103" s="171">
        <f>SUMIFS('Historical Orders'!$G103, 'Historical Orders'!$C103, "A", 'Historical Orders'!$B103, "2")</f>
        <v>0</v>
      </c>
      <c r="AQ103" s="171">
        <f>SUMIFS('Historical Orders'!$G103, 'Historical Orders'!$C103, "B", 'Historical Orders'!$B103, "2")</f>
        <v>16600</v>
      </c>
      <c r="AR103" s="145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9"/>
      <c r="BW103" s="179"/>
      <c r="BX103" s="179"/>
      <c r="BY103" s="179"/>
      <c r="BZ103" s="179"/>
      <c r="CA103" s="179"/>
      <c r="CB103" s="179"/>
      <c r="CC103" s="179"/>
      <c r="CD103" s="179"/>
      <c r="CE103" s="179"/>
    </row>
    <row r="104" ht="15.75" customHeight="1">
      <c r="A104" s="151">
        <v>41974.0</v>
      </c>
      <c r="B104" s="152">
        <v>1.0</v>
      </c>
      <c r="C104" s="152" t="s">
        <v>45</v>
      </c>
      <c r="D104" s="152">
        <v>1.0</v>
      </c>
      <c r="E104" s="153">
        <v>4937.0</v>
      </c>
      <c r="F104" s="154">
        <v>2.2</v>
      </c>
      <c r="G104" s="155">
        <v>10861.400000000001</v>
      </c>
      <c r="H104" s="159">
        <f>SUMIFS('Historical Orders'!$E104, 'Historical Orders'!$D104, "1", 'Historical Orders'!$C104, "A", 'Historical Orders'!$B104, "1")</f>
        <v>4937</v>
      </c>
      <c r="I104" s="157">
        <f>SUMIFS('Historical Orders'!$G104, 'Historical Orders'!$D104, "1", 'Historical Orders'!$C104, "A", 'Historical Orders'!$B104, "1")</f>
        <v>10861.4</v>
      </c>
      <c r="J104" s="157">
        <f>SUMIFS('Historical Orders'!$E104, 'Historical Orders'!$D104, "1", 'Historical Orders'!$C104, "B", 'Historical Orders'!$B104, "1")</f>
        <v>0</v>
      </c>
      <c r="K104" s="157">
        <f>SUMIFS('Historical Orders'!$G104, 'Historical Orders'!$D104, "1", 'Historical Orders'!$C104, "B", 'Historical Orders'!$B104, "1")</f>
        <v>0</v>
      </c>
      <c r="L104" s="159">
        <f>SUMIFS('Historical Orders'!$E104, 'Historical Orders'!$D104, "1", 'Historical Orders'!$C104, "A", 'Historical Orders'!$B104, "2")</f>
        <v>0</v>
      </c>
      <c r="M104" s="157">
        <f>SUMIFS('Historical Orders'!$G104, 'Historical Orders'!$D104, "1", 'Historical Orders'!$C104, "A", 'Historical Orders'!$B104, "2")</f>
        <v>0</v>
      </c>
      <c r="N104" s="157">
        <f>SUMIFS('Historical Orders'!$E104, 'Historical Orders'!$D104, "1", 'Historical Orders'!$C104, "B", 'Historical Orders'!$B104, "2")</f>
        <v>0</v>
      </c>
      <c r="O104" s="157">
        <f>SUMIFS('Historical Orders'!$G104, 'Historical Orders'!$D104, "1", 'Historical Orders'!$C104, "B", 'Historical Orders'!$B104, "2")</f>
        <v>0</v>
      </c>
      <c r="P104" s="159">
        <f>SUMIFS('Historical Orders'!$E104, 'Historical Orders'!$D104, "2", 'Historical Orders'!$C104, "A", 'Historical Orders'!$B104, "1")</f>
        <v>0</v>
      </c>
      <c r="Q104" s="157">
        <f>SUMIFS('Historical Orders'!$G104, 'Historical Orders'!$D104, "2", 'Historical Orders'!$C104, "A", 'Historical Orders'!$B104, "1")</f>
        <v>0</v>
      </c>
      <c r="R104" s="159">
        <f>SUMIFS('Historical Orders'!$E104, 'Historical Orders'!$D104, "2", 'Historical Orders'!$C104, "B", 'Historical Orders'!$B104, "1")</f>
        <v>0</v>
      </c>
      <c r="S104" s="157">
        <f>SUMIFS('Historical Orders'!$G104, 'Historical Orders'!$D104, "2", 'Historical Orders'!$C104, "B", 'Historical Orders'!$B104, "1")</f>
        <v>0</v>
      </c>
      <c r="T104" s="159">
        <f>SUMIFS('Historical Orders'!$E104, 'Historical Orders'!$D104, "2", 'Historical Orders'!$C104, "A", 'Historical Orders'!$B104, "2")</f>
        <v>0</v>
      </c>
      <c r="U104" s="157">
        <f>SUMIFS('Historical Orders'!$G104, 'Historical Orders'!$D104, "2", 'Historical Orders'!$C104, "A", 'Historical Orders'!$B104, "2")</f>
        <v>0</v>
      </c>
      <c r="V104" s="159">
        <f>SUMIFS('Historical Orders'!$E104, 'Historical Orders'!$D104, "2", 'Historical Orders'!$C104, "B", 'Historical Orders'!$B104, "2")</f>
        <v>0</v>
      </c>
      <c r="W104" s="159">
        <f>SUMIFS('Historical Orders'!$G104, 'Historical Orders'!$D104, "2", 'Historical Orders'!$C104, "B", 'Historical Orders'!$B104, "2")</f>
        <v>0</v>
      </c>
      <c r="X104" s="159">
        <f>SUMIFS('Historical Orders'!$E104, 'Historical Orders'!$D104, "3", 'Historical Orders'!$C104, "A", 'Historical Orders'!$B104, "1")</f>
        <v>0</v>
      </c>
      <c r="Y104" s="159">
        <f>SUMIFS('Historical Orders'!$G104, 'Historical Orders'!$D104, "3", 'Historical Orders'!$C104, "A", 'Historical Orders'!$B104, "1")</f>
        <v>0</v>
      </c>
      <c r="Z104" s="159">
        <f>SUMIFS('Historical Orders'!$E104, 'Historical Orders'!$D104, "3", 'Historical Orders'!$C104, "B", 'Historical Orders'!$B104, "1")</f>
        <v>0</v>
      </c>
      <c r="AA104" s="159">
        <f>SUMIFS('Historical Orders'!$G104, 'Historical Orders'!$D104, "3", 'Historical Orders'!$C104, "B", 'Historical Orders'!$B104, "1")</f>
        <v>0</v>
      </c>
      <c r="AB104" s="159">
        <f>SUMIFS('Historical Orders'!$E104, 'Historical Orders'!$D104, "3", 'Historical Orders'!$C104, "A", 'Historical Orders'!$B104, "2")</f>
        <v>0</v>
      </c>
      <c r="AC104" s="159">
        <f>SUMIFS('Historical Orders'!$G104, 'Historical Orders'!$D104, "3", 'Historical Orders'!$C104, "A", 'Historical Orders'!$B104, "2")</f>
        <v>0</v>
      </c>
      <c r="AD104" s="159">
        <f>SUMIFS('Historical Orders'!$E104, 'Historical Orders'!$D104, "3", 'Historical Orders'!$C104, "B", 'Historical Orders'!$B104, "2")</f>
        <v>0</v>
      </c>
      <c r="AE104" s="157">
        <f>SUMIFS('Historical Orders'!$G104, 'Historical Orders'!$D104, "3", 'Historical Orders'!$C104, "B", 'Historical Orders'!$B104, "2")</f>
        <v>0</v>
      </c>
      <c r="AF104" s="157">
        <f>SUMIFS('Historical Orders'!$E104, 'Historical Orders'!$D104, "4", 'Historical Orders'!$C104, "A", 'Historical Orders'!$B104, "1")</f>
        <v>0</v>
      </c>
      <c r="AG104" s="157">
        <f>SUMIFS('Historical Orders'!$G104, 'Historical Orders'!$D104, "4", 'Historical Orders'!$C104, "A", 'Historical Orders'!$B104, "1")</f>
        <v>0</v>
      </c>
      <c r="AH104" s="157">
        <f>SUMIFS('Historical Orders'!$E104, 'Historical Orders'!$D104, "4", 'Historical Orders'!$C104, "B", 'Historical Orders'!$B104, "1")</f>
        <v>0</v>
      </c>
      <c r="AI104" s="157">
        <f>SUMIFS('Historical Orders'!$G104, 'Historical Orders'!$D104, "4", 'Historical Orders'!$C104, "B", 'Historical Orders'!$B104, "1")</f>
        <v>0</v>
      </c>
      <c r="AJ104" s="157">
        <f>SUMIFS('Historical Orders'!$E104, 'Historical Orders'!$D104, "4", 'Historical Orders'!$C104, "A", 'Historical Orders'!$B104, "2")</f>
        <v>0</v>
      </c>
      <c r="AK104" s="157">
        <f>SUMIFS('Historical Orders'!$G104, 'Historical Orders'!$D104, "4", 'Historical Orders'!$C104, "A", 'Historical Orders'!$B104, "2")</f>
        <v>0</v>
      </c>
      <c r="AL104" s="171">
        <f>SUMIFS('Historical Orders'!$E104, 'Historical Orders'!$D104, "4", 'Historical Orders'!$C104, "B", 'Historical Orders'!$B104, "2")</f>
        <v>0</v>
      </c>
      <c r="AM104" s="171">
        <f>SUMIFS('Historical Orders'!$G104, 'Historical Orders'!$D104, "4", 'Historical Orders'!$C104, "B", 'Historical Orders'!$B104, "2")</f>
        <v>0</v>
      </c>
      <c r="AN104" s="171">
        <f>SUMIFS('Historical Orders'!$G104, 'Historical Orders'!$C104, "A", 'Historical Orders'!$B104, "1")</f>
        <v>10861.4</v>
      </c>
      <c r="AO104" s="171">
        <f>SUMIFS('Historical Orders'!$G104, 'Historical Orders'!$C104, "B", 'Historical Orders'!$B104, "1")</f>
        <v>0</v>
      </c>
      <c r="AP104" s="171">
        <f>SUMIFS('Historical Orders'!$G104, 'Historical Orders'!$C104, "A", 'Historical Orders'!$B104, "2")</f>
        <v>0</v>
      </c>
      <c r="AQ104" s="171">
        <f>SUMIFS('Historical Orders'!$G104, 'Historical Orders'!$C104, "B", 'Historical Orders'!$B104, "2")</f>
        <v>0</v>
      </c>
      <c r="AR104" s="145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9"/>
      <c r="BW104" s="179"/>
      <c r="BX104" s="179"/>
      <c r="BY104" s="179"/>
      <c r="BZ104" s="179"/>
      <c r="CA104" s="179"/>
      <c r="CB104" s="179"/>
      <c r="CC104" s="179"/>
      <c r="CD104" s="179"/>
      <c r="CE104" s="179"/>
    </row>
    <row r="105" ht="15.75" customHeight="1">
      <c r="A105" s="151">
        <v>41974.0</v>
      </c>
      <c r="B105" s="152">
        <v>1.0</v>
      </c>
      <c r="C105" s="152" t="s">
        <v>45</v>
      </c>
      <c r="D105" s="152">
        <v>2.0</v>
      </c>
      <c r="E105" s="153">
        <v>5084.0</v>
      </c>
      <c r="F105" s="154">
        <v>1.2</v>
      </c>
      <c r="G105" s="155">
        <v>6100.8</v>
      </c>
      <c r="H105" s="159">
        <f>SUMIFS('Historical Orders'!$E105, 'Historical Orders'!$D105, "1", 'Historical Orders'!$C105, "A", 'Historical Orders'!$B105, "1")</f>
        <v>0</v>
      </c>
      <c r="I105" s="157">
        <f>SUMIFS('Historical Orders'!$G105, 'Historical Orders'!$D105, "1", 'Historical Orders'!$C105, "A", 'Historical Orders'!$B105, "1")</f>
        <v>0</v>
      </c>
      <c r="J105" s="157">
        <f>SUMIFS('Historical Orders'!$E105, 'Historical Orders'!$D105, "1", 'Historical Orders'!$C105, "B", 'Historical Orders'!$B105, "1")</f>
        <v>0</v>
      </c>
      <c r="K105" s="157">
        <f>SUMIFS('Historical Orders'!$G105, 'Historical Orders'!$D105, "1", 'Historical Orders'!$C105, "B", 'Historical Orders'!$B105, "1")</f>
        <v>0</v>
      </c>
      <c r="L105" s="159">
        <f>SUMIFS('Historical Orders'!$E105, 'Historical Orders'!$D105, "1", 'Historical Orders'!$C105, "A", 'Historical Orders'!$B105, "2")</f>
        <v>0</v>
      </c>
      <c r="M105" s="157">
        <f>SUMIFS('Historical Orders'!$G105, 'Historical Orders'!$D105, "1", 'Historical Orders'!$C105, "A", 'Historical Orders'!$B105, "2")</f>
        <v>0</v>
      </c>
      <c r="N105" s="157">
        <f>SUMIFS('Historical Orders'!$E105, 'Historical Orders'!$D105, "1", 'Historical Orders'!$C105, "B", 'Historical Orders'!$B105, "2")</f>
        <v>0</v>
      </c>
      <c r="O105" s="157">
        <f>SUMIFS('Historical Orders'!$G105, 'Historical Orders'!$D105, "1", 'Historical Orders'!$C105, "B", 'Historical Orders'!$B105, "2")</f>
        <v>0</v>
      </c>
      <c r="P105" s="159">
        <f>SUMIFS('Historical Orders'!$E105, 'Historical Orders'!$D105, "2", 'Historical Orders'!$C105, "A", 'Historical Orders'!$B105, "1")</f>
        <v>5084</v>
      </c>
      <c r="Q105" s="157">
        <f>SUMIFS('Historical Orders'!$G105, 'Historical Orders'!$D105, "2", 'Historical Orders'!$C105, "A", 'Historical Orders'!$B105, "1")</f>
        <v>6100.8</v>
      </c>
      <c r="R105" s="159">
        <f>SUMIFS('Historical Orders'!$E105, 'Historical Orders'!$D105, "2", 'Historical Orders'!$C105, "B", 'Historical Orders'!$B105, "1")</f>
        <v>0</v>
      </c>
      <c r="S105" s="157">
        <f>SUMIFS('Historical Orders'!$G105, 'Historical Orders'!$D105, "2", 'Historical Orders'!$C105, "B", 'Historical Orders'!$B105, "1")</f>
        <v>0</v>
      </c>
      <c r="T105" s="159">
        <f>SUMIFS('Historical Orders'!$E105, 'Historical Orders'!$D105, "2", 'Historical Orders'!$C105, "A", 'Historical Orders'!$B105, "2")</f>
        <v>0</v>
      </c>
      <c r="U105" s="157">
        <f>SUMIFS('Historical Orders'!$G105, 'Historical Orders'!$D105, "2", 'Historical Orders'!$C105, "A", 'Historical Orders'!$B105, "2")</f>
        <v>0</v>
      </c>
      <c r="V105" s="159">
        <f>SUMIFS('Historical Orders'!$E105, 'Historical Orders'!$D105, "2", 'Historical Orders'!$C105, "B", 'Historical Orders'!$B105, "2")</f>
        <v>0</v>
      </c>
      <c r="W105" s="159">
        <f>SUMIFS('Historical Orders'!$G105, 'Historical Orders'!$D105, "2", 'Historical Orders'!$C105, "B", 'Historical Orders'!$B105, "2")</f>
        <v>0</v>
      </c>
      <c r="X105" s="159">
        <f>SUMIFS('Historical Orders'!$E105, 'Historical Orders'!$D105, "3", 'Historical Orders'!$C105, "A", 'Historical Orders'!$B105, "1")</f>
        <v>0</v>
      </c>
      <c r="Y105" s="159">
        <f>SUMIFS('Historical Orders'!$G105, 'Historical Orders'!$D105, "3", 'Historical Orders'!$C105, "A", 'Historical Orders'!$B105, "1")</f>
        <v>0</v>
      </c>
      <c r="Z105" s="159">
        <f>SUMIFS('Historical Orders'!$E105, 'Historical Orders'!$D105, "3", 'Historical Orders'!$C105, "B", 'Historical Orders'!$B105, "1")</f>
        <v>0</v>
      </c>
      <c r="AA105" s="159">
        <f>SUMIFS('Historical Orders'!$G105, 'Historical Orders'!$D105, "3", 'Historical Orders'!$C105, "B", 'Historical Orders'!$B105, "1")</f>
        <v>0</v>
      </c>
      <c r="AB105" s="159">
        <f>SUMIFS('Historical Orders'!$E105, 'Historical Orders'!$D105, "3", 'Historical Orders'!$C105, "A", 'Historical Orders'!$B105, "2")</f>
        <v>0</v>
      </c>
      <c r="AC105" s="159">
        <f>SUMIFS('Historical Orders'!$G105, 'Historical Orders'!$D105, "3", 'Historical Orders'!$C105, "A", 'Historical Orders'!$B105, "2")</f>
        <v>0</v>
      </c>
      <c r="AD105" s="159">
        <f>SUMIFS('Historical Orders'!$E105, 'Historical Orders'!$D105, "3", 'Historical Orders'!$C105, "B", 'Historical Orders'!$B105, "2")</f>
        <v>0</v>
      </c>
      <c r="AE105" s="157">
        <f>SUMIFS('Historical Orders'!$G105, 'Historical Orders'!$D105, "3", 'Historical Orders'!$C105, "B", 'Historical Orders'!$B105, "2")</f>
        <v>0</v>
      </c>
      <c r="AF105" s="157">
        <f>SUMIFS('Historical Orders'!$E105, 'Historical Orders'!$D105, "4", 'Historical Orders'!$C105, "A", 'Historical Orders'!$B105, "1")</f>
        <v>0</v>
      </c>
      <c r="AG105" s="157">
        <f>SUMIFS('Historical Orders'!$G105, 'Historical Orders'!$D105, "4", 'Historical Orders'!$C105, "A", 'Historical Orders'!$B105, "1")</f>
        <v>0</v>
      </c>
      <c r="AH105" s="157">
        <f>SUMIFS('Historical Orders'!$E105, 'Historical Orders'!$D105, "4", 'Historical Orders'!$C105, "B", 'Historical Orders'!$B105, "1")</f>
        <v>0</v>
      </c>
      <c r="AI105" s="157">
        <f>SUMIFS('Historical Orders'!$G105, 'Historical Orders'!$D105, "4", 'Historical Orders'!$C105, "B", 'Historical Orders'!$B105, "1")</f>
        <v>0</v>
      </c>
      <c r="AJ105" s="157">
        <f>SUMIFS('Historical Orders'!$E105, 'Historical Orders'!$D105, "4", 'Historical Orders'!$C105, "A", 'Historical Orders'!$B105, "2")</f>
        <v>0</v>
      </c>
      <c r="AK105" s="157">
        <f>SUMIFS('Historical Orders'!$G105, 'Historical Orders'!$D105, "4", 'Historical Orders'!$C105, "A", 'Historical Orders'!$B105, "2")</f>
        <v>0</v>
      </c>
      <c r="AL105" s="171">
        <f>SUMIFS('Historical Orders'!$E105, 'Historical Orders'!$D105, "4", 'Historical Orders'!$C105, "B", 'Historical Orders'!$B105, "2")</f>
        <v>0</v>
      </c>
      <c r="AM105" s="171">
        <f>SUMIFS('Historical Orders'!$G105, 'Historical Orders'!$D105, "4", 'Historical Orders'!$C105, "B", 'Historical Orders'!$B105, "2")</f>
        <v>0</v>
      </c>
      <c r="AN105" s="171">
        <f>SUMIFS('Historical Orders'!$G105, 'Historical Orders'!$C105, "A", 'Historical Orders'!$B105, "1")</f>
        <v>6100.8</v>
      </c>
      <c r="AO105" s="171">
        <f>SUMIFS('Historical Orders'!$G105, 'Historical Orders'!$C105, "B", 'Historical Orders'!$B105, "1")</f>
        <v>0</v>
      </c>
      <c r="AP105" s="171">
        <f>SUMIFS('Historical Orders'!$G105, 'Historical Orders'!$C105, "A", 'Historical Orders'!$B105, "2")</f>
        <v>0</v>
      </c>
      <c r="AQ105" s="171">
        <f>SUMIFS('Historical Orders'!$G105, 'Historical Orders'!$C105, "B", 'Historical Orders'!$B105, "2")</f>
        <v>0</v>
      </c>
      <c r="AR105" s="145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9"/>
      <c r="BW105" s="179"/>
      <c r="BX105" s="179"/>
      <c r="BY105" s="179"/>
      <c r="BZ105" s="179"/>
      <c r="CA105" s="179"/>
      <c r="CB105" s="179"/>
      <c r="CC105" s="179"/>
      <c r="CD105" s="179"/>
      <c r="CE105" s="179"/>
    </row>
    <row r="106" ht="15.75" customHeight="1">
      <c r="A106" s="151">
        <v>41974.0</v>
      </c>
      <c r="B106" s="152">
        <v>2.0</v>
      </c>
      <c r="C106" s="152" t="s">
        <v>45</v>
      </c>
      <c r="D106" s="152">
        <v>1.0</v>
      </c>
      <c r="E106" s="153">
        <v>4132.0</v>
      </c>
      <c r="F106" s="154">
        <v>2.2</v>
      </c>
      <c r="G106" s="155">
        <v>9090.400000000001</v>
      </c>
      <c r="H106" s="159">
        <f>SUMIFS('Historical Orders'!$E106, 'Historical Orders'!$D106, "1", 'Historical Orders'!$C106, "A", 'Historical Orders'!$B106, "1")</f>
        <v>0</v>
      </c>
      <c r="I106" s="157">
        <f>SUMIFS('Historical Orders'!$G106, 'Historical Orders'!$D106, "1", 'Historical Orders'!$C106, "A", 'Historical Orders'!$B106, "1")</f>
        <v>0</v>
      </c>
      <c r="J106" s="157">
        <f>SUMIFS('Historical Orders'!$E106, 'Historical Orders'!$D106, "1", 'Historical Orders'!$C106, "B", 'Historical Orders'!$B106, "1")</f>
        <v>0</v>
      </c>
      <c r="K106" s="157">
        <f>SUMIFS('Historical Orders'!$G106, 'Historical Orders'!$D106, "1", 'Historical Orders'!$C106, "B", 'Historical Orders'!$B106, "1")</f>
        <v>0</v>
      </c>
      <c r="L106" s="159">
        <f>SUMIFS('Historical Orders'!$E106, 'Historical Orders'!$D106, "1", 'Historical Orders'!$C106, "A", 'Historical Orders'!$B106, "2")</f>
        <v>4132</v>
      </c>
      <c r="M106" s="157">
        <f>SUMIFS('Historical Orders'!$G106, 'Historical Orders'!$D106, "1", 'Historical Orders'!$C106, "A", 'Historical Orders'!$B106, "2")</f>
        <v>9090.4</v>
      </c>
      <c r="N106" s="157">
        <f>SUMIFS('Historical Orders'!$E106, 'Historical Orders'!$D106, "1", 'Historical Orders'!$C106, "B", 'Historical Orders'!$B106, "2")</f>
        <v>0</v>
      </c>
      <c r="O106" s="157">
        <f>SUMIFS('Historical Orders'!$G106, 'Historical Orders'!$D106, "1", 'Historical Orders'!$C106, "B", 'Historical Orders'!$B106, "2")</f>
        <v>0</v>
      </c>
      <c r="P106" s="159">
        <f>SUMIFS('Historical Orders'!$E106, 'Historical Orders'!$D106, "2", 'Historical Orders'!$C106, "A", 'Historical Orders'!$B106, "1")</f>
        <v>0</v>
      </c>
      <c r="Q106" s="157">
        <f>SUMIFS('Historical Orders'!$G106, 'Historical Orders'!$D106, "2", 'Historical Orders'!$C106, "A", 'Historical Orders'!$B106, "1")</f>
        <v>0</v>
      </c>
      <c r="R106" s="159">
        <f>SUMIFS('Historical Orders'!$E106, 'Historical Orders'!$D106, "2", 'Historical Orders'!$C106, "B", 'Historical Orders'!$B106, "1")</f>
        <v>0</v>
      </c>
      <c r="S106" s="157">
        <f>SUMIFS('Historical Orders'!$G106, 'Historical Orders'!$D106, "2", 'Historical Orders'!$C106, "B", 'Historical Orders'!$B106, "1")</f>
        <v>0</v>
      </c>
      <c r="T106" s="159">
        <f>SUMIFS('Historical Orders'!$E106, 'Historical Orders'!$D106, "2", 'Historical Orders'!$C106, "A", 'Historical Orders'!$B106, "2")</f>
        <v>0</v>
      </c>
      <c r="U106" s="157">
        <f>SUMIFS('Historical Orders'!$G106, 'Historical Orders'!$D106, "2", 'Historical Orders'!$C106, "A", 'Historical Orders'!$B106, "2")</f>
        <v>0</v>
      </c>
      <c r="V106" s="159">
        <f>SUMIFS('Historical Orders'!$E106, 'Historical Orders'!$D106, "2", 'Historical Orders'!$C106, "B", 'Historical Orders'!$B106, "2")</f>
        <v>0</v>
      </c>
      <c r="W106" s="159">
        <f>SUMIFS('Historical Orders'!$G106, 'Historical Orders'!$D106, "2", 'Historical Orders'!$C106, "B", 'Historical Orders'!$B106, "2")</f>
        <v>0</v>
      </c>
      <c r="X106" s="159">
        <f>SUMIFS('Historical Orders'!$E106, 'Historical Orders'!$D106, "3", 'Historical Orders'!$C106, "A", 'Historical Orders'!$B106, "1")</f>
        <v>0</v>
      </c>
      <c r="Y106" s="159">
        <f>SUMIFS('Historical Orders'!$G106, 'Historical Orders'!$D106, "3", 'Historical Orders'!$C106, "A", 'Historical Orders'!$B106, "1")</f>
        <v>0</v>
      </c>
      <c r="Z106" s="159">
        <f>SUMIFS('Historical Orders'!$E106, 'Historical Orders'!$D106, "3", 'Historical Orders'!$C106, "B", 'Historical Orders'!$B106, "1")</f>
        <v>0</v>
      </c>
      <c r="AA106" s="159">
        <f>SUMIFS('Historical Orders'!$G106, 'Historical Orders'!$D106, "3", 'Historical Orders'!$C106, "B", 'Historical Orders'!$B106, "1")</f>
        <v>0</v>
      </c>
      <c r="AB106" s="159">
        <f>SUMIFS('Historical Orders'!$E106, 'Historical Orders'!$D106, "3", 'Historical Orders'!$C106, "A", 'Historical Orders'!$B106, "2")</f>
        <v>0</v>
      </c>
      <c r="AC106" s="159">
        <f>SUMIFS('Historical Orders'!$G106, 'Historical Orders'!$D106, "3", 'Historical Orders'!$C106, "A", 'Historical Orders'!$B106, "2")</f>
        <v>0</v>
      </c>
      <c r="AD106" s="159">
        <f>SUMIFS('Historical Orders'!$E106, 'Historical Orders'!$D106, "3", 'Historical Orders'!$C106, "B", 'Historical Orders'!$B106, "2")</f>
        <v>0</v>
      </c>
      <c r="AE106" s="157">
        <f>SUMIFS('Historical Orders'!$G106, 'Historical Orders'!$D106, "3", 'Historical Orders'!$C106, "B", 'Historical Orders'!$B106, "2")</f>
        <v>0</v>
      </c>
      <c r="AF106" s="157">
        <f>SUMIFS('Historical Orders'!$E106, 'Historical Orders'!$D106, "4", 'Historical Orders'!$C106, "A", 'Historical Orders'!$B106, "1")</f>
        <v>0</v>
      </c>
      <c r="AG106" s="157">
        <f>SUMIFS('Historical Orders'!$G106, 'Historical Orders'!$D106, "4", 'Historical Orders'!$C106, "A", 'Historical Orders'!$B106, "1")</f>
        <v>0</v>
      </c>
      <c r="AH106" s="157">
        <f>SUMIFS('Historical Orders'!$E106, 'Historical Orders'!$D106, "4", 'Historical Orders'!$C106, "B", 'Historical Orders'!$B106, "1")</f>
        <v>0</v>
      </c>
      <c r="AI106" s="157">
        <f>SUMIFS('Historical Orders'!$G106, 'Historical Orders'!$D106, "4", 'Historical Orders'!$C106, "B", 'Historical Orders'!$B106, "1")</f>
        <v>0</v>
      </c>
      <c r="AJ106" s="157">
        <f>SUMIFS('Historical Orders'!$E106, 'Historical Orders'!$D106, "4", 'Historical Orders'!$C106, "A", 'Historical Orders'!$B106, "2")</f>
        <v>0</v>
      </c>
      <c r="AK106" s="157">
        <f>SUMIFS('Historical Orders'!$G106, 'Historical Orders'!$D106, "4", 'Historical Orders'!$C106, "A", 'Historical Orders'!$B106, "2")</f>
        <v>0</v>
      </c>
      <c r="AL106" s="171">
        <f>SUMIFS('Historical Orders'!$E106, 'Historical Orders'!$D106, "4", 'Historical Orders'!$C106, "B", 'Historical Orders'!$B106, "2")</f>
        <v>0</v>
      </c>
      <c r="AM106" s="171">
        <f>SUMIFS('Historical Orders'!$G106, 'Historical Orders'!$D106, "4", 'Historical Orders'!$C106, "B", 'Historical Orders'!$B106, "2")</f>
        <v>0</v>
      </c>
      <c r="AN106" s="171">
        <f>SUMIFS('Historical Orders'!$G106, 'Historical Orders'!$C106, "A", 'Historical Orders'!$B106, "1")</f>
        <v>0</v>
      </c>
      <c r="AO106" s="171">
        <f>SUMIFS('Historical Orders'!$G106, 'Historical Orders'!$C106, "B", 'Historical Orders'!$B106, "1")</f>
        <v>0</v>
      </c>
      <c r="AP106" s="171">
        <f>SUMIFS('Historical Orders'!$G106, 'Historical Orders'!$C106, "A", 'Historical Orders'!$B106, "2")</f>
        <v>9090.4</v>
      </c>
      <c r="AQ106" s="171">
        <f>SUMIFS('Historical Orders'!$G106, 'Historical Orders'!$C106, "B", 'Historical Orders'!$B106, "2")</f>
        <v>0</v>
      </c>
      <c r="AR106" s="145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9"/>
      <c r="BW106" s="179"/>
      <c r="BX106" s="179"/>
      <c r="BY106" s="179"/>
      <c r="BZ106" s="179"/>
      <c r="CA106" s="179"/>
      <c r="CB106" s="179"/>
      <c r="CC106" s="179"/>
      <c r="CD106" s="179"/>
      <c r="CE106" s="179"/>
    </row>
    <row r="107" ht="15.75" customHeight="1">
      <c r="A107" s="151">
        <v>41974.0</v>
      </c>
      <c r="B107" s="152">
        <v>2.0</v>
      </c>
      <c r="C107" s="152" t="s">
        <v>45</v>
      </c>
      <c r="D107" s="152">
        <v>2.0</v>
      </c>
      <c r="E107" s="153">
        <v>5987.0</v>
      </c>
      <c r="F107" s="154">
        <v>1.2</v>
      </c>
      <c r="G107" s="155">
        <v>7184.4</v>
      </c>
      <c r="H107" s="159">
        <f>SUMIFS('Historical Orders'!$E107, 'Historical Orders'!$D107, "1", 'Historical Orders'!$C107, "A", 'Historical Orders'!$B107, "1")</f>
        <v>0</v>
      </c>
      <c r="I107" s="157">
        <f>SUMIFS('Historical Orders'!$G107, 'Historical Orders'!$D107, "1", 'Historical Orders'!$C107, "A", 'Historical Orders'!$B107, "1")</f>
        <v>0</v>
      </c>
      <c r="J107" s="157">
        <f>SUMIFS('Historical Orders'!$E107, 'Historical Orders'!$D107, "1", 'Historical Orders'!$C107, "B", 'Historical Orders'!$B107, "1")</f>
        <v>0</v>
      </c>
      <c r="K107" s="157">
        <f>SUMIFS('Historical Orders'!$G107, 'Historical Orders'!$D107, "1", 'Historical Orders'!$C107, "B", 'Historical Orders'!$B107, "1")</f>
        <v>0</v>
      </c>
      <c r="L107" s="159">
        <f>SUMIFS('Historical Orders'!$E107, 'Historical Orders'!$D107, "1", 'Historical Orders'!$C107, "A", 'Historical Orders'!$B107, "2")</f>
        <v>0</v>
      </c>
      <c r="M107" s="157">
        <f>SUMIFS('Historical Orders'!$G107, 'Historical Orders'!$D107, "1", 'Historical Orders'!$C107, "A", 'Historical Orders'!$B107, "2")</f>
        <v>0</v>
      </c>
      <c r="N107" s="157">
        <f>SUMIFS('Historical Orders'!$E107, 'Historical Orders'!$D107, "1", 'Historical Orders'!$C107, "B", 'Historical Orders'!$B107, "2")</f>
        <v>0</v>
      </c>
      <c r="O107" s="157">
        <f>SUMIFS('Historical Orders'!$G107, 'Historical Orders'!$D107, "1", 'Historical Orders'!$C107, "B", 'Historical Orders'!$B107, "2")</f>
        <v>0</v>
      </c>
      <c r="P107" s="159">
        <f>SUMIFS('Historical Orders'!$E107, 'Historical Orders'!$D107, "2", 'Historical Orders'!$C107, "A", 'Historical Orders'!$B107, "1")</f>
        <v>0</v>
      </c>
      <c r="Q107" s="157">
        <f>SUMIFS('Historical Orders'!$G107, 'Historical Orders'!$D107, "2", 'Historical Orders'!$C107, "A", 'Historical Orders'!$B107, "1")</f>
        <v>0</v>
      </c>
      <c r="R107" s="159">
        <f>SUMIFS('Historical Orders'!$E107, 'Historical Orders'!$D107, "2", 'Historical Orders'!$C107, "B", 'Historical Orders'!$B107, "1")</f>
        <v>0</v>
      </c>
      <c r="S107" s="157">
        <f>SUMIFS('Historical Orders'!$G107, 'Historical Orders'!$D107, "2", 'Historical Orders'!$C107, "B", 'Historical Orders'!$B107, "1")</f>
        <v>0</v>
      </c>
      <c r="T107" s="159">
        <f>SUMIFS('Historical Orders'!$E107, 'Historical Orders'!$D107, "2", 'Historical Orders'!$C107, "A", 'Historical Orders'!$B107, "2")</f>
        <v>5987</v>
      </c>
      <c r="U107" s="157">
        <f>SUMIFS('Historical Orders'!$G107, 'Historical Orders'!$D107, "2", 'Historical Orders'!$C107, "A", 'Historical Orders'!$B107, "2")</f>
        <v>7184.4</v>
      </c>
      <c r="V107" s="159">
        <f>SUMIFS('Historical Orders'!$E107, 'Historical Orders'!$D107, "2", 'Historical Orders'!$C107, "B", 'Historical Orders'!$B107, "2")</f>
        <v>0</v>
      </c>
      <c r="W107" s="159">
        <f>SUMIFS('Historical Orders'!$G107, 'Historical Orders'!$D107, "2", 'Historical Orders'!$C107, "B", 'Historical Orders'!$B107, "2")</f>
        <v>0</v>
      </c>
      <c r="X107" s="159">
        <f>SUMIFS('Historical Orders'!$E107, 'Historical Orders'!$D107, "3", 'Historical Orders'!$C107, "A", 'Historical Orders'!$B107, "1")</f>
        <v>0</v>
      </c>
      <c r="Y107" s="159">
        <f>SUMIFS('Historical Orders'!$G107, 'Historical Orders'!$D107, "3", 'Historical Orders'!$C107, "A", 'Historical Orders'!$B107, "1")</f>
        <v>0</v>
      </c>
      <c r="Z107" s="159">
        <f>SUMIFS('Historical Orders'!$E107, 'Historical Orders'!$D107, "3", 'Historical Orders'!$C107, "B", 'Historical Orders'!$B107, "1")</f>
        <v>0</v>
      </c>
      <c r="AA107" s="159">
        <f>SUMIFS('Historical Orders'!$G107, 'Historical Orders'!$D107, "3", 'Historical Orders'!$C107, "B", 'Historical Orders'!$B107, "1")</f>
        <v>0</v>
      </c>
      <c r="AB107" s="159">
        <f>SUMIFS('Historical Orders'!$E107, 'Historical Orders'!$D107, "3", 'Historical Orders'!$C107, "A", 'Historical Orders'!$B107, "2")</f>
        <v>0</v>
      </c>
      <c r="AC107" s="159">
        <f>SUMIFS('Historical Orders'!$G107, 'Historical Orders'!$D107, "3", 'Historical Orders'!$C107, "A", 'Historical Orders'!$B107, "2")</f>
        <v>0</v>
      </c>
      <c r="AD107" s="159">
        <f>SUMIFS('Historical Orders'!$E107, 'Historical Orders'!$D107, "3", 'Historical Orders'!$C107, "B", 'Historical Orders'!$B107, "2")</f>
        <v>0</v>
      </c>
      <c r="AE107" s="157">
        <f>SUMIFS('Historical Orders'!$G107, 'Historical Orders'!$D107, "3", 'Historical Orders'!$C107, "B", 'Historical Orders'!$B107, "2")</f>
        <v>0</v>
      </c>
      <c r="AF107" s="157">
        <f>SUMIFS('Historical Orders'!$E107, 'Historical Orders'!$D107, "4", 'Historical Orders'!$C107, "A", 'Historical Orders'!$B107, "1")</f>
        <v>0</v>
      </c>
      <c r="AG107" s="157">
        <f>SUMIFS('Historical Orders'!$G107, 'Historical Orders'!$D107, "4", 'Historical Orders'!$C107, "A", 'Historical Orders'!$B107, "1")</f>
        <v>0</v>
      </c>
      <c r="AH107" s="157">
        <f>SUMIFS('Historical Orders'!$E107, 'Historical Orders'!$D107, "4", 'Historical Orders'!$C107, "B", 'Historical Orders'!$B107, "1")</f>
        <v>0</v>
      </c>
      <c r="AI107" s="157">
        <f>SUMIFS('Historical Orders'!$G107, 'Historical Orders'!$D107, "4", 'Historical Orders'!$C107, "B", 'Historical Orders'!$B107, "1")</f>
        <v>0</v>
      </c>
      <c r="AJ107" s="157">
        <f>SUMIFS('Historical Orders'!$E107, 'Historical Orders'!$D107, "4", 'Historical Orders'!$C107, "A", 'Historical Orders'!$B107, "2")</f>
        <v>0</v>
      </c>
      <c r="AK107" s="157">
        <f>SUMIFS('Historical Orders'!$G107, 'Historical Orders'!$D107, "4", 'Historical Orders'!$C107, "A", 'Historical Orders'!$B107, "2")</f>
        <v>0</v>
      </c>
      <c r="AL107" s="171">
        <f>SUMIFS('Historical Orders'!$E107, 'Historical Orders'!$D107, "4", 'Historical Orders'!$C107, "B", 'Historical Orders'!$B107, "2")</f>
        <v>0</v>
      </c>
      <c r="AM107" s="171">
        <f>SUMIFS('Historical Orders'!$G107, 'Historical Orders'!$D107, "4", 'Historical Orders'!$C107, "B", 'Historical Orders'!$B107, "2")</f>
        <v>0</v>
      </c>
      <c r="AN107" s="171">
        <f>SUMIFS('Historical Orders'!$G107, 'Historical Orders'!$C107, "A", 'Historical Orders'!$B107, "1")</f>
        <v>0</v>
      </c>
      <c r="AO107" s="171">
        <f>SUMIFS('Historical Orders'!$G107, 'Historical Orders'!$C107, "B", 'Historical Orders'!$B107, "1")</f>
        <v>0</v>
      </c>
      <c r="AP107" s="171">
        <f>SUMIFS('Historical Orders'!$G107, 'Historical Orders'!$C107, "A", 'Historical Orders'!$B107, "2")</f>
        <v>7184.4</v>
      </c>
      <c r="AQ107" s="171">
        <f>SUMIFS('Historical Orders'!$G107, 'Historical Orders'!$C107, "B", 'Historical Orders'!$B107, "2")</f>
        <v>0</v>
      </c>
      <c r="AR107" s="145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9"/>
      <c r="BW107" s="179"/>
      <c r="BX107" s="179"/>
      <c r="BY107" s="179"/>
      <c r="BZ107" s="179"/>
      <c r="CA107" s="179"/>
      <c r="CB107" s="179"/>
      <c r="CC107" s="179"/>
      <c r="CD107" s="179"/>
      <c r="CE107" s="179"/>
    </row>
    <row r="108" ht="15.75" customHeight="1">
      <c r="A108" s="151">
        <v>41974.0</v>
      </c>
      <c r="B108" s="152">
        <v>1.0</v>
      </c>
      <c r="C108" s="152" t="s">
        <v>46</v>
      </c>
      <c r="D108" s="152">
        <v>3.0</v>
      </c>
      <c r="E108" s="153">
        <v>1914.0</v>
      </c>
      <c r="F108" s="154">
        <v>8.3</v>
      </c>
      <c r="G108" s="155">
        <v>15886.2</v>
      </c>
      <c r="H108" s="159">
        <f>SUMIFS('Historical Orders'!$E108, 'Historical Orders'!$D108, "1", 'Historical Orders'!$C108, "A", 'Historical Orders'!$B108, "1")</f>
        <v>0</v>
      </c>
      <c r="I108" s="157">
        <f>SUMIFS('Historical Orders'!$G108, 'Historical Orders'!$D108, "1", 'Historical Orders'!$C108, "A", 'Historical Orders'!$B108, "1")</f>
        <v>0</v>
      </c>
      <c r="J108" s="157">
        <f>SUMIFS('Historical Orders'!$E108, 'Historical Orders'!$D108, "1", 'Historical Orders'!$C108, "B", 'Historical Orders'!$B108, "1")</f>
        <v>0</v>
      </c>
      <c r="K108" s="157">
        <f>SUMIFS('Historical Orders'!$G108, 'Historical Orders'!$D108, "1", 'Historical Orders'!$C108, "B", 'Historical Orders'!$B108, "1")</f>
        <v>0</v>
      </c>
      <c r="L108" s="159">
        <f>SUMIFS('Historical Orders'!$E108, 'Historical Orders'!$D108, "1", 'Historical Orders'!$C108, "A", 'Historical Orders'!$B108, "2")</f>
        <v>0</v>
      </c>
      <c r="M108" s="157">
        <f>SUMIFS('Historical Orders'!$G108, 'Historical Orders'!$D108, "1", 'Historical Orders'!$C108, "A", 'Historical Orders'!$B108, "2")</f>
        <v>0</v>
      </c>
      <c r="N108" s="157">
        <f>SUMIFS('Historical Orders'!$E108, 'Historical Orders'!$D108, "1", 'Historical Orders'!$C108, "B", 'Historical Orders'!$B108, "2")</f>
        <v>0</v>
      </c>
      <c r="O108" s="157">
        <f>SUMIFS('Historical Orders'!$G108, 'Historical Orders'!$D108, "1", 'Historical Orders'!$C108, "B", 'Historical Orders'!$B108, "2")</f>
        <v>0</v>
      </c>
      <c r="P108" s="159">
        <f>SUMIFS('Historical Orders'!$E108, 'Historical Orders'!$D108, "2", 'Historical Orders'!$C108, "A", 'Historical Orders'!$B108, "1")</f>
        <v>0</v>
      </c>
      <c r="Q108" s="157">
        <f>SUMIFS('Historical Orders'!$G108, 'Historical Orders'!$D108, "2", 'Historical Orders'!$C108, "A", 'Historical Orders'!$B108, "1")</f>
        <v>0</v>
      </c>
      <c r="R108" s="159">
        <f>SUMIFS('Historical Orders'!$E108, 'Historical Orders'!$D108, "2", 'Historical Orders'!$C108, "B", 'Historical Orders'!$B108, "1")</f>
        <v>0</v>
      </c>
      <c r="S108" s="157">
        <f>SUMIFS('Historical Orders'!$G108, 'Historical Orders'!$D108, "2", 'Historical Orders'!$C108, "B", 'Historical Orders'!$B108, "1")</f>
        <v>0</v>
      </c>
      <c r="T108" s="159">
        <f>SUMIFS('Historical Orders'!$E108, 'Historical Orders'!$D108, "2", 'Historical Orders'!$C108, "A", 'Historical Orders'!$B108, "2")</f>
        <v>0</v>
      </c>
      <c r="U108" s="157">
        <f>SUMIFS('Historical Orders'!$G108, 'Historical Orders'!$D108, "2", 'Historical Orders'!$C108, "A", 'Historical Orders'!$B108, "2")</f>
        <v>0</v>
      </c>
      <c r="V108" s="159">
        <f>SUMIFS('Historical Orders'!$E108, 'Historical Orders'!$D108, "2", 'Historical Orders'!$C108, "B", 'Historical Orders'!$B108, "2")</f>
        <v>0</v>
      </c>
      <c r="W108" s="159">
        <f>SUMIFS('Historical Orders'!$G108, 'Historical Orders'!$D108, "2", 'Historical Orders'!$C108, "B", 'Historical Orders'!$B108, "2")</f>
        <v>0</v>
      </c>
      <c r="X108" s="159">
        <f>SUMIFS('Historical Orders'!$E108, 'Historical Orders'!$D108, "3", 'Historical Orders'!$C108, "A", 'Historical Orders'!$B108, "1")</f>
        <v>0</v>
      </c>
      <c r="Y108" s="159">
        <f>SUMIFS('Historical Orders'!$G108, 'Historical Orders'!$D108, "3", 'Historical Orders'!$C108, "A", 'Historical Orders'!$B108, "1")</f>
        <v>0</v>
      </c>
      <c r="Z108" s="159">
        <f>SUMIFS('Historical Orders'!$E108, 'Historical Orders'!$D108, "3", 'Historical Orders'!$C108, "B", 'Historical Orders'!$B108, "1")</f>
        <v>1914</v>
      </c>
      <c r="AA108" s="159">
        <f>SUMIFS('Historical Orders'!$G108, 'Historical Orders'!$D108, "3", 'Historical Orders'!$C108, "B", 'Historical Orders'!$B108, "1")</f>
        <v>15886.2</v>
      </c>
      <c r="AB108" s="159">
        <f>SUMIFS('Historical Orders'!$E108, 'Historical Orders'!$D108, "3", 'Historical Orders'!$C108, "A", 'Historical Orders'!$B108, "2")</f>
        <v>0</v>
      </c>
      <c r="AC108" s="159">
        <f>SUMIFS('Historical Orders'!$G108, 'Historical Orders'!$D108, "3", 'Historical Orders'!$C108, "A", 'Historical Orders'!$B108, "2")</f>
        <v>0</v>
      </c>
      <c r="AD108" s="159">
        <f>SUMIFS('Historical Orders'!$E108, 'Historical Orders'!$D108, "3", 'Historical Orders'!$C108, "B", 'Historical Orders'!$B108, "2")</f>
        <v>0</v>
      </c>
      <c r="AE108" s="157">
        <f>SUMIFS('Historical Orders'!$G108, 'Historical Orders'!$D108, "3", 'Historical Orders'!$C108, "B", 'Historical Orders'!$B108, "2")</f>
        <v>0</v>
      </c>
      <c r="AF108" s="157">
        <f>SUMIFS('Historical Orders'!$E108, 'Historical Orders'!$D108, "4", 'Historical Orders'!$C108, "A", 'Historical Orders'!$B108, "1")</f>
        <v>0</v>
      </c>
      <c r="AG108" s="157">
        <f>SUMIFS('Historical Orders'!$G108, 'Historical Orders'!$D108, "4", 'Historical Orders'!$C108, "A", 'Historical Orders'!$B108, "1")</f>
        <v>0</v>
      </c>
      <c r="AH108" s="157">
        <f>SUMIFS('Historical Orders'!$E108, 'Historical Orders'!$D108, "4", 'Historical Orders'!$C108, "B", 'Historical Orders'!$B108, "1")</f>
        <v>0</v>
      </c>
      <c r="AI108" s="157">
        <f>SUMIFS('Historical Orders'!$G108, 'Historical Orders'!$D108, "4", 'Historical Orders'!$C108, "B", 'Historical Orders'!$B108, "1")</f>
        <v>0</v>
      </c>
      <c r="AJ108" s="157">
        <f>SUMIFS('Historical Orders'!$E108, 'Historical Orders'!$D108, "4", 'Historical Orders'!$C108, "A", 'Historical Orders'!$B108, "2")</f>
        <v>0</v>
      </c>
      <c r="AK108" s="157">
        <f>SUMIFS('Historical Orders'!$G108, 'Historical Orders'!$D108, "4", 'Historical Orders'!$C108, "A", 'Historical Orders'!$B108, "2")</f>
        <v>0</v>
      </c>
      <c r="AL108" s="171">
        <f>SUMIFS('Historical Orders'!$E108, 'Historical Orders'!$D108, "4", 'Historical Orders'!$C108, "B", 'Historical Orders'!$B108, "2")</f>
        <v>0</v>
      </c>
      <c r="AM108" s="171">
        <f>SUMIFS('Historical Orders'!$G108, 'Historical Orders'!$D108, "4", 'Historical Orders'!$C108, "B", 'Historical Orders'!$B108, "2")</f>
        <v>0</v>
      </c>
      <c r="AN108" s="171">
        <f>SUMIFS('Historical Orders'!$G108, 'Historical Orders'!$C108, "A", 'Historical Orders'!$B108, "1")</f>
        <v>0</v>
      </c>
      <c r="AO108" s="171">
        <f>SUMIFS('Historical Orders'!$G108, 'Historical Orders'!$C108, "B", 'Historical Orders'!$B108, "1")</f>
        <v>15886.2</v>
      </c>
      <c r="AP108" s="171">
        <f>SUMIFS('Historical Orders'!$G108, 'Historical Orders'!$C108, "A", 'Historical Orders'!$B108, "2")</f>
        <v>0</v>
      </c>
      <c r="AQ108" s="171">
        <f>SUMIFS('Historical Orders'!$G108, 'Historical Orders'!$C108, "B", 'Historical Orders'!$B108, "2")</f>
        <v>0</v>
      </c>
      <c r="AR108" s="145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  <c r="BT108" s="172"/>
      <c r="BU108" s="172"/>
      <c r="BV108" s="179"/>
      <c r="BW108" s="179"/>
      <c r="BX108" s="179"/>
      <c r="BY108" s="179"/>
      <c r="BZ108" s="179"/>
      <c r="CA108" s="179"/>
      <c r="CB108" s="179"/>
      <c r="CC108" s="179"/>
      <c r="CD108" s="179"/>
      <c r="CE108" s="179"/>
    </row>
    <row r="109" ht="15.75" customHeight="1">
      <c r="A109" s="151">
        <v>41974.0</v>
      </c>
      <c r="B109" s="152">
        <v>2.0</v>
      </c>
      <c r="C109" s="152" t="s">
        <v>46</v>
      </c>
      <c r="D109" s="152">
        <v>3.0</v>
      </c>
      <c r="E109" s="153">
        <v>2278.0</v>
      </c>
      <c r="F109" s="154">
        <v>8.3</v>
      </c>
      <c r="G109" s="155">
        <v>18907.4</v>
      </c>
      <c r="H109" s="159">
        <f>SUMIFS('Historical Orders'!$E109, 'Historical Orders'!$D109, "1", 'Historical Orders'!$C109, "A", 'Historical Orders'!$B109, "1")</f>
        <v>0</v>
      </c>
      <c r="I109" s="157">
        <f>SUMIFS('Historical Orders'!$G109, 'Historical Orders'!$D109, "1", 'Historical Orders'!$C109, "A", 'Historical Orders'!$B109, "1")</f>
        <v>0</v>
      </c>
      <c r="J109" s="157">
        <f>SUMIFS('Historical Orders'!$E109, 'Historical Orders'!$D109, "1", 'Historical Orders'!$C109, "B", 'Historical Orders'!$B109, "1")</f>
        <v>0</v>
      </c>
      <c r="K109" s="157">
        <f>SUMIFS('Historical Orders'!$G109, 'Historical Orders'!$D109, "1", 'Historical Orders'!$C109, "B", 'Historical Orders'!$B109, "1")</f>
        <v>0</v>
      </c>
      <c r="L109" s="159">
        <f>SUMIFS('Historical Orders'!$E109, 'Historical Orders'!$D109, "1", 'Historical Orders'!$C109, "A", 'Historical Orders'!$B109, "2")</f>
        <v>0</v>
      </c>
      <c r="M109" s="157">
        <f>SUMIFS('Historical Orders'!$G109, 'Historical Orders'!$D109, "1", 'Historical Orders'!$C109, "A", 'Historical Orders'!$B109, "2")</f>
        <v>0</v>
      </c>
      <c r="N109" s="157">
        <f>SUMIFS('Historical Orders'!$E109, 'Historical Orders'!$D109, "1", 'Historical Orders'!$C109, "B", 'Historical Orders'!$B109, "2")</f>
        <v>0</v>
      </c>
      <c r="O109" s="157">
        <f>SUMIFS('Historical Orders'!$G109, 'Historical Orders'!$D109, "1", 'Historical Orders'!$C109, "B", 'Historical Orders'!$B109, "2")</f>
        <v>0</v>
      </c>
      <c r="P109" s="159">
        <f>SUMIFS('Historical Orders'!$E109, 'Historical Orders'!$D109, "2", 'Historical Orders'!$C109, "A", 'Historical Orders'!$B109, "1")</f>
        <v>0</v>
      </c>
      <c r="Q109" s="157">
        <f>SUMIFS('Historical Orders'!$G109, 'Historical Orders'!$D109, "2", 'Historical Orders'!$C109, "A", 'Historical Orders'!$B109, "1")</f>
        <v>0</v>
      </c>
      <c r="R109" s="159">
        <f>SUMIFS('Historical Orders'!$E109, 'Historical Orders'!$D109, "2", 'Historical Orders'!$C109, "B", 'Historical Orders'!$B109, "1")</f>
        <v>0</v>
      </c>
      <c r="S109" s="157">
        <f>SUMIFS('Historical Orders'!$G109, 'Historical Orders'!$D109, "2", 'Historical Orders'!$C109, "B", 'Historical Orders'!$B109, "1")</f>
        <v>0</v>
      </c>
      <c r="T109" s="159">
        <f>SUMIFS('Historical Orders'!$E109, 'Historical Orders'!$D109, "2", 'Historical Orders'!$C109, "A", 'Historical Orders'!$B109, "2")</f>
        <v>0</v>
      </c>
      <c r="U109" s="157">
        <f>SUMIFS('Historical Orders'!$G109, 'Historical Orders'!$D109, "2", 'Historical Orders'!$C109, "A", 'Historical Orders'!$B109, "2")</f>
        <v>0</v>
      </c>
      <c r="V109" s="159">
        <f>SUMIFS('Historical Orders'!$E109, 'Historical Orders'!$D109, "2", 'Historical Orders'!$C109, "B", 'Historical Orders'!$B109, "2")</f>
        <v>0</v>
      </c>
      <c r="W109" s="159">
        <f>SUMIFS('Historical Orders'!$G109, 'Historical Orders'!$D109, "2", 'Historical Orders'!$C109, "B", 'Historical Orders'!$B109, "2")</f>
        <v>0</v>
      </c>
      <c r="X109" s="159">
        <f>SUMIFS('Historical Orders'!$E109, 'Historical Orders'!$D109, "3", 'Historical Orders'!$C109, "A", 'Historical Orders'!$B109, "1")</f>
        <v>0</v>
      </c>
      <c r="Y109" s="159">
        <f>SUMIFS('Historical Orders'!$G109, 'Historical Orders'!$D109, "3", 'Historical Orders'!$C109, "A", 'Historical Orders'!$B109, "1")</f>
        <v>0</v>
      </c>
      <c r="Z109" s="159">
        <f>SUMIFS('Historical Orders'!$E109, 'Historical Orders'!$D109, "3", 'Historical Orders'!$C109, "B", 'Historical Orders'!$B109, "1")</f>
        <v>0</v>
      </c>
      <c r="AA109" s="159">
        <f>SUMIFS('Historical Orders'!$G109, 'Historical Orders'!$D109, "3", 'Historical Orders'!$C109, "B", 'Historical Orders'!$B109, "1")</f>
        <v>0</v>
      </c>
      <c r="AB109" s="159">
        <f>SUMIFS('Historical Orders'!$E109, 'Historical Orders'!$D109, "3", 'Historical Orders'!$C109, "A", 'Historical Orders'!$B109, "2")</f>
        <v>0</v>
      </c>
      <c r="AC109" s="159">
        <f>SUMIFS('Historical Orders'!$G109, 'Historical Orders'!$D109, "3", 'Historical Orders'!$C109, "A", 'Historical Orders'!$B109, "2")</f>
        <v>0</v>
      </c>
      <c r="AD109" s="159">
        <f>SUMIFS('Historical Orders'!$E109, 'Historical Orders'!$D109, "3", 'Historical Orders'!$C109, "B", 'Historical Orders'!$B109, "2")</f>
        <v>2278</v>
      </c>
      <c r="AE109" s="157">
        <f>SUMIFS('Historical Orders'!$G109, 'Historical Orders'!$D109, "3", 'Historical Orders'!$C109, "B", 'Historical Orders'!$B109, "2")</f>
        <v>18907.4</v>
      </c>
      <c r="AF109" s="157">
        <f>SUMIFS('Historical Orders'!$E109, 'Historical Orders'!$D109, "4", 'Historical Orders'!$C109, "A", 'Historical Orders'!$B109, "1")</f>
        <v>0</v>
      </c>
      <c r="AG109" s="157">
        <f>SUMIFS('Historical Orders'!$G109, 'Historical Orders'!$D109, "4", 'Historical Orders'!$C109, "A", 'Historical Orders'!$B109, "1")</f>
        <v>0</v>
      </c>
      <c r="AH109" s="157">
        <f>SUMIFS('Historical Orders'!$E109, 'Historical Orders'!$D109, "4", 'Historical Orders'!$C109, "B", 'Historical Orders'!$B109, "1")</f>
        <v>0</v>
      </c>
      <c r="AI109" s="157">
        <f>SUMIFS('Historical Orders'!$G109, 'Historical Orders'!$D109, "4", 'Historical Orders'!$C109, "B", 'Historical Orders'!$B109, "1")</f>
        <v>0</v>
      </c>
      <c r="AJ109" s="157">
        <f>SUMIFS('Historical Orders'!$E109, 'Historical Orders'!$D109, "4", 'Historical Orders'!$C109, "A", 'Historical Orders'!$B109, "2")</f>
        <v>0</v>
      </c>
      <c r="AK109" s="157">
        <f>SUMIFS('Historical Orders'!$G109, 'Historical Orders'!$D109, "4", 'Historical Orders'!$C109, "A", 'Historical Orders'!$B109, "2")</f>
        <v>0</v>
      </c>
      <c r="AL109" s="171">
        <f>SUMIFS('Historical Orders'!$E109, 'Historical Orders'!$D109, "4", 'Historical Orders'!$C109, "B", 'Historical Orders'!$B109, "2")</f>
        <v>0</v>
      </c>
      <c r="AM109" s="171">
        <f>SUMIFS('Historical Orders'!$G109, 'Historical Orders'!$D109, "4", 'Historical Orders'!$C109, "B", 'Historical Orders'!$B109, "2")</f>
        <v>0</v>
      </c>
      <c r="AN109" s="171">
        <f>SUMIFS('Historical Orders'!$G109, 'Historical Orders'!$C109, "A", 'Historical Orders'!$B109, "1")</f>
        <v>0</v>
      </c>
      <c r="AO109" s="171">
        <f>SUMIFS('Historical Orders'!$G109, 'Historical Orders'!$C109, "B", 'Historical Orders'!$B109, "1")</f>
        <v>0</v>
      </c>
      <c r="AP109" s="171">
        <f>SUMIFS('Historical Orders'!$G109, 'Historical Orders'!$C109, "A", 'Historical Orders'!$B109, "2")</f>
        <v>0</v>
      </c>
      <c r="AQ109" s="171">
        <f>SUMIFS('Historical Orders'!$G109, 'Historical Orders'!$C109, "B", 'Historical Orders'!$B109, "2")</f>
        <v>18907.4</v>
      </c>
      <c r="AR109" s="145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9"/>
      <c r="BW109" s="179"/>
      <c r="BX109" s="179"/>
      <c r="BY109" s="179"/>
      <c r="BZ109" s="179"/>
      <c r="CA109" s="179"/>
      <c r="CB109" s="179"/>
      <c r="CC109" s="179"/>
      <c r="CD109" s="179"/>
      <c r="CE109" s="179"/>
    </row>
    <row r="110" ht="15.75" customHeight="1">
      <c r="A110" s="151">
        <v>41981.0</v>
      </c>
      <c r="B110" s="152">
        <v>1.0</v>
      </c>
      <c r="C110" s="152" t="s">
        <v>45</v>
      </c>
      <c r="D110" s="152">
        <v>1.0</v>
      </c>
      <c r="E110" s="153">
        <v>4361.0</v>
      </c>
      <c r="F110" s="154">
        <v>2.2</v>
      </c>
      <c r="G110" s="155">
        <v>9594.2</v>
      </c>
      <c r="H110" s="159">
        <f>SUMIFS('Historical Orders'!$E110, 'Historical Orders'!$D110, "1", 'Historical Orders'!$C110, "A", 'Historical Orders'!$B110, "1")</f>
        <v>4361</v>
      </c>
      <c r="I110" s="157">
        <f>SUMIFS('Historical Orders'!$G110, 'Historical Orders'!$D110, "1", 'Historical Orders'!$C110, "A", 'Historical Orders'!$B110, "1")</f>
        <v>9594.2</v>
      </c>
      <c r="J110" s="157">
        <f>SUMIFS('Historical Orders'!$E110, 'Historical Orders'!$D110, "1", 'Historical Orders'!$C110, "B", 'Historical Orders'!$B110, "1")</f>
        <v>0</v>
      </c>
      <c r="K110" s="157">
        <f>SUMIFS('Historical Orders'!$G110, 'Historical Orders'!$D110, "1", 'Historical Orders'!$C110, "B", 'Historical Orders'!$B110, "1")</f>
        <v>0</v>
      </c>
      <c r="L110" s="159">
        <f>SUMIFS('Historical Orders'!$E110, 'Historical Orders'!$D110, "1", 'Historical Orders'!$C110, "A", 'Historical Orders'!$B110, "2")</f>
        <v>0</v>
      </c>
      <c r="M110" s="157">
        <f>SUMIFS('Historical Orders'!$G110, 'Historical Orders'!$D110, "1", 'Historical Orders'!$C110, "A", 'Historical Orders'!$B110, "2")</f>
        <v>0</v>
      </c>
      <c r="N110" s="157">
        <f>SUMIFS('Historical Orders'!$E110, 'Historical Orders'!$D110, "1", 'Historical Orders'!$C110, "B", 'Historical Orders'!$B110, "2")</f>
        <v>0</v>
      </c>
      <c r="O110" s="157">
        <f>SUMIFS('Historical Orders'!$G110, 'Historical Orders'!$D110, "1", 'Historical Orders'!$C110, "B", 'Historical Orders'!$B110, "2")</f>
        <v>0</v>
      </c>
      <c r="P110" s="159">
        <f>SUMIFS('Historical Orders'!$E110, 'Historical Orders'!$D110, "2", 'Historical Orders'!$C110, "A", 'Historical Orders'!$B110, "1")</f>
        <v>0</v>
      </c>
      <c r="Q110" s="157">
        <f>SUMIFS('Historical Orders'!$G110, 'Historical Orders'!$D110, "2", 'Historical Orders'!$C110, "A", 'Historical Orders'!$B110, "1")</f>
        <v>0</v>
      </c>
      <c r="R110" s="159">
        <f>SUMIFS('Historical Orders'!$E110, 'Historical Orders'!$D110, "2", 'Historical Orders'!$C110, "B", 'Historical Orders'!$B110, "1")</f>
        <v>0</v>
      </c>
      <c r="S110" s="157">
        <f>SUMIFS('Historical Orders'!$G110, 'Historical Orders'!$D110, "2", 'Historical Orders'!$C110, "B", 'Historical Orders'!$B110, "1")</f>
        <v>0</v>
      </c>
      <c r="T110" s="159">
        <f>SUMIFS('Historical Orders'!$E110, 'Historical Orders'!$D110, "2", 'Historical Orders'!$C110, "A", 'Historical Orders'!$B110, "2")</f>
        <v>0</v>
      </c>
      <c r="U110" s="157">
        <f>SUMIFS('Historical Orders'!$G110, 'Historical Orders'!$D110, "2", 'Historical Orders'!$C110, "A", 'Historical Orders'!$B110, "2")</f>
        <v>0</v>
      </c>
      <c r="V110" s="159">
        <f>SUMIFS('Historical Orders'!$E110, 'Historical Orders'!$D110, "2", 'Historical Orders'!$C110, "B", 'Historical Orders'!$B110, "2")</f>
        <v>0</v>
      </c>
      <c r="W110" s="159">
        <f>SUMIFS('Historical Orders'!$G110, 'Historical Orders'!$D110, "2", 'Historical Orders'!$C110, "B", 'Historical Orders'!$B110, "2")</f>
        <v>0</v>
      </c>
      <c r="X110" s="159">
        <f>SUMIFS('Historical Orders'!$E110, 'Historical Orders'!$D110, "3", 'Historical Orders'!$C110, "A", 'Historical Orders'!$B110, "1")</f>
        <v>0</v>
      </c>
      <c r="Y110" s="159">
        <f>SUMIFS('Historical Orders'!$G110, 'Historical Orders'!$D110, "3", 'Historical Orders'!$C110, "A", 'Historical Orders'!$B110, "1")</f>
        <v>0</v>
      </c>
      <c r="Z110" s="159">
        <f>SUMIFS('Historical Orders'!$E110, 'Historical Orders'!$D110, "3", 'Historical Orders'!$C110, "B", 'Historical Orders'!$B110, "1")</f>
        <v>0</v>
      </c>
      <c r="AA110" s="159">
        <f>SUMIFS('Historical Orders'!$G110, 'Historical Orders'!$D110, "3", 'Historical Orders'!$C110, "B", 'Historical Orders'!$B110, "1")</f>
        <v>0</v>
      </c>
      <c r="AB110" s="159">
        <f>SUMIFS('Historical Orders'!$E110, 'Historical Orders'!$D110, "3", 'Historical Orders'!$C110, "A", 'Historical Orders'!$B110, "2")</f>
        <v>0</v>
      </c>
      <c r="AC110" s="159">
        <f>SUMIFS('Historical Orders'!$G110, 'Historical Orders'!$D110, "3", 'Historical Orders'!$C110, "A", 'Historical Orders'!$B110, "2")</f>
        <v>0</v>
      </c>
      <c r="AD110" s="159">
        <f>SUMIFS('Historical Orders'!$E110, 'Historical Orders'!$D110, "3", 'Historical Orders'!$C110, "B", 'Historical Orders'!$B110, "2")</f>
        <v>0</v>
      </c>
      <c r="AE110" s="157">
        <f>SUMIFS('Historical Orders'!$G110, 'Historical Orders'!$D110, "3", 'Historical Orders'!$C110, "B", 'Historical Orders'!$B110, "2")</f>
        <v>0</v>
      </c>
      <c r="AF110" s="157">
        <f>SUMIFS('Historical Orders'!$E110, 'Historical Orders'!$D110, "4", 'Historical Orders'!$C110, "A", 'Historical Orders'!$B110, "1")</f>
        <v>0</v>
      </c>
      <c r="AG110" s="157">
        <f>SUMIFS('Historical Orders'!$G110, 'Historical Orders'!$D110, "4", 'Historical Orders'!$C110, "A", 'Historical Orders'!$B110, "1")</f>
        <v>0</v>
      </c>
      <c r="AH110" s="157">
        <f>SUMIFS('Historical Orders'!$E110, 'Historical Orders'!$D110, "4", 'Historical Orders'!$C110, "B", 'Historical Orders'!$B110, "1")</f>
        <v>0</v>
      </c>
      <c r="AI110" s="157">
        <f>SUMIFS('Historical Orders'!$G110, 'Historical Orders'!$D110, "4", 'Historical Orders'!$C110, "B", 'Historical Orders'!$B110, "1")</f>
        <v>0</v>
      </c>
      <c r="AJ110" s="157">
        <f>SUMIFS('Historical Orders'!$E110, 'Historical Orders'!$D110, "4", 'Historical Orders'!$C110, "A", 'Historical Orders'!$B110, "2")</f>
        <v>0</v>
      </c>
      <c r="AK110" s="157">
        <f>SUMIFS('Historical Orders'!$G110, 'Historical Orders'!$D110, "4", 'Historical Orders'!$C110, "A", 'Historical Orders'!$B110, "2")</f>
        <v>0</v>
      </c>
      <c r="AL110" s="171">
        <f>SUMIFS('Historical Orders'!$E110, 'Historical Orders'!$D110, "4", 'Historical Orders'!$C110, "B", 'Historical Orders'!$B110, "2")</f>
        <v>0</v>
      </c>
      <c r="AM110" s="171">
        <f>SUMIFS('Historical Orders'!$G110, 'Historical Orders'!$D110, "4", 'Historical Orders'!$C110, "B", 'Historical Orders'!$B110, "2")</f>
        <v>0</v>
      </c>
      <c r="AN110" s="171">
        <f>SUMIFS('Historical Orders'!$G110, 'Historical Orders'!$C110, "A", 'Historical Orders'!$B110, "1")</f>
        <v>9594.2</v>
      </c>
      <c r="AO110" s="171">
        <f>SUMIFS('Historical Orders'!$G110, 'Historical Orders'!$C110, "B", 'Historical Orders'!$B110, "1")</f>
        <v>0</v>
      </c>
      <c r="AP110" s="171">
        <f>SUMIFS('Historical Orders'!$G110, 'Historical Orders'!$C110, "A", 'Historical Orders'!$B110, "2")</f>
        <v>0</v>
      </c>
      <c r="AQ110" s="171">
        <f>SUMIFS('Historical Orders'!$G110, 'Historical Orders'!$C110, "B", 'Historical Orders'!$B110, "2")</f>
        <v>0</v>
      </c>
      <c r="AR110" s="145"/>
      <c r="AS110" s="172"/>
      <c r="AT110" s="172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  <c r="BT110" s="172"/>
      <c r="BU110" s="172"/>
      <c r="BV110" s="179"/>
      <c r="BW110" s="179"/>
      <c r="BX110" s="179"/>
      <c r="BY110" s="179"/>
      <c r="BZ110" s="179"/>
      <c r="CA110" s="179"/>
      <c r="CB110" s="179"/>
      <c r="CC110" s="179"/>
      <c r="CD110" s="179"/>
      <c r="CE110" s="179"/>
    </row>
    <row r="111" ht="15.75" customHeight="1">
      <c r="A111" s="151">
        <v>41981.0</v>
      </c>
      <c r="B111" s="152">
        <v>1.0</v>
      </c>
      <c r="C111" s="152" t="s">
        <v>45</v>
      </c>
      <c r="D111" s="152">
        <v>2.0</v>
      </c>
      <c r="E111" s="153">
        <v>4650.0</v>
      </c>
      <c r="F111" s="154">
        <v>1.2</v>
      </c>
      <c r="G111" s="155">
        <v>5580.0</v>
      </c>
      <c r="H111" s="159">
        <f>SUMIFS('Historical Orders'!$E111, 'Historical Orders'!$D111, "1", 'Historical Orders'!$C111, "A", 'Historical Orders'!$B111, "1")</f>
        <v>0</v>
      </c>
      <c r="I111" s="157">
        <f>SUMIFS('Historical Orders'!$G111, 'Historical Orders'!$D111, "1", 'Historical Orders'!$C111, "A", 'Historical Orders'!$B111, "1")</f>
        <v>0</v>
      </c>
      <c r="J111" s="157">
        <f>SUMIFS('Historical Orders'!$E111, 'Historical Orders'!$D111, "1", 'Historical Orders'!$C111, "B", 'Historical Orders'!$B111, "1")</f>
        <v>0</v>
      </c>
      <c r="K111" s="157">
        <f>SUMIFS('Historical Orders'!$G111, 'Historical Orders'!$D111, "1", 'Historical Orders'!$C111, "B", 'Historical Orders'!$B111, "1")</f>
        <v>0</v>
      </c>
      <c r="L111" s="159">
        <f>SUMIFS('Historical Orders'!$E111, 'Historical Orders'!$D111, "1", 'Historical Orders'!$C111, "A", 'Historical Orders'!$B111, "2")</f>
        <v>0</v>
      </c>
      <c r="M111" s="157">
        <f>SUMIFS('Historical Orders'!$G111, 'Historical Orders'!$D111, "1", 'Historical Orders'!$C111, "A", 'Historical Orders'!$B111, "2")</f>
        <v>0</v>
      </c>
      <c r="N111" s="157">
        <f>SUMIFS('Historical Orders'!$E111, 'Historical Orders'!$D111, "1", 'Historical Orders'!$C111, "B", 'Historical Orders'!$B111, "2")</f>
        <v>0</v>
      </c>
      <c r="O111" s="157">
        <f>SUMIFS('Historical Orders'!$G111, 'Historical Orders'!$D111, "1", 'Historical Orders'!$C111, "B", 'Historical Orders'!$B111, "2")</f>
        <v>0</v>
      </c>
      <c r="P111" s="159">
        <f>SUMIFS('Historical Orders'!$E111, 'Historical Orders'!$D111, "2", 'Historical Orders'!$C111, "A", 'Historical Orders'!$B111, "1")</f>
        <v>4650</v>
      </c>
      <c r="Q111" s="157">
        <f>SUMIFS('Historical Orders'!$G111, 'Historical Orders'!$D111, "2", 'Historical Orders'!$C111, "A", 'Historical Orders'!$B111, "1")</f>
        <v>5580</v>
      </c>
      <c r="R111" s="159">
        <f>SUMIFS('Historical Orders'!$E111, 'Historical Orders'!$D111, "2", 'Historical Orders'!$C111, "B", 'Historical Orders'!$B111, "1")</f>
        <v>0</v>
      </c>
      <c r="S111" s="157">
        <f>SUMIFS('Historical Orders'!$G111, 'Historical Orders'!$D111, "2", 'Historical Orders'!$C111, "B", 'Historical Orders'!$B111, "1")</f>
        <v>0</v>
      </c>
      <c r="T111" s="159">
        <f>SUMIFS('Historical Orders'!$E111, 'Historical Orders'!$D111, "2", 'Historical Orders'!$C111, "A", 'Historical Orders'!$B111, "2")</f>
        <v>0</v>
      </c>
      <c r="U111" s="157">
        <f>SUMIFS('Historical Orders'!$G111, 'Historical Orders'!$D111, "2", 'Historical Orders'!$C111, "A", 'Historical Orders'!$B111, "2")</f>
        <v>0</v>
      </c>
      <c r="V111" s="159">
        <f>SUMIFS('Historical Orders'!$E111, 'Historical Orders'!$D111, "2", 'Historical Orders'!$C111, "B", 'Historical Orders'!$B111, "2")</f>
        <v>0</v>
      </c>
      <c r="W111" s="159">
        <f>SUMIFS('Historical Orders'!$G111, 'Historical Orders'!$D111, "2", 'Historical Orders'!$C111, "B", 'Historical Orders'!$B111, "2")</f>
        <v>0</v>
      </c>
      <c r="X111" s="159">
        <f>SUMIFS('Historical Orders'!$E111, 'Historical Orders'!$D111, "3", 'Historical Orders'!$C111, "A", 'Historical Orders'!$B111, "1")</f>
        <v>0</v>
      </c>
      <c r="Y111" s="159">
        <f>SUMIFS('Historical Orders'!$G111, 'Historical Orders'!$D111, "3", 'Historical Orders'!$C111, "A", 'Historical Orders'!$B111, "1")</f>
        <v>0</v>
      </c>
      <c r="Z111" s="159">
        <f>SUMIFS('Historical Orders'!$E111, 'Historical Orders'!$D111, "3", 'Historical Orders'!$C111, "B", 'Historical Orders'!$B111, "1")</f>
        <v>0</v>
      </c>
      <c r="AA111" s="159">
        <f>SUMIFS('Historical Orders'!$G111, 'Historical Orders'!$D111, "3", 'Historical Orders'!$C111, "B", 'Historical Orders'!$B111, "1")</f>
        <v>0</v>
      </c>
      <c r="AB111" s="159">
        <f>SUMIFS('Historical Orders'!$E111, 'Historical Orders'!$D111, "3", 'Historical Orders'!$C111, "A", 'Historical Orders'!$B111, "2")</f>
        <v>0</v>
      </c>
      <c r="AC111" s="159">
        <f>SUMIFS('Historical Orders'!$G111, 'Historical Orders'!$D111, "3", 'Historical Orders'!$C111, "A", 'Historical Orders'!$B111, "2")</f>
        <v>0</v>
      </c>
      <c r="AD111" s="159">
        <f>SUMIFS('Historical Orders'!$E111, 'Historical Orders'!$D111, "3", 'Historical Orders'!$C111, "B", 'Historical Orders'!$B111, "2")</f>
        <v>0</v>
      </c>
      <c r="AE111" s="157">
        <f>SUMIFS('Historical Orders'!$G111, 'Historical Orders'!$D111, "3", 'Historical Orders'!$C111, "B", 'Historical Orders'!$B111, "2")</f>
        <v>0</v>
      </c>
      <c r="AF111" s="157">
        <f>SUMIFS('Historical Orders'!$E111, 'Historical Orders'!$D111, "4", 'Historical Orders'!$C111, "A", 'Historical Orders'!$B111, "1")</f>
        <v>0</v>
      </c>
      <c r="AG111" s="157">
        <f>SUMIFS('Historical Orders'!$G111, 'Historical Orders'!$D111, "4", 'Historical Orders'!$C111, "A", 'Historical Orders'!$B111, "1")</f>
        <v>0</v>
      </c>
      <c r="AH111" s="157">
        <f>SUMIFS('Historical Orders'!$E111, 'Historical Orders'!$D111, "4", 'Historical Orders'!$C111, "B", 'Historical Orders'!$B111, "1")</f>
        <v>0</v>
      </c>
      <c r="AI111" s="157">
        <f>SUMIFS('Historical Orders'!$G111, 'Historical Orders'!$D111, "4", 'Historical Orders'!$C111, "B", 'Historical Orders'!$B111, "1")</f>
        <v>0</v>
      </c>
      <c r="AJ111" s="157">
        <f>SUMIFS('Historical Orders'!$E111, 'Historical Orders'!$D111, "4", 'Historical Orders'!$C111, "A", 'Historical Orders'!$B111, "2")</f>
        <v>0</v>
      </c>
      <c r="AK111" s="157">
        <f>SUMIFS('Historical Orders'!$G111, 'Historical Orders'!$D111, "4", 'Historical Orders'!$C111, "A", 'Historical Orders'!$B111, "2")</f>
        <v>0</v>
      </c>
      <c r="AL111" s="171">
        <f>SUMIFS('Historical Orders'!$E111, 'Historical Orders'!$D111, "4", 'Historical Orders'!$C111, "B", 'Historical Orders'!$B111, "2")</f>
        <v>0</v>
      </c>
      <c r="AM111" s="171">
        <f>SUMIFS('Historical Orders'!$G111, 'Historical Orders'!$D111, "4", 'Historical Orders'!$C111, "B", 'Historical Orders'!$B111, "2")</f>
        <v>0</v>
      </c>
      <c r="AN111" s="171">
        <f>SUMIFS('Historical Orders'!$G111, 'Historical Orders'!$C111, "A", 'Historical Orders'!$B111, "1")</f>
        <v>5580</v>
      </c>
      <c r="AO111" s="171">
        <f>SUMIFS('Historical Orders'!$G111, 'Historical Orders'!$C111, "B", 'Historical Orders'!$B111, "1")</f>
        <v>0</v>
      </c>
      <c r="AP111" s="171">
        <f>SUMIFS('Historical Orders'!$G111, 'Historical Orders'!$C111, "A", 'Historical Orders'!$B111, "2")</f>
        <v>0</v>
      </c>
      <c r="AQ111" s="171">
        <f>SUMIFS('Historical Orders'!$G111, 'Historical Orders'!$C111, "B", 'Historical Orders'!$B111, "2")</f>
        <v>0</v>
      </c>
      <c r="AR111" s="145"/>
      <c r="AS111" s="172"/>
      <c r="AT111" s="172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  <c r="BT111" s="172"/>
      <c r="BU111" s="172"/>
      <c r="BV111" s="179"/>
      <c r="BW111" s="179"/>
      <c r="BX111" s="179"/>
      <c r="BY111" s="179"/>
      <c r="BZ111" s="179"/>
      <c r="CA111" s="179"/>
      <c r="CB111" s="179"/>
      <c r="CC111" s="179"/>
      <c r="CD111" s="179"/>
      <c r="CE111" s="179"/>
    </row>
    <row r="112" ht="15.75" customHeight="1">
      <c r="A112" s="151">
        <v>41981.0</v>
      </c>
      <c r="B112" s="152">
        <v>2.0</v>
      </c>
      <c r="C112" s="152" t="s">
        <v>45</v>
      </c>
      <c r="D112" s="152">
        <v>1.0</v>
      </c>
      <c r="E112" s="153">
        <v>3325.0</v>
      </c>
      <c r="F112" s="154">
        <v>2.2</v>
      </c>
      <c r="G112" s="155">
        <v>7315.000000000001</v>
      </c>
      <c r="H112" s="159">
        <f>SUMIFS('Historical Orders'!$E112, 'Historical Orders'!$D112, "1", 'Historical Orders'!$C112, "A", 'Historical Orders'!$B112, "1")</f>
        <v>0</v>
      </c>
      <c r="I112" s="157">
        <f>SUMIFS('Historical Orders'!$G112, 'Historical Orders'!$D112, "1", 'Historical Orders'!$C112, "A", 'Historical Orders'!$B112, "1")</f>
        <v>0</v>
      </c>
      <c r="J112" s="157">
        <f>SUMIFS('Historical Orders'!$E112, 'Historical Orders'!$D112, "1", 'Historical Orders'!$C112, "B", 'Historical Orders'!$B112, "1")</f>
        <v>0</v>
      </c>
      <c r="K112" s="157">
        <f>SUMIFS('Historical Orders'!$G112, 'Historical Orders'!$D112, "1", 'Historical Orders'!$C112, "B", 'Historical Orders'!$B112, "1")</f>
        <v>0</v>
      </c>
      <c r="L112" s="159">
        <f>SUMIFS('Historical Orders'!$E112, 'Historical Orders'!$D112, "1", 'Historical Orders'!$C112, "A", 'Historical Orders'!$B112, "2")</f>
        <v>3325</v>
      </c>
      <c r="M112" s="157">
        <f>SUMIFS('Historical Orders'!$G112, 'Historical Orders'!$D112, "1", 'Historical Orders'!$C112, "A", 'Historical Orders'!$B112, "2")</f>
        <v>7315</v>
      </c>
      <c r="N112" s="157">
        <f>SUMIFS('Historical Orders'!$E112, 'Historical Orders'!$D112, "1", 'Historical Orders'!$C112, "B", 'Historical Orders'!$B112, "2")</f>
        <v>0</v>
      </c>
      <c r="O112" s="157">
        <f>SUMIFS('Historical Orders'!$G112, 'Historical Orders'!$D112, "1", 'Historical Orders'!$C112, "B", 'Historical Orders'!$B112, "2")</f>
        <v>0</v>
      </c>
      <c r="P112" s="159">
        <f>SUMIFS('Historical Orders'!$E112, 'Historical Orders'!$D112, "2", 'Historical Orders'!$C112, "A", 'Historical Orders'!$B112, "1")</f>
        <v>0</v>
      </c>
      <c r="Q112" s="157">
        <f>SUMIFS('Historical Orders'!$G112, 'Historical Orders'!$D112, "2", 'Historical Orders'!$C112, "A", 'Historical Orders'!$B112, "1")</f>
        <v>0</v>
      </c>
      <c r="R112" s="159">
        <f>SUMIFS('Historical Orders'!$E112, 'Historical Orders'!$D112, "2", 'Historical Orders'!$C112, "B", 'Historical Orders'!$B112, "1")</f>
        <v>0</v>
      </c>
      <c r="S112" s="157">
        <f>SUMIFS('Historical Orders'!$G112, 'Historical Orders'!$D112, "2", 'Historical Orders'!$C112, "B", 'Historical Orders'!$B112, "1")</f>
        <v>0</v>
      </c>
      <c r="T112" s="159">
        <f>SUMIFS('Historical Orders'!$E112, 'Historical Orders'!$D112, "2", 'Historical Orders'!$C112, "A", 'Historical Orders'!$B112, "2")</f>
        <v>0</v>
      </c>
      <c r="U112" s="157">
        <f>SUMIFS('Historical Orders'!$G112, 'Historical Orders'!$D112, "2", 'Historical Orders'!$C112, "A", 'Historical Orders'!$B112, "2")</f>
        <v>0</v>
      </c>
      <c r="V112" s="159">
        <f>SUMIFS('Historical Orders'!$E112, 'Historical Orders'!$D112, "2", 'Historical Orders'!$C112, "B", 'Historical Orders'!$B112, "2")</f>
        <v>0</v>
      </c>
      <c r="W112" s="159">
        <f>SUMIFS('Historical Orders'!$G112, 'Historical Orders'!$D112, "2", 'Historical Orders'!$C112, "B", 'Historical Orders'!$B112, "2")</f>
        <v>0</v>
      </c>
      <c r="X112" s="159">
        <f>SUMIFS('Historical Orders'!$E112, 'Historical Orders'!$D112, "3", 'Historical Orders'!$C112, "A", 'Historical Orders'!$B112, "1")</f>
        <v>0</v>
      </c>
      <c r="Y112" s="159">
        <f>SUMIFS('Historical Orders'!$G112, 'Historical Orders'!$D112, "3", 'Historical Orders'!$C112, "A", 'Historical Orders'!$B112, "1")</f>
        <v>0</v>
      </c>
      <c r="Z112" s="159">
        <f>SUMIFS('Historical Orders'!$E112, 'Historical Orders'!$D112, "3", 'Historical Orders'!$C112, "B", 'Historical Orders'!$B112, "1")</f>
        <v>0</v>
      </c>
      <c r="AA112" s="159">
        <f>SUMIFS('Historical Orders'!$G112, 'Historical Orders'!$D112, "3", 'Historical Orders'!$C112, "B", 'Historical Orders'!$B112, "1")</f>
        <v>0</v>
      </c>
      <c r="AB112" s="159">
        <f>SUMIFS('Historical Orders'!$E112, 'Historical Orders'!$D112, "3", 'Historical Orders'!$C112, "A", 'Historical Orders'!$B112, "2")</f>
        <v>0</v>
      </c>
      <c r="AC112" s="159">
        <f>SUMIFS('Historical Orders'!$G112, 'Historical Orders'!$D112, "3", 'Historical Orders'!$C112, "A", 'Historical Orders'!$B112, "2")</f>
        <v>0</v>
      </c>
      <c r="AD112" s="159">
        <f>SUMIFS('Historical Orders'!$E112, 'Historical Orders'!$D112, "3", 'Historical Orders'!$C112, "B", 'Historical Orders'!$B112, "2")</f>
        <v>0</v>
      </c>
      <c r="AE112" s="157">
        <f>SUMIFS('Historical Orders'!$G112, 'Historical Orders'!$D112, "3", 'Historical Orders'!$C112, "B", 'Historical Orders'!$B112, "2")</f>
        <v>0</v>
      </c>
      <c r="AF112" s="157">
        <f>SUMIFS('Historical Orders'!$E112, 'Historical Orders'!$D112, "4", 'Historical Orders'!$C112, "A", 'Historical Orders'!$B112, "1")</f>
        <v>0</v>
      </c>
      <c r="AG112" s="157">
        <f>SUMIFS('Historical Orders'!$G112, 'Historical Orders'!$D112, "4", 'Historical Orders'!$C112, "A", 'Historical Orders'!$B112, "1")</f>
        <v>0</v>
      </c>
      <c r="AH112" s="157">
        <f>SUMIFS('Historical Orders'!$E112, 'Historical Orders'!$D112, "4", 'Historical Orders'!$C112, "B", 'Historical Orders'!$B112, "1")</f>
        <v>0</v>
      </c>
      <c r="AI112" s="157">
        <f>SUMIFS('Historical Orders'!$G112, 'Historical Orders'!$D112, "4", 'Historical Orders'!$C112, "B", 'Historical Orders'!$B112, "1")</f>
        <v>0</v>
      </c>
      <c r="AJ112" s="157">
        <f>SUMIFS('Historical Orders'!$E112, 'Historical Orders'!$D112, "4", 'Historical Orders'!$C112, "A", 'Historical Orders'!$B112, "2")</f>
        <v>0</v>
      </c>
      <c r="AK112" s="157">
        <f>SUMIFS('Historical Orders'!$G112, 'Historical Orders'!$D112, "4", 'Historical Orders'!$C112, "A", 'Historical Orders'!$B112, "2")</f>
        <v>0</v>
      </c>
      <c r="AL112" s="171">
        <f>SUMIFS('Historical Orders'!$E112, 'Historical Orders'!$D112, "4", 'Historical Orders'!$C112, "B", 'Historical Orders'!$B112, "2")</f>
        <v>0</v>
      </c>
      <c r="AM112" s="171">
        <f>SUMIFS('Historical Orders'!$G112, 'Historical Orders'!$D112, "4", 'Historical Orders'!$C112, "B", 'Historical Orders'!$B112, "2")</f>
        <v>0</v>
      </c>
      <c r="AN112" s="171">
        <f>SUMIFS('Historical Orders'!$G112, 'Historical Orders'!$C112, "A", 'Historical Orders'!$B112, "1")</f>
        <v>0</v>
      </c>
      <c r="AO112" s="171">
        <f>SUMIFS('Historical Orders'!$G112, 'Historical Orders'!$C112, "B", 'Historical Orders'!$B112, "1")</f>
        <v>0</v>
      </c>
      <c r="AP112" s="171">
        <f>SUMIFS('Historical Orders'!$G112, 'Historical Orders'!$C112, "A", 'Historical Orders'!$B112, "2")</f>
        <v>7315</v>
      </c>
      <c r="AQ112" s="171">
        <f>SUMIFS('Historical Orders'!$G112, 'Historical Orders'!$C112, "B", 'Historical Orders'!$B112, "2")</f>
        <v>0</v>
      </c>
      <c r="AR112" s="145"/>
      <c r="AS112" s="172"/>
      <c r="AT112" s="172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2"/>
      <c r="BV112" s="179"/>
      <c r="BW112" s="179"/>
      <c r="BX112" s="179"/>
      <c r="BY112" s="179"/>
      <c r="BZ112" s="179"/>
      <c r="CA112" s="179"/>
      <c r="CB112" s="179"/>
      <c r="CC112" s="179"/>
      <c r="CD112" s="179"/>
      <c r="CE112" s="179"/>
    </row>
    <row r="113" ht="15.75" customHeight="1">
      <c r="A113" s="151">
        <v>41981.0</v>
      </c>
      <c r="B113" s="152">
        <v>2.0</v>
      </c>
      <c r="C113" s="152" t="s">
        <v>45</v>
      </c>
      <c r="D113" s="152">
        <v>2.0</v>
      </c>
      <c r="E113" s="153">
        <v>3986.0</v>
      </c>
      <c r="F113" s="154">
        <v>1.2</v>
      </c>
      <c r="G113" s="155">
        <v>4783.2</v>
      </c>
      <c r="H113" s="159">
        <f>SUMIFS('Historical Orders'!$E113, 'Historical Orders'!$D113, "1", 'Historical Orders'!$C113, "A", 'Historical Orders'!$B113, "1")</f>
        <v>0</v>
      </c>
      <c r="I113" s="157">
        <f>SUMIFS('Historical Orders'!$G113, 'Historical Orders'!$D113, "1", 'Historical Orders'!$C113, "A", 'Historical Orders'!$B113, "1")</f>
        <v>0</v>
      </c>
      <c r="J113" s="157">
        <f>SUMIFS('Historical Orders'!$E113, 'Historical Orders'!$D113, "1", 'Historical Orders'!$C113, "B", 'Historical Orders'!$B113, "1")</f>
        <v>0</v>
      </c>
      <c r="K113" s="157">
        <f>SUMIFS('Historical Orders'!$G113, 'Historical Orders'!$D113, "1", 'Historical Orders'!$C113, "B", 'Historical Orders'!$B113, "1")</f>
        <v>0</v>
      </c>
      <c r="L113" s="159">
        <f>SUMIFS('Historical Orders'!$E113, 'Historical Orders'!$D113, "1", 'Historical Orders'!$C113, "A", 'Historical Orders'!$B113, "2")</f>
        <v>0</v>
      </c>
      <c r="M113" s="157">
        <f>SUMIFS('Historical Orders'!$G113, 'Historical Orders'!$D113, "1", 'Historical Orders'!$C113, "A", 'Historical Orders'!$B113, "2")</f>
        <v>0</v>
      </c>
      <c r="N113" s="157">
        <f>SUMIFS('Historical Orders'!$E113, 'Historical Orders'!$D113, "1", 'Historical Orders'!$C113, "B", 'Historical Orders'!$B113, "2")</f>
        <v>0</v>
      </c>
      <c r="O113" s="157">
        <f>SUMIFS('Historical Orders'!$G113, 'Historical Orders'!$D113, "1", 'Historical Orders'!$C113, "B", 'Historical Orders'!$B113, "2")</f>
        <v>0</v>
      </c>
      <c r="P113" s="159">
        <f>SUMIFS('Historical Orders'!$E113, 'Historical Orders'!$D113, "2", 'Historical Orders'!$C113, "A", 'Historical Orders'!$B113, "1")</f>
        <v>0</v>
      </c>
      <c r="Q113" s="157">
        <f>SUMIFS('Historical Orders'!$G113, 'Historical Orders'!$D113, "2", 'Historical Orders'!$C113, "A", 'Historical Orders'!$B113, "1")</f>
        <v>0</v>
      </c>
      <c r="R113" s="159">
        <f>SUMIFS('Historical Orders'!$E113, 'Historical Orders'!$D113, "2", 'Historical Orders'!$C113, "B", 'Historical Orders'!$B113, "1")</f>
        <v>0</v>
      </c>
      <c r="S113" s="157">
        <f>SUMIFS('Historical Orders'!$G113, 'Historical Orders'!$D113, "2", 'Historical Orders'!$C113, "B", 'Historical Orders'!$B113, "1")</f>
        <v>0</v>
      </c>
      <c r="T113" s="159">
        <f>SUMIFS('Historical Orders'!$E113, 'Historical Orders'!$D113, "2", 'Historical Orders'!$C113, "A", 'Historical Orders'!$B113, "2")</f>
        <v>3986</v>
      </c>
      <c r="U113" s="157">
        <f>SUMIFS('Historical Orders'!$G113, 'Historical Orders'!$D113, "2", 'Historical Orders'!$C113, "A", 'Historical Orders'!$B113, "2")</f>
        <v>4783.2</v>
      </c>
      <c r="V113" s="159">
        <f>SUMIFS('Historical Orders'!$E113, 'Historical Orders'!$D113, "2", 'Historical Orders'!$C113, "B", 'Historical Orders'!$B113, "2")</f>
        <v>0</v>
      </c>
      <c r="W113" s="159">
        <f>SUMIFS('Historical Orders'!$G113, 'Historical Orders'!$D113, "2", 'Historical Orders'!$C113, "B", 'Historical Orders'!$B113, "2")</f>
        <v>0</v>
      </c>
      <c r="X113" s="159">
        <f>SUMIFS('Historical Orders'!$E113, 'Historical Orders'!$D113, "3", 'Historical Orders'!$C113, "A", 'Historical Orders'!$B113, "1")</f>
        <v>0</v>
      </c>
      <c r="Y113" s="159">
        <f>SUMIFS('Historical Orders'!$G113, 'Historical Orders'!$D113, "3", 'Historical Orders'!$C113, "A", 'Historical Orders'!$B113, "1")</f>
        <v>0</v>
      </c>
      <c r="Z113" s="159">
        <f>SUMIFS('Historical Orders'!$E113, 'Historical Orders'!$D113, "3", 'Historical Orders'!$C113, "B", 'Historical Orders'!$B113, "1")</f>
        <v>0</v>
      </c>
      <c r="AA113" s="159">
        <f>SUMIFS('Historical Orders'!$G113, 'Historical Orders'!$D113, "3", 'Historical Orders'!$C113, "B", 'Historical Orders'!$B113, "1")</f>
        <v>0</v>
      </c>
      <c r="AB113" s="159">
        <f>SUMIFS('Historical Orders'!$E113, 'Historical Orders'!$D113, "3", 'Historical Orders'!$C113, "A", 'Historical Orders'!$B113, "2")</f>
        <v>0</v>
      </c>
      <c r="AC113" s="159">
        <f>SUMIFS('Historical Orders'!$G113, 'Historical Orders'!$D113, "3", 'Historical Orders'!$C113, "A", 'Historical Orders'!$B113, "2")</f>
        <v>0</v>
      </c>
      <c r="AD113" s="159">
        <f>SUMIFS('Historical Orders'!$E113, 'Historical Orders'!$D113, "3", 'Historical Orders'!$C113, "B", 'Historical Orders'!$B113, "2")</f>
        <v>0</v>
      </c>
      <c r="AE113" s="157">
        <f>SUMIFS('Historical Orders'!$G113, 'Historical Orders'!$D113, "3", 'Historical Orders'!$C113, "B", 'Historical Orders'!$B113, "2")</f>
        <v>0</v>
      </c>
      <c r="AF113" s="157">
        <f>SUMIFS('Historical Orders'!$E113, 'Historical Orders'!$D113, "4", 'Historical Orders'!$C113, "A", 'Historical Orders'!$B113, "1")</f>
        <v>0</v>
      </c>
      <c r="AG113" s="157">
        <f>SUMIFS('Historical Orders'!$G113, 'Historical Orders'!$D113, "4", 'Historical Orders'!$C113, "A", 'Historical Orders'!$B113, "1")</f>
        <v>0</v>
      </c>
      <c r="AH113" s="157">
        <f>SUMIFS('Historical Orders'!$E113, 'Historical Orders'!$D113, "4", 'Historical Orders'!$C113, "B", 'Historical Orders'!$B113, "1")</f>
        <v>0</v>
      </c>
      <c r="AI113" s="157">
        <f>SUMIFS('Historical Orders'!$G113, 'Historical Orders'!$D113, "4", 'Historical Orders'!$C113, "B", 'Historical Orders'!$B113, "1")</f>
        <v>0</v>
      </c>
      <c r="AJ113" s="157">
        <f>SUMIFS('Historical Orders'!$E113, 'Historical Orders'!$D113, "4", 'Historical Orders'!$C113, "A", 'Historical Orders'!$B113, "2")</f>
        <v>0</v>
      </c>
      <c r="AK113" s="157">
        <f>SUMIFS('Historical Orders'!$G113, 'Historical Orders'!$D113, "4", 'Historical Orders'!$C113, "A", 'Historical Orders'!$B113, "2")</f>
        <v>0</v>
      </c>
      <c r="AL113" s="171">
        <f>SUMIFS('Historical Orders'!$E113, 'Historical Orders'!$D113, "4", 'Historical Orders'!$C113, "B", 'Historical Orders'!$B113, "2")</f>
        <v>0</v>
      </c>
      <c r="AM113" s="171">
        <f>SUMIFS('Historical Orders'!$G113, 'Historical Orders'!$D113, "4", 'Historical Orders'!$C113, "B", 'Historical Orders'!$B113, "2")</f>
        <v>0</v>
      </c>
      <c r="AN113" s="171">
        <f>SUMIFS('Historical Orders'!$G113, 'Historical Orders'!$C113, "A", 'Historical Orders'!$B113, "1")</f>
        <v>0</v>
      </c>
      <c r="AO113" s="171">
        <f>SUMIFS('Historical Orders'!$G113, 'Historical Orders'!$C113, "B", 'Historical Orders'!$B113, "1")</f>
        <v>0</v>
      </c>
      <c r="AP113" s="171">
        <f>SUMIFS('Historical Orders'!$G113, 'Historical Orders'!$C113, "A", 'Historical Orders'!$B113, "2")</f>
        <v>4783.2</v>
      </c>
      <c r="AQ113" s="171">
        <f>SUMIFS('Historical Orders'!$G113, 'Historical Orders'!$C113, "B", 'Historical Orders'!$B113, "2")</f>
        <v>0</v>
      </c>
      <c r="AR113" s="145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9"/>
      <c r="BW113" s="179"/>
      <c r="BX113" s="179"/>
      <c r="BY113" s="179"/>
      <c r="BZ113" s="179"/>
      <c r="CA113" s="179"/>
      <c r="CB113" s="179"/>
      <c r="CC113" s="179"/>
      <c r="CD113" s="179"/>
      <c r="CE113" s="179"/>
    </row>
    <row r="114" ht="15.75" customHeight="1">
      <c r="A114" s="151">
        <v>41981.0</v>
      </c>
      <c r="B114" s="152">
        <v>1.0</v>
      </c>
      <c r="C114" s="152" t="s">
        <v>46</v>
      </c>
      <c r="D114" s="152">
        <v>3.0</v>
      </c>
      <c r="E114" s="153">
        <v>1786.0</v>
      </c>
      <c r="F114" s="154">
        <v>8.3</v>
      </c>
      <c r="G114" s="155">
        <v>14823.800000000001</v>
      </c>
      <c r="H114" s="159">
        <f>SUMIFS('Historical Orders'!$E114, 'Historical Orders'!$D114, "1", 'Historical Orders'!$C114, "A", 'Historical Orders'!$B114, "1")</f>
        <v>0</v>
      </c>
      <c r="I114" s="157">
        <f>SUMIFS('Historical Orders'!$G114, 'Historical Orders'!$D114, "1", 'Historical Orders'!$C114, "A", 'Historical Orders'!$B114, "1")</f>
        <v>0</v>
      </c>
      <c r="J114" s="157">
        <f>SUMIFS('Historical Orders'!$E114, 'Historical Orders'!$D114, "1", 'Historical Orders'!$C114, "B", 'Historical Orders'!$B114, "1")</f>
        <v>0</v>
      </c>
      <c r="K114" s="157">
        <f>SUMIFS('Historical Orders'!$G114, 'Historical Orders'!$D114, "1", 'Historical Orders'!$C114, "B", 'Historical Orders'!$B114, "1")</f>
        <v>0</v>
      </c>
      <c r="L114" s="159">
        <f>SUMIFS('Historical Orders'!$E114, 'Historical Orders'!$D114, "1", 'Historical Orders'!$C114, "A", 'Historical Orders'!$B114, "2")</f>
        <v>0</v>
      </c>
      <c r="M114" s="157">
        <f>SUMIFS('Historical Orders'!$G114, 'Historical Orders'!$D114, "1", 'Historical Orders'!$C114, "A", 'Historical Orders'!$B114, "2")</f>
        <v>0</v>
      </c>
      <c r="N114" s="157">
        <f>SUMIFS('Historical Orders'!$E114, 'Historical Orders'!$D114, "1", 'Historical Orders'!$C114, "B", 'Historical Orders'!$B114, "2")</f>
        <v>0</v>
      </c>
      <c r="O114" s="157">
        <f>SUMIFS('Historical Orders'!$G114, 'Historical Orders'!$D114, "1", 'Historical Orders'!$C114, "B", 'Historical Orders'!$B114, "2")</f>
        <v>0</v>
      </c>
      <c r="P114" s="159">
        <f>SUMIFS('Historical Orders'!$E114, 'Historical Orders'!$D114, "2", 'Historical Orders'!$C114, "A", 'Historical Orders'!$B114, "1")</f>
        <v>0</v>
      </c>
      <c r="Q114" s="157">
        <f>SUMIFS('Historical Orders'!$G114, 'Historical Orders'!$D114, "2", 'Historical Orders'!$C114, "A", 'Historical Orders'!$B114, "1")</f>
        <v>0</v>
      </c>
      <c r="R114" s="159">
        <f>SUMIFS('Historical Orders'!$E114, 'Historical Orders'!$D114, "2", 'Historical Orders'!$C114, "B", 'Historical Orders'!$B114, "1")</f>
        <v>0</v>
      </c>
      <c r="S114" s="157">
        <f>SUMIFS('Historical Orders'!$G114, 'Historical Orders'!$D114, "2", 'Historical Orders'!$C114, "B", 'Historical Orders'!$B114, "1")</f>
        <v>0</v>
      </c>
      <c r="T114" s="159">
        <f>SUMIFS('Historical Orders'!$E114, 'Historical Orders'!$D114, "2", 'Historical Orders'!$C114, "A", 'Historical Orders'!$B114, "2")</f>
        <v>0</v>
      </c>
      <c r="U114" s="157">
        <f>SUMIFS('Historical Orders'!$G114, 'Historical Orders'!$D114, "2", 'Historical Orders'!$C114, "A", 'Historical Orders'!$B114, "2")</f>
        <v>0</v>
      </c>
      <c r="V114" s="159">
        <f>SUMIFS('Historical Orders'!$E114, 'Historical Orders'!$D114, "2", 'Historical Orders'!$C114, "B", 'Historical Orders'!$B114, "2")</f>
        <v>0</v>
      </c>
      <c r="W114" s="159">
        <f>SUMIFS('Historical Orders'!$G114, 'Historical Orders'!$D114, "2", 'Historical Orders'!$C114, "B", 'Historical Orders'!$B114, "2")</f>
        <v>0</v>
      </c>
      <c r="X114" s="159">
        <f>SUMIFS('Historical Orders'!$E114, 'Historical Orders'!$D114, "3", 'Historical Orders'!$C114, "A", 'Historical Orders'!$B114, "1")</f>
        <v>0</v>
      </c>
      <c r="Y114" s="159">
        <f>SUMIFS('Historical Orders'!$G114, 'Historical Orders'!$D114, "3", 'Historical Orders'!$C114, "A", 'Historical Orders'!$B114, "1")</f>
        <v>0</v>
      </c>
      <c r="Z114" s="159">
        <f>SUMIFS('Historical Orders'!$E114, 'Historical Orders'!$D114, "3", 'Historical Orders'!$C114, "B", 'Historical Orders'!$B114, "1")</f>
        <v>1786</v>
      </c>
      <c r="AA114" s="159">
        <f>SUMIFS('Historical Orders'!$G114, 'Historical Orders'!$D114, "3", 'Historical Orders'!$C114, "B", 'Historical Orders'!$B114, "1")</f>
        <v>14823.8</v>
      </c>
      <c r="AB114" s="159">
        <f>SUMIFS('Historical Orders'!$E114, 'Historical Orders'!$D114, "3", 'Historical Orders'!$C114, "A", 'Historical Orders'!$B114, "2")</f>
        <v>0</v>
      </c>
      <c r="AC114" s="159">
        <f>SUMIFS('Historical Orders'!$G114, 'Historical Orders'!$D114, "3", 'Historical Orders'!$C114, "A", 'Historical Orders'!$B114, "2")</f>
        <v>0</v>
      </c>
      <c r="AD114" s="159">
        <f>SUMIFS('Historical Orders'!$E114, 'Historical Orders'!$D114, "3", 'Historical Orders'!$C114, "B", 'Historical Orders'!$B114, "2")</f>
        <v>0</v>
      </c>
      <c r="AE114" s="157">
        <f>SUMIFS('Historical Orders'!$G114, 'Historical Orders'!$D114, "3", 'Historical Orders'!$C114, "B", 'Historical Orders'!$B114, "2")</f>
        <v>0</v>
      </c>
      <c r="AF114" s="157">
        <f>SUMIFS('Historical Orders'!$E114, 'Historical Orders'!$D114, "4", 'Historical Orders'!$C114, "A", 'Historical Orders'!$B114, "1")</f>
        <v>0</v>
      </c>
      <c r="AG114" s="157">
        <f>SUMIFS('Historical Orders'!$G114, 'Historical Orders'!$D114, "4", 'Historical Orders'!$C114, "A", 'Historical Orders'!$B114, "1")</f>
        <v>0</v>
      </c>
      <c r="AH114" s="157">
        <f>SUMIFS('Historical Orders'!$E114, 'Historical Orders'!$D114, "4", 'Historical Orders'!$C114, "B", 'Historical Orders'!$B114, "1")</f>
        <v>0</v>
      </c>
      <c r="AI114" s="157">
        <f>SUMIFS('Historical Orders'!$G114, 'Historical Orders'!$D114, "4", 'Historical Orders'!$C114, "B", 'Historical Orders'!$B114, "1")</f>
        <v>0</v>
      </c>
      <c r="AJ114" s="157">
        <f>SUMIFS('Historical Orders'!$E114, 'Historical Orders'!$D114, "4", 'Historical Orders'!$C114, "A", 'Historical Orders'!$B114, "2")</f>
        <v>0</v>
      </c>
      <c r="AK114" s="157">
        <f>SUMIFS('Historical Orders'!$G114, 'Historical Orders'!$D114, "4", 'Historical Orders'!$C114, "A", 'Historical Orders'!$B114, "2")</f>
        <v>0</v>
      </c>
      <c r="AL114" s="171">
        <f>SUMIFS('Historical Orders'!$E114, 'Historical Orders'!$D114, "4", 'Historical Orders'!$C114, "B", 'Historical Orders'!$B114, "2")</f>
        <v>0</v>
      </c>
      <c r="AM114" s="171">
        <f>SUMIFS('Historical Orders'!$G114, 'Historical Orders'!$D114, "4", 'Historical Orders'!$C114, "B", 'Historical Orders'!$B114, "2")</f>
        <v>0</v>
      </c>
      <c r="AN114" s="171">
        <f>SUMIFS('Historical Orders'!$G114, 'Historical Orders'!$C114, "A", 'Historical Orders'!$B114, "1")</f>
        <v>0</v>
      </c>
      <c r="AO114" s="171">
        <f>SUMIFS('Historical Orders'!$G114, 'Historical Orders'!$C114, "B", 'Historical Orders'!$B114, "1")</f>
        <v>14823.8</v>
      </c>
      <c r="AP114" s="171">
        <f>SUMIFS('Historical Orders'!$G114, 'Historical Orders'!$C114, "A", 'Historical Orders'!$B114, "2")</f>
        <v>0</v>
      </c>
      <c r="AQ114" s="171">
        <f>SUMIFS('Historical Orders'!$G114, 'Historical Orders'!$C114, "B", 'Historical Orders'!$B114, "2")</f>
        <v>0</v>
      </c>
      <c r="AR114" s="145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9"/>
      <c r="BW114" s="179"/>
      <c r="BX114" s="179"/>
      <c r="BY114" s="179"/>
      <c r="BZ114" s="179"/>
      <c r="CA114" s="179"/>
      <c r="CB114" s="179"/>
      <c r="CC114" s="179"/>
      <c r="CD114" s="179"/>
      <c r="CE114" s="179"/>
    </row>
    <row r="115" ht="15.75" customHeight="1">
      <c r="A115" s="151">
        <v>41981.0</v>
      </c>
      <c r="B115" s="152">
        <v>2.0</v>
      </c>
      <c r="C115" s="152" t="s">
        <v>46</v>
      </c>
      <c r="D115" s="152">
        <v>3.0</v>
      </c>
      <c r="E115" s="153">
        <v>2386.0</v>
      </c>
      <c r="F115" s="154">
        <v>8.3</v>
      </c>
      <c r="G115" s="155">
        <v>19803.800000000003</v>
      </c>
      <c r="H115" s="159">
        <f>SUMIFS('Historical Orders'!$E115, 'Historical Orders'!$D115, "1", 'Historical Orders'!$C115, "A", 'Historical Orders'!$B115, "1")</f>
        <v>0</v>
      </c>
      <c r="I115" s="157">
        <f>SUMIFS('Historical Orders'!$G115, 'Historical Orders'!$D115, "1", 'Historical Orders'!$C115, "A", 'Historical Orders'!$B115, "1")</f>
        <v>0</v>
      </c>
      <c r="J115" s="157">
        <f>SUMIFS('Historical Orders'!$E115, 'Historical Orders'!$D115, "1", 'Historical Orders'!$C115, "B", 'Historical Orders'!$B115, "1")</f>
        <v>0</v>
      </c>
      <c r="K115" s="157">
        <f>SUMIFS('Historical Orders'!$G115, 'Historical Orders'!$D115, "1", 'Historical Orders'!$C115, "B", 'Historical Orders'!$B115, "1")</f>
        <v>0</v>
      </c>
      <c r="L115" s="159">
        <f>SUMIFS('Historical Orders'!$E115, 'Historical Orders'!$D115, "1", 'Historical Orders'!$C115, "A", 'Historical Orders'!$B115, "2")</f>
        <v>0</v>
      </c>
      <c r="M115" s="157">
        <f>SUMIFS('Historical Orders'!$G115, 'Historical Orders'!$D115, "1", 'Historical Orders'!$C115, "A", 'Historical Orders'!$B115, "2")</f>
        <v>0</v>
      </c>
      <c r="N115" s="157">
        <f>SUMIFS('Historical Orders'!$E115, 'Historical Orders'!$D115, "1", 'Historical Orders'!$C115, "B", 'Historical Orders'!$B115, "2")</f>
        <v>0</v>
      </c>
      <c r="O115" s="157">
        <f>SUMIFS('Historical Orders'!$G115, 'Historical Orders'!$D115, "1", 'Historical Orders'!$C115, "B", 'Historical Orders'!$B115, "2")</f>
        <v>0</v>
      </c>
      <c r="P115" s="159">
        <f>SUMIFS('Historical Orders'!$E115, 'Historical Orders'!$D115, "2", 'Historical Orders'!$C115, "A", 'Historical Orders'!$B115, "1")</f>
        <v>0</v>
      </c>
      <c r="Q115" s="157">
        <f>SUMIFS('Historical Orders'!$G115, 'Historical Orders'!$D115, "2", 'Historical Orders'!$C115, "A", 'Historical Orders'!$B115, "1")</f>
        <v>0</v>
      </c>
      <c r="R115" s="159">
        <f>SUMIFS('Historical Orders'!$E115, 'Historical Orders'!$D115, "2", 'Historical Orders'!$C115, "B", 'Historical Orders'!$B115, "1")</f>
        <v>0</v>
      </c>
      <c r="S115" s="157">
        <f>SUMIFS('Historical Orders'!$G115, 'Historical Orders'!$D115, "2", 'Historical Orders'!$C115, "B", 'Historical Orders'!$B115, "1")</f>
        <v>0</v>
      </c>
      <c r="T115" s="159">
        <f>SUMIFS('Historical Orders'!$E115, 'Historical Orders'!$D115, "2", 'Historical Orders'!$C115, "A", 'Historical Orders'!$B115, "2")</f>
        <v>0</v>
      </c>
      <c r="U115" s="157">
        <f>SUMIFS('Historical Orders'!$G115, 'Historical Orders'!$D115, "2", 'Historical Orders'!$C115, "A", 'Historical Orders'!$B115, "2")</f>
        <v>0</v>
      </c>
      <c r="V115" s="159">
        <f>SUMIFS('Historical Orders'!$E115, 'Historical Orders'!$D115, "2", 'Historical Orders'!$C115, "B", 'Historical Orders'!$B115, "2")</f>
        <v>0</v>
      </c>
      <c r="W115" s="159">
        <f>SUMIFS('Historical Orders'!$G115, 'Historical Orders'!$D115, "2", 'Historical Orders'!$C115, "B", 'Historical Orders'!$B115, "2")</f>
        <v>0</v>
      </c>
      <c r="X115" s="159">
        <f>SUMIFS('Historical Orders'!$E115, 'Historical Orders'!$D115, "3", 'Historical Orders'!$C115, "A", 'Historical Orders'!$B115, "1")</f>
        <v>0</v>
      </c>
      <c r="Y115" s="159">
        <f>SUMIFS('Historical Orders'!$G115, 'Historical Orders'!$D115, "3", 'Historical Orders'!$C115, "A", 'Historical Orders'!$B115, "1")</f>
        <v>0</v>
      </c>
      <c r="Z115" s="159">
        <f>SUMIFS('Historical Orders'!$E115, 'Historical Orders'!$D115, "3", 'Historical Orders'!$C115, "B", 'Historical Orders'!$B115, "1")</f>
        <v>0</v>
      </c>
      <c r="AA115" s="159">
        <f>SUMIFS('Historical Orders'!$G115, 'Historical Orders'!$D115, "3", 'Historical Orders'!$C115, "B", 'Historical Orders'!$B115, "1")</f>
        <v>0</v>
      </c>
      <c r="AB115" s="159">
        <f>SUMIFS('Historical Orders'!$E115, 'Historical Orders'!$D115, "3", 'Historical Orders'!$C115, "A", 'Historical Orders'!$B115, "2")</f>
        <v>0</v>
      </c>
      <c r="AC115" s="159">
        <f>SUMIFS('Historical Orders'!$G115, 'Historical Orders'!$D115, "3", 'Historical Orders'!$C115, "A", 'Historical Orders'!$B115, "2")</f>
        <v>0</v>
      </c>
      <c r="AD115" s="159">
        <f>SUMIFS('Historical Orders'!$E115, 'Historical Orders'!$D115, "3", 'Historical Orders'!$C115, "B", 'Historical Orders'!$B115, "2")</f>
        <v>2386</v>
      </c>
      <c r="AE115" s="157">
        <f>SUMIFS('Historical Orders'!$G115, 'Historical Orders'!$D115, "3", 'Historical Orders'!$C115, "B", 'Historical Orders'!$B115, "2")</f>
        <v>19803.8</v>
      </c>
      <c r="AF115" s="157">
        <f>SUMIFS('Historical Orders'!$E115, 'Historical Orders'!$D115, "4", 'Historical Orders'!$C115, "A", 'Historical Orders'!$B115, "1")</f>
        <v>0</v>
      </c>
      <c r="AG115" s="157">
        <f>SUMIFS('Historical Orders'!$G115, 'Historical Orders'!$D115, "4", 'Historical Orders'!$C115, "A", 'Historical Orders'!$B115, "1")</f>
        <v>0</v>
      </c>
      <c r="AH115" s="157">
        <f>SUMIFS('Historical Orders'!$E115, 'Historical Orders'!$D115, "4", 'Historical Orders'!$C115, "B", 'Historical Orders'!$B115, "1")</f>
        <v>0</v>
      </c>
      <c r="AI115" s="157">
        <f>SUMIFS('Historical Orders'!$G115, 'Historical Orders'!$D115, "4", 'Historical Orders'!$C115, "B", 'Historical Orders'!$B115, "1")</f>
        <v>0</v>
      </c>
      <c r="AJ115" s="157">
        <f>SUMIFS('Historical Orders'!$E115, 'Historical Orders'!$D115, "4", 'Historical Orders'!$C115, "A", 'Historical Orders'!$B115, "2")</f>
        <v>0</v>
      </c>
      <c r="AK115" s="157">
        <f>SUMIFS('Historical Orders'!$G115, 'Historical Orders'!$D115, "4", 'Historical Orders'!$C115, "A", 'Historical Orders'!$B115, "2")</f>
        <v>0</v>
      </c>
      <c r="AL115" s="171">
        <f>SUMIFS('Historical Orders'!$E115, 'Historical Orders'!$D115, "4", 'Historical Orders'!$C115, "B", 'Historical Orders'!$B115, "2")</f>
        <v>0</v>
      </c>
      <c r="AM115" s="171">
        <f>SUMIFS('Historical Orders'!$G115, 'Historical Orders'!$D115, "4", 'Historical Orders'!$C115, "B", 'Historical Orders'!$B115, "2")</f>
        <v>0</v>
      </c>
      <c r="AN115" s="171">
        <f>SUMIFS('Historical Orders'!$G115, 'Historical Orders'!$C115, "A", 'Historical Orders'!$B115, "1")</f>
        <v>0</v>
      </c>
      <c r="AO115" s="171">
        <f>SUMIFS('Historical Orders'!$G115, 'Historical Orders'!$C115, "B", 'Historical Orders'!$B115, "1")</f>
        <v>0</v>
      </c>
      <c r="AP115" s="171">
        <f>SUMIFS('Historical Orders'!$G115, 'Historical Orders'!$C115, "A", 'Historical Orders'!$B115, "2")</f>
        <v>0</v>
      </c>
      <c r="AQ115" s="171">
        <f>SUMIFS('Historical Orders'!$G115, 'Historical Orders'!$C115, "B", 'Historical Orders'!$B115, "2")</f>
        <v>19803.8</v>
      </c>
      <c r="AR115" s="145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9"/>
      <c r="BW115" s="179"/>
      <c r="BX115" s="179"/>
      <c r="BY115" s="179"/>
      <c r="BZ115" s="179"/>
      <c r="CA115" s="179"/>
      <c r="CB115" s="179"/>
      <c r="CC115" s="179"/>
      <c r="CD115" s="179"/>
      <c r="CE115" s="179"/>
    </row>
    <row r="116" ht="15.75" customHeight="1">
      <c r="A116" s="151">
        <v>41988.0</v>
      </c>
      <c r="B116" s="152">
        <v>1.0</v>
      </c>
      <c r="C116" s="152" t="s">
        <v>45</v>
      </c>
      <c r="D116" s="152">
        <v>1.0</v>
      </c>
      <c r="E116" s="153">
        <v>4569.0</v>
      </c>
      <c r="F116" s="154">
        <v>2.2</v>
      </c>
      <c r="G116" s="155">
        <v>10051.800000000001</v>
      </c>
      <c r="H116" s="159">
        <f>SUMIFS('Historical Orders'!$E116, 'Historical Orders'!$D116, "1", 'Historical Orders'!$C116, "A", 'Historical Orders'!$B116, "1")</f>
        <v>4569</v>
      </c>
      <c r="I116" s="157">
        <f>SUMIFS('Historical Orders'!$G116, 'Historical Orders'!$D116, "1", 'Historical Orders'!$C116, "A", 'Historical Orders'!$B116, "1")</f>
        <v>10051.8</v>
      </c>
      <c r="J116" s="157">
        <f>SUMIFS('Historical Orders'!$E116, 'Historical Orders'!$D116, "1", 'Historical Orders'!$C116, "B", 'Historical Orders'!$B116, "1")</f>
        <v>0</v>
      </c>
      <c r="K116" s="157">
        <f>SUMIFS('Historical Orders'!$G116, 'Historical Orders'!$D116, "1", 'Historical Orders'!$C116, "B", 'Historical Orders'!$B116, "1")</f>
        <v>0</v>
      </c>
      <c r="L116" s="159">
        <f>SUMIFS('Historical Orders'!$E116, 'Historical Orders'!$D116, "1", 'Historical Orders'!$C116, "A", 'Historical Orders'!$B116, "2")</f>
        <v>0</v>
      </c>
      <c r="M116" s="157">
        <f>SUMIFS('Historical Orders'!$G116, 'Historical Orders'!$D116, "1", 'Historical Orders'!$C116, "A", 'Historical Orders'!$B116, "2")</f>
        <v>0</v>
      </c>
      <c r="N116" s="157">
        <f>SUMIFS('Historical Orders'!$E116, 'Historical Orders'!$D116, "1", 'Historical Orders'!$C116, "B", 'Historical Orders'!$B116, "2")</f>
        <v>0</v>
      </c>
      <c r="O116" s="157">
        <f>SUMIFS('Historical Orders'!$G116, 'Historical Orders'!$D116, "1", 'Historical Orders'!$C116, "B", 'Historical Orders'!$B116, "2")</f>
        <v>0</v>
      </c>
      <c r="P116" s="159">
        <f>SUMIFS('Historical Orders'!$E116, 'Historical Orders'!$D116, "2", 'Historical Orders'!$C116, "A", 'Historical Orders'!$B116, "1")</f>
        <v>0</v>
      </c>
      <c r="Q116" s="157">
        <f>SUMIFS('Historical Orders'!$G116, 'Historical Orders'!$D116, "2", 'Historical Orders'!$C116, "A", 'Historical Orders'!$B116, "1")</f>
        <v>0</v>
      </c>
      <c r="R116" s="159">
        <f>SUMIFS('Historical Orders'!$E116, 'Historical Orders'!$D116, "2", 'Historical Orders'!$C116, "B", 'Historical Orders'!$B116, "1")</f>
        <v>0</v>
      </c>
      <c r="S116" s="157">
        <f>SUMIFS('Historical Orders'!$G116, 'Historical Orders'!$D116, "2", 'Historical Orders'!$C116, "B", 'Historical Orders'!$B116, "1")</f>
        <v>0</v>
      </c>
      <c r="T116" s="159">
        <f>SUMIFS('Historical Orders'!$E116, 'Historical Orders'!$D116, "2", 'Historical Orders'!$C116, "A", 'Historical Orders'!$B116, "2")</f>
        <v>0</v>
      </c>
      <c r="U116" s="157">
        <f>SUMIFS('Historical Orders'!$G116, 'Historical Orders'!$D116, "2", 'Historical Orders'!$C116, "A", 'Historical Orders'!$B116, "2")</f>
        <v>0</v>
      </c>
      <c r="V116" s="159">
        <f>SUMIFS('Historical Orders'!$E116, 'Historical Orders'!$D116, "2", 'Historical Orders'!$C116, "B", 'Historical Orders'!$B116, "2")</f>
        <v>0</v>
      </c>
      <c r="W116" s="159">
        <f>SUMIFS('Historical Orders'!$G116, 'Historical Orders'!$D116, "2", 'Historical Orders'!$C116, "B", 'Historical Orders'!$B116, "2")</f>
        <v>0</v>
      </c>
      <c r="X116" s="159">
        <f>SUMIFS('Historical Orders'!$E116, 'Historical Orders'!$D116, "3", 'Historical Orders'!$C116, "A", 'Historical Orders'!$B116, "1")</f>
        <v>0</v>
      </c>
      <c r="Y116" s="159">
        <f>SUMIFS('Historical Orders'!$G116, 'Historical Orders'!$D116, "3", 'Historical Orders'!$C116, "A", 'Historical Orders'!$B116, "1")</f>
        <v>0</v>
      </c>
      <c r="Z116" s="159">
        <f>SUMIFS('Historical Orders'!$E116, 'Historical Orders'!$D116, "3", 'Historical Orders'!$C116, "B", 'Historical Orders'!$B116, "1")</f>
        <v>0</v>
      </c>
      <c r="AA116" s="159">
        <f>SUMIFS('Historical Orders'!$G116, 'Historical Orders'!$D116, "3", 'Historical Orders'!$C116, "B", 'Historical Orders'!$B116, "1")</f>
        <v>0</v>
      </c>
      <c r="AB116" s="159">
        <f>SUMIFS('Historical Orders'!$E116, 'Historical Orders'!$D116, "3", 'Historical Orders'!$C116, "A", 'Historical Orders'!$B116, "2")</f>
        <v>0</v>
      </c>
      <c r="AC116" s="159">
        <f>SUMIFS('Historical Orders'!$G116, 'Historical Orders'!$D116, "3", 'Historical Orders'!$C116, "A", 'Historical Orders'!$B116, "2")</f>
        <v>0</v>
      </c>
      <c r="AD116" s="159">
        <f>SUMIFS('Historical Orders'!$E116, 'Historical Orders'!$D116, "3", 'Historical Orders'!$C116, "B", 'Historical Orders'!$B116, "2")</f>
        <v>0</v>
      </c>
      <c r="AE116" s="157">
        <f>SUMIFS('Historical Orders'!$G116, 'Historical Orders'!$D116, "3", 'Historical Orders'!$C116, "B", 'Historical Orders'!$B116, "2")</f>
        <v>0</v>
      </c>
      <c r="AF116" s="157">
        <f>SUMIFS('Historical Orders'!$E116, 'Historical Orders'!$D116, "4", 'Historical Orders'!$C116, "A", 'Historical Orders'!$B116, "1")</f>
        <v>0</v>
      </c>
      <c r="AG116" s="157">
        <f>SUMIFS('Historical Orders'!$G116, 'Historical Orders'!$D116, "4", 'Historical Orders'!$C116, "A", 'Historical Orders'!$B116, "1")</f>
        <v>0</v>
      </c>
      <c r="AH116" s="157">
        <f>SUMIFS('Historical Orders'!$E116, 'Historical Orders'!$D116, "4", 'Historical Orders'!$C116, "B", 'Historical Orders'!$B116, "1")</f>
        <v>0</v>
      </c>
      <c r="AI116" s="157">
        <f>SUMIFS('Historical Orders'!$G116, 'Historical Orders'!$D116, "4", 'Historical Orders'!$C116, "B", 'Historical Orders'!$B116, "1")</f>
        <v>0</v>
      </c>
      <c r="AJ116" s="157">
        <f>SUMIFS('Historical Orders'!$E116, 'Historical Orders'!$D116, "4", 'Historical Orders'!$C116, "A", 'Historical Orders'!$B116, "2")</f>
        <v>0</v>
      </c>
      <c r="AK116" s="157">
        <f>SUMIFS('Historical Orders'!$G116, 'Historical Orders'!$D116, "4", 'Historical Orders'!$C116, "A", 'Historical Orders'!$B116, "2")</f>
        <v>0</v>
      </c>
      <c r="AL116" s="171">
        <f>SUMIFS('Historical Orders'!$E116, 'Historical Orders'!$D116, "4", 'Historical Orders'!$C116, "B", 'Historical Orders'!$B116, "2")</f>
        <v>0</v>
      </c>
      <c r="AM116" s="171">
        <f>SUMIFS('Historical Orders'!$G116, 'Historical Orders'!$D116, "4", 'Historical Orders'!$C116, "B", 'Historical Orders'!$B116, "2")</f>
        <v>0</v>
      </c>
      <c r="AN116" s="171">
        <f>SUMIFS('Historical Orders'!$G116, 'Historical Orders'!$C116, "A", 'Historical Orders'!$B116, "1")</f>
        <v>10051.8</v>
      </c>
      <c r="AO116" s="171">
        <f>SUMIFS('Historical Orders'!$G116, 'Historical Orders'!$C116, "B", 'Historical Orders'!$B116, "1")</f>
        <v>0</v>
      </c>
      <c r="AP116" s="171">
        <f>SUMIFS('Historical Orders'!$G116, 'Historical Orders'!$C116, "A", 'Historical Orders'!$B116, "2")</f>
        <v>0</v>
      </c>
      <c r="AQ116" s="171">
        <f>SUMIFS('Historical Orders'!$G116, 'Historical Orders'!$C116, "B", 'Historical Orders'!$B116, "2")</f>
        <v>0</v>
      </c>
      <c r="AR116" s="145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9"/>
      <c r="BW116" s="179"/>
      <c r="BX116" s="179"/>
      <c r="BY116" s="179"/>
      <c r="BZ116" s="179"/>
      <c r="CA116" s="179"/>
      <c r="CB116" s="179"/>
      <c r="CC116" s="179"/>
      <c r="CD116" s="179"/>
      <c r="CE116" s="179"/>
    </row>
    <row r="117" ht="15.75" customHeight="1">
      <c r="A117" s="151">
        <v>41988.0</v>
      </c>
      <c r="B117" s="152">
        <v>1.0</v>
      </c>
      <c r="C117" s="152" t="s">
        <v>45</v>
      </c>
      <c r="D117" s="152">
        <v>2.0</v>
      </c>
      <c r="E117" s="153">
        <v>5874.0</v>
      </c>
      <c r="F117" s="154">
        <v>1.2</v>
      </c>
      <c r="G117" s="155">
        <v>7048.8</v>
      </c>
      <c r="H117" s="159">
        <f>SUMIFS('Historical Orders'!$E117, 'Historical Orders'!$D117, "1", 'Historical Orders'!$C117, "A", 'Historical Orders'!$B117, "1")</f>
        <v>0</v>
      </c>
      <c r="I117" s="157">
        <f>SUMIFS('Historical Orders'!$G117, 'Historical Orders'!$D117, "1", 'Historical Orders'!$C117, "A", 'Historical Orders'!$B117, "1")</f>
        <v>0</v>
      </c>
      <c r="J117" s="157">
        <f>SUMIFS('Historical Orders'!$E117, 'Historical Orders'!$D117, "1", 'Historical Orders'!$C117, "B", 'Historical Orders'!$B117, "1")</f>
        <v>0</v>
      </c>
      <c r="K117" s="157">
        <f>SUMIFS('Historical Orders'!$G117, 'Historical Orders'!$D117, "1", 'Historical Orders'!$C117, "B", 'Historical Orders'!$B117, "1")</f>
        <v>0</v>
      </c>
      <c r="L117" s="159">
        <f>SUMIFS('Historical Orders'!$E117, 'Historical Orders'!$D117, "1", 'Historical Orders'!$C117, "A", 'Historical Orders'!$B117, "2")</f>
        <v>0</v>
      </c>
      <c r="M117" s="157">
        <f>SUMIFS('Historical Orders'!$G117, 'Historical Orders'!$D117, "1", 'Historical Orders'!$C117, "A", 'Historical Orders'!$B117, "2")</f>
        <v>0</v>
      </c>
      <c r="N117" s="157">
        <f>SUMIFS('Historical Orders'!$E117, 'Historical Orders'!$D117, "1", 'Historical Orders'!$C117, "B", 'Historical Orders'!$B117, "2")</f>
        <v>0</v>
      </c>
      <c r="O117" s="157">
        <f>SUMIFS('Historical Orders'!$G117, 'Historical Orders'!$D117, "1", 'Historical Orders'!$C117, "B", 'Historical Orders'!$B117, "2")</f>
        <v>0</v>
      </c>
      <c r="P117" s="159">
        <f>SUMIFS('Historical Orders'!$E117, 'Historical Orders'!$D117, "2", 'Historical Orders'!$C117, "A", 'Historical Orders'!$B117, "1")</f>
        <v>5874</v>
      </c>
      <c r="Q117" s="157">
        <f>SUMIFS('Historical Orders'!$G117, 'Historical Orders'!$D117, "2", 'Historical Orders'!$C117, "A", 'Historical Orders'!$B117, "1")</f>
        <v>7048.8</v>
      </c>
      <c r="R117" s="159">
        <f>SUMIFS('Historical Orders'!$E117, 'Historical Orders'!$D117, "2", 'Historical Orders'!$C117, "B", 'Historical Orders'!$B117, "1")</f>
        <v>0</v>
      </c>
      <c r="S117" s="157">
        <f>SUMIFS('Historical Orders'!$G117, 'Historical Orders'!$D117, "2", 'Historical Orders'!$C117, "B", 'Historical Orders'!$B117, "1")</f>
        <v>0</v>
      </c>
      <c r="T117" s="159">
        <f>SUMIFS('Historical Orders'!$E117, 'Historical Orders'!$D117, "2", 'Historical Orders'!$C117, "A", 'Historical Orders'!$B117, "2")</f>
        <v>0</v>
      </c>
      <c r="U117" s="157">
        <f>SUMIFS('Historical Orders'!$G117, 'Historical Orders'!$D117, "2", 'Historical Orders'!$C117, "A", 'Historical Orders'!$B117, "2")</f>
        <v>0</v>
      </c>
      <c r="V117" s="159">
        <f>SUMIFS('Historical Orders'!$E117, 'Historical Orders'!$D117, "2", 'Historical Orders'!$C117, "B", 'Historical Orders'!$B117, "2")</f>
        <v>0</v>
      </c>
      <c r="W117" s="159">
        <f>SUMIFS('Historical Orders'!$G117, 'Historical Orders'!$D117, "2", 'Historical Orders'!$C117, "B", 'Historical Orders'!$B117, "2")</f>
        <v>0</v>
      </c>
      <c r="X117" s="159">
        <f>SUMIFS('Historical Orders'!$E117, 'Historical Orders'!$D117, "3", 'Historical Orders'!$C117, "A", 'Historical Orders'!$B117, "1")</f>
        <v>0</v>
      </c>
      <c r="Y117" s="159">
        <f>SUMIFS('Historical Orders'!$G117, 'Historical Orders'!$D117, "3", 'Historical Orders'!$C117, "A", 'Historical Orders'!$B117, "1")</f>
        <v>0</v>
      </c>
      <c r="Z117" s="159">
        <f>SUMIFS('Historical Orders'!$E117, 'Historical Orders'!$D117, "3", 'Historical Orders'!$C117, "B", 'Historical Orders'!$B117, "1")</f>
        <v>0</v>
      </c>
      <c r="AA117" s="159">
        <f>SUMIFS('Historical Orders'!$G117, 'Historical Orders'!$D117, "3", 'Historical Orders'!$C117, "B", 'Historical Orders'!$B117, "1")</f>
        <v>0</v>
      </c>
      <c r="AB117" s="159">
        <f>SUMIFS('Historical Orders'!$E117, 'Historical Orders'!$D117, "3", 'Historical Orders'!$C117, "A", 'Historical Orders'!$B117, "2")</f>
        <v>0</v>
      </c>
      <c r="AC117" s="159">
        <f>SUMIFS('Historical Orders'!$G117, 'Historical Orders'!$D117, "3", 'Historical Orders'!$C117, "A", 'Historical Orders'!$B117, "2")</f>
        <v>0</v>
      </c>
      <c r="AD117" s="159">
        <f>SUMIFS('Historical Orders'!$E117, 'Historical Orders'!$D117, "3", 'Historical Orders'!$C117, "B", 'Historical Orders'!$B117, "2")</f>
        <v>0</v>
      </c>
      <c r="AE117" s="157">
        <f>SUMIFS('Historical Orders'!$G117, 'Historical Orders'!$D117, "3", 'Historical Orders'!$C117, "B", 'Historical Orders'!$B117, "2")</f>
        <v>0</v>
      </c>
      <c r="AF117" s="157">
        <f>SUMIFS('Historical Orders'!$E117, 'Historical Orders'!$D117, "4", 'Historical Orders'!$C117, "A", 'Historical Orders'!$B117, "1")</f>
        <v>0</v>
      </c>
      <c r="AG117" s="157">
        <f>SUMIFS('Historical Orders'!$G117, 'Historical Orders'!$D117, "4", 'Historical Orders'!$C117, "A", 'Historical Orders'!$B117, "1")</f>
        <v>0</v>
      </c>
      <c r="AH117" s="157">
        <f>SUMIFS('Historical Orders'!$E117, 'Historical Orders'!$D117, "4", 'Historical Orders'!$C117, "B", 'Historical Orders'!$B117, "1")</f>
        <v>0</v>
      </c>
      <c r="AI117" s="157">
        <f>SUMIFS('Historical Orders'!$G117, 'Historical Orders'!$D117, "4", 'Historical Orders'!$C117, "B", 'Historical Orders'!$B117, "1")</f>
        <v>0</v>
      </c>
      <c r="AJ117" s="157">
        <f>SUMIFS('Historical Orders'!$E117, 'Historical Orders'!$D117, "4", 'Historical Orders'!$C117, "A", 'Historical Orders'!$B117, "2")</f>
        <v>0</v>
      </c>
      <c r="AK117" s="157">
        <f>SUMIFS('Historical Orders'!$G117, 'Historical Orders'!$D117, "4", 'Historical Orders'!$C117, "A", 'Historical Orders'!$B117, "2")</f>
        <v>0</v>
      </c>
      <c r="AL117" s="171">
        <f>SUMIFS('Historical Orders'!$E117, 'Historical Orders'!$D117, "4", 'Historical Orders'!$C117, "B", 'Historical Orders'!$B117, "2")</f>
        <v>0</v>
      </c>
      <c r="AM117" s="171">
        <f>SUMIFS('Historical Orders'!$G117, 'Historical Orders'!$D117, "4", 'Historical Orders'!$C117, "B", 'Historical Orders'!$B117, "2")</f>
        <v>0</v>
      </c>
      <c r="AN117" s="171">
        <f>SUMIFS('Historical Orders'!$G117, 'Historical Orders'!$C117, "A", 'Historical Orders'!$B117, "1")</f>
        <v>7048.8</v>
      </c>
      <c r="AO117" s="171">
        <f>SUMIFS('Historical Orders'!$G117, 'Historical Orders'!$C117, "B", 'Historical Orders'!$B117, "1")</f>
        <v>0</v>
      </c>
      <c r="AP117" s="171">
        <f>SUMIFS('Historical Orders'!$G117, 'Historical Orders'!$C117, "A", 'Historical Orders'!$B117, "2")</f>
        <v>0</v>
      </c>
      <c r="AQ117" s="171">
        <f>SUMIFS('Historical Orders'!$G117, 'Historical Orders'!$C117, "B", 'Historical Orders'!$B117, "2")</f>
        <v>0</v>
      </c>
      <c r="AR117" s="145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9"/>
      <c r="BW117" s="179"/>
      <c r="BX117" s="179"/>
      <c r="BY117" s="179"/>
      <c r="BZ117" s="179"/>
      <c r="CA117" s="179"/>
      <c r="CB117" s="179"/>
      <c r="CC117" s="179"/>
      <c r="CD117" s="179"/>
      <c r="CE117" s="179"/>
    </row>
    <row r="118" ht="15.75" customHeight="1">
      <c r="A118" s="151">
        <v>41988.0</v>
      </c>
      <c r="B118" s="152">
        <v>2.0</v>
      </c>
      <c r="C118" s="152" t="s">
        <v>45</v>
      </c>
      <c r="D118" s="152">
        <v>1.0</v>
      </c>
      <c r="E118" s="153">
        <v>3508.0</v>
      </c>
      <c r="F118" s="154">
        <v>2.2</v>
      </c>
      <c r="G118" s="155">
        <v>7717.6</v>
      </c>
      <c r="H118" s="159">
        <f>SUMIFS('Historical Orders'!$E118, 'Historical Orders'!$D118, "1", 'Historical Orders'!$C118, "A", 'Historical Orders'!$B118, "1")</f>
        <v>0</v>
      </c>
      <c r="I118" s="157">
        <f>SUMIFS('Historical Orders'!$G118, 'Historical Orders'!$D118, "1", 'Historical Orders'!$C118, "A", 'Historical Orders'!$B118, "1")</f>
        <v>0</v>
      </c>
      <c r="J118" s="157">
        <f>SUMIFS('Historical Orders'!$E118, 'Historical Orders'!$D118, "1", 'Historical Orders'!$C118, "B", 'Historical Orders'!$B118, "1")</f>
        <v>0</v>
      </c>
      <c r="K118" s="157">
        <f>SUMIFS('Historical Orders'!$G118, 'Historical Orders'!$D118, "1", 'Historical Orders'!$C118, "B", 'Historical Orders'!$B118, "1")</f>
        <v>0</v>
      </c>
      <c r="L118" s="159">
        <f>SUMIFS('Historical Orders'!$E118, 'Historical Orders'!$D118, "1", 'Historical Orders'!$C118, "A", 'Historical Orders'!$B118, "2")</f>
        <v>3508</v>
      </c>
      <c r="M118" s="157">
        <f>SUMIFS('Historical Orders'!$G118, 'Historical Orders'!$D118, "1", 'Historical Orders'!$C118, "A", 'Historical Orders'!$B118, "2")</f>
        <v>7717.6</v>
      </c>
      <c r="N118" s="157">
        <f>SUMIFS('Historical Orders'!$E118, 'Historical Orders'!$D118, "1", 'Historical Orders'!$C118, "B", 'Historical Orders'!$B118, "2")</f>
        <v>0</v>
      </c>
      <c r="O118" s="157">
        <f>SUMIFS('Historical Orders'!$G118, 'Historical Orders'!$D118, "1", 'Historical Orders'!$C118, "B", 'Historical Orders'!$B118, "2")</f>
        <v>0</v>
      </c>
      <c r="P118" s="159">
        <f>SUMIFS('Historical Orders'!$E118, 'Historical Orders'!$D118, "2", 'Historical Orders'!$C118, "A", 'Historical Orders'!$B118, "1")</f>
        <v>0</v>
      </c>
      <c r="Q118" s="157">
        <f>SUMIFS('Historical Orders'!$G118, 'Historical Orders'!$D118, "2", 'Historical Orders'!$C118, "A", 'Historical Orders'!$B118, "1")</f>
        <v>0</v>
      </c>
      <c r="R118" s="159">
        <f>SUMIFS('Historical Orders'!$E118, 'Historical Orders'!$D118, "2", 'Historical Orders'!$C118, "B", 'Historical Orders'!$B118, "1")</f>
        <v>0</v>
      </c>
      <c r="S118" s="157">
        <f>SUMIFS('Historical Orders'!$G118, 'Historical Orders'!$D118, "2", 'Historical Orders'!$C118, "B", 'Historical Orders'!$B118, "1")</f>
        <v>0</v>
      </c>
      <c r="T118" s="159">
        <f>SUMIFS('Historical Orders'!$E118, 'Historical Orders'!$D118, "2", 'Historical Orders'!$C118, "A", 'Historical Orders'!$B118, "2")</f>
        <v>0</v>
      </c>
      <c r="U118" s="157">
        <f>SUMIFS('Historical Orders'!$G118, 'Historical Orders'!$D118, "2", 'Historical Orders'!$C118, "A", 'Historical Orders'!$B118, "2")</f>
        <v>0</v>
      </c>
      <c r="V118" s="159">
        <f>SUMIFS('Historical Orders'!$E118, 'Historical Orders'!$D118, "2", 'Historical Orders'!$C118, "B", 'Historical Orders'!$B118, "2")</f>
        <v>0</v>
      </c>
      <c r="W118" s="159">
        <f>SUMIFS('Historical Orders'!$G118, 'Historical Orders'!$D118, "2", 'Historical Orders'!$C118, "B", 'Historical Orders'!$B118, "2")</f>
        <v>0</v>
      </c>
      <c r="X118" s="159">
        <f>SUMIFS('Historical Orders'!$E118, 'Historical Orders'!$D118, "3", 'Historical Orders'!$C118, "A", 'Historical Orders'!$B118, "1")</f>
        <v>0</v>
      </c>
      <c r="Y118" s="159">
        <f>SUMIFS('Historical Orders'!$G118, 'Historical Orders'!$D118, "3", 'Historical Orders'!$C118, "A", 'Historical Orders'!$B118, "1")</f>
        <v>0</v>
      </c>
      <c r="Z118" s="159">
        <f>SUMIFS('Historical Orders'!$E118, 'Historical Orders'!$D118, "3", 'Historical Orders'!$C118, "B", 'Historical Orders'!$B118, "1")</f>
        <v>0</v>
      </c>
      <c r="AA118" s="159">
        <f>SUMIFS('Historical Orders'!$G118, 'Historical Orders'!$D118, "3", 'Historical Orders'!$C118, "B", 'Historical Orders'!$B118, "1")</f>
        <v>0</v>
      </c>
      <c r="AB118" s="159">
        <f>SUMIFS('Historical Orders'!$E118, 'Historical Orders'!$D118, "3", 'Historical Orders'!$C118, "A", 'Historical Orders'!$B118, "2")</f>
        <v>0</v>
      </c>
      <c r="AC118" s="159">
        <f>SUMIFS('Historical Orders'!$G118, 'Historical Orders'!$D118, "3", 'Historical Orders'!$C118, "A", 'Historical Orders'!$B118, "2")</f>
        <v>0</v>
      </c>
      <c r="AD118" s="159">
        <f>SUMIFS('Historical Orders'!$E118, 'Historical Orders'!$D118, "3", 'Historical Orders'!$C118, "B", 'Historical Orders'!$B118, "2")</f>
        <v>0</v>
      </c>
      <c r="AE118" s="157">
        <f>SUMIFS('Historical Orders'!$G118, 'Historical Orders'!$D118, "3", 'Historical Orders'!$C118, "B", 'Historical Orders'!$B118, "2")</f>
        <v>0</v>
      </c>
      <c r="AF118" s="157">
        <f>SUMIFS('Historical Orders'!$E118, 'Historical Orders'!$D118, "4", 'Historical Orders'!$C118, "A", 'Historical Orders'!$B118, "1")</f>
        <v>0</v>
      </c>
      <c r="AG118" s="157">
        <f>SUMIFS('Historical Orders'!$G118, 'Historical Orders'!$D118, "4", 'Historical Orders'!$C118, "A", 'Historical Orders'!$B118, "1")</f>
        <v>0</v>
      </c>
      <c r="AH118" s="157">
        <f>SUMIFS('Historical Orders'!$E118, 'Historical Orders'!$D118, "4", 'Historical Orders'!$C118, "B", 'Historical Orders'!$B118, "1")</f>
        <v>0</v>
      </c>
      <c r="AI118" s="157">
        <f>SUMIFS('Historical Orders'!$G118, 'Historical Orders'!$D118, "4", 'Historical Orders'!$C118, "B", 'Historical Orders'!$B118, "1")</f>
        <v>0</v>
      </c>
      <c r="AJ118" s="157">
        <f>SUMIFS('Historical Orders'!$E118, 'Historical Orders'!$D118, "4", 'Historical Orders'!$C118, "A", 'Historical Orders'!$B118, "2")</f>
        <v>0</v>
      </c>
      <c r="AK118" s="157">
        <f>SUMIFS('Historical Orders'!$G118, 'Historical Orders'!$D118, "4", 'Historical Orders'!$C118, "A", 'Historical Orders'!$B118, "2")</f>
        <v>0</v>
      </c>
      <c r="AL118" s="171">
        <f>SUMIFS('Historical Orders'!$E118, 'Historical Orders'!$D118, "4", 'Historical Orders'!$C118, "B", 'Historical Orders'!$B118, "2")</f>
        <v>0</v>
      </c>
      <c r="AM118" s="171">
        <f>SUMIFS('Historical Orders'!$G118, 'Historical Orders'!$D118, "4", 'Historical Orders'!$C118, "B", 'Historical Orders'!$B118, "2")</f>
        <v>0</v>
      </c>
      <c r="AN118" s="171">
        <f>SUMIFS('Historical Orders'!$G118, 'Historical Orders'!$C118, "A", 'Historical Orders'!$B118, "1")</f>
        <v>0</v>
      </c>
      <c r="AO118" s="171">
        <f>SUMIFS('Historical Orders'!$G118, 'Historical Orders'!$C118, "B", 'Historical Orders'!$B118, "1")</f>
        <v>0</v>
      </c>
      <c r="AP118" s="171">
        <f>SUMIFS('Historical Orders'!$G118, 'Historical Orders'!$C118, "A", 'Historical Orders'!$B118, "2")</f>
        <v>7717.6</v>
      </c>
      <c r="AQ118" s="171">
        <f>SUMIFS('Historical Orders'!$G118, 'Historical Orders'!$C118, "B", 'Historical Orders'!$B118, "2")</f>
        <v>0</v>
      </c>
      <c r="AR118" s="145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9"/>
      <c r="BW118" s="179"/>
      <c r="BX118" s="179"/>
      <c r="BY118" s="179"/>
      <c r="BZ118" s="179"/>
      <c r="CA118" s="179"/>
      <c r="CB118" s="179"/>
      <c r="CC118" s="179"/>
      <c r="CD118" s="179"/>
      <c r="CE118" s="179"/>
    </row>
    <row r="119" ht="15.75" customHeight="1">
      <c r="A119" s="151">
        <v>41988.0</v>
      </c>
      <c r="B119" s="152">
        <v>2.0</v>
      </c>
      <c r="C119" s="152" t="s">
        <v>45</v>
      </c>
      <c r="D119" s="152">
        <v>2.0</v>
      </c>
      <c r="E119" s="153">
        <v>5610.0</v>
      </c>
      <c r="F119" s="154">
        <v>1.2</v>
      </c>
      <c r="G119" s="155">
        <v>6732.0</v>
      </c>
      <c r="H119" s="159">
        <f>SUMIFS('Historical Orders'!$E119, 'Historical Orders'!$D119, "1", 'Historical Orders'!$C119, "A", 'Historical Orders'!$B119, "1")</f>
        <v>0</v>
      </c>
      <c r="I119" s="157">
        <f>SUMIFS('Historical Orders'!$G119, 'Historical Orders'!$D119, "1", 'Historical Orders'!$C119, "A", 'Historical Orders'!$B119, "1")</f>
        <v>0</v>
      </c>
      <c r="J119" s="157">
        <f>SUMIFS('Historical Orders'!$E119, 'Historical Orders'!$D119, "1", 'Historical Orders'!$C119, "B", 'Historical Orders'!$B119, "1")</f>
        <v>0</v>
      </c>
      <c r="K119" s="157">
        <f>SUMIFS('Historical Orders'!$G119, 'Historical Orders'!$D119, "1", 'Historical Orders'!$C119, "B", 'Historical Orders'!$B119, "1")</f>
        <v>0</v>
      </c>
      <c r="L119" s="159">
        <f>SUMIFS('Historical Orders'!$E119, 'Historical Orders'!$D119, "1", 'Historical Orders'!$C119, "A", 'Historical Orders'!$B119, "2")</f>
        <v>0</v>
      </c>
      <c r="M119" s="157">
        <f>SUMIFS('Historical Orders'!$G119, 'Historical Orders'!$D119, "1", 'Historical Orders'!$C119, "A", 'Historical Orders'!$B119, "2")</f>
        <v>0</v>
      </c>
      <c r="N119" s="157">
        <f>SUMIFS('Historical Orders'!$E119, 'Historical Orders'!$D119, "1", 'Historical Orders'!$C119, "B", 'Historical Orders'!$B119, "2")</f>
        <v>0</v>
      </c>
      <c r="O119" s="157">
        <f>SUMIFS('Historical Orders'!$G119, 'Historical Orders'!$D119, "1", 'Historical Orders'!$C119, "B", 'Historical Orders'!$B119, "2")</f>
        <v>0</v>
      </c>
      <c r="P119" s="159">
        <f>SUMIFS('Historical Orders'!$E119, 'Historical Orders'!$D119, "2", 'Historical Orders'!$C119, "A", 'Historical Orders'!$B119, "1")</f>
        <v>0</v>
      </c>
      <c r="Q119" s="157">
        <f>SUMIFS('Historical Orders'!$G119, 'Historical Orders'!$D119, "2", 'Historical Orders'!$C119, "A", 'Historical Orders'!$B119, "1")</f>
        <v>0</v>
      </c>
      <c r="R119" s="159">
        <f>SUMIFS('Historical Orders'!$E119, 'Historical Orders'!$D119, "2", 'Historical Orders'!$C119, "B", 'Historical Orders'!$B119, "1")</f>
        <v>0</v>
      </c>
      <c r="S119" s="157">
        <f>SUMIFS('Historical Orders'!$G119, 'Historical Orders'!$D119, "2", 'Historical Orders'!$C119, "B", 'Historical Orders'!$B119, "1")</f>
        <v>0</v>
      </c>
      <c r="T119" s="159">
        <f>SUMIFS('Historical Orders'!$E119, 'Historical Orders'!$D119, "2", 'Historical Orders'!$C119, "A", 'Historical Orders'!$B119, "2")</f>
        <v>5610</v>
      </c>
      <c r="U119" s="157">
        <f>SUMIFS('Historical Orders'!$G119, 'Historical Orders'!$D119, "2", 'Historical Orders'!$C119, "A", 'Historical Orders'!$B119, "2")</f>
        <v>6732</v>
      </c>
      <c r="V119" s="159">
        <f>SUMIFS('Historical Orders'!$E119, 'Historical Orders'!$D119, "2", 'Historical Orders'!$C119, "B", 'Historical Orders'!$B119, "2")</f>
        <v>0</v>
      </c>
      <c r="W119" s="159">
        <f>SUMIFS('Historical Orders'!$G119, 'Historical Orders'!$D119, "2", 'Historical Orders'!$C119, "B", 'Historical Orders'!$B119, "2")</f>
        <v>0</v>
      </c>
      <c r="X119" s="159">
        <f>SUMIFS('Historical Orders'!$E119, 'Historical Orders'!$D119, "3", 'Historical Orders'!$C119, "A", 'Historical Orders'!$B119, "1")</f>
        <v>0</v>
      </c>
      <c r="Y119" s="159">
        <f>SUMIFS('Historical Orders'!$G119, 'Historical Orders'!$D119, "3", 'Historical Orders'!$C119, "A", 'Historical Orders'!$B119, "1")</f>
        <v>0</v>
      </c>
      <c r="Z119" s="159">
        <f>SUMIFS('Historical Orders'!$E119, 'Historical Orders'!$D119, "3", 'Historical Orders'!$C119, "B", 'Historical Orders'!$B119, "1")</f>
        <v>0</v>
      </c>
      <c r="AA119" s="159">
        <f>SUMIFS('Historical Orders'!$G119, 'Historical Orders'!$D119, "3", 'Historical Orders'!$C119, "B", 'Historical Orders'!$B119, "1")</f>
        <v>0</v>
      </c>
      <c r="AB119" s="159">
        <f>SUMIFS('Historical Orders'!$E119, 'Historical Orders'!$D119, "3", 'Historical Orders'!$C119, "A", 'Historical Orders'!$B119, "2")</f>
        <v>0</v>
      </c>
      <c r="AC119" s="159">
        <f>SUMIFS('Historical Orders'!$G119, 'Historical Orders'!$D119, "3", 'Historical Orders'!$C119, "A", 'Historical Orders'!$B119, "2")</f>
        <v>0</v>
      </c>
      <c r="AD119" s="159">
        <f>SUMIFS('Historical Orders'!$E119, 'Historical Orders'!$D119, "3", 'Historical Orders'!$C119, "B", 'Historical Orders'!$B119, "2")</f>
        <v>0</v>
      </c>
      <c r="AE119" s="157">
        <f>SUMIFS('Historical Orders'!$G119, 'Historical Orders'!$D119, "3", 'Historical Orders'!$C119, "B", 'Historical Orders'!$B119, "2")</f>
        <v>0</v>
      </c>
      <c r="AF119" s="157">
        <f>SUMIFS('Historical Orders'!$E119, 'Historical Orders'!$D119, "4", 'Historical Orders'!$C119, "A", 'Historical Orders'!$B119, "1")</f>
        <v>0</v>
      </c>
      <c r="AG119" s="157">
        <f>SUMIFS('Historical Orders'!$G119, 'Historical Orders'!$D119, "4", 'Historical Orders'!$C119, "A", 'Historical Orders'!$B119, "1")</f>
        <v>0</v>
      </c>
      <c r="AH119" s="157">
        <f>SUMIFS('Historical Orders'!$E119, 'Historical Orders'!$D119, "4", 'Historical Orders'!$C119, "B", 'Historical Orders'!$B119, "1")</f>
        <v>0</v>
      </c>
      <c r="AI119" s="157">
        <f>SUMIFS('Historical Orders'!$G119, 'Historical Orders'!$D119, "4", 'Historical Orders'!$C119, "B", 'Historical Orders'!$B119, "1")</f>
        <v>0</v>
      </c>
      <c r="AJ119" s="157">
        <f>SUMIFS('Historical Orders'!$E119, 'Historical Orders'!$D119, "4", 'Historical Orders'!$C119, "A", 'Historical Orders'!$B119, "2")</f>
        <v>0</v>
      </c>
      <c r="AK119" s="157">
        <f>SUMIFS('Historical Orders'!$G119, 'Historical Orders'!$D119, "4", 'Historical Orders'!$C119, "A", 'Historical Orders'!$B119, "2")</f>
        <v>0</v>
      </c>
      <c r="AL119" s="171">
        <f>SUMIFS('Historical Orders'!$E119, 'Historical Orders'!$D119, "4", 'Historical Orders'!$C119, "B", 'Historical Orders'!$B119, "2")</f>
        <v>0</v>
      </c>
      <c r="AM119" s="171">
        <f>SUMIFS('Historical Orders'!$G119, 'Historical Orders'!$D119, "4", 'Historical Orders'!$C119, "B", 'Historical Orders'!$B119, "2")</f>
        <v>0</v>
      </c>
      <c r="AN119" s="171">
        <f>SUMIFS('Historical Orders'!$G119, 'Historical Orders'!$C119, "A", 'Historical Orders'!$B119, "1")</f>
        <v>0</v>
      </c>
      <c r="AO119" s="171">
        <f>SUMIFS('Historical Orders'!$G119, 'Historical Orders'!$C119, "B", 'Historical Orders'!$B119, "1")</f>
        <v>0</v>
      </c>
      <c r="AP119" s="171">
        <f>SUMIFS('Historical Orders'!$G119, 'Historical Orders'!$C119, "A", 'Historical Orders'!$B119, "2")</f>
        <v>6732</v>
      </c>
      <c r="AQ119" s="171">
        <f>SUMIFS('Historical Orders'!$G119, 'Historical Orders'!$C119, "B", 'Historical Orders'!$B119, "2")</f>
        <v>0</v>
      </c>
      <c r="AR119" s="145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9"/>
      <c r="BW119" s="179"/>
      <c r="BX119" s="179"/>
      <c r="BY119" s="179"/>
      <c r="BZ119" s="179"/>
      <c r="CA119" s="179"/>
      <c r="CB119" s="179"/>
      <c r="CC119" s="179"/>
      <c r="CD119" s="179"/>
      <c r="CE119" s="179"/>
    </row>
    <row r="120" ht="15.75" customHeight="1">
      <c r="A120" s="151">
        <v>41988.0</v>
      </c>
      <c r="B120" s="152">
        <v>1.0</v>
      </c>
      <c r="C120" s="152" t="s">
        <v>46</v>
      </c>
      <c r="D120" s="152">
        <v>3.0</v>
      </c>
      <c r="E120" s="153">
        <v>2056.0</v>
      </c>
      <c r="F120" s="154">
        <v>8.3</v>
      </c>
      <c r="G120" s="155">
        <v>17064.800000000003</v>
      </c>
      <c r="H120" s="159">
        <f>SUMIFS('Historical Orders'!$E120, 'Historical Orders'!$D120, "1", 'Historical Orders'!$C120, "A", 'Historical Orders'!$B120, "1")</f>
        <v>0</v>
      </c>
      <c r="I120" s="157">
        <f>SUMIFS('Historical Orders'!$G120, 'Historical Orders'!$D120, "1", 'Historical Orders'!$C120, "A", 'Historical Orders'!$B120, "1")</f>
        <v>0</v>
      </c>
      <c r="J120" s="157">
        <f>SUMIFS('Historical Orders'!$E120, 'Historical Orders'!$D120, "1", 'Historical Orders'!$C120, "B", 'Historical Orders'!$B120, "1")</f>
        <v>0</v>
      </c>
      <c r="K120" s="157">
        <f>SUMIFS('Historical Orders'!$G120, 'Historical Orders'!$D120, "1", 'Historical Orders'!$C120, "B", 'Historical Orders'!$B120, "1")</f>
        <v>0</v>
      </c>
      <c r="L120" s="159">
        <f>SUMIFS('Historical Orders'!$E120, 'Historical Orders'!$D120, "1", 'Historical Orders'!$C120, "A", 'Historical Orders'!$B120, "2")</f>
        <v>0</v>
      </c>
      <c r="M120" s="157">
        <f>SUMIFS('Historical Orders'!$G120, 'Historical Orders'!$D120, "1", 'Historical Orders'!$C120, "A", 'Historical Orders'!$B120, "2")</f>
        <v>0</v>
      </c>
      <c r="N120" s="157">
        <f>SUMIFS('Historical Orders'!$E120, 'Historical Orders'!$D120, "1", 'Historical Orders'!$C120, "B", 'Historical Orders'!$B120, "2")</f>
        <v>0</v>
      </c>
      <c r="O120" s="157">
        <f>SUMIFS('Historical Orders'!$G120, 'Historical Orders'!$D120, "1", 'Historical Orders'!$C120, "B", 'Historical Orders'!$B120, "2")</f>
        <v>0</v>
      </c>
      <c r="P120" s="159">
        <f>SUMIFS('Historical Orders'!$E120, 'Historical Orders'!$D120, "2", 'Historical Orders'!$C120, "A", 'Historical Orders'!$B120, "1")</f>
        <v>0</v>
      </c>
      <c r="Q120" s="157">
        <f>SUMIFS('Historical Orders'!$G120, 'Historical Orders'!$D120, "2", 'Historical Orders'!$C120, "A", 'Historical Orders'!$B120, "1")</f>
        <v>0</v>
      </c>
      <c r="R120" s="159">
        <f>SUMIFS('Historical Orders'!$E120, 'Historical Orders'!$D120, "2", 'Historical Orders'!$C120, "B", 'Historical Orders'!$B120, "1")</f>
        <v>0</v>
      </c>
      <c r="S120" s="157">
        <f>SUMIFS('Historical Orders'!$G120, 'Historical Orders'!$D120, "2", 'Historical Orders'!$C120, "B", 'Historical Orders'!$B120, "1")</f>
        <v>0</v>
      </c>
      <c r="T120" s="159">
        <f>SUMIFS('Historical Orders'!$E120, 'Historical Orders'!$D120, "2", 'Historical Orders'!$C120, "A", 'Historical Orders'!$B120, "2")</f>
        <v>0</v>
      </c>
      <c r="U120" s="157">
        <f>SUMIFS('Historical Orders'!$G120, 'Historical Orders'!$D120, "2", 'Historical Orders'!$C120, "A", 'Historical Orders'!$B120, "2")</f>
        <v>0</v>
      </c>
      <c r="V120" s="159">
        <f>SUMIFS('Historical Orders'!$E120, 'Historical Orders'!$D120, "2", 'Historical Orders'!$C120, "B", 'Historical Orders'!$B120, "2")</f>
        <v>0</v>
      </c>
      <c r="W120" s="159">
        <f>SUMIFS('Historical Orders'!$G120, 'Historical Orders'!$D120, "2", 'Historical Orders'!$C120, "B", 'Historical Orders'!$B120, "2")</f>
        <v>0</v>
      </c>
      <c r="X120" s="159">
        <f>SUMIFS('Historical Orders'!$E120, 'Historical Orders'!$D120, "3", 'Historical Orders'!$C120, "A", 'Historical Orders'!$B120, "1")</f>
        <v>0</v>
      </c>
      <c r="Y120" s="159">
        <f>SUMIFS('Historical Orders'!$G120, 'Historical Orders'!$D120, "3", 'Historical Orders'!$C120, "A", 'Historical Orders'!$B120, "1")</f>
        <v>0</v>
      </c>
      <c r="Z120" s="159">
        <f>SUMIFS('Historical Orders'!$E120, 'Historical Orders'!$D120, "3", 'Historical Orders'!$C120, "B", 'Historical Orders'!$B120, "1")</f>
        <v>2056</v>
      </c>
      <c r="AA120" s="159">
        <f>SUMIFS('Historical Orders'!$G120, 'Historical Orders'!$D120, "3", 'Historical Orders'!$C120, "B", 'Historical Orders'!$B120, "1")</f>
        <v>17064.8</v>
      </c>
      <c r="AB120" s="159">
        <f>SUMIFS('Historical Orders'!$E120, 'Historical Orders'!$D120, "3", 'Historical Orders'!$C120, "A", 'Historical Orders'!$B120, "2")</f>
        <v>0</v>
      </c>
      <c r="AC120" s="159">
        <f>SUMIFS('Historical Orders'!$G120, 'Historical Orders'!$D120, "3", 'Historical Orders'!$C120, "A", 'Historical Orders'!$B120, "2")</f>
        <v>0</v>
      </c>
      <c r="AD120" s="159">
        <f>SUMIFS('Historical Orders'!$E120, 'Historical Orders'!$D120, "3", 'Historical Orders'!$C120, "B", 'Historical Orders'!$B120, "2")</f>
        <v>0</v>
      </c>
      <c r="AE120" s="157">
        <f>SUMIFS('Historical Orders'!$G120, 'Historical Orders'!$D120, "3", 'Historical Orders'!$C120, "B", 'Historical Orders'!$B120, "2")</f>
        <v>0</v>
      </c>
      <c r="AF120" s="157">
        <f>SUMIFS('Historical Orders'!$E120, 'Historical Orders'!$D120, "4", 'Historical Orders'!$C120, "A", 'Historical Orders'!$B120, "1")</f>
        <v>0</v>
      </c>
      <c r="AG120" s="157">
        <f>SUMIFS('Historical Orders'!$G120, 'Historical Orders'!$D120, "4", 'Historical Orders'!$C120, "A", 'Historical Orders'!$B120, "1")</f>
        <v>0</v>
      </c>
      <c r="AH120" s="157">
        <f>SUMIFS('Historical Orders'!$E120, 'Historical Orders'!$D120, "4", 'Historical Orders'!$C120, "B", 'Historical Orders'!$B120, "1")</f>
        <v>0</v>
      </c>
      <c r="AI120" s="157">
        <f>SUMIFS('Historical Orders'!$G120, 'Historical Orders'!$D120, "4", 'Historical Orders'!$C120, "B", 'Historical Orders'!$B120, "1")</f>
        <v>0</v>
      </c>
      <c r="AJ120" s="157">
        <f>SUMIFS('Historical Orders'!$E120, 'Historical Orders'!$D120, "4", 'Historical Orders'!$C120, "A", 'Historical Orders'!$B120, "2")</f>
        <v>0</v>
      </c>
      <c r="AK120" s="157">
        <f>SUMIFS('Historical Orders'!$G120, 'Historical Orders'!$D120, "4", 'Historical Orders'!$C120, "A", 'Historical Orders'!$B120, "2")</f>
        <v>0</v>
      </c>
      <c r="AL120" s="171">
        <f>SUMIFS('Historical Orders'!$E120, 'Historical Orders'!$D120, "4", 'Historical Orders'!$C120, "B", 'Historical Orders'!$B120, "2")</f>
        <v>0</v>
      </c>
      <c r="AM120" s="171">
        <f>SUMIFS('Historical Orders'!$G120, 'Historical Orders'!$D120, "4", 'Historical Orders'!$C120, "B", 'Historical Orders'!$B120, "2")</f>
        <v>0</v>
      </c>
      <c r="AN120" s="171">
        <f>SUMIFS('Historical Orders'!$G120, 'Historical Orders'!$C120, "A", 'Historical Orders'!$B120, "1")</f>
        <v>0</v>
      </c>
      <c r="AO120" s="171">
        <f>SUMIFS('Historical Orders'!$G120, 'Historical Orders'!$C120, "B", 'Historical Orders'!$B120, "1")</f>
        <v>17064.8</v>
      </c>
      <c r="AP120" s="171">
        <f>SUMIFS('Historical Orders'!$G120, 'Historical Orders'!$C120, "A", 'Historical Orders'!$B120, "2")</f>
        <v>0</v>
      </c>
      <c r="AQ120" s="171">
        <f>SUMIFS('Historical Orders'!$G120, 'Historical Orders'!$C120, "B", 'Historical Orders'!$B120, "2")</f>
        <v>0</v>
      </c>
      <c r="AR120" s="145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9"/>
      <c r="BW120" s="179"/>
      <c r="BX120" s="179"/>
      <c r="BY120" s="179"/>
      <c r="BZ120" s="179"/>
      <c r="CA120" s="179"/>
      <c r="CB120" s="179"/>
      <c r="CC120" s="179"/>
      <c r="CD120" s="179"/>
      <c r="CE120" s="179"/>
    </row>
    <row r="121" ht="15.75" customHeight="1">
      <c r="A121" s="151">
        <v>41988.0</v>
      </c>
      <c r="B121" s="152">
        <v>2.0</v>
      </c>
      <c r="C121" s="152" t="s">
        <v>46</v>
      </c>
      <c r="D121" s="152">
        <v>3.0</v>
      </c>
      <c r="E121" s="153">
        <v>2191.0</v>
      </c>
      <c r="F121" s="154">
        <v>8.3</v>
      </c>
      <c r="G121" s="155">
        <v>18185.300000000003</v>
      </c>
      <c r="H121" s="159">
        <f>SUMIFS('Historical Orders'!$E121, 'Historical Orders'!$D121, "1", 'Historical Orders'!$C121, "A", 'Historical Orders'!$B121, "1")</f>
        <v>0</v>
      </c>
      <c r="I121" s="157">
        <f>SUMIFS('Historical Orders'!$G121, 'Historical Orders'!$D121, "1", 'Historical Orders'!$C121, "A", 'Historical Orders'!$B121, "1")</f>
        <v>0</v>
      </c>
      <c r="J121" s="157">
        <f>SUMIFS('Historical Orders'!$E121, 'Historical Orders'!$D121, "1", 'Historical Orders'!$C121, "B", 'Historical Orders'!$B121, "1")</f>
        <v>0</v>
      </c>
      <c r="K121" s="157">
        <f>SUMIFS('Historical Orders'!$G121, 'Historical Orders'!$D121, "1", 'Historical Orders'!$C121, "B", 'Historical Orders'!$B121, "1")</f>
        <v>0</v>
      </c>
      <c r="L121" s="159">
        <f>SUMIFS('Historical Orders'!$E121, 'Historical Orders'!$D121, "1", 'Historical Orders'!$C121, "A", 'Historical Orders'!$B121, "2")</f>
        <v>0</v>
      </c>
      <c r="M121" s="157">
        <f>SUMIFS('Historical Orders'!$G121, 'Historical Orders'!$D121, "1", 'Historical Orders'!$C121, "A", 'Historical Orders'!$B121, "2")</f>
        <v>0</v>
      </c>
      <c r="N121" s="157">
        <f>SUMIFS('Historical Orders'!$E121, 'Historical Orders'!$D121, "1", 'Historical Orders'!$C121, "B", 'Historical Orders'!$B121, "2")</f>
        <v>0</v>
      </c>
      <c r="O121" s="157">
        <f>SUMIFS('Historical Orders'!$G121, 'Historical Orders'!$D121, "1", 'Historical Orders'!$C121, "B", 'Historical Orders'!$B121, "2")</f>
        <v>0</v>
      </c>
      <c r="P121" s="159">
        <f>SUMIFS('Historical Orders'!$E121, 'Historical Orders'!$D121, "2", 'Historical Orders'!$C121, "A", 'Historical Orders'!$B121, "1")</f>
        <v>0</v>
      </c>
      <c r="Q121" s="157">
        <f>SUMIFS('Historical Orders'!$G121, 'Historical Orders'!$D121, "2", 'Historical Orders'!$C121, "A", 'Historical Orders'!$B121, "1")</f>
        <v>0</v>
      </c>
      <c r="R121" s="159">
        <f>SUMIFS('Historical Orders'!$E121, 'Historical Orders'!$D121, "2", 'Historical Orders'!$C121, "B", 'Historical Orders'!$B121, "1")</f>
        <v>0</v>
      </c>
      <c r="S121" s="157">
        <f>SUMIFS('Historical Orders'!$G121, 'Historical Orders'!$D121, "2", 'Historical Orders'!$C121, "B", 'Historical Orders'!$B121, "1")</f>
        <v>0</v>
      </c>
      <c r="T121" s="159">
        <f>SUMIFS('Historical Orders'!$E121, 'Historical Orders'!$D121, "2", 'Historical Orders'!$C121, "A", 'Historical Orders'!$B121, "2")</f>
        <v>0</v>
      </c>
      <c r="U121" s="157">
        <f>SUMIFS('Historical Orders'!$G121, 'Historical Orders'!$D121, "2", 'Historical Orders'!$C121, "A", 'Historical Orders'!$B121, "2")</f>
        <v>0</v>
      </c>
      <c r="V121" s="159">
        <f>SUMIFS('Historical Orders'!$E121, 'Historical Orders'!$D121, "2", 'Historical Orders'!$C121, "B", 'Historical Orders'!$B121, "2")</f>
        <v>0</v>
      </c>
      <c r="W121" s="159">
        <f>SUMIFS('Historical Orders'!$G121, 'Historical Orders'!$D121, "2", 'Historical Orders'!$C121, "B", 'Historical Orders'!$B121, "2")</f>
        <v>0</v>
      </c>
      <c r="X121" s="159">
        <f>SUMIFS('Historical Orders'!$E121, 'Historical Orders'!$D121, "3", 'Historical Orders'!$C121, "A", 'Historical Orders'!$B121, "1")</f>
        <v>0</v>
      </c>
      <c r="Y121" s="159">
        <f>SUMIFS('Historical Orders'!$G121, 'Historical Orders'!$D121, "3", 'Historical Orders'!$C121, "A", 'Historical Orders'!$B121, "1")</f>
        <v>0</v>
      </c>
      <c r="Z121" s="159">
        <f>SUMIFS('Historical Orders'!$E121, 'Historical Orders'!$D121, "3", 'Historical Orders'!$C121, "B", 'Historical Orders'!$B121, "1")</f>
        <v>0</v>
      </c>
      <c r="AA121" s="159">
        <f>SUMIFS('Historical Orders'!$G121, 'Historical Orders'!$D121, "3", 'Historical Orders'!$C121, "B", 'Historical Orders'!$B121, "1")</f>
        <v>0</v>
      </c>
      <c r="AB121" s="159">
        <f>SUMIFS('Historical Orders'!$E121, 'Historical Orders'!$D121, "3", 'Historical Orders'!$C121, "A", 'Historical Orders'!$B121, "2")</f>
        <v>0</v>
      </c>
      <c r="AC121" s="159">
        <f>SUMIFS('Historical Orders'!$G121, 'Historical Orders'!$D121, "3", 'Historical Orders'!$C121, "A", 'Historical Orders'!$B121, "2")</f>
        <v>0</v>
      </c>
      <c r="AD121" s="159">
        <f>SUMIFS('Historical Orders'!$E121, 'Historical Orders'!$D121, "3", 'Historical Orders'!$C121, "B", 'Historical Orders'!$B121, "2")</f>
        <v>2191</v>
      </c>
      <c r="AE121" s="157">
        <f>SUMIFS('Historical Orders'!$G121, 'Historical Orders'!$D121, "3", 'Historical Orders'!$C121, "B", 'Historical Orders'!$B121, "2")</f>
        <v>18185.3</v>
      </c>
      <c r="AF121" s="157">
        <f>SUMIFS('Historical Orders'!$E121, 'Historical Orders'!$D121, "4", 'Historical Orders'!$C121, "A", 'Historical Orders'!$B121, "1")</f>
        <v>0</v>
      </c>
      <c r="AG121" s="157">
        <f>SUMIFS('Historical Orders'!$G121, 'Historical Orders'!$D121, "4", 'Historical Orders'!$C121, "A", 'Historical Orders'!$B121, "1")</f>
        <v>0</v>
      </c>
      <c r="AH121" s="157">
        <f>SUMIFS('Historical Orders'!$E121, 'Historical Orders'!$D121, "4", 'Historical Orders'!$C121, "B", 'Historical Orders'!$B121, "1")</f>
        <v>0</v>
      </c>
      <c r="AI121" s="157">
        <f>SUMIFS('Historical Orders'!$G121, 'Historical Orders'!$D121, "4", 'Historical Orders'!$C121, "B", 'Historical Orders'!$B121, "1")</f>
        <v>0</v>
      </c>
      <c r="AJ121" s="157">
        <f>SUMIFS('Historical Orders'!$E121, 'Historical Orders'!$D121, "4", 'Historical Orders'!$C121, "A", 'Historical Orders'!$B121, "2")</f>
        <v>0</v>
      </c>
      <c r="AK121" s="157">
        <f>SUMIFS('Historical Orders'!$G121, 'Historical Orders'!$D121, "4", 'Historical Orders'!$C121, "A", 'Historical Orders'!$B121, "2")</f>
        <v>0</v>
      </c>
      <c r="AL121" s="171">
        <f>SUMIFS('Historical Orders'!$E121, 'Historical Orders'!$D121, "4", 'Historical Orders'!$C121, "B", 'Historical Orders'!$B121, "2")</f>
        <v>0</v>
      </c>
      <c r="AM121" s="171">
        <f>SUMIFS('Historical Orders'!$G121, 'Historical Orders'!$D121, "4", 'Historical Orders'!$C121, "B", 'Historical Orders'!$B121, "2")</f>
        <v>0</v>
      </c>
      <c r="AN121" s="171">
        <f>SUMIFS('Historical Orders'!$G121, 'Historical Orders'!$C121, "A", 'Historical Orders'!$B121, "1")</f>
        <v>0</v>
      </c>
      <c r="AO121" s="171">
        <f>SUMIFS('Historical Orders'!$G121, 'Historical Orders'!$C121, "B", 'Historical Orders'!$B121, "1")</f>
        <v>0</v>
      </c>
      <c r="AP121" s="171">
        <f>SUMIFS('Historical Orders'!$G121, 'Historical Orders'!$C121, "A", 'Historical Orders'!$B121, "2")</f>
        <v>0</v>
      </c>
      <c r="AQ121" s="171">
        <f>SUMIFS('Historical Orders'!$G121, 'Historical Orders'!$C121, "B", 'Historical Orders'!$B121, "2")</f>
        <v>18185.3</v>
      </c>
      <c r="AR121" s="145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9"/>
      <c r="BW121" s="179"/>
      <c r="BX121" s="179"/>
      <c r="BY121" s="179"/>
      <c r="BZ121" s="179"/>
      <c r="CA121" s="179"/>
      <c r="CB121" s="179"/>
      <c r="CC121" s="179"/>
      <c r="CD121" s="179"/>
      <c r="CE121" s="179"/>
    </row>
    <row r="122" ht="15.75" customHeight="1">
      <c r="A122" s="151">
        <v>41995.0</v>
      </c>
      <c r="B122" s="152">
        <v>1.0</v>
      </c>
      <c r="C122" s="152" t="s">
        <v>45</v>
      </c>
      <c r="D122" s="152">
        <v>1.0</v>
      </c>
      <c r="E122" s="153">
        <v>4301.0</v>
      </c>
      <c r="F122" s="154">
        <v>2.2</v>
      </c>
      <c r="G122" s="155">
        <v>9462.2</v>
      </c>
      <c r="H122" s="159">
        <f>SUMIFS('Historical Orders'!$E122, 'Historical Orders'!$D122, "1", 'Historical Orders'!$C122, "A", 'Historical Orders'!$B122, "1")</f>
        <v>4301</v>
      </c>
      <c r="I122" s="157">
        <f>SUMIFS('Historical Orders'!$G122, 'Historical Orders'!$D122, "1", 'Historical Orders'!$C122, "A", 'Historical Orders'!$B122, "1")</f>
        <v>9462.2</v>
      </c>
      <c r="J122" s="157">
        <f>SUMIFS('Historical Orders'!$E122, 'Historical Orders'!$D122, "1", 'Historical Orders'!$C122, "B", 'Historical Orders'!$B122, "1")</f>
        <v>0</v>
      </c>
      <c r="K122" s="157">
        <f>SUMIFS('Historical Orders'!$G122, 'Historical Orders'!$D122, "1", 'Historical Orders'!$C122, "B", 'Historical Orders'!$B122, "1")</f>
        <v>0</v>
      </c>
      <c r="L122" s="159">
        <f>SUMIFS('Historical Orders'!$E122, 'Historical Orders'!$D122, "1", 'Historical Orders'!$C122, "A", 'Historical Orders'!$B122, "2")</f>
        <v>0</v>
      </c>
      <c r="M122" s="157">
        <f>SUMIFS('Historical Orders'!$G122, 'Historical Orders'!$D122, "1", 'Historical Orders'!$C122, "A", 'Historical Orders'!$B122, "2")</f>
        <v>0</v>
      </c>
      <c r="N122" s="157">
        <f>SUMIFS('Historical Orders'!$E122, 'Historical Orders'!$D122, "1", 'Historical Orders'!$C122, "B", 'Historical Orders'!$B122, "2")</f>
        <v>0</v>
      </c>
      <c r="O122" s="157">
        <f>SUMIFS('Historical Orders'!$G122, 'Historical Orders'!$D122, "1", 'Historical Orders'!$C122, "B", 'Historical Orders'!$B122, "2")</f>
        <v>0</v>
      </c>
      <c r="P122" s="159">
        <f>SUMIFS('Historical Orders'!$E122, 'Historical Orders'!$D122, "2", 'Historical Orders'!$C122, "A", 'Historical Orders'!$B122, "1")</f>
        <v>0</v>
      </c>
      <c r="Q122" s="157">
        <f>SUMIFS('Historical Orders'!$G122, 'Historical Orders'!$D122, "2", 'Historical Orders'!$C122, "A", 'Historical Orders'!$B122, "1")</f>
        <v>0</v>
      </c>
      <c r="R122" s="159">
        <f>SUMIFS('Historical Orders'!$E122, 'Historical Orders'!$D122, "2", 'Historical Orders'!$C122, "B", 'Historical Orders'!$B122, "1")</f>
        <v>0</v>
      </c>
      <c r="S122" s="157">
        <f>SUMIFS('Historical Orders'!$G122, 'Historical Orders'!$D122, "2", 'Historical Orders'!$C122, "B", 'Historical Orders'!$B122, "1")</f>
        <v>0</v>
      </c>
      <c r="T122" s="159">
        <f>SUMIFS('Historical Orders'!$E122, 'Historical Orders'!$D122, "2", 'Historical Orders'!$C122, "A", 'Historical Orders'!$B122, "2")</f>
        <v>0</v>
      </c>
      <c r="U122" s="157">
        <f>SUMIFS('Historical Orders'!$G122, 'Historical Orders'!$D122, "2", 'Historical Orders'!$C122, "A", 'Historical Orders'!$B122, "2")</f>
        <v>0</v>
      </c>
      <c r="V122" s="159">
        <f>SUMIFS('Historical Orders'!$E122, 'Historical Orders'!$D122, "2", 'Historical Orders'!$C122, "B", 'Historical Orders'!$B122, "2")</f>
        <v>0</v>
      </c>
      <c r="W122" s="159">
        <f>SUMIFS('Historical Orders'!$G122, 'Historical Orders'!$D122, "2", 'Historical Orders'!$C122, "B", 'Historical Orders'!$B122, "2")</f>
        <v>0</v>
      </c>
      <c r="X122" s="159">
        <f>SUMIFS('Historical Orders'!$E122, 'Historical Orders'!$D122, "3", 'Historical Orders'!$C122, "A", 'Historical Orders'!$B122, "1")</f>
        <v>0</v>
      </c>
      <c r="Y122" s="159">
        <f>SUMIFS('Historical Orders'!$G122, 'Historical Orders'!$D122, "3", 'Historical Orders'!$C122, "A", 'Historical Orders'!$B122, "1")</f>
        <v>0</v>
      </c>
      <c r="Z122" s="159">
        <f>SUMIFS('Historical Orders'!$E122, 'Historical Orders'!$D122, "3", 'Historical Orders'!$C122, "B", 'Historical Orders'!$B122, "1")</f>
        <v>0</v>
      </c>
      <c r="AA122" s="159">
        <f>SUMIFS('Historical Orders'!$G122, 'Historical Orders'!$D122, "3", 'Historical Orders'!$C122, "B", 'Historical Orders'!$B122, "1")</f>
        <v>0</v>
      </c>
      <c r="AB122" s="159">
        <f>SUMIFS('Historical Orders'!$E122, 'Historical Orders'!$D122, "3", 'Historical Orders'!$C122, "A", 'Historical Orders'!$B122, "2")</f>
        <v>0</v>
      </c>
      <c r="AC122" s="159">
        <f>SUMIFS('Historical Orders'!$G122, 'Historical Orders'!$D122, "3", 'Historical Orders'!$C122, "A", 'Historical Orders'!$B122, "2")</f>
        <v>0</v>
      </c>
      <c r="AD122" s="159">
        <f>SUMIFS('Historical Orders'!$E122, 'Historical Orders'!$D122, "3", 'Historical Orders'!$C122, "B", 'Historical Orders'!$B122, "2")</f>
        <v>0</v>
      </c>
      <c r="AE122" s="157">
        <f>SUMIFS('Historical Orders'!$G122, 'Historical Orders'!$D122, "3", 'Historical Orders'!$C122, "B", 'Historical Orders'!$B122, "2")</f>
        <v>0</v>
      </c>
      <c r="AF122" s="157">
        <f>SUMIFS('Historical Orders'!$E122, 'Historical Orders'!$D122, "4", 'Historical Orders'!$C122, "A", 'Historical Orders'!$B122, "1")</f>
        <v>0</v>
      </c>
      <c r="AG122" s="157">
        <f>SUMIFS('Historical Orders'!$G122, 'Historical Orders'!$D122, "4", 'Historical Orders'!$C122, "A", 'Historical Orders'!$B122, "1")</f>
        <v>0</v>
      </c>
      <c r="AH122" s="157">
        <f>SUMIFS('Historical Orders'!$E122, 'Historical Orders'!$D122, "4", 'Historical Orders'!$C122, "B", 'Historical Orders'!$B122, "1")</f>
        <v>0</v>
      </c>
      <c r="AI122" s="157">
        <f>SUMIFS('Historical Orders'!$G122, 'Historical Orders'!$D122, "4", 'Historical Orders'!$C122, "B", 'Historical Orders'!$B122, "1")</f>
        <v>0</v>
      </c>
      <c r="AJ122" s="157">
        <f>SUMIFS('Historical Orders'!$E122, 'Historical Orders'!$D122, "4", 'Historical Orders'!$C122, "A", 'Historical Orders'!$B122, "2")</f>
        <v>0</v>
      </c>
      <c r="AK122" s="157">
        <f>SUMIFS('Historical Orders'!$G122, 'Historical Orders'!$D122, "4", 'Historical Orders'!$C122, "A", 'Historical Orders'!$B122, "2")</f>
        <v>0</v>
      </c>
      <c r="AL122" s="171">
        <f>SUMIFS('Historical Orders'!$E122, 'Historical Orders'!$D122, "4", 'Historical Orders'!$C122, "B", 'Historical Orders'!$B122, "2")</f>
        <v>0</v>
      </c>
      <c r="AM122" s="171">
        <f>SUMIFS('Historical Orders'!$G122, 'Historical Orders'!$D122, "4", 'Historical Orders'!$C122, "B", 'Historical Orders'!$B122, "2")</f>
        <v>0</v>
      </c>
      <c r="AN122" s="171">
        <f>SUMIFS('Historical Orders'!$G122, 'Historical Orders'!$C122, "A", 'Historical Orders'!$B122, "1")</f>
        <v>9462.2</v>
      </c>
      <c r="AO122" s="171">
        <f>SUMIFS('Historical Orders'!$G122, 'Historical Orders'!$C122, "B", 'Historical Orders'!$B122, "1")</f>
        <v>0</v>
      </c>
      <c r="AP122" s="171">
        <f>SUMIFS('Historical Orders'!$G122, 'Historical Orders'!$C122, "A", 'Historical Orders'!$B122, "2")</f>
        <v>0</v>
      </c>
      <c r="AQ122" s="171">
        <f>SUMIFS('Historical Orders'!$G122, 'Historical Orders'!$C122, "B", 'Historical Orders'!$B122, "2")</f>
        <v>0</v>
      </c>
      <c r="AR122" s="145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9"/>
      <c r="BW122" s="179"/>
      <c r="BX122" s="179"/>
      <c r="BY122" s="179"/>
      <c r="BZ122" s="179"/>
      <c r="CA122" s="179"/>
      <c r="CB122" s="179"/>
      <c r="CC122" s="179"/>
      <c r="CD122" s="179"/>
      <c r="CE122" s="179"/>
    </row>
    <row r="123" ht="15.75" customHeight="1">
      <c r="A123" s="151">
        <v>41995.0</v>
      </c>
      <c r="B123" s="152">
        <v>1.0</v>
      </c>
      <c r="C123" s="152" t="s">
        <v>45</v>
      </c>
      <c r="D123" s="152">
        <v>2.0</v>
      </c>
      <c r="E123" s="153">
        <v>5962.0</v>
      </c>
      <c r="F123" s="154">
        <v>1.2</v>
      </c>
      <c r="G123" s="155">
        <v>7154.4</v>
      </c>
      <c r="H123" s="159">
        <f>SUMIFS('Historical Orders'!$E123, 'Historical Orders'!$D123, "1", 'Historical Orders'!$C123, "A", 'Historical Orders'!$B123, "1")</f>
        <v>0</v>
      </c>
      <c r="I123" s="157">
        <f>SUMIFS('Historical Orders'!$G123, 'Historical Orders'!$D123, "1", 'Historical Orders'!$C123, "A", 'Historical Orders'!$B123, "1")</f>
        <v>0</v>
      </c>
      <c r="J123" s="157">
        <f>SUMIFS('Historical Orders'!$E123, 'Historical Orders'!$D123, "1", 'Historical Orders'!$C123, "B", 'Historical Orders'!$B123, "1")</f>
        <v>0</v>
      </c>
      <c r="K123" s="157">
        <f>SUMIFS('Historical Orders'!$G123, 'Historical Orders'!$D123, "1", 'Historical Orders'!$C123, "B", 'Historical Orders'!$B123, "1")</f>
        <v>0</v>
      </c>
      <c r="L123" s="159">
        <f>SUMIFS('Historical Orders'!$E123, 'Historical Orders'!$D123, "1", 'Historical Orders'!$C123, "A", 'Historical Orders'!$B123, "2")</f>
        <v>0</v>
      </c>
      <c r="M123" s="157">
        <f>SUMIFS('Historical Orders'!$G123, 'Historical Orders'!$D123, "1", 'Historical Orders'!$C123, "A", 'Historical Orders'!$B123, "2")</f>
        <v>0</v>
      </c>
      <c r="N123" s="157">
        <f>SUMIFS('Historical Orders'!$E123, 'Historical Orders'!$D123, "1", 'Historical Orders'!$C123, "B", 'Historical Orders'!$B123, "2")</f>
        <v>0</v>
      </c>
      <c r="O123" s="157">
        <f>SUMIFS('Historical Orders'!$G123, 'Historical Orders'!$D123, "1", 'Historical Orders'!$C123, "B", 'Historical Orders'!$B123, "2")</f>
        <v>0</v>
      </c>
      <c r="P123" s="159">
        <f>SUMIFS('Historical Orders'!$E123, 'Historical Orders'!$D123, "2", 'Historical Orders'!$C123, "A", 'Historical Orders'!$B123, "1")</f>
        <v>5962</v>
      </c>
      <c r="Q123" s="157">
        <f>SUMIFS('Historical Orders'!$G123, 'Historical Orders'!$D123, "2", 'Historical Orders'!$C123, "A", 'Historical Orders'!$B123, "1")</f>
        <v>7154.4</v>
      </c>
      <c r="R123" s="159">
        <f>SUMIFS('Historical Orders'!$E123, 'Historical Orders'!$D123, "2", 'Historical Orders'!$C123, "B", 'Historical Orders'!$B123, "1")</f>
        <v>0</v>
      </c>
      <c r="S123" s="157">
        <f>SUMIFS('Historical Orders'!$G123, 'Historical Orders'!$D123, "2", 'Historical Orders'!$C123, "B", 'Historical Orders'!$B123, "1")</f>
        <v>0</v>
      </c>
      <c r="T123" s="159">
        <f>SUMIFS('Historical Orders'!$E123, 'Historical Orders'!$D123, "2", 'Historical Orders'!$C123, "A", 'Historical Orders'!$B123, "2")</f>
        <v>0</v>
      </c>
      <c r="U123" s="157">
        <f>SUMIFS('Historical Orders'!$G123, 'Historical Orders'!$D123, "2", 'Historical Orders'!$C123, "A", 'Historical Orders'!$B123, "2")</f>
        <v>0</v>
      </c>
      <c r="V123" s="159">
        <f>SUMIFS('Historical Orders'!$E123, 'Historical Orders'!$D123, "2", 'Historical Orders'!$C123, "B", 'Historical Orders'!$B123, "2")</f>
        <v>0</v>
      </c>
      <c r="W123" s="159">
        <f>SUMIFS('Historical Orders'!$G123, 'Historical Orders'!$D123, "2", 'Historical Orders'!$C123, "B", 'Historical Orders'!$B123, "2")</f>
        <v>0</v>
      </c>
      <c r="X123" s="159">
        <f>SUMIFS('Historical Orders'!$E123, 'Historical Orders'!$D123, "3", 'Historical Orders'!$C123, "A", 'Historical Orders'!$B123, "1")</f>
        <v>0</v>
      </c>
      <c r="Y123" s="159">
        <f>SUMIFS('Historical Orders'!$G123, 'Historical Orders'!$D123, "3", 'Historical Orders'!$C123, "A", 'Historical Orders'!$B123, "1")</f>
        <v>0</v>
      </c>
      <c r="Z123" s="159">
        <f>SUMIFS('Historical Orders'!$E123, 'Historical Orders'!$D123, "3", 'Historical Orders'!$C123, "B", 'Historical Orders'!$B123, "1")</f>
        <v>0</v>
      </c>
      <c r="AA123" s="159">
        <f>SUMIFS('Historical Orders'!$G123, 'Historical Orders'!$D123, "3", 'Historical Orders'!$C123, "B", 'Historical Orders'!$B123, "1")</f>
        <v>0</v>
      </c>
      <c r="AB123" s="159">
        <f>SUMIFS('Historical Orders'!$E123, 'Historical Orders'!$D123, "3", 'Historical Orders'!$C123, "A", 'Historical Orders'!$B123, "2")</f>
        <v>0</v>
      </c>
      <c r="AC123" s="159">
        <f>SUMIFS('Historical Orders'!$G123, 'Historical Orders'!$D123, "3", 'Historical Orders'!$C123, "A", 'Historical Orders'!$B123, "2")</f>
        <v>0</v>
      </c>
      <c r="AD123" s="159">
        <f>SUMIFS('Historical Orders'!$E123, 'Historical Orders'!$D123, "3", 'Historical Orders'!$C123, "B", 'Historical Orders'!$B123, "2")</f>
        <v>0</v>
      </c>
      <c r="AE123" s="157">
        <f>SUMIFS('Historical Orders'!$G123, 'Historical Orders'!$D123, "3", 'Historical Orders'!$C123, "B", 'Historical Orders'!$B123, "2")</f>
        <v>0</v>
      </c>
      <c r="AF123" s="157">
        <f>SUMIFS('Historical Orders'!$E123, 'Historical Orders'!$D123, "4", 'Historical Orders'!$C123, "A", 'Historical Orders'!$B123, "1")</f>
        <v>0</v>
      </c>
      <c r="AG123" s="157">
        <f>SUMIFS('Historical Orders'!$G123, 'Historical Orders'!$D123, "4", 'Historical Orders'!$C123, "A", 'Historical Orders'!$B123, "1")</f>
        <v>0</v>
      </c>
      <c r="AH123" s="157">
        <f>SUMIFS('Historical Orders'!$E123, 'Historical Orders'!$D123, "4", 'Historical Orders'!$C123, "B", 'Historical Orders'!$B123, "1")</f>
        <v>0</v>
      </c>
      <c r="AI123" s="157">
        <f>SUMIFS('Historical Orders'!$G123, 'Historical Orders'!$D123, "4", 'Historical Orders'!$C123, "B", 'Historical Orders'!$B123, "1")</f>
        <v>0</v>
      </c>
      <c r="AJ123" s="157">
        <f>SUMIFS('Historical Orders'!$E123, 'Historical Orders'!$D123, "4", 'Historical Orders'!$C123, "A", 'Historical Orders'!$B123, "2")</f>
        <v>0</v>
      </c>
      <c r="AK123" s="157">
        <f>SUMIFS('Historical Orders'!$G123, 'Historical Orders'!$D123, "4", 'Historical Orders'!$C123, "A", 'Historical Orders'!$B123, "2")</f>
        <v>0</v>
      </c>
      <c r="AL123" s="171">
        <f>SUMIFS('Historical Orders'!$E123, 'Historical Orders'!$D123, "4", 'Historical Orders'!$C123, "B", 'Historical Orders'!$B123, "2")</f>
        <v>0</v>
      </c>
      <c r="AM123" s="171">
        <f>SUMIFS('Historical Orders'!$G123, 'Historical Orders'!$D123, "4", 'Historical Orders'!$C123, "B", 'Historical Orders'!$B123, "2")</f>
        <v>0</v>
      </c>
      <c r="AN123" s="171">
        <f>SUMIFS('Historical Orders'!$G123, 'Historical Orders'!$C123, "A", 'Historical Orders'!$B123, "1")</f>
        <v>7154.4</v>
      </c>
      <c r="AO123" s="171">
        <f>SUMIFS('Historical Orders'!$G123, 'Historical Orders'!$C123, "B", 'Historical Orders'!$B123, "1")</f>
        <v>0</v>
      </c>
      <c r="AP123" s="171">
        <f>SUMIFS('Historical Orders'!$G123, 'Historical Orders'!$C123, "A", 'Historical Orders'!$B123, "2")</f>
        <v>0</v>
      </c>
      <c r="AQ123" s="171">
        <f>SUMIFS('Historical Orders'!$G123, 'Historical Orders'!$C123, "B", 'Historical Orders'!$B123, "2")</f>
        <v>0</v>
      </c>
      <c r="AR123" s="145"/>
      <c r="AS123" s="172"/>
      <c r="AT123" s="172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  <c r="BT123" s="172"/>
      <c r="BU123" s="172"/>
      <c r="BV123" s="179"/>
      <c r="BW123" s="179"/>
      <c r="BX123" s="179"/>
      <c r="BY123" s="179"/>
      <c r="BZ123" s="179"/>
      <c r="CA123" s="179"/>
      <c r="CB123" s="179"/>
      <c r="CC123" s="179"/>
      <c r="CD123" s="179"/>
      <c r="CE123" s="179"/>
    </row>
    <row r="124" ht="15.75" customHeight="1">
      <c r="A124" s="151">
        <v>41995.0</v>
      </c>
      <c r="B124" s="152">
        <v>2.0</v>
      </c>
      <c r="C124" s="152" t="s">
        <v>45</v>
      </c>
      <c r="D124" s="152">
        <v>1.0</v>
      </c>
      <c r="E124" s="153">
        <v>3558.0</v>
      </c>
      <c r="F124" s="154">
        <v>2.2</v>
      </c>
      <c r="G124" s="155">
        <v>7827.6</v>
      </c>
      <c r="H124" s="159">
        <f>SUMIFS('Historical Orders'!$E124, 'Historical Orders'!$D124, "1", 'Historical Orders'!$C124, "A", 'Historical Orders'!$B124, "1")</f>
        <v>0</v>
      </c>
      <c r="I124" s="157">
        <f>SUMIFS('Historical Orders'!$G124, 'Historical Orders'!$D124, "1", 'Historical Orders'!$C124, "A", 'Historical Orders'!$B124, "1")</f>
        <v>0</v>
      </c>
      <c r="J124" s="157">
        <f>SUMIFS('Historical Orders'!$E124, 'Historical Orders'!$D124, "1", 'Historical Orders'!$C124, "B", 'Historical Orders'!$B124, "1")</f>
        <v>0</v>
      </c>
      <c r="K124" s="157">
        <f>SUMIFS('Historical Orders'!$G124, 'Historical Orders'!$D124, "1", 'Historical Orders'!$C124, "B", 'Historical Orders'!$B124, "1")</f>
        <v>0</v>
      </c>
      <c r="L124" s="159">
        <f>SUMIFS('Historical Orders'!$E124, 'Historical Orders'!$D124, "1", 'Historical Orders'!$C124, "A", 'Historical Orders'!$B124, "2")</f>
        <v>3558</v>
      </c>
      <c r="M124" s="157">
        <f>SUMIFS('Historical Orders'!$G124, 'Historical Orders'!$D124, "1", 'Historical Orders'!$C124, "A", 'Historical Orders'!$B124, "2")</f>
        <v>7827.6</v>
      </c>
      <c r="N124" s="157">
        <f>SUMIFS('Historical Orders'!$E124, 'Historical Orders'!$D124, "1", 'Historical Orders'!$C124, "B", 'Historical Orders'!$B124, "2")</f>
        <v>0</v>
      </c>
      <c r="O124" s="157">
        <f>SUMIFS('Historical Orders'!$G124, 'Historical Orders'!$D124, "1", 'Historical Orders'!$C124, "B", 'Historical Orders'!$B124, "2")</f>
        <v>0</v>
      </c>
      <c r="P124" s="159">
        <f>SUMIFS('Historical Orders'!$E124, 'Historical Orders'!$D124, "2", 'Historical Orders'!$C124, "A", 'Historical Orders'!$B124, "1")</f>
        <v>0</v>
      </c>
      <c r="Q124" s="157">
        <f>SUMIFS('Historical Orders'!$G124, 'Historical Orders'!$D124, "2", 'Historical Orders'!$C124, "A", 'Historical Orders'!$B124, "1")</f>
        <v>0</v>
      </c>
      <c r="R124" s="159">
        <f>SUMIFS('Historical Orders'!$E124, 'Historical Orders'!$D124, "2", 'Historical Orders'!$C124, "B", 'Historical Orders'!$B124, "1")</f>
        <v>0</v>
      </c>
      <c r="S124" s="157">
        <f>SUMIFS('Historical Orders'!$G124, 'Historical Orders'!$D124, "2", 'Historical Orders'!$C124, "B", 'Historical Orders'!$B124, "1")</f>
        <v>0</v>
      </c>
      <c r="T124" s="159">
        <f>SUMIFS('Historical Orders'!$E124, 'Historical Orders'!$D124, "2", 'Historical Orders'!$C124, "A", 'Historical Orders'!$B124, "2")</f>
        <v>0</v>
      </c>
      <c r="U124" s="157">
        <f>SUMIFS('Historical Orders'!$G124, 'Historical Orders'!$D124, "2", 'Historical Orders'!$C124, "A", 'Historical Orders'!$B124, "2")</f>
        <v>0</v>
      </c>
      <c r="V124" s="159">
        <f>SUMIFS('Historical Orders'!$E124, 'Historical Orders'!$D124, "2", 'Historical Orders'!$C124, "B", 'Historical Orders'!$B124, "2")</f>
        <v>0</v>
      </c>
      <c r="W124" s="159">
        <f>SUMIFS('Historical Orders'!$G124, 'Historical Orders'!$D124, "2", 'Historical Orders'!$C124, "B", 'Historical Orders'!$B124, "2")</f>
        <v>0</v>
      </c>
      <c r="X124" s="159">
        <f>SUMIFS('Historical Orders'!$E124, 'Historical Orders'!$D124, "3", 'Historical Orders'!$C124, "A", 'Historical Orders'!$B124, "1")</f>
        <v>0</v>
      </c>
      <c r="Y124" s="159">
        <f>SUMIFS('Historical Orders'!$G124, 'Historical Orders'!$D124, "3", 'Historical Orders'!$C124, "A", 'Historical Orders'!$B124, "1")</f>
        <v>0</v>
      </c>
      <c r="Z124" s="159">
        <f>SUMIFS('Historical Orders'!$E124, 'Historical Orders'!$D124, "3", 'Historical Orders'!$C124, "B", 'Historical Orders'!$B124, "1")</f>
        <v>0</v>
      </c>
      <c r="AA124" s="159">
        <f>SUMIFS('Historical Orders'!$G124, 'Historical Orders'!$D124, "3", 'Historical Orders'!$C124, "B", 'Historical Orders'!$B124, "1")</f>
        <v>0</v>
      </c>
      <c r="AB124" s="159">
        <f>SUMIFS('Historical Orders'!$E124, 'Historical Orders'!$D124, "3", 'Historical Orders'!$C124, "A", 'Historical Orders'!$B124, "2")</f>
        <v>0</v>
      </c>
      <c r="AC124" s="159">
        <f>SUMIFS('Historical Orders'!$G124, 'Historical Orders'!$D124, "3", 'Historical Orders'!$C124, "A", 'Historical Orders'!$B124, "2")</f>
        <v>0</v>
      </c>
      <c r="AD124" s="159">
        <f>SUMIFS('Historical Orders'!$E124, 'Historical Orders'!$D124, "3", 'Historical Orders'!$C124, "B", 'Historical Orders'!$B124, "2")</f>
        <v>0</v>
      </c>
      <c r="AE124" s="157">
        <f>SUMIFS('Historical Orders'!$G124, 'Historical Orders'!$D124, "3", 'Historical Orders'!$C124, "B", 'Historical Orders'!$B124, "2")</f>
        <v>0</v>
      </c>
      <c r="AF124" s="157">
        <f>SUMIFS('Historical Orders'!$E124, 'Historical Orders'!$D124, "4", 'Historical Orders'!$C124, "A", 'Historical Orders'!$B124, "1")</f>
        <v>0</v>
      </c>
      <c r="AG124" s="157">
        <f>SUMIFS('Historical Orders'!$G124, 'Historical Orders'!$D124, "4", 'Historical Orders'!$C124, "A", 'Historical Orders'!$B124, "1")</f>
        <v>0</v>
      </c>
      <c r="AH124" s="157">
        <f>SUMIFS('Historical Orders'!$E124, 'Historical Orders'!$D124, "4", 'Historical Orders'!$C124, "B", 'Historical Orders'!$B124, "1")</f>
        <v>0</v>
      </c>
      <c r="AI124" s="157">
        <f>SUMIFS('Historical Orders'!$G124, 'Historical Orders'!$D124, "4", 'Historical Orders'!$C124, "B", 'Historical Orders'!$B124, "1")</f>
        <v>0</v>
      </c>
      <c r="AJ124" s="157">
        <f>SUMIFS('Historical Orders'!$E124, 'Historical Orders'!$D124, "4", 'Historical Orders'!$C124, "A", 'Historical Orders'!$B124, "2")</f>
        <v>0</v>
      </c>
      <c r="AK124" s="157">
        <f>SUMIFS('Historical Orders'!$G124, 'Historical Orders'!$D124, "4", 'Historical Orders'!$C124, "A", 'Historical Orders'!$B124, "2")</f>
        <v>0</v>
      </c>
      <c r="AL124" s="171">
        <f>SUMIFS('Historical Orders'!$E124, 'Historical Orders'!$D124, "4", 'Historical Orders'!$C124, "B", 'Historical Orders'!$B124, "2")</f>
        <v>0</v>
      </c>
      <c r="AM124" s="171">
        <f>SUMIFS('Historical Orders'!$G124, 'Historical Orders'!$D124, "4", 'Historical Orders'!$C124, "B", 'Historical Orders'!$B124, "2")</f>
        <v>0</v>
      </c>
      <c r="AN124" s="171">
        <f>SUMIFS('Historical Orders'!$G124, 'Historical Orders'!$C124, "A", 'Historical Orders'!$B124, "1")</f>
        <v>0</v>
      </c>
      <c r="AO124" s="171">
        <f>SUMIFS('Historical Orders'!$G124, 'Historical Orders'!$C124, "B", 'Historical Orders'!$B124, "1")</f>
        <v>0</v>
      </c>
      <c r="AP124" s="171">
        <f>SUMIFS('Historical Orders'!$G124, 'Historical Orders'!$C124, "A", 'Historical Orders'!$B124, "2")</f>
        <v>7827.6</v>
      </c>
      <c r="AQ124" s="171">
        <f>SUMIFS('Historical Orders'!$G124, 'Historical Orders'!$C124, "B", 'Historical Orders'!$B124, "2")</f>
        <v>0</v>
      </c>
      <c r="AR124" s="145"/>
      <c r="AS124" s="172"/>
      <c r="AT124" s="172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  <c r="BT124" s="172"/>
      <c r="BU124" s="172"/>
      <c r="BV124" s="179"/>
      <c r="BW124" s="179"/>
      <c r="BX124" s="179"/>
      <c r="BY124" s="179"/>
      <c r="BZ124" s="179"/>
      <c r="CA124" s="179"/>
      <c r="CB124" s="179"/>
      <c r="CC124" s="179"/>
      <c r="CD124" s="179"/>
      <c r="CE124" s="179"/>
    </row>
    <row r="125" ht="15.75" customHeight="1">
      <c r="A125" s="151">
        <v>41995.0</v>
      </c>
      <c r="B125" s="152">
        <v>2.0</v>
      </c>
      <c r="C125" s="152" t="s">
        <v>45</v>
      </c>
      <c r="D125" s="152">
        <v>2.0</v>
      </c>
      <c r="E125" s="153">
        <v>7093.0</v>
      </c>
      <c r="F125" s="154">
        <v>1.2</v>
      </c>
      <c r="G125" s="155">
        <v>8511.6</v>
      </c>
      <c r="H125" s="159">
        <f>SUMIFS('Historical Orders'!$E125, 'Historical Orders'!$D125, "1", 'Historical Orders'!$C125, "A", 'Historical Orders'!$B125, "1")</f>
        <v>0</v>
      </c>
      <c r="I125" s="157">
        <f>SUMIFS('Historical Orders'!$G125, 'Historical Orders'!$D125, "1", 'Historical Orders'!$C125, "A", 'Historical Orders'!$B125, "1")</f>
        <v>0</v>
      </c>
      <c r="J125" s="157">
        <f>SUMIFS('Historical Orders'!$E125, 'Historical Orders'!$D125, "1", 'Historical Orders'!$C125, "B", 'Historical Orders'!$B125, "1")</f>
        <v>0</v>
      </c>
      <c r="K125" s="157">
        <f>SUMIFS('Historical Orders'!$G125, 'Historical Orders'!$D125, "1", 'Historical Orders'!$C125, "B", 'Historical Orders'!$B125, "1")</f>
        <v>0</v>
      </c>
      <c r="L125" s="159">
        <f>SUMIFS('Historical Orders'!$E125, 'Historical Orders'!$D125, "1", 'Historical Orders'!$C125, "A", 'Historical Orders'!$B125, "2")</f>
        <v>0</v>
      </c>
      <c r="M125" s="157">
        <f>SUMIFS('Historical Orders'!$G125, 'Historical Orders'!$D125, "1", 'Historical Orders'!$C125, "A", 'Historical Orders'!$B125, "2")</f>
        <v>0</v>
      </c>
      <c r="N125" s="157">
        <f>SUMIFS('Historical Orders'!$E125, 'Historical Orders'!$D125, "1", 'Historical Orders'!$C125, "B", 'Historical Orders'!$B125, "2")</f>
        <v>0</v>
      </c>
      <c r="O125" s="157">
        <f>SUMIFS('Historical Orders'!$G125, 'Historical Orders'!$D125, "1", 'Historical Orders'!$C125, "B", 'Historical Orders'!$B125, "2")</f>
        <v>0</v>
      </c>
      <c r="P125" s="159">
        <f>SUMIFS('Historical Orders'!$E125, 'Historical Orders'!$D125, "2", 'Historical Orders'!$C125, "A", 'Historical Orders'!$B125, "1")</f>
        <v>0</v>
      </c>
      <c r="Q125" s="157">
        <f>SUMIFS('Historical Orders'!$G125, 'Historical Orders'!$D125, "2", 'Historical Orders'!$C125, "A", 'Historical Orders'!$B125, "1")</f>
        <v>0</v>
      </c>
      <c r="R125" s="159">
        <f>SUMIFS('Historical Orders'!$E125, 'Historical Orders'!$D125, "2", 'Historical Orders'!$C125, "B", 'Historical Orders'!$B125, "1")</f>
        <v>0</v>
      </c>
      <c r="S125" s="157">
        <f>SUMIFS('Historical Orders'!$G125, 'Historical Orders'!$D125, "2", 'Historical Orders'!$C125, "B", 'Historical Orders'!$B125, "1")</f>
        <v>0</v>
      </c>
      <c r="T125" s="159">
        <f>SUMIFS('Historical Orders'!$E125, 'Historical Orders'!$D125, "2", 'Historical Orders'!$C125, "A", 'Historical Orders'!$B125, "2")</f>
        <v>7093</v>
      </c>
      <c r="U125" s="157">
        <f>SUMIFS('Historical Orders'!$G125, 'Historical Orders'!$D125, "2", 'Historical Orders'!$C125, "A", 'Historical Orders'!$B125, "2")</f>
        <v>8511.6</v>
      </c>
      <c r="V125" s="159">
        <f>SUMIFS('Historical Orders'!$E125, 'Historical Orders'!$D125, "2", 'Historical Orders'!$C125, "B", 'Historical Orders'!$B125, "2")</f>
        <v>0</v>
      </c>
      <c r="W125" s="159">
        <f>SUMIFS('Historical Orders'!$G125, 'Historical Orders'!$D125, "2", 'Historical Orders'!$C125, "B", 'Historical Orders'!$B125, "2")</f>
        <v>0</v>
      </c>
      <c r="X125" s="159">
        <f>SUMIFS('Historical Orders'!$E125, 'Historical Orders'!$D125, "3", 'Historical Orders'!$C125, "A", 'Historical Orders'!$B125, "1")</f>
        <v>0</v>
      </c>
      <c r="Y125" s="159">
        <f>SUMIFS('Historical Orders'!$G125, 'Historical Orders'!$D125, "3", 'Historical Orders'!$C125, "A", 'Historical Orders'!$B125, "1")</f>
        <v>0</v>
      </c>
      <c r="Z125" s="159">
        <f>SUMIFS('Historical Orders'!$E125, 'Historical Orders'!$D125, "3", 'Historical Orders'!$C125, "B", 'Historical Orders'!$B125, "1")</f>
        <v>0</v>
      </c>
      <c r="AA125" s="159">
        <f>SUMIFS('Historical Orders'!$G125, 'Historical Orders'!$D125, "3", 'Historical Orders'!$C125, "B", 'Historical Orders'!$B125, "1")</f>
        <v>0</v>
      </c>
      <c r="AB125" s="159">
        <f>SUMIFS('Historical Orders'!$E125, 'Historical Orders'!$D125, "3", 'Historical Orders'!$C125, "A", 'Historical Orders'!$B125, "2")</f>
        <v>0</v>
      </c>
      <c r="AC125" s="159">
        <f>SUMIFS('Historical Orders'!$G125, 'Historical Orders'!$D125, "3", 'Historical Orders'!$C125, "A", 'Historical Orders'!$B125, "2")</f>
        <v>0</v>
      </c>
      <c r="AD125" s="159">
        <f>SUMIFS('Historical Orders'!$E125, 'Historical Orders'!$D125, "3", 'Historical Orders'!$C125, "B", 'Historical Orders'!$B125, "2")</f>
        <v>0</v>
      </c>
      <c r="AE125" s="157">
        <f>SUMIFS('Historical Orders'!$G125, 'Historical Orders'!$D125, "3", 'Historical Orders'!$C125, "B", 'Historical Orders'!$B125, "2")</f>
        <v>0</v>
      </c>
      <c r="AF125" s="157">
        <f>SUMIFS('Historical Orders'!$E125, 'Historical Orders'!$D125, "4", 'Historical Orders'!$C125, "A", 'Historical Orders'!$B125, "1")</f>
        <v>0</v>
      </c>
      <c r="AG125" s="157">
        <f>SUMIFS('Historical Orders'!$G125, 'Historical Orders'!$D125, "4", 'Historical Orders'!$C125, "A", 'Historical Orders'!$B125, "1")</f>
        <v>0</v>
      </c>
      <c r="AH125" s="157">
        <f>SUMIFS('Historical Orders'!$E125, 'Historical Orders'!$D125, "4", 'Historical Orders'!$C125, "B", 'Historical Orders'!$B125, "1")</f>
        <v>0</v>
      </c>
      <c r="AI125" s="157">
        <f>SUMIFS('Historical Orders'!$G125, 'Historical Orders'!$D125, "4", 'Historical Orders'!$C125, "B", 'Historical Orders'!$B125, "1")</f>
        <v>0</v>
      </c>
      <c r="AJ125" s="157">
        <f>SUMIFS('Historical Orders'!$E125, 'Historical Orders'!$D125, "4", 'Historical Orders'!$C125, "A", 'Historical Orders'!$B125, "2")</f>
        <v>0</v>
      </c>
      <c r="AK125" s="157">
        <f>SUMIFS('Historical Orders'!$G125, 'Historical Orders'!$D125, "4", 'Historical Orders'!$C125, "A", 'Historical Orders'!$B125, "2")</f>
        <v>0</v>
      </c>
      <c r="AL125" s="171">
        <f>SUMIFS('Historical Orders'!$E125, 'Historical Orders'!$D125, "4", 'Historical Orders'!$C125, "B", 'Historical Orders'!$B125, "2")</f>
        <v>0</v>
      </c>
      <c r="AM125" s="171">
        <f>SUMIFS('Historical Orders'!$G125, 'Historical Orders'!$D125, "4", 'Historical Orders'!$C125, "B", 'Historical Orders'!$B125, "2")</f>
        <v>0</v>
      </c>
      <c r="AN125" s="171">
        <f>SUMIFS('Historical Orders'!$G125, 'Historical Orders'!$C125, "A", 'Historical Orders'!$B125, "1")</f>
        <v>0</v>
      </c>
      <c r="AO125" s="171">
        <f>SUMIFS('Historical Orders'!$G125, 'Historical Orders'!$C125, "B", 'Historical Orders'!$B125, "1")</f>
        <v>0</v>
      </c>
      <c r="AP125" s="171">
        <f>SUMIFS('Historical Orders'!$G125, 'Historical Orders'!$C125, "A", 'Historical Orders'!$B125, "2")</f>
        <v>8511.6</v>
      </c>
      <c r="AQ125" s="171">
        <f>SUMIFS('Historical Orders'!$G125, 'Historical Orders'!$C125, "B", 'Historical Orders'!$B125, "2")</f>
        <v>0</v>
      </c>
      <c r="AR125" s="145"/>
      <c r="AS125" s="172"/>
      <c r="AT125" s="172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  <c r="BT125" s="172"/>
      <c r="BU125" s="172"/>
      <c r="BV125" s="179"/>
      <c r="BW125" s="179"/>
      <c r="BX125" s="179"/>
      <c r="BY125" s="179"/>
      <c r="BZ125" s="179"/>
      <c r="CA125" s="179"/>
      <c r="CB125" s="179"/>
      <c r="CC125" s="179"/>
      <c r="CD125" s="179"/>
      <c r="CE125" s="179"/>
    </row>
    <row r="126" ht="15.75" customHeight="1">
      <c r="A126" s="151">
        <v>41995.0</v>
      </c>
      <c r="B126" s="152">
        <v>1.0</v>
      </c>
      <c r="C126" s="152" t="s">
        <v>46</v>
      </c>
      <c r="D126" s="152">
        <v>3.0</v>
      </c>
      <c r="E126" s="153">
        <v>2118.0</v>
      </c>
      <c r="F126" s="154">
        <v>8.3</v>
      </c>
      <c r="G126" s="155">
        <v>17579.4</v>
      </c>
      <c r="H126" s="159">
        <f>SUMIFS('Historical Orders'!$E126, 'Historical Orders'!$D126, "1", 'Historical Orders'!$C126, "A", 'Historical Orders'!$B126, "1")</f>
        <v>0</v>
      </c>
      <c r="I126" s="157">
        <f>SUMIFS('Historical Orders'!$G126, 'Historical Orders'!$D126, "1", 'Historical Orders'!$C126, "A", 'Historical Orders'!$B126, "1")</f>
        <v>0</v>
      </c>
      <c r="J126" s="157">
        <f>SUMIFS('Historical Orders'!$E126, 'Historical Orders'!$D126, "1", 'Historical Orders'!$C126, "B", 'Historical Orders'!$B126, "1")</f>
        <v>0</v>
      </c>
      <c r="K126" s="157">
        <f>SUMIFS('Historical Orders'!$G126, 'Historical Orders'!$D126, "1", 'Historical Orders'!$C126, "B", 'Historical Orders'!$B126, "1")</f>
        <v>0</v>
      </c>
      <c r="L126" s="159">
        <f>SUMIFS('Historical Orders'!$E126, 'Historical Orders'!$D126, "1", 'Historical Orders'!$C126, "A", 'Historical Orders'!$B126, "2")</f>
        <v>0</v>
      </c>
      <c r="M126" s="157">
        <f>SUMIFS('Historical Orders'!$G126, 'Historical Orders'!$D126, "1", 'Historical Orders'!$C126, "A", 'Historical Orders'!$B126, "2")</f>
        <v>0</v>
      </c>
      <c r="N126" s="157">
        <f>SUMIFS('Historical Orders'!$E126, 'Historical Orders'!$D126, "1", 'Historical Orders'!$C126, "B", 'Historical Orders'!$B126, "2")</f>
        <v>0</v>
      </c>
      <c r="O126" s="157">
        <f>SUMIFS('Historical Orders'!$G126, 'Historical Orders'!$D126, "1", 'Historical Orders'!$C126, "B", 'Historical Orders'!$B126, "2")</f>
        <v>0</v>
      </c>
      <c r="P126" s="159">
        <f>SUMIFS('Historical Orders'!$E126, 'Historical Orders'!$D126, "2", 'Historical Orders'!$C126, "A", 'Historical Orders'!$B126, "1")</f>
        <v>0</v>
      </c>
      <c r="Q126" s="157">
        <f>SUMIFS('Historical Orders'!$G126, 'Historical Orders'!$D126, "2", 'Historical Orders'!$C126, "A", 'Historical Orders'!$B126, "1")</f>
        <v>0</v>
      </c>
      <c r="R126" s="159">
        <f>SUMIFS('Historical Orders'!$E126, 'Historical Orders'!$D126, "2", 'Historical Orders'!$C126, "B", 'Historical Orders'!$B126, "1")</f>
        <v>0</v>
      </c>
      <c r="S126" s="157">
        <f>SUMIFS('Historical Orders'!$G126, 'Historical Orders'!$D126, "2", 'Historical Orders'!$C126, "B", 'Historical Orders'!$B126, "1")</f>
        <v>0</v>
      </c>
      <c r="T126" s="159">
        <f>SUMIFS('Historical Orders'!$E126, 'Historical Orders'!$D126, "2", 'Historical Orders'!$C126, "A", 'Historical Orders'!$B126, "2")</f>
        <v>0</v>
      </c>
      <c r="U126" s="157">
        <f>SUMIFS('Historical Orders'!$G126, 'Historical Orders'!$D126, "2", 'Historical Orders'!$C126, "A", 'Historical Orders'!$B126, "2")</f>
        <v>0</v>
      </c>
      <c r="V126" s="159">
        <f>SUMIFS('Historical Orders'!$E126, 'Historical Orders'!$D126, "2", 'Historical Orders'!$C126, "B", 'Historical Orders'!$B126, "2")</f>
        <v>0</v>
      </c>
      <c r="W126" s="159">
        <f>SUMIFS('Historical Orders'!$G126, 'Historical Orders'!$D126, "2", 'Historical Orders'!$C126, "B", 'Historical Orders'!$B126, "2")</f>
        <v>0</v>
      </c>
      <c r="X126" s="159">
        <f>SUMIFS('Historical Orders'!$E126, 'Historical Orders'!$D126, "3", 'Historical Orders'!$C126, "A", 'Historical Orders'!$B126, "1")</f>
        <v>0</v>
      </c>
      <c r="Y126" s="159">
        <f>SUMIFS('Historical Orders'!$G126, 'Historical Orders'!$D126, "3", 'Historical Orders'!$C126, "A", 'Historical Orders'!$B126, "1")</f>
        <v>0</v>
      </c>
      <c r="Z126" s="159">
        <f>SUMIFS('Historical Orders'!$E126, 'Historical Orders'!$D126, "3", 'Historical Orders'!$C126, "B", 'Historical Orders'!$B126, "1")</f>
        <v>2118</v>
      </c>
      <c r="AA126" s="159">
        <f>SUMIFS('Historical Orders'!$G126, 'Historical Orders'!$D126, "3", 'Historical Orders'!$C126, "B", 'Historical Orders'!$B126, "1")</f>
        <v>17579.4</v>
      </c>
      <c r="AB126" s="159">
        <f>SUMIFS('Historical Orders'!$E126, 'Historical Orders'!$D126, "3", 'Historical Orders'!$C126, "A", 'Historical Orders'!$B126, "2")</f>
        <v>0</v>
      </c>
      <c r="AC126" s="159">
        <f>SUMIFS('Historical Orders'!$G126, 'Historical Orders'!$D126, "3", 'Historical Orders'!$C126, "A", 'Historical Orders'!$B126, "2")</f>
        <v>0</v>
      </c>
      <c r="AD126" s="159">
        <f>SUMIFS('Historical Orders'!$E126, 'Historical Orders'!$D126, "3", 'Historical Orders'!$C126, "B", 'Historical Orders'!$B126, "2")</f>
        <v>0</v>
      </c>
      <c r="AE126" s="157">
        <f>SUMIFS('Historical Orders'!$G126, 'Historical Orders'!$D126, "3", 'Historical Orders'!$C126, "B", 'Historical Orders'!$B126, "2")</f>
        <v>0</v>
      </c>
      <c r="AF126" s="157">
        <f>SUMIFS('Historical Orders'!$E126, 'Historical Orders'!$D126, "4", 'Historical Orders'!$C126, "A", 'Historical Orders'!$B126, "1")</f>
        <v>0</v>
      </c>
      <c r="AG126" s="157">
        <f>SUMIFS('Historical Orders'!$G126, 'Historical Orders'!$D126, "4", 'Historical Orders'!$C126, "A", 'Historical Orders'!$B126, "1")</f>
        <v>0</v>
      </c>
      <c r="AH126" s="157">
        <f>SUMIFS('Historical Orders'!$E126, 'Historical Orders'!$D126, "4", 'Historical Orders'!$C126, "B", 'Historical Orders'!$B126, "1")</f>
        <v>0</v>
      </c>
      <c r="AI126" s="157">
        <f>SUMIFS('Historical Orders'!$G126, 'Historical Orders'!$D126, "4", 'Historical Orders'!$C126, "B", 'Historical Orders'!$B126, "1")</f>
        <v>0</v>
      </c>
      <c r="AJ126" s="157">
        <f>SUMIFS('Historical Orders'!$E126, 'Historical Orders'!$D126, "4", 'Historical Orders'!$C126, "A", 'Historical Orders'!$B126, "2")</f>
        <v>0</v>
      </c>
      <c r="AK126" s="157">
        <f>SUMIFS('Historical Orders'!$G126, 'Historical Orders'!$D126, "4", 'Historical Orders'!$C126, "A", 'Historical Orders'!$B126, "2")</f>
        <v>0</v>
      </c>
      <c r="AL126" s="171">
        <f>SUMIFS('Historical Orders'!$E126, 'Historical Orders'!$D126, "4", 'Historical Orders'!$C126, "B", 'Historical Orders'!$B126, "2")</f>
        <v>0</v>
      </c>
      <c r="AM126" s="171">
        <f>SUMIFS('Historical Orders'!$G126, 'Historical Orders'!$D126, "4", 'Historical Orders'!$C126, "B", 'Historical Orders'!$B126, "2")</f>
        <v>0</v>
      </c>
      <c r="AN126" s="171">
        <f>SUMIFS('Historical Orders'!$G126, 'Historical Orders'!$C126, "A", 'Historical Orders'!$B126, "1")</f>
        <v>0</v>
      </c>
      <c r="AO126" s="171">
        <f>SUMIFS('Historical Orders'!$G126, 'Historical Orders'!$C126, "B", 'Historical Orders'!$B126, "1")</f>
        <v>17579.4</v>
      </c>
      <c r="AP126" s="171">
        <f>SUMIFS('Historical Orders'!$G126, 'Historical Orders'!$C126, "A", 'Historical Orders'!$B126, "2")</f>
        <v>0</v>
      </c>
      <c r="AQ126" s="171">
        <f>SUMIFS('Historical Orders'!$G126, 'Historical Orders'!$C126, "B", 'Historical Orders'!$B126, "2")</f>
        <v>0</v>
      </c>
      <c r="AR126" s="145"/>
      <c r="AS126" s="172"/>
      <c r="AT126" s="172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  <c r="BT126" s="172"/>
      <c r="BU126" s="172"/>
      <c r="BV126" s="179"/>
      <c r="BW126" s="179"/>
      <c r="BX126" s="179"/>
      <c r="BY126" s="179"/>
      <c r="BZ126" s="179"/>
      <c r="CA126" s="179"/>
      <c r="CB126" s="179"/>
      <c r="CC126" s="179"/>
      <c r="CD126" s="179"/>
      <c r="CE126" s="179"/>
    </row>
    <row r="127" ht="15.75" customHeight="1">
      <c r="A127" s="151">
        <v>41995.0</v>
      </c>
      <c r="B127" s="152">
        <v>2.0</v>
      </c>
      <c r="C127" s="152" t="s">
        <v>46</v>
      </c>
      <c r="D127" s="152">
        <v>3.0</v>
      </c>
      <c r="E127" s="153">
        <v>2582.0</v>
      </c>
      <c r="F127" s="154">
        <v>8.3</v>
      </c>
      <c r="G127" s="155">
        <v>21430.600000000002</v>
      </c>
      <c r="H127" s="159">
        <f>SUMIFS('Historical Orders'!$E127, 'Historical Orders'!$D127, "1", 'Historical Orders'!$C127, "A", 'Historical Orders'!$B127, "1")</f>
        <v>0</v>
      </c>
      <c r="I127" s="157">
        <f>SUMIFS('Historical Orders'!$G127, 'Historical Orders'!$D127, "1", 'Historical Orders'!$C127, "A", 'Historical Orders'!$B127, "1")</f>
        <v>0</v>
      </c>
      <c r="J127" s="157">
        <f>SUMIFS('Historical Orders'!$E127, 'Historical Orders'!$D127, "1", 'Historical Orders'!$C127, "B", 'Historical Orders'!$B127, "1")</f>
        <v>0</v>
      </c>
      <c r="K127" s="157">
        <f>SUMIFS('Historical Orders'!$G127, 'Historical Orders'!$D127, "1", 'Historical Orders'!$C127, "B", 'Historical Orders'!$B127, "1")</f>
        <v>0</v>
      </c>
      <c r="L127" s="159">
        <f>SUMIFS('Historical Orders'!$E127, 'Historical Orders'!$D127, "1", 'Historical Orders'!$C127, "A", 'Historical Orders'!$B127, "2")</f>
        <v>0</v>
      </c>
      <c r="M127" s="157">
        <f>SUMIFS('Historical Orders'!$G127, 'Historical Orders'!$D127, "1", 'Historical Orders'!$C127, "A", 'Historical Orders'!$B127, "2")</f>
        <v>0</v>
      </c>
      <c r="N127" s="157">
        <f>SUMIFS('Historical Orders'!$E127, 'Historical Orders'!$D127, "1", 'Historical Orders'!$C127, "B", 'Historical Orders'!$B127, "2")</f>
        <v>0</v>
      </c>
      <c r="O127" s="157">
        <f>SUMIFS('Historical Orders'!$G127, 'Historical Orders'!$D127, "1", 'Historical Orders'!$C127, "B", 'Historical Orders'!$B127, "2")</f>
        <v>0</v>
      </c>
      <c r="P127" s="159">
        <f>SUMIFS('Historical Orders'!$E127, 'Historical Orders'!$D127, "2", 'Historical Orders'!$C127, "A", 'Historical Orders'!$B127, "1")</f>
        <v>0</v>
      </c>
      <c r="Q127" s="157">
        <f>SUMIFS('Historical Orders'!$G127, 'Historical Orders'!$D127, "2", 'Historical Orders'!$C127, "A", 'Historical Orders'!$B127, "1")</f>
        <v>0</v>
      </c>
      <c r="R127" s="159">
        <f>SUMIFS('Historical Orders'!$E127, 'Historical Orders'!$D127, "2", 'Historical Orders'!$C127, "B", 'Historical Orders'!$B127, "1")</f>
        <v>0</v>
      </c>
      <c r="S127" s="157">
        <f>SUMIFS('Historical Orders'!$G127, 'Historical Orders'!$D127, "2", 'Historical Orders'!$C127, "B", 'Historical Orders'!$B127, "1")</f>
        <v>0</v>
      </c>
      <c r="T127" s="159">
        <f>SUMIFS('Historical Orders'!$E127, 'Historical Orders'!$D127, "2", 'Historical Orders'!$C127, "A", 'Historical Orders'!$B127, "2")</f>
        <v>0</v>
      </c>
      <c r="U127" s="157">
        <f>SUMIFS('Historical Orders'!$G127, 'Historical Orders'!$D127, "2", 'Historical Orders'!$C127, "A", 'Historical Orders'!$B127, "2")</f>
        <v>0</v>
      </c>
      <c r="V127" s="159">
        <f>SUMIFS('Historical Orders'!$E127, 'Historical Orders'!$D127, "2", 'Historical Orders'!$C127, "B", 'Historical Orders'!$B127, "2")</f>
        <v>0</v>
      </c>
      <c r="W127" s="159">
        <f>SUMIFS('Historical Orders'!$G127, 'Historical Orders'!$D127, "2", 'Historical Orders'!$C127, "B", 'Historical Orders'!$B127, "2")</f>
        <v>0</v>
      </c>
      <c r="X127" s="159">
        <f>SUMIFS('Historical Orders'!$E127, 'Historical Orders'!$D127, "3", 'Historical Orders'!$C127, "A", 'Historical Orders'!$B127, "1")</f>
        <v>0</v>
      </c>
      <c r="Y127" s="159">
        <f>SUMIFS('Historical Orders'!$G127, 'Historical Orders'!$D127, "3", 'Historical Orders'!$C127, "A", 'Historical Orders'!$B127, "1")</f>
        <v>0</v>
      </c>
      <c r="Z127" s="159">
        <f>SUMIFS('Historical Orders'!$E127, 'Historical Orders'!$D127, "3", 'Historical Orders'!$C127, "B", 'Historical Orders'!$B127, "1")</f>
        <v>0</v>
      </c>
      <c r="AA127" s="159">
        <f>SUMIFS('Historical Orders'!$G127, 'Historical Orders'!$D127, "3", 'Historical Orders'!$C127, "B", 'Historical Orders'!$B127, "1")</f>
        <v>0</v>
      </c>
      <c r="AB127" s="159">
        <f>SUMIFS('Historical Orders'!$E127, 'Historical Orders'!$D127, "3", 'Historical Orders'!$C127, "A", 'Historical Orders'!$B127, "2")</f>
        <v>0</v>
      </c>
      <c r="AC127" s="159">
        <f>SUMIFS('Historical Orders'!$G127, 'Historical Orders'!$D127, "3", 'Historical Orders'!$C127, "A", 'Historical Orders'!$B127, "2")</f>
        <v>0</v>
      </c>
      <c r="AD127" s="159">
        <f>SUMIFS('Historical Orders'!$E127, 'Historical Orders'!$D127, "3", 'Historical Orders'!$C127, "B", 'Historical Orders'!$B127, "2")</f>
        <v>2582</v>
      </c>
      <c r="AE127" s="157">
        <f>SUMIFS('Historical Orders'!$G127, 'Historical Orders'!$D127, "3", 'Historical Orders'!$C127, "B", 'Historical Orders'!$B127, "2")</f>
        <v>21430.6</v>
      </c>
      <c r="AF127" s="157">
        <f>SUMIFS('Historical Orders'!$E127, 'Historical Orders'!$D127, "4", 'Historical Orders'!$C127, "A", 'Historical Orders'!$B127, "1")</f>
        <v>0</v>
      </c>
      <c r="AG127" s="157">
        <f>SUMIFS('Historical Orders'!$G127, 'Historical Orders'!$D127, "4", 'Historical Orders'!$C127, "A", 'Historical Orders'!$B127, "1")</f>
        <v>0</v>
      </c>
      <c r="AH127" s="157">
        <f>SUMIFS('Historical Orders'!$E127, 'Historical Orders'!$D127, "4", 'Historical Orders'!$C127, "B", 'Historical Orders'!$B127, "1")</f>
        <v>0</v>
      </c>
      <c r="AI127" s="157">
        <f>SUMIFS('Historical Orders'!$G127, 'Historical Orders'!$D127, "4", 'Historical Orders'!$C127, "B", 'Historical Orders'!$B127, "1")</f>
        <v>0</v>
      </c>
      <c r="AJ127" s="157">
        <f>SUMIFS('Historical Orders'!$E127, 'Historical Orders'!$D127, "4", 'Historical Orders'!$C127, "A", 'Historical Orders'!$B127, "2")</f>
        <v>0</v>
      </c>
      <c r="AK127" s="157">
        <f>SUMIFS('Historical Orders'!$G127, 'Historical Orders'!$D127, "4", 'Historical Orders'!$C127, "A", 'Historical Orders'!$B127, "2")</f>
        <v>0</v>
      </c>
      <c r="AL127" s="171">
        <f>SUMIFS('Historical Orders'!$E127, 'Historical Orders'!$D127, "4", 'Historical Orders'!$C127, "B", 'Historical Orders'!$B127, "2")</f>
        <v>0</v>
      </c>
      <c r="AM127" s="171">
        <f>SUMIFS('Historical Orders'!$G127, 'Historical Orders'!$D127, "4", 'Historical Orders'!$C127, "B", 'Historical Orders'!$B127, "2")</f>
        <v>0</v>
      </c>
      <c r="AN127" s="171">
        <f>SUMIFS('Historical Orders'!$G127, 'Historical Orders'!$C127, "A", 'Historical Orders'!$B127, "1")</f>
        <v>0</v>
      </c>
      <c r="AO127" s="171">
        <f>SUMIFS('Historical Orders'!$G127, 'Historical Orders'!$C127, "B", 'Historical Orders'!$B127, "1")</f>
        <v>0</v>
      </c>
      <c r="AP127" s="171">
        <f>SUMIFS('Historical Orders'!$G127, 'Historical Orders'!$C127, "A", 'Historical Orders'!$B127, "2")</f>
        <v>0</v>
      </c>
      <c r="AQ127" s="171">
        <f>SUMIFS('Historical Orders'!$G127, 'Historical Orders'!$C127, "B", 'Historical Orders'!$B127, "2")</f>
        <v>21430.6</v>
      </c>
      <c r="AR127" s="145"/>
      <c r="AS127" s="172"/>
      <c r="AT127" s="172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  <c r="BT127" s="172"/>
      <c r="BU127" s="172"/>
      <c r="BV127" s="179"/>
      <c r="BW127" s="179"/>
      <c r="BX127" s="179"/>
      <c r="BY127" s="179"/>
      <c r="BZ127" s="179"/>
      <c r="CA127" s="179"/>
      <c r="CB127" s="179"/>
      <c r="CC127" s="179"/>
      <c r="CD127" s="179"/>
      <c r="CE127" s="179"/>
    </row>
    <row r="128" ht="15.75" customHeight="1">
      <c r="A128" s="151">
        <v>42002.0</v>
      </c>
      <c r="B128" s="152">
        <v>1.0</v>
      </c>
      <c r="C128" s="152" t="s">
        <v>45</v>
      </c>
      <c r="D128" s="152">
        <v>1.0</v>
      </c>
      <c r="E128" s="153">
        <v>5106.0</v>
      </c>
      <c r="F128" s="154">
        <v>2.2</v>
      </c>
      <c r="G128" s="155">
        <v>11233.2</v>
      </c>
      <c r="H128" s="159">
        <f>SUMIFS('Historical Orders'!$E128, 'Historical Orders'!$D128, "1", 'Historical Orders'!$C128, "A", 'Historical Orders'!$B128, "1")</f>
        <v>5106</v>
      </c>
      <c r="I128" s="157">
        <f>SUMIFS('Historical Orders'!$G128, 'Historical Orders'!$D128, "1", 'Historical Orders'!$C128, "A", 'Historical Orders'!$B128, "1")</f>
        <v>11233.2</v>
      </c>
      <c r="J128" s="157">
        <f>SUMIFS('Historical Orders'!$E128, 'Historical Orders'!$D128, "1", 'Historical Orders'!$C128, "B", 'Historical Orders'!$B128, "1")</f>
        <v>0</v>
      </c>
      <c r="K128" s="157">
        <f>SUMIFS('Historical Orders'!$G128, 'Historical Orders'!$D128, "1", 'Historical Orders'!$C128, "B", 'Historical Orders'!$B128, "1")</f>
        <v>0</v>
      </c>
      <c r="L128" s="159">
        <f>SUMIFS('Historical Orders'!$E128, 'Historical Orders'!$D128, "1", 'Historical Orders'!$C128, "A", 'Historical Orders'!$B128, "2")</f>
        <v>0</v>
      </c>
      <c r="M128" s="157">
        <f>SUMIFS('Historical Orders'!$G128, 'Historical Orders'!$D128, "1", 'Historical Orders'!$C128, "A", 'Historical Orders'!$B128, "2")</f>
        <v>0</v>
      </c>
      <c r="N128" s="157">
        <f>SUMIFS('Historical Orders'!$E128, 'Historical Orders'!$D128, "1", 'Historical Orders'!$C128, "B", 'Historical Orders'!$B128, "2")</f>
        <v>0</v>
      </c>
      <c r="O128" s="157">
        <f>SUMIFS('Historical Orders'!$G128, 'Historical Orders'!$D128, "1", 'Historical Orders'!$C128, "B", 'Historical Orders'!$B128, "2")</f>
        <v>0</v>
      </c>
      <c r="P128" s="159">
        <f>SUMIFS('Historical Orders'!$E128, 'Historical Orders'!$D128, "2", 'Historical Orders'!$C128, "A", 'Historical Orders'!$B128, "1")</f>
        <v>0</v>
      </c>
      <c r="Q128" s="157">
        <f>SUMIFS('Historical Orders'!$G128, 'Historical Orders'!$D128, "2", 'Historical Orders'!$C128, "A", 'Historical Orders'!$B128, "1")</f>
        <v>0</v>
      </c>
      <c r="R128" s="159">
        <f>SUMIFS('Historical Orders'!$E128, 'Historical Orders'!$D128, "2", 'Historical Orders'!$C128, "B", 'Historical Orders'!$B128, "1")</f>
        <v>0</v>
      </c>
      <c r="S128" s="157">
        <f>SUMIFS('Historical Orders'!$G128, 'Historical Orders'!$D128, "2", 'Historical Orders'!$C128, "B", 'Historical Orders'!$B128, "1")</f>
        <v>0</v>
      </c>
      <c r="T128" s="159">
        <f>SUMIFS('Historical Orders'!$E128, 'Historical Orders'!$D128, "2", 'Historical Orders'!$C128, "A", 'Historical Orders'!$B128, "2")</f>
        <v>0</v>
      </c>
      <c r="U128" s="157">
        <f>SUMIFS('Historical Orders'!$G128, 'Historical Orders'!$D128, "2", 'Historical Orders'!$C128, "A", 'Historical Orders'!$B128, "2")</f>
        <v>0</v>
      </c>
      <c r="V128" s="159">
        <f>SUMIFS('Historical Orders'!$E128, 'Historical Orders'!$D128, "2", 'Historical Orders'!$C128, "B", 'Historical Orders'!$B128, "2")</f>
        <v>0</v>
      </c>
      <c r="W128" s="159">
        <f>SUMIFS('Historical Orders'!$G128, 'Historical Orders'!$D128, "2", 'Historical Orders'!$C128, "B", 'Historical Orders'!$B128, "2")</f>
        <v>0</v>
      </c>
      <c r="X128" s="159">
        <f>SUMIFS('Historical Orders'!$E128, 'Historical Orders'!$D128, "3", 'Historical Orders'!$C128, "A", 'Historical Orders'!$B128, "1")</f>
        <v>0</v>
      </c>
      <c r="Y128" s="159">
        <f>SUMIFS('Historical Orders'!$G128, 'Historical Orders'!$D128, "3", 'Historical Orders'!$C128, "A", 'Historical Orders'!$B128, "1")</f>
        <v>0</v>
      </c>
      <c r="Z128" s="159">
        <f>SUMIFS('Historical Orders'!$E128, 'Historical Orders'!$D128, "3", 'Historical Orders'!$C128, "B", 'Historical Orders'!$B128, "1")</f>
        <v>0</v>
      </c>
      <c r="AA128" s="159">
        <f>SUMIFS('Historical Orders'!$G128, 'Historical Orders'!$D128, "3", 'Historical Orders'!$C128, "B", 'Historical Orders'!$B128, "1")</f>
        <v>0</v>
      </c>
      <c r="AB128" s="159">
        <f>SUMIFS('Historical Orders'!$E128, 'Historical Orders'!$D128, "3", 'Historical Orders'!$C128, "A", 'Historical Orders'!$B128, "2")</f>
        <v>0</v>
      </c>
      <c r="AC128" s="159">
        <f>SUMIFS('Historical Orders'!$G128, 'Historical Orders'!$D128, "3", 'Historical Orders'!$C128, "A", 'Historical Orders'!$B128, "2")</f>
        <v>0</v>
      </c>
      <c r="AD128" s="159">
        <f>SUMIFS('Historical Orders'!$E128, 'Historical Orders'!$D128, "3", 'Historical Orders'!$C128, "B", 'Historical Orders'!$B128, "2")</f>
        <v>0</v>
      </c>
      <c r="AE128" s="157">
        <f>SUMIFS('Historical Orders'!$G128, 'Historical Orders'!$D128, "3", 'Historical Orders'!$C128, "B", 'Historical Orders'!$B128, "2")</f>
        <v>0</v>
      </c>
      <c r="AF128" s="157">
        <f>SUMIFS('Historical Orders'!$E128, 'Historical Orders'!$D128, "4", 'Historical Orders'!$C128, "A", 'Historical Orders'!$B128, "1")</f>
        <v>0</v>
      </c>
      <c r="AG128" s="157">
        <f>SUMIFS('Historical Orders'!$G128, 'Historical Orders'!$D128, "4", 'Historical Orders'!$C128, "A", 'Historical Orders'!$B128, "1")</f>
        <v>0</v>
      </c>
      <c r="AH128" s="157">
        <f>SUMIFS('Historical Orders'!$E128, 'Historical Orders'!$D128, "4", 'Historical Orders'!$C128, "B", 'Historical Orders'!$B128, "1")</f>
        <v>0</v>
      </c>
      <c r="AI128" s="157">
        <f>SUMIFS('Historical Orders'!$G128, 'Historical Orders'!$D128, "4", 'Historical Orders'!$C128, "B", 'Historical Orders'!$B128, "1")</f>
        <v>0</v>
      </c>
      <c r="AJ128" s="157">
        <f>SUMIFS('Historical Orders'!$E128, 'Historical Orders'!$D128, "4", 'Historical Orders'!$C128, "A", 'Historical Orders'!$B128, "2")</f>
        <v>0</v>
      </c>
      <c r="AK128" s="157">
        <f>SUMIFS('Historical Orders'!$G128, 'Historical Orders'!$D128, "4", 'Historical Orders'!$C128, "A", 'Historical Orders'!$B128, "2")</f>
        <v>0</v>
      </c>
      <c r="AL128" s="171">
        <f>SUMIFS('Historical Orders'!$E128, 'Historical Orders'!$D128, "4", 'Historical Orders'!$C128, "B", 'Historical Orders'!$B128, "2")</f>
        <v>0</v>
      </c>
      <c r="AM128" s="171">
        <f>SUMIFS('Historical Orders'!$G128, 'Historical Orders'!$D128, "4", 'Historical Orders'!$C128, "B", 'Historical Orders'!$B128, "2")</f>
        <v>0</v>
      </c>
      <c r="AN128" s="171">
        <f>SUMIFS('Historical Orders'!$G128, 'Historical Orders'!$C128, "A", 'Historical Orders'!$B128, "1")</f>
        <v>11233.2</v>
      </c>
      <c r="AO128" s="171">
        <f>SUMIFS('Historical Orders'!$G128, 'Historical Orders'!$C128, "B", 'Historical Orders'!$B128, "1")</f>
        <v>0</v>
      </c>
      <c r="AP128" s="171">
        <f>SUMIFS('Historical Orders'!$G128, 'Historical Orders'!$C128, "A", 'Historical Orders'!$B128, "2")</f>
        <v>0</v>
      </c>
      <c r="AQ128" s="171">
        <f>SUMIFS('Historical Orders'!$G128, 'Historical Orders'!$C128, "B", 'Historical Orders'!$B128, "2")</f>
        <v>0</v>
      </c>
      <c r="AR128" s="145"/>
      <c r="AS128" s="172"/>
      <c r="AT128" s="172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  <c r="BT128" s="172"/>
      <c r="BU128" s="172"/>
      <c r="BV128" s="179"/>
      <c r="BW128" s="179"/>
      <c r="BX128" s="179"/>
      <c r="BY128" s="179"/>
      <c r="BZ128" s="179"/>
      <c r="CA128" s="179"/>
      <c r="CB128" s="179"/>
      <c r="CC128" s="179"/>
      <c r="CD128" s="179"/>
      <c r="CE128" s="179"/>
    </row>
    <row r="129" ht="15.75" customHeight="1">
      <c r="A129" s="151">
        <v>42002.0</v>
      </c>
      <c r="B129" s="152">
        <v>1.0</v>
      </c>
      <c r="C129" s="152" t="s">
        <v>45</v>
      </c>
      <c r="D129" s="152">
        <v>2.0</v>
      </c>
      <c r="E129" s="153">
        <v>6522.0</v>
      </c>
      <c r="F129" s="154">
        <v>1.2</v>
      </c>
      <c r="G129" s="155">
        <v>7826.4</v>
      </c>
      <c r="H129" s="159">
        <f>SUMIFS('Historical Orders'!$E129, 'Historical Orders'!$D129, "1", 'Historical Orders'!$C129, "A", 'Historical Orders'!$B129, "1")</f>
        <v>0</v>
      </c>
      <c r="I129" s="157">
        <f>SUMIFS('Historical Orders'!$G129, 'Historical Orders'!$D129, "1", 'Historical Orders'!$C129, "A", 'Historical Orders'!$B129, "1")</f>
        <v>0</v>
      </c>
      <c r="J129" s="157">
        <f>SUMIFS('Historical Orders'!$E129, 'Historical Orders'!$D129, "1", 'Historical Orders'!$C129, "B", 'Historical Orders'!$B129, "1")</f>
        <v>0</v>
      </c>
      <c r="K129" s="157">
        <f>SUMIFS('Historical Orders'!$G129, 'Historical Orders'!$D129, "1", 'Historical Orders'!$C129, "B", 'Historical Orders'!$B129, "1")</f>
        <v>0</v>
      </c>
      <c r="L129" s="159">
        <f>SUMIFS('Historical Orders'!$E129, 'Historical Orders'!$D129, "1", 'Historical Orders'!$C129, "A", 'Historical Orders'!$B129, "2")</f>
        <v>0</v>
      </c>
      <c r="M129" s="157">
        <f>SUMIFS('Historical Orders'!$G129, 'Historical Orders'!$D129, "1", 'Historical Orders'!$C129, "A", 'Historical Orders'!$B129, "2")</f>
        <v>0</v>
      </c>
      <c r="N129" s="157">
        <f>SUMIFS('Historical Orders'!$E129, 'Historical Orders'!$D129, "1", 'Historical Orders'!$C129, "B", 'Historical Orders'!$B129, "2")</f>
        <v>0</v>
      </c>
      <c r="O129" s="157">
        <f>SUMIFS('Historical Orders'!$G129, 'Historical Orders'!$D129, "1", 'Historical Orders'!$C129, "B", 'Historical Orders'!$B129, "2")</f>
        <v>0</v>
      </c>
      <c r="P129" s="159">
        <f>SUMIFS('Historical Orders'!$E129, 'Historical Orders'!$D129, "2", 'Historical Orders'!$C129, "A", 'Historical Orders'!$B129, "1")</f>
        <v>6522</v>
      </c>
      <c r="Q129" s="157">
        <f>SUMIFS('Historical Orders'!$G129, 'Historical Orders'!$D129, "2", 'Historical Orders'!$C129, "A", 'Historical Orders'!$B129, "1")</f>
        <v>7826.4</v>
      </c>
      <c r="R129" s="159">
        <f>SUMIFS('Historical Orders'!$E129, 'Historical Orders'!$D129, "2", 'Historical Orders'!$C129, "B", 'Historical Orders'!$B129, "1")</f>
        <v>0</v>
      </c>
      <c r="S129" s="157">
        <f>SUMIFS('Historical Orders'!$G129, 'Historical Orders'!$D129, "2", 'Historical Orders'!$C129, "B", 'Historical Orders'!$B129, "1")</f>
        <v>0</v>
      </c>
      <c r="T129" s="159">
        <f>SUMIFS('Historical Orders'!$E129, 'Historical Orders'!$D129, "2", 'Historical Orders'!$C129, "A", 'Historical Orders'!$B129, "2")</f>
        <v>0</v>
      </c>
      <c r="U129" s="157">
        <f>SUMIFS('Historical Orders'!$G129, 'Historical Orders'!$D129, "2", 'Historical Orders'!$C129, "A", 'Historical Orders'!$B129, "2")</f>
        <v>0</v>
      </c>
      <c r="V129" s="159">
        <f>SUMIFS('Historical Orders'!$E129, 'Historical Orders'!$D129, "2", 'Historical Orders'!$C129, "B", 'Historical Orders'!$B129, "2")</f>
        <v>0</v>
      </c>
      <c r="W129" s="159">
        <f>SUMIFS('Historical Orders'!$G129, 'Historical Orders'!$D129, "2", 'Historical Orders'!$C129, "B", 'Historical Orders'!$B129, "2")</f>
        <v>0</v>
      </c>
      <c r="X129" s="159">
        <f>SUMIFS('Historical Orders'!$E129, 'Historical Orders'!$D129, "3", 'Historical Orders'!$C129, "A", 'Historical Orders'!$B129, "1")</f>
        <v>0</v>
      </c>
      <c r="Y129" s="159">
        <f>SUMIFS('Historical Orders'!$G129, 'Historical Orders'!$D129, "3", 'Historical Orders'!$C129, "A", 'Historical Orders'!$B129, "1")</f>
        <v>0</v>
      </c>
      <c r="Z129" s="159">
        <f>SUMIFS('Historical Orders'!$E129, 'Historical Orders'!$D129, "3", 'Historical Orders'!$C129, "B", 'Historical Orders'!$B129, "1")</f>
        <v>0</v>
      </c>
      <c r="AA129" s="159">
        <f>SUMIFS('Historical Orders'!$G129, 'Historical Orders'!$D129, "3", 'Historical Orders'!$C129, "B", 'Historical Orders'!$B129, "1")</f>
        <v>0</v>
      </c>
      <c r="AB129" s="159">
        <f>SUMIFS('Historical Orders'!$E129, 'Historical Orders'!$D129, "3", 'Historical Orders'!$C129, "A", 'Historical Orders'!$B129, "2")</f>
        <v>0</v>
      </c>
      <c r="AC129" s="159">
        <f>SUMIFS('Historical Orders'!$G129, 'Historical Orders'!$D129, "3", 'Historical Orders'!$C129, "A", 'Historical Orders'!$B129, "2")</f>
        <v>0</v>
      </c>
      <c r="AD129" s="159">
        <f>SUMIFS('Historical Orders'!$E129, 'Historical Orders'!$D129, "3", 'Historical Orders'!$C129, "B", 'Historical Orders'!$B129, "2")</f>
        <v>0</v>
      </c>
      <c r="AE129" s="157">
        <f>SUMIFS('Historical Orders'!$G129, 'Historical Orders'!$D129, "3", 'Historical Orders'!$C129, "B", 'Historical Orders'!$B129, "2")</f>
        <v>0</v>
      </c>
      <c r="AF129" s="157">
        <f>SUMIFS('Historical Orders'!$E129, 'Historical Orders'!$D129, "4", 'Historical Orders'!$C129, "A", 'Historical Orders'!$B129, "1")</f>
        <v>0</v>
      </c>
      <c r="AG129" s="157">
        <f>SUMIFS('Historical Orders'!$G129, 'Historical Orders'!$D129, "4", 'Historical Orders'!$C129, "A", 'Historical Orders'!$B129, "1")</f>
        <v>0</v>
      </c>
      <c r="AH129" s="157">
        <f>SUMIFS('Historical Orders'!$E129, 'Historical Orders'!$D129, "4", 'Historical Orders'!$C129, "B", 'Historical Orders'!$B129, "1")</f>
        <v>0</v>
      </c>
      <c r="AI129" s="157">
        <f>SUMIFS('Historical Orders'!$G129, 'Historical Orders'!$D129, "4", 'Historical Orders'!$C129, "B", 'Historical Orders'!$B129, "1")</f>
        <v>0</v>
      </c>
      <c r="AJ129" s="157">
        <f>SUMIFS('Historical Orders'!$E129, 'Historical Orders'!$D129, "4", 'Historical Orders'!$C129, "A", 'Historical Orders'!$B129, "2")</f>
        <v>0</v>
      </c>
      <c r="AK129" s="157">
        <f>SUMIFS('Historical Orders'!$G129, 'Historical Orders'!$D129, "4", 'Historical Orders'!$C129, "A", 'Historical Orders'!$B129, "2")</f>
        <v>0</v>
      </c>
      <c r="AL129" s="171">
        <f>SUMIFS('Historical Orders'!$E129, 'Historical Orders'!$D129, "4", 'Historical Orders'!$C129, "B", 'Historical Orders'!$B129, "2")</f>
        <v>0</v>
      </c>
      <c r="AM129" s="171">
        <f>SUMIFS('Historical Orders'!$G129, 'Historical Orders'!$D129, "4", 'Historical Orders'!$C129, "B", 'Historical Orders'!$B129, "2")</f>
        <v>0</v>
      </c>
      <c r="AN129" s="171">
        <f>SUMIFS('Historical Orders'!$G129, 'Historical Orders'!$C129, "A", 'Historical Orders'!$B129, "1")</f>
        <v>7826.4</v>
      </c>
      <c r="AO129" s="171">
        <f>SUMIFS('Historical Orders'!$G129, 'Historical Orders'!$C129, "B", 'Historical Orders'!$B129, "1")</f>
        <v>0</v>
      </c>
      <c r="AP129" s="171">
        <f>SUMIFS('Historical Orders'!$G129, 'Historical Orders'!$C129, "A", 'Historical Orders'!$B129, "2")</f>
        <v>0</v>
      </c>
      <c r="AQ129" s="171">
        <f>SUMIFS('Historical Orders'!$G129, 'Historical Orders'!$C129, "B", 'Historical Orders'!$B129, "2")</f>
        <v>0</v>
      </c>
      <c r="AR129" s="145"/>
      <c r="AS129" s="172"/>
      <c r="AT129" s="172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  <c r="BT129" s="172"/>
      <c r="BU129" s="172"/>
      <c r="BV129" s="179"/>
      <c r="BW129" s="179"/>
      <c r="BX129" s="179"/>
      <c r="BY129" s="179"/>
      <c r="BZ129" s="179"/>
      <c r="CA129" s="179"/>
      <c r="CB129" s="179"/>
      <c r="CC129" s="179"/>
      <c r="CD129" s="179"/>
      <c r="CE129" s="179"/>
    </row>
    <row r="130" ht="15.75" customHeight="1">
      <c r="A130" s="151">
        <v>42002.0</v>
      </c>
      <c r="B130" s="152">
        <v>2.0</v>
      </c>
      <c r="C130" s="152" t="s">
        <v>45</v>
      </c>
      <c r="D130" s="152">
        <v>1.0</v>
      </c>
      <c r="E130" s="153">
        <v>4294.0</v>
      </c>
      <c r="F130" s="154">
        <v>2.2</v>
      </c>
      <c r="G130" s="155">
        <v>9446.800000000001</v>
      </c>
      <c r="H130" s="159">
        <f>SUMIFS('Historical Orders'!$E130, 'Historical Orders'!$D130, "1", 'Historical Orders'!$C130, "A", 'Historical Orders'!$B130, "1")</f>
        <v>0</v>
      </c>
      <c r="I130" s="157">
        <f>SUMIFS('Historical Orders'!$G130, 'Historical Orders'!$D130, "1", 'Historical Orders'!$C130, "A", 'Historical Orders'!$B130, "1")</f>
        <v>0</v>
      </c>
      <c r="J130" s="157">
        <f>SUMIFS('Historical Orders'!$E130, 'Historical Orders'!$D130, "1", 'Historical Orders'!$C130, "B", 'Historical Orders'!$B130, "1")</f>
        <v>0</v>
      </c>
      <c r="K130" s="157">
        <f>SUMIFS('Historical Orders'!$G130, 'Historical Orders'!$D130, "1", 'Historical Orders'!$C130, "B", 'Historical Orders'!$B130, "1")</f>
        <v>0</v>
      </c>
      <c r="L130" s="159">
        <f>SUMIFS('Historical Orders'!$E130, 'Historical Orders'!$D130, "1", 'Historical Orders'!$C130, "A", 'Historical Orders'!$B130, "2")</f>
        <v>4294</v>
      </c>
      <c r="M130" s="157">
        <f>SUMIFS('Historical Orders'!$G130, 'Historical Orders'!$D130, "1", 'Historical Orders'!$C130, "A", 'Historical Orders'!$B130, "2")</f>
        <v>9446.8</v>
      </c>
      <c r="N130" s="157">
        <f>SUMIFS('Historical Orders'!$E130, 'Historical Orders'!$D130, "1", 'Historical Orders'!$C130, "B", 'Historical Orders'!$B130, "2")</f>
        <v>0</v>
      </c>
      <c r="O130" s="157">
        <f>SUMIFS('Historical Orders'!$G130, 'Historical Orders'!$D130, "1", 'Historical Orders'!$C130, "B", 'Historical Orders'!$B130, "2")</f>
        <v>0</v>
      </c>
      <c r="P130" s="159">
        <f>SUMIFS('Historical Orders'!$E130, 'Historical Orders'!$D130, "2", 'Historical Orders'!$C130, "A", 'Historical Orders'!$B130, "1")</f>
        <v>0</v>
      </c>
      <c r="Q130" s="157">
        <f>SUMIFS('Historical Orders'!$G130, 'Historical Orders'!$D130, "2", 'Historical Orders'!$C130, "A", 'Historical Orders'!$B130, "1")</f>
        <v>0</v>
      </c>
      <c r="R130" s="159">
        <f>SUMIFS('Historical Orders'!$E130, 'Historical Orders'!$D130, "2", 'Historical Orders'!$C130, "B", 'Historical Orders'!$B130, "1")</f>
        <v>0</v>
      </c>
      <c r="S130" s="157">
        <f>SUMIFS('Historical Orders'!$G130, 'Historical Orders'!$D130, "2", 'Historical Orders'!$C130, "B", 'Historical Orders'!$B130, "1")</f>
        <v>0</v>
      </c>
      <c r="T130" s="159">
        <f>SUMIFS('Historical Orders'!$E130, 'Historical Orders'!$D130, "2", 'Historical Orders'!$C130, "A", 'Historical Orders'!$B130, "2")</f>
        <v>0</v>
      </c>
      <c r="U130" s="157">
        <f>SUMIFS('Historical Orders'!$G130, 'Historical Orders'!$D130, "2", 'Historical Orders'!$C130, "A", 'Historical Orders'!$B130, "2")</f>
        <v>0</v>
      </c>
      <c r="V130" s="159">
        <f>SUMIFS('Historical Orders'!$E130, 'Historical Orders'!$D130, "2", 'Historical Orders'!$C130, "B", 'Historical Orders'!$B130, "2")</f>
        <v>0</v>
      </c>
      <c r="W130" s="159">
        <f>SUMIFS('Historical Orders'!$G130, 'Historical Orders'!$D130, "2", 'Historical Orders'!$C130, "B", 'Historical Orders'!$B130, "2")</f>
        <v>0</v>
      </c>
      <c r="X130" s="159">
        <f>SUMIFS('Historical Orders'!$E130, 'Historical Orders'!$D130, "3", 'Historical Orders'!$C130, "A", 'Historical Orders'!$B130, "1")</f>
        <v>0</v>
      </c>
      <c r="Y130" s="159">
        <f>SUMIFS('Historical Orders'!$G130, 'Historical Orders'!$D130, "3", 'Historical Orders'!$C130, "A", 'Historical Orders'!$B130, "1")</f>
        <v>0</v>
      </c>
      <c r="Z130" s="159">
        <f>SUMIFS('Historical Orders'!$E130, 'Historical Orders'!$D130, "3", 'Historical Orders'!$C130, "B", 'Historical Orders'!$B130, "1")</f>
        <v>0</v>
      </c>
      <c r="AA130" s="159">
        <f>SUMIFS('Historical Orders'!$G130, 'Historical Orders'!$D130, "3", 'Historical Orders'!$C130, "B", 'Historical Orders'!$B130, "1")</f>
        <v>0</v>
      </c>
      <c r="AB130" s="159">
        <f>SUMIFS('Historical Orders'!$E130, 'Historical Orders'!$D130, "3", 'Historical Orders'!$C130, "A", 'Historical Orders'!$B130, "2")</f>
        <v>0</v>
      </c>
      <c r="AC130" s="159">
        <f>SUMIFS('Historical Orders'!$G130, 'Historical Orders'!$D130, "3", 'Historical Orders'!$C130, "A", 'Historical Orders'!$B130, "2")</f>
        <v>0</v>
      </c>
      <c r="AD130" s="159">
        <f>SUMIFS('Historical Orders'!$E130, 'Historical Orders'!$D130, "3", 'Historical Orders'!$C130, "B", 'Historical Orders'!$B130, "2")</f>
        <v>0</v>
      </c>
      <c r="AE130" s="157">
        <f>SUMIFS('Historical Orders'!$G130, 'Historical Orders'!$D130, "3", 'Historical Orders'!$C130, "B", 'Historical Orders'!$B130, "2")</f>
        <v>0</v>
      </c>
      <c r="AF130" s="157">
        <f>SUMIFS('Historical Orders'!$E130, 'Historical Orders'!$D130, "4", 'Historical Orders'!$C130, "A", 'Historical Orders'!$B130, "1")</f>
        <v>0</v>
      </c>
      <c r="AG130" s="157">
        <f>SUMIFS('Historical Orders'!$G130, 'Historical Orders'!$D130, "4", 'Historical Orders'!$C130, "A", 'Historical Orders'!$B130, "1")</f>
        <v>0</v>
      </c>
      <c r="AH130" s="157">
        <f>SUMIFS('Historical Orders'!$E130, 'Historical Orders'!$D130, "4", 'Historical Orders'!$C130, "B", 'Historical Orders'!$B130, "1")</f>
        <v>0</v>
      </c>
      <c r="AI130" s="157">
        <f>SUMIFS('Historical Orders'!$G130, 'Historical Orders'!$D130, "4", 'Historical Orders'!$C130, "B", 'Historical Orders'!$B130, "1")</f>
        <v>0</v>
      </c>
      <c r="AJ130" s="157">
        <f>SUMIFS('Historical Orders'!$E130, 'Historical Orders'!$D130, "4", 'Historical Orders'!$C130, "A", 'Historical Orders'!$B130, "2")</f>
        <v>0</v>
      </c>
      <c r="AK130" s="157">
        <f>SUMIFS('Historical Orders'!$G130, 'Historical Orders'!$D130, "4", 'Historical Orders'!$C130, "A", 'Historical Orders'!$B130, "2")</f>
        <v>0</v>
      </c>
      <c r="AL130" s="171">
        <f>SUMIFS('Historical Orders'!$E130, 'Historical Orders'!$D130, "4", 'Historical Orders'!$C130, "B", 'Historical Orders'!$B130, "2")</f>
        <v>0</v>
      </c>
      <c r="AM130" s="171">
        <f>SUMIFS('Historical Orders'!$G130, 'Historical Orders'!$D130, "4", 'Historical Orders'!$C130, "B", 'Historical Orders'!$B130, "2")</f>
        <v>0</v>
      </c>
      <c r="AN130" s="171">
        <f>SUMIFS('Historical Orders'!$G130, 'Historical Orders'!$C130, "A", 'Historical Orders'!$B130, "1")</f>
        <v>0</v>
      </c>
      <c r="AO130" s="171">
        <f>SUMIFS('Historical Orders'!$G130, 'Historical Orders'!$C130, "B", 'Historical Orders'!$B130, "1")</f>
        <v>0</v>
      </c>
      <c r="AP130" s="171">
        <f>SUMIFS('Historical Orders'!$G130, 'Historical Orders'!$C130, "A", 'Historical Orders'!$B130, "2")</f>
        <v>9446.8</v>
      </c>
      <c r="AQ130" s="171">
        <f>SUMIFS('Historical Orders'!$G130, 'Historical Orders'!$C130, "B", 'Historical Orders'!$B130, "2")</f>
        <v>0</v>
      </c>
      <c r="AR130" s="145"/>
      <c r="AS130" s="172"/>
      <c r="AT130" s="172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  <c r="BT130" s="172"/>
      <c r="BU130" s="172"/>
      <c r="BV130" s="179"/>
      <c r="BW130" s="179"/>
      <c r="BX130" s="179"/>
      <c r="BY130" s="179"/>
      <c r="BZ130" s="179"/>
      <c r="CA130" s="179"/>
      <c r="CB130" s="179"/>
      <c r="CC130" s="179"/>
      <c r="CD130" s="179"/>
      <c r="CE130" s="179"/>
    </row>
    <row r="131" ht="15.75" customHeight="1">
      <c r="A131" s="151">
        <v>42002.0</v>
      </c>
      <c r="B131" s="152">
        <v>2.0</v>
      </c>
      <c r="C131" s="152" t="s">
        <v>45</v>
      </c>
      <c r="D131" s="152">
        <v>2.0</v>
      </c>
      <c r="E131" s="153">
        <v>7873.0</v>
      </c>
      <c r="F131" s="154">
        <v>1.2</v>
      </c>
      <c r="G131" s="155">
        <v>9447.6</v>
      </c>
      <c r="H131" s="159">
        <f>SUMIFS('Historical Orders'!$E131, 'Historical Orders'!$D131, "1", 'Historical Orders'!$C131, "A", 'Historical Orders'!$B131, "1")</f>
        <v>0</v>
      </c>
      <c r="I131" s="157">
        <f>SUMIFS('Historical Orders'!$G131, 'Historical Orders'!$D131, "1", 'Historical Orders'!$C131, "A", 'Historical Orders'!$B131, "1")</f>
        <v>0</v>
      </c>
      <c r="J131" s="157">
        <f>SUMIFS('Historical Orders'!$E131, 'Historical Orders'!$D131, "1", 'Historical Orders'!$C131, "B", 'Historical Orders'!$B131, "1")</f>
        <v>0</v>
      </c>
      <c r="K131" s="157">
        <f>SUMIFS('Historical Orders'!$G131, 'Historical Orders'!$D131, "1", 'Historical Orders'!$C131, "B", 'Historical Orders'!$B131, "1")</f>
        <v>0</v>
      </c>
      <c r="L131" s="159">
        <f>SUMIFS('Historical Orders'!$E131, 'Historical Orders'!$D131, "1", 'Historical Orders'!$C131, "A", 'Historical Orders'!$B131, "2")</f>
        <v>0</v>
      </c>
      <c r="M131" s="157">
        <f>SUMIFS('Historical Orders'!$G131, 'Historical Orders'!$D131, "1", 'Historical Orders'!$C131, "A", 'Historical Orders'!$B131, "2")</f>
        <v>0</v>
      </c>
      <c r="N131" s="157">
        <f>SUMIFS('Historical Orders'!$E131, 'Historical Orders'!$D131, "1", 'Historical Orders'!$C131, "B", 'Historical Orders'!$B131, "2")</f>
        <v>0</v>
      </c>
      <c r="O131" s="157">
        <f>SUMIFS('Historical Orders'!$G131, 'Historical Orders'!$D131, "1", 'Historical Orders'!$C131, "B", 'Historical Orders'!$B131, "2")</f>
        <v>0</v>
      </c>
      <c r="P131" s="159">
        <f>SUMIFS('Historical Orders'!$E131, 'Historical Orders'!$D131, "2", 'Historical Orders'!$C131, "A", 'Historical Orders'!$B131, "1")</f>
        <v>0</v>
      </c>
      <c r="Q131" s="157">
        <f>SUMIFS('Historical Orders'!$G131, 'Historical Orders'!$D131, "2", 'Historical Orders'!$C131, "A", 'Historical Orders'!$B131, "1")</f>
        <v>0</v>
      </c>
      <c r="R131" s="159">
        <f>SUMIFS('Historical Orders'!$E131, 'Historical Orders'!$D131, "2", 'Historical Orders'!$C131, "B", 'Historical Orders'!$B131, "1")</f>
        <v>0</v>
      </c>
      <c r="S131" s="157">
        <f>SUMIFS('Historical Orders'!$G131, 'Historical Orders'!$D131, "2", 'Historical Orders'!$C131, "B", 'Historical Orders'!$B131, "1")</f>
        <v>0</v>
      </c>
      <c r="T131" s="159">
        <f>SUMIFS('Historical Orders'!$E131, 'Historical Orders'!$D131, "2", 'Historical Orders'!$C131, "A", 'Historical Orders'!$B131, "2")</f>
        <v>7873</v>
      </c>
      <c r="U131" s="157">
        <f>SUMIFS('Historical Orders'!$G131, 'Historical Orders'!$D131, "2", 'Historical Orders'!$C131, "A", 'Historical Orders'!$B131, "2")</f>
        <v>9447.6</v>
      </c>
      <c r="V131" s="159">
        <f>SUMIFS('Historical Orders'!$E131, 'Historical Orders'!$D131, "2", 'Historical Orders'!$C131, "B", 'Historical Orders'!$B131, "2")</f>
        <v>0</v>
      </c>
      <c r="W131" s="159">
        <f>SUMIFS('Historical Orders'!$G131, 'Historical Orders'!$D131, "2", 'Historical Orders'!$C131, "B", 'Historical Orders'!$B131, "2")</f>
        <v>0</v>
      </c>
      <c r="X131" s="159">
        <f>SUMIFS('Historical Orders'!$E131, 'Historical Orders'!$D131, "3", 'Historical Orders'!$C131, "A", 'Historical Orders'!$B131, "1")</f>
        <v>0</v>
      </c>
      <c r="Y131" s="159">
        <f>SUMIFS('Historical Orders'!$G131, 'Historical Orders'!$D131, "3", 'Historical Orders'!$C131, "A", 'Historical Orders'!$B131, "1")</f>
        <v>0</v>
      </c>
      <c r="Z131" s="159">
        <f>SUMIFS('Historical Orders'!$E131, 'Historical Orders'!$D131, "3", 'Historical Orders'!$C131, "B", 'Historical Orders'!$B131, "1")</f>
        <v>0</v>
      </c>
      <c r="AA131" s="159">
        <f>SUMIFS('Historical Orders'!$G131, 'Historical Orders'!$D131, "3", 'Historical Orders'!$C131, "B", 'Historical Orders'!$B131, "1")</f>
        <v>0</v>
      </c>
      <c r="AB131" s="159">
        <f>SUMIFS('Historical Orders'!$E131, 'Historical Orders'!$D131, "3", 'Historical Orders'!$C131, "A", 'Historical Orders'!$B131, "2")</f>
        <v>0</v>
      </c>
      <c r="AC131" s="159">
        <f>SUMIFS('Historical Orders'!$G131, 'Historical Orders'!$D131, "3", 'Historical Orders'!$C131, "A", 'Historical Orders'!$B131, "2")</f>
        <v>0</v>
      </c>
      <c r="AD131" s="159">
        <f>SUMIFS('Historical Orders'!$E131, 'Historical Orders'!$D131, "3", 'Historical Orders'!$C131, "B", 'Historical Orders'!$B131, "2")</f>
        <v>0</v>
      </c>
      <c r="AE131" s="157">
        <f>SUMIFS('Historical Orders'!$G131, 'Historical Orders'!$D131, "3", 'Historical Orders'!$C131, "B", 'Historical Orders'!$B131, "2")</f>
        <v>0</v>
      </c>
      <c r="AF131" s="157">
        <f>SUMIFS('Historical Orders'!$E131, 'Historical Orders'!$D131, "4", 'Historical Orders'!$C131, "A", 'Historical Orders'!$B131, "1")</f>
        <v>0</v>
      </c>
      <c r="AG131" s="157">
        <f>SUMIFS('Historical Orders'!$G131, 'Historical Orders'!$D131, "4", 'Historical Orders'!$C131, "A", 'Historical Orders'!$B131, "1")</f>
        <v>0</v>
      </c>
      <c r="AH131" s="157">
        <f>SUMIFS('Historical Orders'!$E131, 'Historical Orders'!$D131, "4", 'Historical Orders'!$C131, "B", 'Historical Orders'!$B131, "1")</f>
        <v>0</v>
      </c>
      <c r="AI131" s="157">
        <f>SUMIFS('Historical Orders'!$G131, 'Historical Orders'!$D131, "4", 'Historical Orders'!$C131, "B", 'Historical Orders'!$B131, "1")</f>
        <v>0</v>
      </c>
      <c r="AJ131" s="157">
        <f>SUMIFS('Historical Orders'!$E131, 'Historical Orders'!$D131, "4", 'Historical Orders'!$C131, "A", 'Historical Orders'!$B131, "2")</f>
        <v>0</v>
      </c>
      <c r="AK131" s="157">
        <f>SUMIFS('Historical Orders'!$G131, 'Historical Orders'!$D131, "4", 'Historical Orders'!$C131, "A", 'Historical Orders'!$B131, "2")</f>
        <v>0</v>
      </c>
      <c r="AL131" s="171">
        <f>SUMIFS('Historical Orders'!$E131, 'Historical Orders'!$D131, "4", 'Historical Orders'!$C131, "B", 'Historical Orders'!$B131, "2")</f>
        <v>0</v>
      </c>
      <c r="AM131" s="171">
        <f>SUMIFS('Historical Orders'!$G131, 'Historical Orders'!$D131, "4", 'Historical Orders'!$C131, "B", 'Historical Orders'!$B131, "2")</f>
        <v>0</v>
      </c>
      <c r="AN131" s="171">
        <f>SUMIFS('Historical Orders'!$G131, 'Historical Orders'!$C131, "A", 'Historical Orders'!$B131, "1")</f>
        <v>0</v>
      </c>
      <c r="AO131" s="171">
        <f>SUMIFS('Historical Orders'!$G131, 'Historical Orders'!$C131, "B", 'Historical Orders'!$B131, "1")</f>
        <v>0</v>
      </c>
      <c r="AP131" s="171">
        <f>SUMIFS('Historical Orders'!$G131, 'Historical Orders'!$C131, "A", 'Historical Orders'!$B131, "2")</f>
        <v>9447.6</v>
      </c>
      <c r="AQ131" s="171">
        <f>SUMIFS('Historical Orders'!$G131, 'Historical Orders'!$C131, "B", 'Historical Orders'!$B131, "2")</f>
        <v>0</v>
      </c>
      <c r="AR131" s="145"/>
      <c r="AS131" s="172"/>
      <c r="AT131" s="172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  <c r="BT131" s="172"/>
      <c r="BU131" s="172"/>
      <c r="BV131" s="179"/>
      <c r="BW131" s="179"/>
      <c r="BX131" s="179"/>
      <c r="BY131" s="179"/>
      <c r="BZ131" s="179"/>
      <c r="CA131" s="179"/>
      <c r="CB131" s="179"/>
      <c r="CC131" s="179"/>
      <c r="CD131" s="179"/>
      <c r="CE131" s="179"/>
    </row>
    <row r="132" ht="15.75" customHeight="1">
      <c r="A132" s="151">
        <v>42002.0</v>
      </c>
      <c r="B132" s="152">
        <v>1.0</v>
      </c>
      <c r="C132" s="152" t="s">
        <v>46</v>
      </c>
      <c r="D132" s="152">
        <v>3.0</v>
      </c>
      <c r="E132" s="153">
        <v>2102.0</v>
      </c>
      <c r="F132" s="154">
        <v>8.3</v>
      </c>
      <c r="G132" s="155">
        <v>17446.600000000002</v>
      </c>
      <c r="H132" s="159">
        <f>SUMIFS('Historical Orders'!$E132, 'Historical Orders'!$D132, "1", 'Historical Orders'!$C132, "A", 'Historical Orders'!$B132, "1")</f>
        <v>0</v>
      </c>
      <c r="I132" s="157">
        <f>SUMIFS('Historical Orders'!$G132, 'Historical Orders'!$D132, "1", 'Historical Orders'!$C132, "A", 'Historical Orders'!$B132, "1")</f>
        <v>0</v>
      </c>
      <c r="J132" s="157">
        <f>SUMIFS('Historical Orders'!$E132, 'Historical Orders'!$D132, "1", 'Historical Orders'!$C132, "B", 'Historical Orders'!$B132, "1")</f>
        <v>0</v>
      </c>
      <c r="K132" s="157">
        <f>SUMIFS('Historical Orders'!$G132, 'Historical Orders'!$D132, "1", 'Historical Orders'!$C132, "B", 'Historical Orders'!$B132, "1")</f>
        <v>0</v>
      </c>
      <c r="L132" s="159">
        <f>SUMIFS('Historical Orders'!$E132, 'Historical Orders'!$D132, "1", 'Historical Orders'!$C132, "A", 'Historical Orders'!$B132, "2")</f>
        <v>0</v>
      </c>
      <c r="M132" s="157">
        <f>SUMIFS('Historical Orders'!$G132, 'Historical Orders'!$D132, "1", 'Historical Orders'!$C132, "A", 'Historical Orders'!$B132, "2")</f>
        <v>0</v>
      </c>
      <c r="N132" s="157">
        <f>SUMIFS('Historical Orders'!$E132, 'Historical Orders'!$D132, "1", 'Historical Orders'!$C132, "B", 'Historical Orders'!$B132, "2")</f>
        <v>0</v>
      </c>
      <c r="O132" s="157">
        <f>SUMIFS('Historical Orders'!$G132, 'Historical Orders'!$D132, "1", 'Historical Orders'!$C132, "B", 'Historical Orders'!$B132, "2")</f>
        <v>0</v>
      </c>
      <c r="P132" s="159">
        <f>SUMIFS('Historical Orders'!$E132, 'Historical Orders'!$D132, "2", 'Historical Orders'!$C132, "A", 'Historical Orders'!$B132, "1")</f>
        <v>0</v>
      </c>
      <c r="Q132" s="157">
        <f>SUMIFS('Historical Orders'!$G132, 'Historical Orders'!$D132, "2", 'Historical Orders'!$C132, "A", 'Historical Orders'!$B132, "1")</f>
        <v>0</v>
      </c>
      <c r="R132" s="159">
        <f>SUMIFS('Historical Orders'!$E132, 'Historical Orders'!$D132, "2", 'Historical Orders'!$C132, "B", 'Historical Orders'!$B132, "1")</f>
        <v>0</v>
      </c>
      <c r="S132" s="157">
        <f>SUMIFS('Historical Orders'!$G132, 'Historical Orders'!$D132, "2", 'Historical Orders'!$C132, "B", 'Historical Orders'!$B132, "1")</f>
        <v>0</v>
      </c>
      <c r="T132" s="159">
        <f>SUMIFS('Historical Orders'!$E132, 'Historical Orders'!$D132, "2", 'Historical Orders'!$C132, "A", 'Historical Orders'!$B132, "2")</f>
        <v>0</v>
      </c>
      <c r="U132" s="157">
        <f>SUMIFS('Historical Orders'!$G132, 'Historical Orders'!$D132, "2", 'Historical Orders'!$C132, "A", 'Historical Orders'!$B132, "2")</f>
        <v>0</v>
      </c>
      <c r="V132" s="159">
        <f>SUMIFS('Historical Orders'!$E132, 'Historical Orders'!$D132, "2", 'Historical Orders'!$C132, "B", 'Historical Orders'!$B132, "2")</f>
        <v>0</v>
      </c>
      <c r="W132" s="159">
        <f>SUMIFS('Historical Orders'!$G132, 'Historical Orders'!$D132, "2", 'Historical Orders'!$C132, "B", 'Historical Orders'!$B132, "2")</f>
        <v>0</v>
      </c>
      <c r="X132" s="159">
        <f>SUMIFS('Historical Orders'!$E132, 'Historical Orders'!$D132, "3", 'Historical Orders'!$C132, "A", 'Historical Orders'!$B132, "1")</f>
        <v>0</v>
      </c>
      <c r="Y132" s="159">
        <f>SUMIFS('Historical Orders'!$G132, 'Historical Orders'!$D132, "3", 'Historical Orders'!$C132, "A", 'Historical Orders'!$B132, "1")</f>
        <v>0</v>
      </c>
      <c r="Z132" s="159">
        <f>SUMIFS('Historical Orders'!$E132, 'Historical Orders'!$D132, "3", 'Historical Orders'!$C132, "B", 'Historical Orders'!$B132, "1")</f>
        <v>2102</v>
      </c>
      <c r="AA132" s="159">
        <f>SUMIFS('Historical Orders'!$G132, 'Historical Orders'!$D132, "3", 'Historical Orders'!$C132, "B", 'Historical Orders'!$B132, "1")</f>
        <v>17446.6</v>
      </c>
      <c r="AB132" s="159">
        <f>SUMIFS('Historical Orders'!$E132, 'Historical Orders'!$D132, "3", 'Historical Orders'!$C132, "A", 'Historical Orders'!$B132, "2")</f>
        <v>0</v>
      </c>
      <c r="AC132" s="159">
        <f>SUMIFS('Historical Orders'!$G132, 'Historical Orders'!$D132, "3", 'Historical Orders'!$C132, "A", 'Historical Orders'!$B132, "2")</f>
        <v>0</v>
      </c>
      <c r="AD132" s="159">
        <f>SUMIFS('Historical Orders'!$E132, 'Historical Orders'!$D132, "3", 'Historical Orders'!$C132, "B", 'Historical Orders'!$B132, "2")</f>
        <v>0</v>
      </c>
      <c r="AE132" s="157">
        <f>SUMIFS('Historical Orders'!$G132, 'Historical Orders'!$D132, "3", 'Historical Orders'!$C132, "B", 'Historical Orders'!$B132, "2")</f>
        <v>0</v>
      </c>
      <c r="AF132" s="157">
        <f>SUMIFS('Historical Orders'!$E132, 'Historical Orders'!$D132, "4", 'Historical Orders'!$C132, "A", 'Historical Orders'!$B132, "1")</f>
        <v>0</v>
      </c>
      <c r="AG132" s="157">
        <f>SUMIFS('Historical Orders'!$G132, 'Historical Orders'!$D132, "4", 'Historical Orders'!$C132, "A", 'Historical Orders'!$B132, "1")</f>
        <v>0</v>
      </c>
      <c r="AH132" s="157">
        <f>SUMIFS('Historical Orders'!$E132, 'Historical Orders'!$D132, "4", 'Historical Orders'!$C132, "B", 'Historical Orders'!$B132, "1")</f>
        <v>0</v>
      </c>
      <c r="AI132" s="157">
        <f>SUMIFS('Historical Orders'!$G132, 'Historical Orders'!$D132, "4", 'Historical Orders'!$C132, "B", 'Historical Orders'!$B132, "1")</f>
        <v>0</v>
      </c>
      <c r="AJ132" s="157">
        <f>SUMIFS('Historical Orders'!$E132, 'Historical Orders'!$D132, "4", 'Historical Orders'!$C132, "A", 'Historical Orders'!$B132, "2")</f>
        <v>0</v>
      </c>
      <c r="AK132" s="157">
        <f>SUMIFS('Historical Orders'!$G132, 'Historical Orders'!$D132, "4", 'Historical Orders'!$C132, "A", 'Historical Orders'!$B132, "2")</f>
        <v>0</v>
      </c>
      <c r="AL132" s="171">
        <f>SUMIFS('Historical Orders'!$E132, 'Historical Orders'!$D132, "4", 'Historical Orders'!$C132, "B", 'Historical Orders'!$B132, "2")</f>
        <v>0</v>
      </c>
      <c r="AM132" s="171">
        <f>SUMIFS('Historical Orders'!$G132, 'Historical Orders'!$D132, "4", 'Historical Orders'!$C132, "B", 'Historical Orders'!$B132, "2")</f>
        <v>0</v>
      </c>
      <c r="AN132" s="171">
        <f>SUMIFS('Historical Orders'!$G132, 'Historical Orders'!$C132, "A", 'Historical Orders'!$B132, "1")</f>
        <v>0</v>
      </c>
      <c r="AO132" s="171">
        <f>SUMIFS('Historical Orders'!$G132, 'Historical Orders'!$C132, "B", 'Historical Orders'!$B132, "1")</f>
        <v>17446.6</v>
      </c>
      <c r="AP132" s="171">
        <f>SUMIFS('Historical Orders'!$G132, 'Historical Orders'!$C132, "A", 'Historical Orders'!$B132, "2")</f>
        <v>0</v>
      </c>
      <c r="AQ132" s="171">
        <f>SUMIFS('Historical Orders'!$G132, 'Historical Orders'!$C132, "B", 'Historical Orders'!$B132, "2")</f>
        <v>0</v>
      </c>
      <c r="AR132" s="145"/>
      <c r="AS132" s="172"/>
      <c r="AT132" s="172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2"/>
      <c r="BV132" s="179"/>
      <c r="BW132" s="179"/>
      <c r="BX132" s="179"/>
      <c r="BY132" s="179"/>
      <c r="BZ132" s="179"/>
      <c r="CA132" s="179"/>
      <c r="CB132" s="179"/>
      <c r="CC132" s="179"/>
      <c r="CD132" s="179"/>
      <c r="CE132" s="179"/>
    </row>
    <row r="133" ht="15.75" customHeight="1">
      <c r="A133" s="151">
        <v>42002.0</v>
      </c>
      <c r="B133" s="152">
        <v>2.0</v>
      </c>
      <c r="C133" s="152" t="s">
        <v>46</v>
      </c>
      <c r="D133" s="152">
        <v>3.0</v>
      </c>
      <c r="E133" s="153">
        <v>2855.0</v>
      </c>
      <c r="F133" s="154">
        <v>8.3</v>
      </c>
      <c r="G133" s="155">
        <v>23696.500000000004</v>
      </c>
      <c r="H133" s="159">
        <f>SUMIFS('Historical Orders'!$E133, 'Historical Orders'!$D133, "1", 'Historical Orders'!$C133, "A", 'Historical Orders'!$B133, "1")</f>
        <v>0</v>
      </c>
      <c r="I133" s="157">
        <f>SUMIFS('Historical Orders'!$G133, 'Historical Orders'!$D133, "1", 'Historical Orders'!$C133, "A", 'Historical Orders'!$B133, "1")</f>
        <v>0</v>
      </c>
      <c r="J133" s="157">
        <f>SUMIFS('Historical Orders'!$E133, 'Historical Orders'!$D133, "1", 'Historical Orders'!$C133, "B", 'Historical Orders'!$B133, "1")</f>
        <v>0</v>
      </c>
      <c r="K133" s="157">
        <f>SUMIFS('Historical Orders'!$G133, 'Historical Orders'!$D133, "1", 'Historical Orders'!$C133, "B", 'Historical Orders'!$B133, "1")</f>
        <v>0</v>
      </c>
      <c r="L133" s="159">
        <f>SUMIFS('Historical Orders'!$E133, 'Historical Orders'!$D133, "1", 'Historical Orders'!$C133, "A", 'Historical Orders'!$B133, "2")</f>
        <v>0</v>
      </c>
      <c r="M133" s="157">
        <f>SUMIFS('Historical Orders'!$G133, 'Historical Orders'!$D133, "1", 'Historical Orders'!$C133, "A", 'Historical Orders'!$B133, "2")</f>
        <v>0</v>
      </c>
      <c r="N133" s="157">
        <f>SUMIFS('Historical Orders'!$E133, 'Historical Orders'!$D133, "1", 'Historical Orders'!$C133, "B", 'Historical Orders'!$B133, "2")</f>
        <v>0</v>
      </c>
      <c r="O133" s="157">
        <f>SUMIFS('Historical Orders'!$G133, 'Historical Orders'!$D133, "1", 'Historical Orders'!$C133, "B", 'Historical Orders'!$B133, "2")</f>
        <v>0</v>
      </c>
      <c r="P133" s="159">
        <f>SUMIFS('Historical Orders'!$E133, 'Historical Orders'!$D133, "2", 'Historical Orders'!$C133, "A", 'Historical Orders'!$B133, "1")</f>
        <v>0</v>
      </c>
      <c r="Q133" s="157">
        <f>SUMIFS('Historical Orders'!$G133, 'Historical Orders'!$D133, "2", 'Historical Orders'!$C133, "A", 'Historical Orders'!$B133, "1")</f>
        <v>0</v>
      </c>
      <c r="R133" s="159">
        <f>SUMIFS('Historical Orders'!$E133, 'Historical Orders'!$D133, "2", 'Historical Orders'!$C133, "B", 'Historical Orders'!$B133, "1")</f>
        <v>0</v>
      </c>
      <c r="S133" s="157">
        <f>SUMIFS('Historical Orders'!$G133, 'Historical Orders'!$D133, "2", 'Historical Orders'!$C133, "B", 'Historical Orders'!$B133, "1")</f>
        <v>0</v>
      </c>
      <c r="T133" s="159">
        <f>SUMIFS('Historical Orders'!$E133, 'Historical Orders'!$D133, "2", 'Historical Orders'!$C133, "A", 'Historical Orders'!$B133, "2")</f>
        <v>0</v>
      </c>
      <c r="U133" s="157">
        <f>SUMIFS('Historical Orders'!$G133, 'Historical Orders'!$D133, "2", 'Historical Orders'!$C133, "A", 'Historical Orders'!$B133, "2")</f>
        <v>0</v>
      </c>
      <c r="V133" s="159">
        <f>SUMIFS('Historical Orders'!$E133, 'Historical Orders'!$D133, "2", 'Historical Orders'!$C133, "B", 'Historical Orders'!$B133, "2")</f>
        <v>0</v>
      </c>
      <c r="W133" s="159">
        <f>SUMIFS('Historical Orders'!$G133, 'Historical Orders'!$D133, "2", 'Historical Orders'!$C133, "B", 'Historical Orders'!$B133, "2")</f>
        <v>0</v>
      </c>
      <c r="X133" s="159">
        <f>SUMIFS('Historical Orders'!$E133, 'Historical Orders'!$D133, "3", 'Historical Orders'!$C133, "A", 'Historical Orders'!$B133, "1")</f>
        <v>0</v>
      </c>
      <c r="Y133" s="159">
        <f>SUMIFS('Historical Orders'!$G133, 'Historical Orders'!$D133, "3", 'Historical Orders'!$C133, "A", 'Historical Orders'!$B133, "1")</f>
        <v>0</v>
      </c>
      <c r="Z133" s="159">
        <f>SUMIFS('Historical Orders'!$E133, 'Historical Orders'!$D133, "3", 'Historical Orders'!$C133, "B", 'Historical Orders'!$B133, "1")</f>
        <v>0</v>
      </c>
      <c r="AA133" s="159">
        <f>SUMIFS('Historical Orders'!$G133, 'Historical Orders'!$D133, "3", 'Historical Orders'!$C133, "B", 'Historical Orders'!$B133, "1")</f>
        <v>0</v>
      </c>
      <c r="AB133" s="159">
        <f>SUMIFS('Historical Orders'!$E133, 'Historical Orders'!$D133, "3", 'Historical Orders'!$C133, "A", 'Historical Orders'!$B133, "2")</f>
        <v>0</v>
      </c>
      <c r="AC133" s="159">
        <f>SUMIFS('Historical Orders'!$G133, 'Historical Orders'!$D133, "3", 'Historical Orders'!$C133, "A", 'Historical Orders'!$B133, "2")</f>
        <v>0</v>
      </c>
      <c r="AD133" s="159">
        <f>SUMIFS('Historical Orders'!$E133, 'Historical Orders'!$D133, "3", 'Historical Orders'!$C133, "B", 'Historical Orders'!$B133, "2")</f>
        <v>2855</v>
      </c>
      <c r="AE133" s="157">
        <f>SUMIFS('Historical Orders'!$G133, 'Historical Orders'!$D133, "3", 'Historical Orders'!$C133, "B", 'Historical Orders'!$B133, "2")</f>
        <v>23696.5</v>
      </c>
      <c r="AF133" s="157">
        <f>SUMIFS('Historical Orders'!$E133, 'Historical Orders'!$D133, "4", 'Historical Orders'!$C133, "A", 'Historical Orders'!$B133, "1")</f>
        <v>0</v>
      </c>
      <c r="AG133" s="157">
        <f>SUMIFS('Historical Orders'!$G133, 'Historical Orders'!$D133, "4", 'Historical Orders'!$C133, "A", 'Historical Orders'!$B133, "1")</f>
        <v>0</v>
      </c>
      <c r="AH133" s="157">
        <f>SUMIFS('Historical Orders'!$E133, 'Historical Orders'!$D133, "4", 'Historical Orders'!$C133, "B", 'Historical Orders'!$B133, "1")</f>
        <v>0</v>
      </c>
      <c r="AI133" s="157">
        <f>SUMIFS('Historical Orders'!$G133, 'Historical Orders'!$D133, "4", 'Historical Orders'!$C133, "B", 'Historical Orders'!$B133, "1")</f>
        <v>0</v>
      </c>
      <c r="AJ133" s="157">
        <f>SUMIFS('Historical Orders'!$E133, 'Historical Orders'!$D133, "4", 'Historical Orders'!$C133, "A", 'Historical Orders'!$B133, "2")</f>
        <v>0</v>
      </c>
      <c r="AK133" s="157">
        <f>SUMIFS('Historical Orders'!$G133, 'Historical Orders'!$D133, "4", 'Historical Orders'!$C133, "A", 'Historical Orders'!$B133, "2")</f>
        <v>0</v>
      </c>
      <c r="AL133" s="171">
        <f>SUMIFS('Historical Orders'!$E133, 'Historical Orders'!$D133, "4", 'Historical Orders'!$C133, "B", 'Historical Orders'!$B133, "2")</f>
        <v>0</v>
      </c>
      <c r="AM133" s="171">
        <f>SUMIFS('Historical Orders'!$G133, 'Historical Orders'!$D133, "4", 'Historical Orders'!$C133, "B", 'Historical Orders'!$B133, "2")</f>
        <v>0</v>
      </c>
      <c r="AN133" s="171">
        <f>SUMIFS('Historical Orders'!$G133, 'Historical Orders'!$C133, "A", 'Historical Orders'!$B133, "1")</f>
        <v>0</v>
      </c>
      <c r="AO133" s="171">
        <f>SUMIFS('Historical Orders'!$G133, 'Historical Orders'!$C133, "B", 'Historical Orders'!$B133, "1")</f>
        <v>0</v>
      </c>
      <c r="AP133" s="171">
        <f>SUMIFS('Historical Orders'!$G133, 'Historical Orders'!$C133, "A", 'Historical Orders'!$B133, "2")</f>
        <v>0</v>
      </c>
      <c r="AQ133" s="171">
        <f>SUMIFS('Historical Orders'!$G133, 'Historical Orders'!$C133, "B", 'Historical Orders'!$B133, "2")</f>
        <v>23696.5</v>
      </c>
      <c r="AR133" s="145"/>
      <c r="AS133" s="172"/>
      <c r="AT133" s="172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  <c r="BT133" s="172"/>
      <c r="BU133" s="172"/>
      <c r="BV133" s="179"/>
      <c r="BW133" s="179"/>
      <c r="BX133" s="179"/>
      <c r="BY133" s="179"/>
      <c r="BZ133" s="179"/>
      <c r="CA133" s="179"/>
      <c r="CB133" s="179"/>
      <c r="CC133" s="179"/>
      <c r="CD133" s="179"/>
      <c r="CE133" s="179"/>
    </row>
    <row r="134" ht="15.75" customHeight="1">
      <c r="A134" s="151">
        <v>42009.0</v>
      </c>
      <c r="B134" s="152">
        <v>1.0</v>
      </c>
      <c r="C134" s="152" t="s">
        <v>45</v>
      </c>
      <c r="D134" s="152">
        <v>1.0</v>
      </c>
      <c r="E134" s="153">
        <v>4702.0</v>
      </c>
      <c r="F134" s="154">
        <v>2.2</v>
      </c>
      <c r="G134" s="155">
        <v>10344.400000000001</v>
      </c>
      <c r="H134" s="159">
        <f>SUMIFS('Historical Orders'!$E134, 'Historical Orders'!$D134, "1", 'Historical Orders'!$C134, "A", 'Historical Orders'!$B134, "1")</f>
        <v>4702</v>
      </c>
      <c r="I134" s="157">
        <f>SUMIFS('Historical Orders'!$G134, 'Historical Orders'!$D134, "1", 'Historical Orders'!$C134, "A", 'Historical Orders'!$B134, "1")</f>
        <v>10344.4</v>
      </c>
      <c r="J134" s="157">
        <f>SUMIFS('Historical Orders'!$E134, 'Historical Orders'!$D134, "1", 'Historical Orders'!$C134, "B", 'Historical Orders'!$B134, "1")</f>
        <v>0</v>
      </c>
      <c r="K134" s="157">
        <f>SUMIFS('Historical Orders'!$G134, 'Historical Orders'!$D134, "1", 'Historical Orders'!$C134, "B", 'Historical Orders'!$B134, "1")</f>
        <v>0</v>
      </c>
      <c r="L134" s="159">
        <f>SUMIFS('Historical Orders'!$E134, 'Historical Orders'!$D134, "1", 'Historical Orders'!$C134, "A", 'Historical Orders'!$B134, "2")</f>
        <v>0</v>
      </c>
      <c r="M134" s="157">
        <f>SUMIFS('Historical Orders'!$G134, 'Historical Orders'!$D134, "1", 'Historical Orders'!$C134, "A", 'Historical Orders'!$B134, "2")</f>
        <v>0</v>
      </c>
      <c r="N134" s="157">
        <f>SUMIFS('Historical Orders'!$E134, 'Historical Orders'!$D134, "1", 'Historical Orders'!$C134, "B", 'Historical Orders'!$B134, "2")</f>
        <v>0</v>
      </c>
      <c r="O134" s="157">
        <f>SUMIFS('Historical Orders'!$G134, 'Historical Orders'!$D134, "1", 'Historical Orders'!$C134, "B", 'Historical Orders'!$B134, "2")</f>
        <v>0</v>
      </c>
      <c r="P134" s="159">
        <f>SUMIFS('Historical Orders'!$E134, 'Historical Orders'!$D134, "2", 'Historical Orders'!$C134, "A", 'Historical Orders'!$B134, "1")</f>
        <v>0</v>
      </c>
      <c r="Q134" s="157">
        <f>SUMIFS('Historical Orders'!$G134, 'Historical Orders'!$D134, "2", 'Historical Orders'!$C134, "A", 'Historical Orders'!$B134, "1")</f>
        <v>0</v>
      </c>
      <c r="R134" s="159">
        <f>SUMIFS('Historical Orders'!$E134, 'Historical Orders'!$D134, "2", 'Historical Orders'!$C134, "B", 'Historical Orders'!$B134, "1")</f>
        <v>0</v>
      </c>
      <c r="S134" s="157">
        <f>SUMIFS('Historical Orders'!$G134, 'Historical Orders'!$D134, "2", 'Historical Orders'!$C134, "B", 'Historical Orders'!$B134, "1")</f>
        <v>0</v>
      </c>
      <c r="T134" s="159">
        <f>SUMIFS('Historical Orders'!$E134, 'Historical Orders'!$D134, "2", 'Historical Orders'!$C134, "A", 'Historical Orders'!$B134, "2")</f>
        <v>0</v>
      </c>
      <c r="U134" s="157">
        <f>SUMIFS('Historical Orders'!$G134, 'Historical Orders'!$D134, "2", 'Historical Orders'!$C134, "A", 'Historical Orders'!$B134, "2")</f>
        <v>0</v>
      </c>
      <c r="V134" s="159">
        <f>SUMIFS('Historical Orders'!$E134, 'Historical Orders'!$D134, "2", 'Historical Orders'!$C134, "B", 'Historical Orders'!$B134, "2")</f>
        <v>0</v>
      </c>
      <c r="W134" s="159">
        <f>SUMIFS('Historical Orders'!$G134, 'Historical Orders'!$D134, "2", 'Historical Orders'!$C134, "B", 'Historical Orders'!$B134, "2")</f>
        <v>0</v>
      </c>
      <c r="X134" s="159">
        <f>SUMIFS('Historical Orders'!$E134, 'Historical Orders'!$D134, "3", 'Historical Orders'!$C134, "A", 'Historical Orders'!$B134, "1")</f>
        <v>0</v>
      </c>
      <c r="Y134" s="159">
        <f>SUMIFS('Historical Orders'!$G134, 'Historical Orders'!$D134, "3", 'Historical Orders'!$C134, "A", 'Historical Orders'!$B134, "1")</f>
        <v>0</v>
      </c>
      <c r="Z134" s="159">
        <f>SUMIFS('Historical Orders'!$E134, 'Historical Orders'!$D134, "3", 'Historical Orders'!$C134, "B", 'Historical Orders'!$B134, "1")</f>
        <v>0</v>
      </c>
      <c r="AA134" s="159">
        <f>SUMIFS('Historical Orders'!$G134, 'Historical Orders'!$D134, "3", 'Historical Orders'!$C134, "B", 'Historical Orders'!$B134, "1")</f>
        <v>0</v>
      </c>
      <c r="AB134" s="159">
        <f>SUMIFS('Historical Orders'!$E134, 'Historical Orders'!$D134, "3", 'Historical Orders'!$C134, "A", 'Historical Orders'!$B134, "2")</f>
        <v>0</v>
      </c>
      <c r="AC134" s="159">
        <f>SUMIFS('Historical Orders'!$G134, 'Historical Orders'!$D134, "3", 'Historical Orders'!$C134, "A", 'Historical Orders'!$B134, "2")</f>
        <v>0</v>
      </c>
      <c r="AD134" s="159">
        <f>SUMIFS('Historical Orders'!$E134, 'Historical Orders'!$D134, "3", 'Historical Orders'!$C134, "B", 'Historical Orders'!$B134, "2")</f>
        <v>0</v>
      </c>
      <c r="AE134" s="157">
        <f>SUMIFS('Historical Orders'!$G134, 'Historical Orders'!$D134, "3", 'Historical Orders'!$C134, "B", 'Historical Orders'!$B134, "2")</f>
        <v>0</v>
      </c>
      <c r="AF134" s="157">
        <f>SUMIFS('Historical Orders'!$E134, 'Historical Orders'!$D134, "4", 'Historical Orders'!$C134, "A", 'Historical Orders'!$B134, "1")</f>
        <v>0</v>
      </c>
      <c r="AG134" s="157">
        <f>SUMIFS('Historical Orders'!$G134, 'Historical Orders'!$D134, "4", 'Historical Orders'!$C134, "A", 'Historical Orders'!$B134, "1")</f>
        <v>0</v>
      </c>
      <c r="AH134" s="157">
        <f>SUMIFS('Historical Orders'!$E134, 'Historical Orders'!$D134, "4", 'Historical Orders'!$C134, "B", 'Historical Orders'!$B134, "1")</f>
        <v>0</v>
      </c>
      <c r="AI134" s="157">
        <f>SUMIFS('Historical Orders'!$G134, 'Historical Orders'!$D134, "4", 'Historical Orders'!$C134, "B", 'Historical Orders'!$B134, "1")</f>
        <v>0</v>
      </c>
      <c r="AJ134" s="157">
        <f>SUMIFS('Historical Orders'!$E134, 'Historical Orders'!$D134, "4", 'Historical Orders'!$C134, "A", 'Historical Orders'!$B134, "2")</f>
        <v>0</v>
      </c>
      <c r="AK134" s="157">
        <f>SUMIFS('Historical Orders'!$G134, 'Historical Orders'!$D134, "4", 'Historical Orders'!$C134, "A", 'Historical Orders'!$B134, "2")</f>
        <v>0</v>
      </c>
      <c r="AL134" s="171">
        <f>SUMIFS('Historical Orders'!$E134, 'Historical Orders'!$D134, "4", 'Historical Orders'!$C134, "B", 'Historical Orders'!$B134, "2")</f>
        <v>0</v>
      </c>
      <c r="AM134" s="171">
        <f>SUMIFS('Historical Orders'!$G134, 'Historical Orders'!$D134, "4", 'Historical Orders'!$C134, "B", 'Historical Orders'!$B134, "2")</f>
        <v>0</v>
      </c>
      <c r="AN134" s="171">
        <f>SUMIFS('Historical Orders'!$G134, 'Historical Orders'!$C134, "A", 'Historical Orders'!$B134, "1")</f>
        <v>10344.4</v>
      </c>
      <c r="AO134" s="171">
        <f>SUMIFS('Historical Orders'!$G134, 'Historical Orders'!$C134, "B", 'Historical Orders'!$B134, "1")</f>
        <v>0</v>
      </c>
      <c r="AP134" s="171">
        <f>SUMIFS('Historical Orders'!$G134, 'Historical Orders'!$C134, "A", 'Historical Orders'!$B134, "2")</f>
        <v>0</v>
      </c>
      <c r="AQ134" s="171">
        <f>SUMIFS('Historical Orders'!$G134, 'Historical Orders'!$C134, "B", 'Historical Orders'!$B134, "2")</f>
        <v>0</v>
      </c>
      <c r="AR134" s="145"/>
      <c r="AS134" s="172"/>
      <c r="AT134" s="172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  <c r="BT134" s="172"/>
      <c r="BU134" s="172"/>
      <c r="BV134" s="179"/>
      <c r="BW134" s="179"/>
      <c r="BX134" s="179"/>
      <c r="BY134" s="179"/>
      <c r="BZ134" s="179"/>
      <c r="CA134" s="179"/>
      <c r="CB134" s="179"/>
      <c r="CC134" s="179"/>
      <c r="CD134" s="179"/>
      <c r="CE134" s="179"/>
    </row>
    <row r="135" ht="15.75" customHeight="1">
      <c r="A135" s="151">
        <v>42009.0</v>
      </c>
      <c r="B135" s="152">
        <v>1.0</v>
      </c>
      <c r="C135" s="152" t="s">
        <v>45</v>
      </c>
      <c r="D135" s="152">
        <v>2.0</v>
      </c>
      <c r="E135" s="153">
        <v>5550.0</v>
      </c>
      <c r="F135" s="154">
        <v>1.2</v>
      </c>
      <c r="G135" s="155">
        <v>6660.0</v>
      </c>
      <c r="H135" s="159">
        <f>SUMIFS('Historical Orders'!$E135, 'Historical Orders'!$D135, "1", 'Historical Orders'!$C135, "A", 'Historical Orders'!$B135, "1")</f>
        <v>0</v>
      </c>
      <c r="I135" s="157">
        <f>SUMIFS('Historical Orders'!$G135, 'Historical Orders'!$D135, "1", 'Historical Orders'!$C135, "A", 'Historical Orders'!$B135, "1")</f>
        <v>0</v>
      </c>
      <c r="J135" s="157">
        <f>SUMIFS('Historical Orders'!$E135, 'Historical Orders'!$D135, "1", 'Historical Orders'!$C135, "B", 'Historical Orders'!$B135, "1")</f>
        <v>0</v>
      </c>
      <c r="K135" s="157">
        <f>SUMIFS('Historical Orders'!$G135, 'Historical Orders'!$D135, "1", 'Historical Orders'!$C135, "B", 'Historical Orders'!$B135, "1")</f>
        <v>0</v>
      </c>
      <c r="L135" s="159">
        <f>SUMIFS('Historical Orders'!$E135, 'Historical Orders'!$D135, "1", 'Historical Orders'!$C135, "A", 'Historical Orders'!$B135, "2")</f>
        <v>0</v>
      </c>
      <c r="M135" s="157">
        <f>SUMIFS('Historical Orders'!$G135, 'Historical Orders'!$D135, "1", 'Historical Orders'!$C135, "A", 'Historical Orders'!$B135, "2")</f>
        <v>0</v>
      </c>
      <c r="N135" s="157">
        <f>SUMIFS('Historical Orders'!$E135, 'Historical Orders'!$D135, "1", 'Historical Orders'!$C135, "B", 'Historical Orders'!$B135, "2")</f>
        <v>0</v>
      </c>
      <c r="O135" s="157">
        <f>SUMIFS('Historical Orders'!$G135, 'Historical Orders'!$D135, "1", 'Historical Orders'!$C135, "B", 'Historical Orders'!$B135, "2")</f>
        <v>0</v>
      </c>
      <c r="P135" s="159">
        <f>SUMIFS('Historical Orders'!$E135, 'Historical Orders'!$D135, "2", 'Historical Orders'!$C135, "A", 'Historical Orders'!$B135, "1")</f>
        <v>5550</v>
      </c>
      <c r="Q135" s="157">
        <f>SUMIFS('Historical Orders'!$G135, 'Historical Orders'!$D135, "2", 'Historical Orders'!$C135, "A", 'Historical Orders'!$B135, "1")</f>
        <v>6660</v>
      </c>
      <c r="R135" s="159">
        <f>SUMIFS('Historical Orders'!$E135, 'Historical Orders'!$D135, "2", 'Historical Orders'!$C135, "B", 'Historical Orders'!$B135, "1")</f>
        <v>0</v>
      </c>
      <c r="S135" s="157">
        <f>SUMIFS('Historical Orders'!$G135, 'Historical Orders'!$D135, "2", 'Historical Orders'!$C135, "B", 'Historical Orders'!$B135, "1")</f>
        <v>0</v>
      </c>
      <c r="T135" s="159">
        <f>SUMIFS('Historical Orders'!$E135, 'Historical Orders'!$D135, "2", 'Historical Orders'!$C135, "A", 'Historical Orders'!$B135, "2")</f>
        <v>0</v>
      </c>
      <c r="U135" s="157">
        <f>SUMIFS('Historical Orders'!$G135, 'Historical Orders'!$D135, "2", 'Historical Orders'!$C135, "A", 'Historical Orders'!$B135, "2")</f>
        <v>0</v>
      </c>
      <c r="V135" s="159">
        <f>SUMIFS('Historical Orders'!$E135, 'Historical Orders'!$D135, "2", 'Historical Orders'!$C135, "B", 'Historical Orders'!$B135, "2")</f>
        <v>0</v>
      </c>
      <c r="W135" s="159">
        <f>SUMIFS('Historical Orders'!$G135, 'Historical Orders'!$D135, "2", 'Historical Orders'!$C135, "B", 'Historical Orders'!$B135, "2")</f>
        <v>0</v>
      </c>
      <c r="X135" s="159">
        <f>SUMIFS('Historical Orders'!$E135, 'Historical Orders'!$D135, "3", 'Historical Orders'!$C135, "A", 'Historical Orders'!$B135, "1")</f>
        <v>0</v>
      </c>
      <c r="Y135" s="159">
        <f>SUMIFS('Historical Orders'!$G135, 'Historical Orders'!$D135, "3", 'Historical Orders'!$C135, "A", 'Historical Orders'!$B135, "1")</f>
        <v>0</v>
      </c>
      <c r="Z135" s="159">
        <f>SUMIFS('Historical Orders'!$E135, 'Historical Orders'!$D135, "3", 'Historical Orders'!$C135, "B", 'Historical Orders'!$B135, "1")</f>
        <v>0</v>
      </c>
      <c r="AA135" s="159">
        <f>SUMIFS('Historical Orders'!$G135, 'Historical Orders'!$D135, "3", 'Historical Orders'!$C135, "B", 'Historical Orders'!$B135, "1")</f>
        <v>0</v>
      </c>
      <c r="AB135" s="159">
        <f>SUMIFS('Historical Orders'!$E135, 'Historical Orders'!$D135, "3", 'Historical Orders'!$C135, "A", 'Historical Orders'!$B135, "2")</f>
        <v>0</v>
      </c>
      <c r="AC135" s="159">
        <f>SUMIFS('Historical Orders'!$G135, 'Historical Orders'!$D135, "3", 'Historical Orders'!$C135, "A", 'Historical Orders'!$B135, "2")</f>
        <v>0</v>
      </c>
      <c r="AD135" s="159">
        <f>SUMIFS('Historical Orders'!$E135, 'Historical Orders'!$D135, "3", 'Historical Orders'!$C135, "B", 'Historical Orders'!$B135, "2")</f>
        <v>0</v>
      </c>
      <c r="AE135" s="157">
        <f>SUMIFS('Historical Orders'!$G135, 'Historical Orders'!$D135, "3", 'Historical Orders'!$C135, "B", 'Historical Orders'!$B135, "2")</f>
        <v>0</v>
      </c>
      <c r="AF135" s="157">
        <f>SUMIFS('Historical Orders'!$E135, 'Historical Orders'!$D135, "4", 'Historical Orders'!$C135, "A", 'Historical Orders'!$B135, "1")</f>
        <v>0</v>
      </c>
      <c r="AG135" s="157">
        <f>SUMIFS('Historical Orders'!$G135, 'Historical Orders'!$D135, "4", 'Historical Orders'!$C135, "A", 'Historical Orders'!$B135, "1")</f>
        <v>0</v>
      </c>
      <c r="AH135" s="157">
        <f>SUMIFS('Historical Orders'!$E135, 'Historical Orders'!$D135, "4", 'Historical Orders'!$C135, "B", 'Historical Orders'!$B135, "1")</f>
        <v>0</v>
      </c>
      <c r="AI135" s="157">
        <f>SUMIFS('Historical Orders'!$G135, 'Historical Orders'!$D135, "4", 'Historical Orders'!$C135, "B", 'Historical Orders'!$B135, "1")</f>
        <v>0</v>
      </c>
      <c r="AJ135" s="157">
        <f>SUMIFS('Historical Orders'!$E135, 'Historical Orders'!$D135, "4", 'Historical Orders'!$C135, "A", 'Historical Orders'!$B135, "2")</f>
        <v>0</v>
      </c>
      <c r="AK135" s="157">
        <f>SUMIFS('Historical Orders'!$G135, 'Historical Orders'!$D135, "4", 'Historical Orders'!$C135, "A", 'Historical Orders'!$B135, "2")</f>
        <v>0</v>
      </c>
      <c r="AL135" s="171">
        <f>SUMIFS('Historical Orders'!$E135, 'Historical Orders'!$D135, "4", 'Historical Orders'!$C135, "B", 'Historical Orders'!$B135, "2")</f>
        <v>0</v>
      </c>
      <c r="AM135" s="171">
        <f>SUMIFS('Historical Orders'!$G135, 'Historical Orders'!$D135, "4", 'Historical Orders'!$C135, "B", 'Historical Orders'!$B135, "2")</f>
        <v>0</v>
      </c>
      <c r="AN135" s="171">
        <f>SUMIFS('Historical Orders'!$G135, 'Historical Orders'!$C135, "A", 'Historical Orders'!$B135, "1")</f>
        <v>6660</v>
      </c>
      <c r="AO135" s="171">
        <f>SUMIFS('Historical Orders'!$G135, 'Historical Orders'!$C135, "B", 'Historical Orders'!$B135, "1")</f>
        <v>0</v>
      </c>
      <c r="AP135" s="171">
        <f>SUMIFS('Historical Orders'!$G135, 'Historical Orders'!$C135, "A", 'Historical Orders'!$B135, "2")</f>
        <v>0</v>
      </c>
      <c r="AQ135" s="171">
        <f>SUMIFS('Historical Orders'!$G135, 'Historical Orders'!$C135, "B", 'Historical Orders'!$B135, "2")</f>
        <v>0</v>
      </c>
      <c r="AR135" s="145"/>
      <c r="AS135" s="172"/>
      <c r="AT135" s="172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  <c r="BT135" s="172"/>
      <c r="BU135" s="172"/>
      <c r="BV135" s="179"/>
      <c r="BW135" s="179"/>
      <c r="BX135" s="179"/>
      <c r="BY135" s="179"/>
      <c r="BZ135" s="179"/>
      <c r="CA135" s="179"/>
      <c r="CB135" s="179"/>
      <c r="CC135" s="179"/>
      <c r="CD135" s="179"/>
      <c r="CE135" s="179"/>
    </row>
    <row r="136" ht="15.75" customHeight="1">
      <c r="A136" s="151">
        <v>42009.0</v>
      </c>
      <c r="B136" s="152">
        <v>2.0</v>
      </c>
      <c r="C136" s="152" t="s">
        <v>45</v>
      </c>
      <c r="D136" s="152">
        <v>1.0</v>
      </c>
      <c r="E136" s="153">
        <v>3319.0</v>
      </c>
      <c r="F136" s="154">
        <v>2.2</v>
      </c>
      <c r="G136" s="155">
        <v>7301.8</v>
      </c>
      <c r="H136" s="159">
        <f>SUMIFS('Historical Orders'!$E136, 'Historical Orders'!$D136, "1", 'Historical Orders'!$C136, "A", 'Historical Orders'!$B136, "1")</f>
        <v>0</v>
      </c>
      <c r="I136" s="157">
        <f>SUMIFS('Historical Orders'!$G136, 'Historical Orders'!$D136, "1", 'Historical Orders'!$C136, "A", 'Historical Orders'!$B136, "1")</f>
        <v>0</v>
      </c>
      <c r="J136" s="157">
        <f>SUMIFS('Historical Orders'!$E136, 'Historical Orders'!$D136, "1", 'Historical Orders'!$C136, "B", 'Historical Orders'!$B136, "1")</f>
        <v>0</v>
      </c>
      <c r="K136" s="157">
        <f>SUMIFS('Historical Orders'!$G136, 'Historical Orders'!$D136, "1", 'Historical Orders'!$C136, "B", 'Historical Orders'!$B136, "1")</f>
        <v>0</v>
      </c>
      <c r="L136" s="159">
        <f>SUMIFS('Historical Orders'!$E136, 'Historical Orders'!$D136, "1", 'Historical Orders'!$C136, "A", 'Historical Orders'!$B136, "2")</f>
        <v>3319</v>
      </c>
      <c r="M136" s="157">
        <f>SUMIFS('Historical Orders'!$G136, 'Historical Orders'!$D136, "1", 'Historical Orders'!$C136, "A", 'Historical Orders'!$B136, "2")</f>
        <v>7301.8</v>
      </c>
      <c r="N136" s="157">
        <f>SUMIFS('Historical Orders'!$E136, 'Historical Orders'!$D136, "1", 'Historical Orders'!$C136, "B", 'Historical Orders'!$B136, "2")</f>
        <v>0</v>
      </c>
      <c r="O136" s="157">
        <f>SUMIFS('Historical Orders'!$G136, 'Historical Orders'!$D136, "1", 'Historical Orders'!$C136, "B", 'Historical Orders'!$B136, "2")</f>
        <v>0</v>
      </c>
      <c r="P136" s="159">
        <f>SUMIFS('Historical Orders'!$E136, 'Historical Orders'!$D136, "2", 'Historical Orders'!$C136, "A", 'Historical Orders'!$B136, "1")</f>
        <v>0</v>
      </c>
      <c r="Q136" s="157">
        <f>SUMIFS('Historical Orders'!$G136, 'Historical Orders'!$D136, "2", 'Historical Orders'!$C136, "A", 'Historical Orders'!$B136, "1")</f>
        <v>0</v>
      </c>
      <c r="R136" s="159">
        <f>SUMIFS('Historical Orders'!$E136, 'Historical Orders'!$D136, "2", 'Historical Orders'!$C136, "B", 'Historical Orders'!$B136, "1")</f>
        <v>0</v>
      </c>
      <c r="S136" s="157">
        <f>SUMIFS('Historical Orders'!$G136, 'Historical Orders'!$D136, "2", 'Historical Orders'!$C136, "B", 'Historical Orders'!$B136, "1")</f>
        <v>0</v>
      </c>
      <c r="T136" s="159">
        <f>SUMIFS('Historical Orders'!$E136, 'Historical Orders'!$D136, "2", 'Historical Orders'!$C136, "A", 'Historical Orders'!$B136, "2")</f>
        <v>0</v>
      </c>
      <c r="U136" s="157">
        <f>SUMIFS('Historical Orders'!$G136, 'Historical Orders'!$D136, "2", 'Historical Orders'!$C136, "A", 'Historical Orders'!$B136, "2")</f>
        <v>0</v>
      </c>
      <c r="V136" s="159">
        <f>SUMIFS('Historical Orders'!$E136, 'Historical Orders'!$D136, "2", 'Historical Orders'!$C136, "B", 'Historical Orders'!$B136, "2")</f>
        <v>0</v>
      </c>
      <c r="W136" s="159">
        <f>SUMIFS('Historical Orders'!$G136, 'Historical Orders'!$D136, "2", 'Historical Orders'!$C136, "B", 'Historical Orders'!$B136, "2")</f>
        <v>0</v>
      </c>
      <c r="X136" s="159">
        <f>SUMIFS('Historical Orders'!$E136, 'Historical Orders'!$D136, "3", 'Historical Orders'!$C136, "A", 'Historical Orders'!$B136, "1")</f>
        <v>0</v>
      </c>
      <c r="Y136" s="159">
        <f>SUMIFS('Historical Orders'!$G136, 'Historical Orders'!$D136, "3", 'Historical Orders'!$C136, "A", 'Historical Orders'!$B136, "1")</f>
        <v>0</v>
      </c>
      <c r="Z136" s="159">
        <f>SUMIFS('Historical Orders'!$E136, 'Historical Orders'!$D136, "3", 'Historical Orders'!$C136, "B", 'Historical Orders'!$B136, "1")</f>
        <v>0</v>
      </c>
      <c r="AA136" s="159">
        <f>SUMIFS('Historical Orders'!$G136, 'Historical Orders'!$D136, "3", 'Historical Orders'!$C136, "B", 'Historical Orders'!$B136, "1")</f>
        <v>0</v>
      </c>
      <c r="AB136" s="159">
        <f>SUMIFS('Historical Orders'!$E136, 'Historical Orders'!$D136, "3", 'Historical Orders'!$C136, "A", 'Historical Orders'!$B136, "2")</f>
        <v>0</v>
      </c>
      <c r="AC136" s="159">
        <f>SUMIFS('Historical Orders'!$G136, 'Historical Orders'!$D136, "3", 'Historical Orders'!$C136, "A", 'Historical Orders'!$B136, "2")</f>
        <v>0</v>
      </c>
      <c r="AD136" s="159">
        <f>SUMIFS('Historical Orders'!$E136, 'Historical Orders'!$D136, "3", 'Historical Orders'!$C136, "B", 'Historical Orders'!$B136, "2")</f>
        <v>0</v>
      </c>
      <c r="AE136" s="157">
        <f>SUMIFS('Historical Orders'!$G136, 'Historical Orders'!$D136, "3", 'Historical Orders'!$C136, "B", 'Historical Orders'!$B136, "2")</f>
        <v>0</v>
      </c>
      <c r="AF136" s="157">
        <f>SUMIFS('Historical Orders'!$E136, 'Historical Orders'!$D136, "4", 'Historical Orders'!$C136, "A", 'Historical Orders'!$B136, "1")</f>
        <v>0</v>
      </c>
      <c r="AG136" s="157">
        <f>SUMIFS('Historical Orders'!$G136, 'Historical Orders'!$D136, "4", 'Historical Orders'!$C136, "A", 'Historical Orders'!$B136, "1")</f>
        <v>0</v>
      </c>
      <c r="AH136" s="157">
        <f>SUMIFS('Historical Orders'!$E136, 'Historical Orders'!$D136, "4", 'Historical Orders'!$C136, "B", 'Historical Orders'!$B136, "1")</f>
        <v>0</v>
      </c>
      <c r="AI136" s="157">
        <f>SUMIFS('Historical Orders'!$G136, 'Historical Orders'!$D136, "4", 'Historical Orders'!$C136, "B", 'Historical Orders'!$B136, "1")</f>
        <v>0</v>
      </c>
      <c r="AJ136" s="157">
        <f>SUMIFS('Historical Orders'!$E136, 'Historical Orders'!$D136, "4", 'Historical Orders'!$C136, "A", 'Historical Orders'!$B136, "2")</f>
        <v>0</v>
      </c>
      <c r="AK136" s="157">
        <f>SUMIFS('Historical Orders'!$G136, 'Historical Orders'!$D136, "4", 'Historical Orders'!$C136, "A", 'Historical Orders'!$B136, "2")</f>
        <v>0</v>
      </c>
      <c r="AL136" s="171">
        <f>SUMIFS('Historical Orders'!$E136, 'Historical Orders'!$D136, "4", 'Historical Orders'!$C136, "B", 'Historical Orders'!$B136, "2")</f>
        <v>0</v>
      </c>
      <c r="AM136" s="171">
        <f>SUMIFS('Historical Orders'!$G136, 'Historical Orders'!$D136, "4", 'Historical Orders'!$C136, "B", 'Historical Orders'!$B136, "2")</f>
        <v>0</v>
      </c>
      <c r="AN136" s="171">
        <f>SUMIFS('Historical Orders'!$G136, 'Historical Orders'!$C136, "A", 'Historical Orders'!$B136, "1")</f>
        <v>0</v>
      </c>
      <c r="AO136" s="171">
        <f>SUMIFS('Historical Orders'!$G136, 'Historical Orders'!$C136, "B", 'Historical Orders'!$B136, "1")</f>
        <v>0</v>
      </c>
      <c r="AP136" s="171">
        <f>SUMIFS('Historical Orders'!$G136, 'Historical Orders'!$C136, "A", 'Historical Orders'!$B136, "2")</f>
        <v>7301.8</v>
      </c>
      <c r="AQ136" s="171">
        <f>SUMIFS('Historical Orders'!$G136, 'Historical Orders'!$C136, "B", 'Historical Orders'!$B136, "2")</f>
        <v>0</v>
      </c>
      <c r="AR136" s="145"/>
      <c r="AS136" s="172"/>
      <c r="AT136" s="172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  <c r="BT136" s="172"/>
      <c r="BU136" s="172"/>
      <c r="BV136" s="179"/>
      <c r="BW136" s="179"/>
      <c r="BX136" s="179"/>
      <c r="BY136" s="179"/>
      <c r="BZ136" s="179"/>
      <c r="CA136" s="179"/>
      <c r="CB136" s="179"/>
      <c r="CC136" s="179"/>
      <c r="CD136" s="179"/>
      <c r="CE136" s="179"/>
    </row>
    <row r="137" ht="15.75" customHeight="1">
      <c r="A137" s="151">
        <v>42009.0</v>
      </c>
      <c r="B137" s="152">
        <v>2.0</v>
      </c>
      <c r="C137" s="152" t="s">
        <v>45</v>
      </c>
      <c r="D137" s="152">
        <v>2.0</v>
      </c>
      <c r="E137" s="153">
        <v>5863.0</v>
      </c>
      <c r="F137" s="154">
        <v>1.2</v>
      </c>
      <c r="G137" s="155">
        <v>7035.599999999999</v>
      </c>
      <c r="H137" s="159">
        <f>SUMIFS('Historical Orders'!$E137, 'Historical Orders'!$D137, "1", 'Historical Orders'!$C137, "A", 'Historical Orders'!$B137, "1")</f>
        <v>0</v>
      </c>
      <c r="I137" s="157">
        <f>SUMIFS('Historical Orders'!$G137, 'Historical Orders'!$D137, "1", 'Historical Orders'!$C137, "A", 'Historical Orders'!$B137, "1")</f>
        <v>0</v>
      </c>
      <c r="J137" s="157">
        <f>SUMIFS('Historical Orders'!$E137, 'Historical Orders'!$D137, "1", 'Historical Orders'!$C137, "B", 'Historical Orders'!$B137, "1")</f>
        <v>0</v>
      </c>
      <c r="K137" s="157">
        <f>SUMIFS('Historical Orders'!$G137, 'Historical Orders'!$D137, "1", 'Historical Orders'!$C137, "B", 'Historical Orders'!$B137, "1")</f>
        <v>0</v>
      </c>
      <c r="L137" s="159">
        <f>SUMIFS('Historical Orders'!$E137, 'Historical Orders'!$D137, "1", 'Historical Orders'!$C137, "A", 'Historical Orders'!$B137, "2")</f>
        <v>0</v>
      </c>
      <c r="M137" s="157">
        <f>SUMIFS('Historical Orders'!$G137, 'Historical Orders'!$D137, "1", 'Historical Orders'!$C137, "A", 'Historical Orders'!$B137, "2")</f>
        <v>0</v>
      </c>
      <c r="N137" s="157">
        <f>SUMIFS('Historical Orders'!$E137, 'Historical Orders'!$D137, "1", 'Historical Orders'!$C137, "B", 'Historical Orders'!$B137, "2")</f>
        <v>0</v>
      </c>
      <c r="O137" s="157">
        <f>SUMIFS('Historical Orders'!$G137, 'Historical Orders'!$D137, "1", 'Historical Orders'!$C137, "B", 'Historical Orders'!$B137, "2")</f>
        <v>0</v>
      </c>
      <c r="P137" s="159">
        <f>SUMIFS('Historical Orders'!$E137, 'Historical Orders'!$D137, "2", 'Historical Orders'!$C137, "A", 'Historical Orders'!$B137, "1")</f>
        <v>0</v>
      </c>
      <c r="Q137" s="157">
        <f>SUMIFS('Historical Orders'!$G137, 'Historical Orders'!$D137, "2", 'Historical Orders'!$C137, "A", 'Historical Orders'!$B137, "1")</f>
        <v>0</v>
      </c>
      <c r="R137" s="159">
        <f>SUMIFS('Historical Orders'!$E137, 'Historical Orders'!$D137, "2", 'Historical Orders'!$C137, "B", 'Historical Orders'!$B137, "1")</f>
        <v>0</v>
      </c>
      <c r="S137" s="157">
        <f>SUMIFS('Historical Orders'!$G137, 'Historical Orders'!$D137, "2", 'Historical Orders'!$C137, "B", 'Historical Orders'!$B137, "1")</f>
        <v>0</v>
      </c>
      <c r="T137" s="159">
        <f>SUMIFS('Historical Orders'!$E137, 'Historical Orders'!$D137, "2", 'Historical Orders'!$C137, "A", 'Historical Orders'!$B137, "2")</f>
        <v>5863</v>
      </c>
      <c r="U137" s="157">
        <f>SUMIFS('Historical Orders'!$G137, 'Historical Orders'!$D137, "2", 'Historical Orders'!$C137, "A", 'Historical Orders'!$B137, "2")</f>
        <v>7035.6</v>
      </c>
      <c r="V137" s="159">
        <f>SUMIFS('Historical Orders'!$E137, 'Historical Orders'!$D137, "2", 'Historical Orders'!$C137, "B", 'Historical Orders'!$B137, "2")</f>
        <v>0</v>
      </c>
      <c r="W137" s="159">
        <f>SUMIFS('Historical Orders'!$G137, 'Historical Orders'!$D137, "2", 'Historical Orders'!$C137, "B", 'Historical Orders'!$B137, "2")</f>
        <v>0</v>
      </c>
      <c r="X137" s="159">
        <f>SUMIFS('Historical Orders'!$E137, 'Historical Orders'!$D137, "3", 'Historical Orders'!$C137, "A", 'Historical Orders'!$B137, "1")</f>
        <v>0</v>
      </c>
      <c r="Y137" s="159">
        <f>SUMIFS('Historical Orders'!$G137, 'Historical Orders'!$D137, "3", 'Historical Orders'!$C137, "A", 'Historical Orders'!$B137, "1")</f>
        <v>0</v>
      </c>
      <c r="Z137" s="159">
        <f>SUMIFS('Historical Orders'!$E137, 'Historical Orders'!$D137, "3", 'Historical Orders'!$C137, "B", 'Historical Orders'!$B137, "1")</f>
        <v>0</v>
      </c>
      <c r="AA137" s="159">
        <f>SUMIFS('Historical Orders'!$G137, 'Historical Orders'!$D137, "3", 'Historical Orders'!$C137, "B", 'Historical Orders'!$B137, "1")</f>
        <v>0</v>
      </c>
      <c r="AB137" s="159">
        <f>SUMIFS('Historical Orders'!$E137, 'Historical Orders'!$D137, "3", 'Historical Orders'!$C137, "A", 'Historical Orders'!$B137, "2")</f>
        <v>0</v>
      </c>
      <c r="AC137" s="159">
        <f>SUMIFS('Historical Orders'!$G137, 'Historical Orders'!$D137, "3", 'Historical Orders'!$C137, "A", 'Historical Orders'!$B137, "2")</f>
        <v>0</v>
      </c>
      <c r="AD137" s="159">
        <f>SUMIFS('Historical Orders'!$E137, 'Historical Orders'!$D137, "3", 'Historical Orders'!$C137, "B", 'Historical Orders'!$B137, "2")</f>
        <v>0</v>
      </c>
      <c r="AE137" s="157">
        <f>SUMIFS('Historical Orders'!$G137, 'Historical Orders'!$D137, "3", 'Historical Orders'!$C137, "B", 'Historical Orders'!$B137, "2")</f>
        <v>0</v>
      </c>
      <c r="AF137" s="157">
        <f>SUMIFS('Historical Orders'!$E137, 'Historical Orders'!$D137, "4", 'Historical Orders'!$C137, "A", 'Historical Orders'!$B137, "1")</f>
        <v>0</v>
      </c>
      <c r="AG137" s="157">
        <f>SUMIFS('Historical Orders'!$G137, 'Historical Orders'!$D137, "4", 'Historical Orders'!$C137, "A", 'Historical Orders'!$B137, "1")</f>
        <v>0</v>
      </c>
      <c r="AH137" s="157">
        <f>SUMIFS('Historical Orders'!$E137, 'Historical Orders'!$D137, "4", 'Historical Orders'!$C137, "B", 'Historical Orders'!$B137, "1")</f>
        <v>0</v>
      </c>
      <c r="AI137" s="157">
        <f>SUMIFS('Historical Orders'!$G137, 'Historical Orders'!$D137, "4", 'Historical Orders'!$C137, "B", 'Historical Orders'!$B137, "1")</f>
        <v>0</v>
      </c>
      <c r="AJ137" s="157">
        <f>SUMIFS('Historical Orders'!$E137, 'Historical Orders'!$D137, "4", 'Historical Orders'!$C137, "A", 'Historical Orders'!$B137, "2")</f>
        <v>0</v>
      </c>
      <c r="AK137" s="157">
        <f>SUMIFS('Historical Orders'!$G137, 'Historical Orders'!$D137, "4", 'Historical Orders'!$C137, "A", 'Historical Orders'!$B137, "2")</f>
        <v>0</v>
      </c>
      <c r="AL137" s="171">
        <f>SUMIFS('Historical Orders'!$E137, 'Historical Orders'!$D137, "4", 'Historical Orders'!$C137, "B", 'Historical Orders'!$B137, "2")</f>
        <v>0</v>
      </c>
      <c r="AM137" s="171">
        <f>SUMIFS('Historical Orders'!$G137, 'Historical Orders'!$D137, "4", 'Historical Orders'!$C137, "B", 'Historical Orders'!$B137, "2")</f>
        <v>0</v>
      </c>
      <c r="AN137" s="171">
        <f>SUMIFS('Historical Orders'!$G137, 'Historical Orders'!$C137, "A", 'Historical Orders'!$B137, "1")</f>
        <v>0</v>
      </c>
      <c r="AO137" s="171">
        <f>SUMIFS('Historical Orders'!$G137, 'Historical Orders'!$C137, "B", 'Historical Orders'!$B137, "1")</f>
        <v>0</v>
      </c>
      <c r="AP137" s="171">
        <f>SUMIFS('Historical Orders'!$G137, 'Historical Orders'!$C137, "A", 'Historical Orders'!$B137, "2")</f>
        <v>7035.6</v>
      </c>
      <c r="AQ137" s="171">
        <f>SUMIFS('Historical Orders'!$G137, 'Historical Orders'!$C137, "B", 'Historical Orders'!$B137, "2")</f>
        <v>0</v>
      </c>
      <c r="AR137" s="145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  <c r="BT137" s="172"/>
      <c r="BU137" s="172"/>
      <c r="BV137" s="179"/>
      <c r="BW137" s="179"/>
      <c r="BX137" s="179"/>
      <c r="BY137" s="179"/>
      <c r="BZ137" s="179"/>
      <c r="CA137" s="179"/>
      <c r="CB137" s="179"/>
      <c r="CC137" s="179"/>
      <c r="CD137" s="179"/>
      <c r="CE137" s="179"/>
    </row>
    <row r="138" ht="15.75" customHeight="1">
      <c r="A138" s="151">
        <v>42009.0</v>
      </c>
      <c r="B138" s="152">
        <v>1.0</v>
      </c>
      <c r="C138" s="152" t="s">
        <v>46</v>
      </c>
      <c r="D138" s="152">
        <v>3.0</v>
      </c>
      <c r="E138" s="153">
        <v>2330.0</v>
      </c>
      <c r="F138" s="154">
        <v>8.3</v>
      </c>
      <c r="G138" s="155">
        <v>19339.0</v>
      </c>
      <c r="H138" s="159">
        <f>SUMIFS('Historical Orders'!$E138, 'Historical Orders'!$D138, "1", 'Historical Orders'!$C138, "A", 'Historical Orders'!$B138, "1")</f>
        <v>0</v>
      </c>
      <c r="I138" s="157">
        <f>SUMIFS('Historical Orders'!$G138, 'Historical Orders'!$D138, "1", 'Historical Orders'!$C138, "A", 'Historical Orders'!$B138, "1")</f>
        <v>0</v>
      </c>
      <c r="J138" s="157">
        <f>SUMIFS('Historical Orders'!$E138, 'Historical Orders'!$D138, "1", 'Historical Orders'!$C138, "B", 'Historical Orders'!$B138, "1")</f>
        <v>0</v>
      </c>
      <c r="K138" s="157">
        <f>SUMIFS('Historical Orders'!$G138, 'Historical Orders'!$D138, "1", 'Historical Orders'!$C138, "B", 'Historical Orders'!$B138, "1")</f>
        <v>0</v>
      </c>
      <c r="L138" s="159">
        <f>SUMIFS('Historical Orders'!$E138, 'Historical Orders'!$D138, "1", 'Historical Orders'!$C138, "A", 'Historical Orders'!$B138, "2")</f>
        <v>0</v>
      </c>
      <c r="M138" s="157">
        <f>SUMIFS('Historical Orders'!$G138, 'Historical Orders'!$D138, "1", 'Historical Orders'!$C138, "A", 'Historical Orders'!$B138, "2")</f>
        <v>0</v>
      </c>
      <c r="N138" s="157">
        <f>SUMIFS('Historical Orders'!$E138, 'Historical Orders'!$D138, "1", 'Historical Orders'!$C138, "B", 'Historical Orders'!$B138, "2")</f>
        <v>0</v>
      </c>
      <c r="O138" s="157">
        <f>SUMIFS('Historical Orders'!$G138, 'Historical Orders'!$D138, "1", 'Historical Orders'!$C138, "B", 'Historical Orders'!$B138, "2")</f>
        <v>0</v>
      </c>
      <c r="P138" s="159">
        <f>SUMIFS('Historical Orders'!$E138, 'Historical Orders'!$D138, "2", 'Historical Orders'!$C138, "A", 'Historical Orders'!$B138, "1")</f>
        <v>0</v>
      </c>
      <c r="Q138" s="157">
        <f>SUMIFS('Historical Orders'!$G138, 'Historical Orders'!$D138, "2", 'Historical Orders'!$C138, "A", 'Historical Orders'!$B138, "1")</f>
        <v>0</v>
      </c>
      <c r="R138" s="159">
        <f>SUMIFS('Historical Orders'!$E138, 'Historical Orders'!$D138, "2", 'Historical Orders'!$C138, "B", 'Historical Orders'!$B138, "1")</f>
        <v>0</v>
      </c>
      <c r="S138" s="157">
        <f>SUMIFS('Historical Orders'!$G138, 'Historical Orders'!$D138, "2", 'Historical Orders'!$C138, "B", 'Historical Orders'!$B138, "1")</f>
        <v>0</v>
      </c>
      <c r="T138" s="159">
        <f>SUMIFS('Historical Orders'!$E138, 'Historical Orders'!$D138, "2", 'Historical Orders'!$C138, "A", 'Historical Orders'!$B138, "2")</f>
        <v>0</v>
      </c>
      <c r="U138" s="157">
        <f>SUMIFS('Historical Orders'!$G138, 'Historical Orders'!$D138, "2", 'Historical Orders'!$C138, "A", 'Historical Orders'!$B138, "2")</f>
        <v>0</v>
      </c>
      <c r="V138" s="159">
        <f>SUMIFS('Historical Orders'!$E138, 'Historical Orders'!$D138, "2", 'Historical Orders'!$C138, "B", 'Historical Orders'!$B138, "2")</f>
        <v>0</v>
      </c>
      <c r="W138" s="159">
        <f>SUMIFS('Historical Orders'!$G138, 'Historical Orders'!$D138, "2", 'Historical Orders'!$C138, "B", 'Historical Orders'!$B138, "2")</f>
        <v>0</v>
      </c>
      <c r="X138" s="159">
        <f>SUMIFS('Historical Orders'!$E138, 'Historical Orders'!$D138, "3", 'Historical Orders'!$C138, "A", 'Historical Orders'!$B138, "1")</f>
        <v>0</v>
      </c>
      <c r="Y138" s="159">
        <f>SUMIFS('Historical Orders'!$G138, 'Historical Orders'!$D138, "3", 'Historical Orders'!$C138, "A", 'Historical Orders'!$B138, "1")</f>
        <v>0</v>
      </c>
      <c r="Z138" s="159">
        <f>SUMIFS('Historical Orders'!$E138, 'Historical Orders'!$D138, "3", 'Historical Orders'!$C138, "B", 'Historical Orders'!$B138, "1")</f>
        <v>2330</v>
      </c>
      <c r="AA138" s="159">
        <f>SUMIFS('Historical Orders'!$G138, 'Historical Orders'!$D138, "3", 'Historical Orders'!$C138, "B", 'Historical Orders'!$B138, "1")</f>
        <v>19339</v>
      </c>
      <c r="AB138" s="159">
        <f>SUMIFS('Historical Orders'!$E138, 'Historical Orders'!$D138, "3", 'Historical Orders'!$C138, "A", 'Historical Orders'!$B138, "2")</f>
        <v>0</v>
      </c>
      <c r="AC138" s="159">
        <f>SUMIFS('Historical Orders'!$G138, 'Historical Orders'!$D138, "3", 'Historical Orders'!$C138, "A", 'Historical Orders'!$B138, "2")</f>
        <v>0</v>
      </c>
      <c r="AD138" s="159">
        <f>SUMIFS('Historical Orders'!$E138, 'Historical Orders'!$D138, "3", 'Historical Orders'!$C138, "B", 'Historical Orders'!$B138, "2")</f>
        <v>0</v>
      </c>
      <c r="AE138" s="157">
        <f>SUMIFS('Historical Orders'!$G138, 'Historical Orders'!$D138, "3", 'Historical Orders'!$C138, "B", 'Historical Orders'!$B138, "2")</f>
        <v>0</v>
      </c>
      <c r="AF138" s="157">
        <f>SUMIFS('Historical Orders'!$E138, 'Historical Orders'!$D138, "4", 'Historical Orders'!$C138, "A", 'Historical Orders'!$B138, "1")</f>
        <v>0</v>
      </c>
      <c r="AG138" s="157">
        <f>SUMIFS('Historical Orders'!$G138, 'Historical Orders'!$D138, "4", 'Historical Orders'!$C138, "A", 'Historical Orders'!$B138, "1")</f>
        <v>0</v>
      </c>
      <c r="AH138" s="157">
        <f>SUMIFS('Historical Orders'!$E138, 'Historical Orders'!$D138, "4", 'Historical Orders'!$C138, "B", 'Historical Orders'!$B138, "1")</f>
        <v>0</v>
      </c>
      <c r="AI138" s="157">
        <f>SUMIFS('Historical Orders'!$G138, 'Historical Orders'!$D138, "4", 'Historical Orders'!$C138, "B", 'Historical Orders'!$B138, "1")</f>
        <v>0</v>
      </c>
      <c r="AJ138" s="157">
        <f>SUMIFS('Historical Orders'!$E138, 'Historical Orders'!$D138, "4", 'Historical Orders'!$C138, "A", 'Historical Orders'!$B138, "2")</f>
        <v>0</v>
      </c>
      <c r="AK138" s="157">
        <f>SUMIFS('Historical Orders'!$G138, 'Historical Orders'!$D138, "4", 'Historical Orders'!$C138, "A", 'Historical Orders'!$B138, "2")</f>
        <v>0</v>
      </c>
      <c r="AL138" s="171">
        <f>SUMIFS('Historical Orders'!$E138, 'Historical Orders'!$D138, "4", 'Historical Orders'!$C138, "B", 'Historical Orders'!$B138, "2")</f>
        <v>0</v>
      </c>
      <c r="AM138" s="171">
        <f>SUMIFS('Historical Orders'!$G138, 'Historical Orders'!$D138, "4", 'Historical Orders'!$C138, "B", 'Historical Orders'!$B138, "2")</f>
        <v>0</v>
      </c>
      <c r="AN138" s="171">
        <f>SUMIFS('Historical Orders'!$G138, 'Historical Orders'!$C138, "A", 'Historical Orders'!$B138, "1")</f>
        <v>0</v>
      </c>
      <c r="AO138" s="171">
        <f>SUMIFS('Historical Orders'!$G138, 'Historical Orders'!$C138, "B", 'Historical Orders'!$B138, "1")</f>
        <v>19339</v>
      </c>
      <c r="AP138" s="171">
        <f>SUMIFS('Historical Orders'!$G138, 'Historical Orders'!$C138, "A", 'Historical Orders'!$B138, "2")</f>
        <v>0</v>
      </c>
      <c r="AQ138" s="171">
        <f>SUMIFS('Historical Orders'!$G138, 'Historical Orders'!$C138, "B", 'Historical Orders'!$B138, "2")</f>
        <v>0</v>
      </c>
      <c r="AR138" s="145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  <c r="BT138" s="172"/>
      <c r="BU138" s="172"/>
      <c r="BV138" s="179"/>
      <c r="BW138" s="179"/>
      <c r="BX138" s="179"/>
      <c r="BY138" s="179"/>
      <c r="BZ138" s="179"/>
      <c r="CA138" s="179"/>
      <c r="CB138" s="179"/>
      <c r="CC138" s="179"/>
      <c r="CD138" s="179"/>
      <c r="CE138" s="179"/>
    </row>
    <row r="139" ht="15.75" customHeight="1">
      <c r="A139" s="151">
        <v>42009.0</v>
      </c>
      <c r="B139" s="152">
        <v>2.0</v>
      </c>
      <c r="C139" s="152" t="s">
        <v>46</v>
      </c>
      <c r="D139" s="152">
        <v>3.0</v>
      </c>
      <c r="E139" s="153">
        <v>2898.0</v>
      </c>
      <c r="F139" s="154">
        <v>8.3</v>
      </c>
      <c r="G139" s="155">
        <v>24053.4</v>
      </c>
      <c r="H139" s="159">
        <f>SUMIFS('Historical Orders'!$E139, 'Historical Orders'!$D139, "1", 'Historical Orders'!$C139, "A", 'Historical Orders'!$B139, "1")</f>
        <v>0</v>
      </c>
      <c r="I139" s="157">
        <f>SUMIFS('Historical Orders'!$G139, 'Historical Orders'!$D139, "1", 'Historical Orders'!$C139, "A", 'Historical Orders'!$B139, "1")</f>
        <v>0</v>
      </c>
      <c r="J139" s="157">
        <f>SUMIFS('Historical Orders'!$E139, 'Historical Orders'!$D139, "1", 'Historical Orders'!$C139, "B", 'Historical Orders'!$B139, "1")</f>
        <v>0</v>
      </c>
      <c r="K139" s="157">
        <f>SUMIFS('Historical Orders'!$G139, 'Historical Orders'!$D139, "1", 'Historical Orders'!$C139, "B", 'Historical Orders'!$B139, "1")</f>
        <v>0</v>
      </c>
      <c r="L139" s="159">
        <f>SUMIFS('Historical Orders'!$E139, 'Historical Orders'!$D139, "1", 'Historical Orders'!$C139, "A", 'Historical Orders'!$B139, "2")</f>
        <v>0</v>
      </c>
      <c r="M139" s="157">
        <f>SUMIFS('Historical Orders'!$G139, 'Historical Orders'!$D139, "1", 'Historical Orders'!$C139, "A", 'Historical Orders'!$B139, "2")</f>
        <v>0</v>
      </c>
      <c r="N139" s="157">
        <f>SUMIFS('Historical Orders'!$E139, 'Historical Orders'!$D139, "1", 'Historical Orders'!$C139, "B", 'Historical Orders'!$B139, "2")</f>
        <v>0</v>
      </c>
      <c r="O139" s="157">
        <f>SUMIFS('Historical Orders'!$G139, 'Historical Orders'!$D139, "1", 'Historical Orders'!$C139, "B", 'Historical Orders'!$B139, "2")</f>
        <v>0</v>
      </c>
      <c r="P139" s="159">
        <f>SUMIFS('Historical Orders'!$E139, 'Historical Orders'!$D139, "2", 'Historical Orders'!$C139, "A", 'Historical Orders'!$B139, "1")</f>
        <v>0</v>
      </c>
      <c r="Q139" s="157">
        <f>SUMIFS('Historical Orders'!$G139, 'Historical Orders'!$D139, "2", 'Historical Orders'!$C139, "A", 'Historical Orders'!$B139, "1")</f>
        <v>0</v>
      </c>
      <c r="R139" s="159">
        <f>SUMIFS('Historical Orders'!$E139, 'Historical Orders'!$D139, "2", 'Historical Orders'!$C139, "B", 'Historical Orders'!$B139, "1")</f>
        <v>0</v>
      </c>
      <c r="S139" s="157">
        <f>SUMIFS('Historical Orders'!$G139, 'Historical Orders'!$D139, "2", 'Historical Orders'!$C139, "B", 'Historical Orders'!$B139, "1")</f>
        <v>0</v>
      </c>
      <c r="T139" s="159">
        <f>SUMIFS('Historical Orders'!$E139, 'Historical Orders'!$D139, "2", 'Historical Orders'!$C139, "A", 'Historical Orders'!$B139, "2")</f>
        <v>0</v>
      </c>
      <c r="U139" s="157">
        <f>SUMIFS('Historical Orders'!$G139, 'Historical Orders'!$D139, "2", 'Historical Orders'!$C139, "A", 'Historical Orders'!$B139, "2")</f>
        <v>0</v>
      </c>
      <c r="V139" s="159">
        <f>SUMIFS('Historical Orders'!$E139, 'Historical Orders'!$D139, "2", 'Historical Orders'!$C139, "B", 'Historical Orders'!$B139, "2")</f>
        <v>0</v>
      </c>
      <c r="W139" s="159">
        <f>SUMIFS('Historical Orders'!$G139, 'Historical Orders'!$D139, "2", 'Historical Orders'!$C139, "B", 'Historical Orders'!$B139, "2")</f>
        <v>0</v>
      </c>
      <c r="X139" s="159">
        <f>SUMIFS('Historical Orders'!$E139, 'Historical Orders'!$D139, "3", 'Historical Orders'!$C139, "A", 'Historical Orders'!$B139, "1")</f>
        <v>0</v>
      </c>
      <c r="Y139" s="159">
        <f>SUMIFS('Historical Orders'!$G139, 'Historical Orders'!$D139, "3", 'Historical Orders'!$C139, "A", 'Historical Orders'!$B139, "1")</f>
        <v>0</v>
      </c>
      <c r="Z139" s="159">
        <f>SUMIFS('Historical Orders'!$E139, 'Historical Orders'!$D139, "3", 'Historical Orders'!$C139, "B", 'Historical Orders'!$B139, "1")</f>
        <v>0</v>
      </c>
      <c r="AA139" s="159">
        <f>SUMIFS('Historical Orders'!$G139, 'Historical Orders'!$D139, "3", 'Historical Orders'!$C139, "B", 'Historical Orders'!$B139, "1")</f>
        <v>0</v>
      </c>
      <c r="AB139" s="159">
        <f>SUMIFS('Historical Orders'!$E139, 'Historical Orders'!$D139, "3", 'Historical Orders'!$C139, "A", 'Historical Orders'!$B139, "2")</f>
        <v>0</v>
      </c>
      <c r="AC139" s="159">
        <f>SUMIFS('Historical Orders'!$G139, 'Historical Orders'!$D139, "3", 'Historical Orders'!$C139, "A", 'Historical Orders'!$B139, "2")</f>
        <v>0</v>
      </c>
      <c r="AD139" s="159">
        <f>SUMIFS('Historical Orders'!$E139, 'Historical Orders'!$D139, "3", 'Historical Orders'!$C139, "B", 'Historical Orders'!$B139, "2")</f>
        <v>2898</v>
      </c>
      <c r="AE139" s="157">
        <f>SUMIFS('Historical Orders'!$G139, 'Historical Orders'!$D139, "3", 'Historical Orders'!$C139, "B", 'Historical Orders'!$B139, "2")</f>
        <v>24053.4</v>
      </c>
      <c r="AF139" s="157">
        <f>SUMIFS('Historical Orders'!$E139, 'Historical Orders'!$D139, "4", 'Historical Orders'!$C139, "A", 'Historical Orders'!$B139, "1")</f>
        <v>0</v>
      </c>
      <c r="AG139" s="157">
        <f>SUMIFS('Historical Orders'!$G139, 'Historical Orders'!$D139, "4", 'Historical Orders'!$C139, "A", 'Historical Orders'!$B139, "1")</f>
        <v>0</v>
      </c>
      <c r="AH139" s="157">
        <f>SUMIFS('Historical Orders'!$E139, 'Historical Orders'!$D139, "4", 'Historical Orders'!$C139, "B", 'Historical Orders'!$B139, "1")</f>
        <v>0</v>
      </c>
      <c r="AI139" s="157">
        <f>SUMIFS('Historical Orders'!$G139, 'Historical Orders'!$D139, "4", 'Historical Orders'!$C139, "B", 'Historical Orders'!$B139, "1")</f>
        <v>0</v>
      </c>
      <c r="AJ139" s="157">
        <f>SUMIFS('Historical Orders'!$E139, 'Historical Orders'!$D139, "4", 'Historical Orders'!$C139, "A", 'Historical Orders'!$B139, "2")</f>
        <v>0</v>
      </c>
      <c r="AK139" s="157">
        <f>SUMIFS('Historical Orders'!$G139, 'Historical Orders'!$D139, "4", 'Historical Orders'!$C139, "A", 'Historical Orders'!$B139, "2")</f>
        <v>0</v>
      </c>
      <c r="AL139" s="171">
        <f>SUMIFS('Historical Orders'!$E139, 'Historical Orders'!$D139, "4", 'Historical Orders'!$C139, "B", 'Historical Orders'!$B139, "2")</f>
        <v>0</v>
      </c>
      <c r="AM139" s="171">
        <f>SUMIFS('Historical Orders'!$G139, 'Historical Orders'!$D139, "4", 'Historical Orders'!$C139, "B", 'Historical Orders'!$B139, "2")</f>
        <v>0</v>
      </c>
      <c r="AN139" s="171">
        <f>SUMIFS('Historical Orders'!$G139, 'Historical Orders'!$C139, "A", 'Historical Orders'!$B139, "1")</f>
        <v>0</v>
      </c>
      <c r="AO139" s="171">
        <f>SUMIFS('Historical Orders'!$G139, 'Historical Orders'!$C139, "B", 'Historical Orders'!$B139, "1")</f>
        <v>0</v>
      </c>
      <c r="AP139" s="171">
        <f>SUMIFS('Historical Orders'!$G139, 'Historical Orders'!$C139, "A", 'Historical Orders'!$B139, "2")</f>
        <v>0</v>
      </c>
      <c r="AQ139" s="171">
        <f>SUMIFS('Historical Orders'!$G139, 'Historical Orders'!$C139, "B", 'Historical Orders'!$B139, "2")</f>
        <v>24053.4</v>
      </c>
      <c r="AR139" s="145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9"/>
      <c r="BW139" s="179"/>
      <c r="BX139" s="179"/>
      <c r="BY139" s="179"/>
      <c r="BZ139" s="179"/>
      <c r="CA139" s="179"/>
      <c r="CB139" s="179"/>
      <c r="CC139" s="179"/>
      <c r="CD139" s="179"/>
      <c r="CE139" s="179"/>
    </row>
    <row r="140" ht="15.75" customHeight="1">
      <c r="A140" s="151">
        <v>42016.0</v>
      </c>
      <c r="B140" s="152">
        <v>1.0</v>
      </c>
      <c r="C140" s="152" t="s">
        <v>45</v>
      </c>
      <c r="D140" s="152">
        <v>1.0</v>
      </c>
      <c r="E140" s="153">
        <v>4031.0</v>
      </c>
      <c r="F140" s="154">
        <v>2.2</v>
      </c>
      <c r="G140" s="155">
        <v>8868.2</v>
      </c>
      <c r="H140" s="159">
        <f>SUMIFS('Historical Orders'!$E140, 'Historical Orders'!$D140, "1", 'Historical Orders'!$C140, "A", 'Historical Orders'!$B140, "1")</f>
        <v>4031</v>
      </c>
      <c r="I140" s="157">
        <f>SUMIFS('Historical Orders'!$G140, 'Historical Orders'!$D140, "1", 'Historical Orders'!$C140, "A", 'Historical Orders'!$B140, "1")</f>
        <v>8868.2</v>
      </c>
      <c r="J140" s="157">
        <f>SUMIFS('Historical Orders'!$E140, 'Historical Orders'!$D140, "1", 'Historical Orders'!$C140, "B", 'Historical Orders'!$B140, "1")</f>
        <v>0</v>
      </c>
      <c r="K140" s="157">
        <f>SUMIFS('Historical Orders'!$G140, 'Historical Orders'!$D140, "1", 'Historical Orders'!$C140, "B", 'Historical Orders'!$B140, "1")</f>
        <v>0</v>
      </c>
      <c r="L140" s="159">
        <f>SUMIFS('Historical Orders'!$E140, 'Historical Orders'!$D140, "1", 'Historical Orders'!$C140, "A", 'Historical Orders'!$B140, "2")</f>
        <v>0</v>
      </c>
      <c r="M140" s="157">
        <f>SUMIFS('Historical Orders'!$G140, 'Historical Orders'!$D140, "1", 'Historical Orders'!$C140, "A", 'Historical Orders'!$B140, "2")</f>
        <v>0</v>
      </c>
      <c r="N140" s="157">
        <f>SUMIFS('Historical Orders'!$E140, 'Historical Orders'!$D140, "1", 'Historical Orders'!$C140, "B", 'Historical Orders'!$B140, "2")</f>
        <v>0</v>
      </c>
      <c r="O140" s="157">
        <f>SUMIFS('Historical Orders'!$G140, 'Historical Orders'!$D140, "1", 'Historical Orders'!$C140, "B", 'Historical Orders'!$B140, "2")</f>
        <v>0</v>
      </c>
      <c r="P140" s="159">
        <f>SUMIFS('Historical Orders'!$E140, 'Historical Orders'!$D140, "2", 'Historical Orders'!$C140, "A", 'Historical Orders'!$B140, "1")</f>
        <v>0</v>
      </c>
      <c r="Q140" s="157">
        <f>SUMIFS('Historical Orders'!$G140, 'Historical Orders'!$D140, "2", 'Historical Orders'!$C140, "A", 'Historical Orders'!$B140, "1")</f>
        <v>0</v>
      </c>
      <c r="R140" s="159">
        <f>SUMIFS('Historical Orders'!$E140, 'Historical Orders'!$D140, "2", 'Historical Orders'!$C140, "B", 'Historical Orders'!$B140, "1")</f>
        <v>0</v>
      </c>
      <c r="S140" s="157">
        <f>SUMIFS('Historical Orders'!$G140, 'Historical Orders'!$D140, "2", 'Historical Orders'!$C140, "B", 'Historical Orders'!$B140, "1")</f>
        <v>0</v>
      </c>
      <c r="T140" s="159">
        <f>SUMIFS('Historical Orders'!$E140, 'Historical Orders'!$D140, "2", 'Historical Orders'!$C140, "A", 'Historical Orders'!$B140, "2")</f>
        <v>0</v>
      </c>
      <c r="U140" s="157">
        <f>SUMIFS('Historical Orders'!$G140, 'Historical Orders'!$D140, "2", 'Historical Orders'!$C140, "A", 'Historical Orders'!$B140, "2")</f>
        <v>0</v>
      </c>
      <c r="V140" s="159">
        <f>SUMIFS('Historical Orders'!$E140, 'Historical Orders'!$D140, "2", 'Historical Orders'!$C140, "B", 'Historical Orders'!$B140, "2")</f>
        <v>0</v>
      </c>
      <c r="W140" s="159">
        <f>SUMIFS('Historical Orders'!$G140, 'Historical Orders'!$D140, "2", 'Historical Orders'!$C140, "B", 'Historical Orders'!$B140, "2")</f>
        <v>0</v>
      </c>
      <c r="X140" s="159">
        <f>SUMIFS('Historical Orders'!$E140, 'Historical Orders'!$D140, "3", 'Historical Orders'!$C140, "A", 'Historical Orders'!$B140, "1")</f>
        <v>0</v>
      </c>
      <c r="Y140" s="159">
        <f>SUMIFS('Historical Orders'!$G140, 'Historical Orders'!$D140, "3", 'Historical Orders'!$C140, "A", 'Historical Orders'!$B140, "1")</f>
        <v>0</v>
      </c>
      <c r="Z140" s="159">
        <f>SUMIFS('Historical Orders'!$E140, 'Historical Orders'!$D140, "3", 'Historical Orders'!$C140, "B", 'Historical Orders'!$B140, "1")</f>
        <v>0</v>
      </c>
      <c r="AA140" s="159">
        <f>SUMIFS('Historical Orders'!$G140, 'Historical Orders'!$D140, "3", 'Historical Orders'!$C140, "B", 'Historical Orders'!$B140, "1")</f>
        <v>0</v>
      </c>
      <c r="AB140" s="159">
        <f>SUMIFS('Historical Orders'!$E140, 'Historical Orders'!$D140, "3", 'Historical Orders'!$C140, "A", 'Historical Orders'!$B140, "2")</f>
        <v>0</v>
      </c>
      <c r="AC140" s="159">
        <f>SUMIFS('Historical Orders'!$G140, 'Historical Orders'!$D140, "3", 'Historical Orders'!$C140, "A", 'Historical Orders'!$B140, "2")</f>
        <v>0</v>
      </c>
      <c r="AD140" s="159">
        <f>SUMIFS('Historical Orders'!$E140, 'Historical Orders'!$D140, "3", 'Historical Orders'!$C140, "B", 'Historical Orders'!$B140, "2")</f>
        <v>0</v>
      </c>
      <c r="AE140" s="157">
        <f>SUMIFS('Historical Orders'!$G140, 'Historical Orders'!$D140, "3", 'Historical Orders'!$C140, "B", 'Historical Orders'!$B140, "2")</f>
        <v>0</v>
      </c>
      <c r="AF140" s="157">
        <f>SUMIFS('Historical Orders'!$E140, 'Historical Orders'!$D140, "4", 'Historical Orders'!$C140, "A", 'Historical Orders'!$B140, "1")</f>
        <v>0</v>
      </c>
      <c r="AG140" s="157">
        <f>SUMIFS('Historical Orders'!$G140, 'Historical Orders'!$D140, "4", 'Historical Orders'!$C140, "A", 'Historical Orders'!$B140, "1")</f>
        <v>0</v>
      </c>
      <c r="AH140" s="157">
        <f>SUMIFS('Historical Orders'!$E140, 'Historical Orders'!$D140, "4", 'Historical Orders'!$C140, "B", 'Historical Orders'!$B140, "1")</f>
        <v>0</v>
      </c>
      <c r="AI140" s="157">
        <f>SUMIFS('Historical Orders'!$G140, 'Historical Orders'!$D140, "4", 'Historical Orders'!$C140, "B", 'Historical Orders'!$B140, "1")</f>
        <v>0</v>
      </c>
      <c r="AJ140" s="157">
        <f>SUMIFS('Historical Orders'!$E140, 'Historical Orders'!$D140, "4", 'Historical Orders'!$C140, "A", 'Historical Orders'!$B140, "2")</f>
        <v>0</v>
      </c>
      <c r="AK140" s="157">
        <f>SUMIFS('Historical Orders'!$G140, 'Historical Orders'!$D140, "4", 'Historical Orders'!$C140, "A", 'Historical Orders'!$B140, "2")</f>
        <v>0</v>
      </c>
      <c r="AL140" s="171">
        <f>SUMIFS('Historical Orders'!$E140, 'Historical Orders'!$D140, "4", 'Historical Orders'!$C140, "B", 'Historical Orders'!$B140, "2")</f>
        <v>0</v>
      </c>
      <c r="AM140" s="171">
        <f>SUMIFS('Historical Orders'!$G140, 'Historical Orders'!$D140, "4", 'Historical Orders'!$C140, "B", 'Historical Orders'!$B140, "2")</f>
        <v>0</v>
      </c>
      <c r="AN140" s="171">
        <f>SUMIFS('Historical Orders'!$G140, 'Historical Orders'!$C140, "A", 'Historical Orders'!$B140, "1")</f>
        <v>8868.2</v>
      </c>
      <c r="AO140" s="171">
        <f>SUMIFS('Historical Orders'!$G140, 'Historical Orders'!$C140, "B", 'Historical Orders'!$B140, "1")</f>
        <v>0</v>
      </c>
      <c r="AP140" s="171">
        <f>SUMIFS('Historical Orders'!$G140, 'Historical Orders'!$C140, "A", 'Historical Orders'!$B140, "2")</f>
        <v>0</v>
      </c>
      <c r="AQ140" s="171">
        <f>SUMIFS('Historical Orders'!$G140, 'Historical Orders'!$C140, "B", 'Historical Orders'!$B140, "2")</f>
        <v>0</v>
      </c>
      <c r="AR140" s="145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  <c r="BT140" s="172"/>
      <c r="BU140" s="172"/>
      <c r="BV140" s="179"/>
      <c r="BW140" s="179"/>
      <c r="BX140" s="179"/>
      <c r="BY140" s="179"/>
      <c r="BZ140" s="179"/>
      <c r="CA140" s="179"/>
      <c r="CB140" s="179"/>
      <c r="CC140" s="179"/>
      <c r="CD140" s="179"/>
      <c r="CE140" s="179"/>
    </row>
    <row r="141" ht="15.75" customHeight="1">
      <c r="A141" s="151">
        <v>42016.0</v>
      </c>
      <c r="B141" s="152">
        <v>1.0</v>
      </c>
      <c r="C141" s="152" t="s">
        <v>45</v>
      </c>
      <c r="D141" s="152">
        <v>2.0</v>
      </c>
      <c r="E141" s="153">
        <v>4210.0</v>
      </c>
      <c r="F141" s="154">
        <v>1.2</v>
      </c>
      <c r="G141" s="155">
        <v>5052.0</v>
      </c>
      <c r="H141" s="159">
        <f>SUMIFS('Historical Orders'!$E141, 'Historical Orders'!$D141, "1", 'Historical Orders'!$C141, "A", 'Historical Orders'!$B141, "1")</f>
        <v>0</v>
      </c>
      <c r="I141" s="157">
        <f>SUMIFS('Historical Orders'!$G141, 'Historical Orders'!$D141, "1", 'Historical Orders'!$C141, "A", 'Historical Orders'!$B141, "1")</f>
        <v>0</v>
      </c>
      <c r="J141" s="157">
        <f>SUMIFS('Historical Orders'!$E141, 'Historical Orders'!$D141, "1", 'Historical Orders'!$C141, "B", 'Historical Orders'!$B141, "1")</f>
        <v>0</v>
      </c>
      <c r="K141" s="157">
        <f>SUMIFS('Historical Orders'!$G141, 'Historical Orders'!$D141, "1", 'Historical Orders'!$C141, "B", 'Historical Orders'!$B141, "1")</f>
        <v>0</v>
      </c>
      <c r="L141" s="159">
        <f>SUMIFS('Historical Orders'!$E141, 'Historical Orders'!$D141, "1", 'Historical Orders'!$C141, "A", 'Historical Orders'!$B141, "2")</f>
        <v>0</v>
      </c>
      <c r="M141" s="157">
        <f>SUMIFS('Historical Orders'!$G141, 'Historical Orders'!$D141, "1", 'Historical Orders'!$C141, "A", 'Historical Orders'!$B141, "2")</f>
        <v>0</v>
      </c>
      <c r="N141" s="157">
        <f>SUMIFS('Historical Orders'!$E141, 'Historical Orders'!$D141, "1", 'Historical Orders'!$C141, "B", 'Historical Orders'!$B141, "2")</f>
        <v>0</v>
      </c>
      <c r="O141" s="157">
        <f>SUMIFS('Historical Orders'!$G141, 'Historical Orders'!$D141, "1", 'Historical Orders'!$C141, "B", 'Historical Orders'!$B141, "2")</f>
        <v>0</v>
      </c>
      <c r="P141" s="159">
        <f>SUMIFS('Historical Orders'!$E141, 'Historical Orders'!$D141, "2", 'Historical Orders'!$C141, "A", 'Historical Orders'!$B141, "1")</f>
        <v>4210</v>
      </c>
      <c r="Q141" s="157">
        <f>SUMIFS('Historical Orders'!$G141, 'Historical Orders'!$D141, "2", 'Historical Orders'!$C141, "A", 'Historical Orders'!$B141, "1")</f>
        <v>5052</v>
      </c>
      <c r="R141" s="159">
        <f>SUMIFS('Historical Orders'!$E141, 'Historical Orders'!$D141, "2", 'Historical Orders'!$C141, "B", 'Historical Orders'!$B141, "1")</f>
        <v>0</v>
      </c>
      <c r="S141" s="157">
        <f>SUMIFS('Historical Orders'!$G141, 'Historical Orders'!$D141, "2", 'Historical Orders'!$C141, "B", 'Historical Orders'!$B141, "1")</f>
        <v>0</v>
      </c>
      <c r="T141" s="159">
        <f>SUMIFS('Historical Orders'!$E141, 'Historical Orders'!$D141, "2", 'Historical Orders'!$C141, "A", 'Historical Orders'!$B141, "2")</f>
        <v>0</v>
      </c>
      <c r="U141" s="157">
        <f>SUMIFS('Historical Orders'!$G141, 'Historical Orders'!$D141, "2", 'Historical Orders'!$C141, "A", 'Historical Orders'!$B141, "2")</f>
        <v>0</v>
      </c>
      <c r="V141" s="159">
        <f>SUMIFS('Historical Orders'!$E141, 'Historical Orders'!$D141, "2", 'Historical Orders'!$C141, "B", 'Historical Orders'!$B141, "2")</f>
        <v>0</v>
      </c>
      <c r="W141" s="159">
        <f>SUMIFS('Historical Orders'!$G141, 'Historical Orders'!$D141, "2", 'Historical Orders'!$C141, "B", 'Historical Orders'!$B141, "2")</f>
        <v>0</v>
      </c>
      <c r="X141" s="159">
        <f>SUMIFS('Historical Orders'!$E141, 'Historical Orders'!$D141, "3", 'Historical Orders'!$C141, "A", 'Historical Orders'!$B141, "1")</f>
        <v>0</v>
      </c>
      <c r="Y141" s="159">
        <f>SUMIFS('Historical Orders'!$G141, 'Historical Orders'!$D141, "3", 'Historical Orders'!$C141, "A", 'Historical Orders'!$B141, "1")</f>
        <v>0</v>
      </c>
      <c r="Z141" s="159">
        <f>SUMIFS('Historical Orders'!$E141, 'Historical Orders'!$D141, "3", 'Historical Orders'!$C141, "B", 'Historical Orders'!$B141, "1")</f>
        <v>0</v>
      </c>
      <c r="AA141" s="159">
        <f>SUMIFS('Historical Orders'!$G141, 'Historical Orders'!$D141, "3", 'Historical Orders'!$C141, "B", 'Historical Orders'!$B141, "1")</f>
        <v>0</v>
      </c>
      <c r="AB141" s="159">
        <f>SUMIFS('Historical Orders'!$E141, 'Historical Orders'!$D141, "3", 'Historical Orders'!$C141, "A", 'Historical Orders'!$B141, "2")</f>
        <v>0</v>
      </c>
      <c r="AC141" s="159">
        <f>SUMIFS('Historical Orders'!$G141, 'Historical Orders'!$D141, "3", 'Historical Orders'!$C141, "A", 'Historical Orders'!$B141, "2")</f>
        <v>0</v>
      </c>
      <c r="AD141" s="159">
        <f>SUMIFS('Historical Orders'!$E141, 'Historical Orders'!$D141, "3", 'Historical Orders'!$C141, "B", 'Historical Orders'!$B141, "2")</f>
        <v>0</v>
      </c>
      <c r="AE141" s="157">
        <f>SUMIFS('Historical Orders'!$G141, 'Historical Orders'!$D141, "3", 'Historical Orders'!$C141, "B", 'Historical Orders'!$B141, "2")</f>
        <v>0</v>
      </c>
      <c r="AF141" s="157">
        <f>SUMIFS('Historical Orders'!$E141, 'Historical Orders'!$D141, "4", 'Historical Orders'!$C141, "A", 'Historical Orders'!$B141, "1")</f>
        <v>0</v>
      </c>
      <c r="AG141" s="157">
        <f>SUMIFS('Historical Orders'!$G141, 'Historical Orders'!$D141, "4", 'Historical Orders'!$C141, "A", 'Historical Orders'!$B141, "1")</f>
        <v>0</v>
      </c>
      <c r="AH141" s="157">
        <f>SUMIFS('Historical Orders'!$E141, 'Historical Orders'!$D141, "4", 'Historical Orders'!$C141, "B", 'Historical Orders'!$B141, "1")</f>
        <v>0</v>
      </c>
      <c r="AI141" s="157">
        <f>SUMIFS('Historical Orders'!$G141, 'Historical Orders'!$D141, "4", 'Historical Orders'!$C141, "B", 'Historical Orders'!$B141, "1")</f>
        <v>0</v>
      </c>
      <c r="AJ141" s="157">
        <f>SUMIFS('Historical Orders'!$E141, 'Historical Orders'!$D141, "4", 'Historical Orders'!$C141, "A", 'Historical Orders'!$B141, "2")</f>
        <v>0</v>
      </c>
      <c r="AK141" s="157">
        <f>SUMIFS('Historical Orders'!$G141, 'Historical Orders'!$D141, "4", 'Historical Orders'!$C141, "A", 'Historical Orders'!$B141, "2")</f>
        <v>0</v>
      </c>
      <c r="AL141" s="171">
        <f>SUMIFS('Historical Orders'!$E141, 'Historical Orders'!$D141, "4", 'Historical Orders'!$C141, "B", 'Historical Orders'!$B141, "2")</f>
        <v>0</v>
      </c>
      <c r="AM141" s="171">
        <f>SUMIFS('Historical Orders'!$G141, 'Historical Orders'!$D141, "4", 'Historical Orders'!$C141, "B", 'Historical Orders'!$B141, "2")</f>
        <v>0</v>
      </c>
      <c r="AN141" s="171">
        <f>SUMIFS('Historical Orders'!$G141, 'Historical Orders'!$C141, "A", 'Historical Orders'!$B141, "1")</f>
        <v>5052</v>
      </c>
      <c r="AO141" s="171">
        <f>SUMIFS('Historical Orders'!$G141, 'Historical Orders'!$C141, "B", 'Historical Orders'!$B141, "1")</f>
        <v>0</v>
      </c>
      <c r="AP141" s="171">
        <f>SUMIFS('Historical Orders'!$G141, 'Historical Orders'!$C141, "A", 'Historical Orders'!$B141, "2")</f>
        <v>0</v>
      </c>
      <c r="AQ141" s="171">
        <f>SUMIFS('Historical Orders'!$G141, 'Historical Orders'!$C141, "B", 'Historical Orders'!$B141, "2")</f>
        <v>0</v>
      </c>
      <c r="AR141" s="145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  <c r="BT141" s="172"/>
      <c r="BU141" s="172"/>
      <c r="BV141" s="179"/>
      <c r="BW141" s="179"/>
      <c r="BX141" s="179"/>
      <c r="BY141" s="179"/>
      <c r="BZ141" s="179"/>
      <c r="CA141" s="179"/>
      <c r="CB141" s="179"/>
      <c r="CC141" s="179"/>
      <c r="CD141" s="179"/>
      <c r="CE141" s="179"/>
    </row>
    <row r="142" ht="15.75" customHeight="1">
      <c r="A142" s="151">
        <v>42016.0</v>
      </c>
      <c r="B142" s="152">
        <v>2.0</v>
      </c>
      <c r="C142" s="152" t="s">
        <v>45</v>
      </c>
      <c r="D142" s="152">
        <v>1.0</v>
      </c>
      <c r="E142" s="153">
        <v>3024.0</v>
      </c>
      <c r="F142" s="154">
        <v>2.2</v>
      </c>
      <c r="G142" s="155">
        <v>6652.8</v>
      </c>
      <c r="H142" s="159">
        <f>SUMIFS('Historical Orders'!$E142, 'Historical Orders'!$D142, "1", 'Historical Orders'!$C142, "A", 'Historical Orders'!$B142, "1")</f>
        <v>0</v>
      </c>
      <c r="I142" s="157">
        <f>SUMIFS('Historical Orders'!$G142, 'Historical Orders'!$D142, "1", 'Historical Orders'!$C142, "A", 'Historical Orders'!$B142, "1")</f>
        <v>0</v>
      </c>
      <c r="J142" s="157">
        <f>SUMIFS('Historical Orders'!$E142, 'Historical Orders'!$D142, "1", 'Historical Orders'!$C142, "B", 'Historical Orders'!$B142, "1")</f>
        <v>0</v>
      </c>
      <c r="K142" s="157">
        <f>SUMIFS('Historical Orders'!$G142, 'Historical Orders'!$D142, "1", 'Historical Orders'!$C142, "B", 'Historical Orders'!$B142, "1")</f>
        <v>0</v>
      </c>
      <c r="L142" s="159">
        <f>SUMIFS('Historical Orders'!$E142, 'Historical Orders'!$D142, "1", 'Historical Orders'!$C142, "A", 'Historical Orders'!$B142, "2")</f>
        <v>3024</v>
      </c>
      <c r="M142" s="157">
        <f>SUMIFS('Historical Orders'!$G142, 'Historical Orders'!$D142, "1", 'Historical Orders'!$C142, "A", 'Historical Orders'!$B142, "2")</f>
        <v>6652.8</v>
      </c>
      <c r="N142" s="157">
        <f>SUMIFS('Historical Orders'!$E142, 'Historical Orders'!$D142, "1", 'Historical Orders'!$C142, "B", 'Historical Orders'!$B142, "2")</f>
        <v>0</v>
      </c>
      <c r="O142" s="157">
        <f>SUMIFS('Historical Orders'!$G142, 'Historical Orders'!$D142, "1", 'Historical Orders'!$C142, "B", 'Historical Orders'!$B142, "2")</f>
        <v>0</v>
      </c>
      <c r="P142" s="159">
        <f>SUMIFS('Historical Orders'!$E142, 'Historical Orders'!$D142, "2", 'Historical Orders'!$C142, "A", 'Historical Orders'!$B142, "1")</f>
        <v>0</v>
      </c>
      <c r="Q142" s="157">
        <f>SUMIFS('Historical Orders'!$G142, 'Historical Orders'!$D142, "2", 'Historical Orders'!$C142, "A", 'Historical Orders'!$B142, "1")</f>
        <v>0</v>
      </c>
      <c r="R142" s="159">
        <f>SUMIFS('Historical Orders'!$E142, 'Historical Orders'!$D142, "2", 'Historical Orders'!$C142, "B", 'Historical Orders'!$B142, "1")</f>
        <v>0</v>
      </c>
      <c r="S142" s="157">
        <f>SUMIFS('Historical Orders'!$G142, 'Historical Orders'!$D142, "2", 'Historical Orders'!$C142, "B", 'Historical Orders'!$B142, "1")</f>
        <v>0</v>
      </c>
      <c r="T142" s="159">
        <f>SUMIFS('Historical Orders'!$E142, 'Historical Orders'!$D142, "2", 'Historical Orders'!$C142, "A", 'Historical Orders'!$B142, "2")</f>
        <v>0</v>
      </c>
      <c r="U142" s="157">
        <f>SUMIFS('Historical Orders'!$G142, 'Historical Orders'!$D142, "2", 'Historical Orders'!$C142, "A", 'Historical Orders'!$B142, "2")</f>
        <v>0</v>
      </c>
      <c r="V142" s="159">
        <f>SUMIFS('Historical Orders'!$E142, 'Historical Orders'!$D142, "2", 'Historical Orders'!$C142, "B", 'Historical Orders'!$B142, "2")</f>
        <v>0</v>
      </c>
      <c r="W142" s="159">
        <f>SUMIFS('Historical Orders'!$G142, 'Historical Orders'!$D142, "2", 'Historical Orders'!$C142, "B", 'Historical Orders'!$B142, "2")</f>
        <v>0</v>
      </c>
      <c r="X142" s="159">
        <f>SUMIFS('Historical Orders'!$E142, 'Historical Orders'!$D142, "3", 'Historical Orders'!$C142, "A", 'Historical Orders'!$B142, "1")</f>
        <v>0</v>
      </c>
      <c r="Y142" s="159">
        <f>SUMIFS('Historical Orders'!$G142, 'Historical Orders'!$D142, "3", 'Historical Orders'!$C142, "A", 'Historical Orders'!$B142, "1")</f>
        <v>0</v>
      </c>
      <c r="Z142" s="159">
        <f>SUMIFS('Historical Orders'!$E142, 'Historical Orders'!$D142, "3", 'Historical Orders'!$C142, "B", 'Historical Orders'!$B142, "1")</f>
        <v>0</v>
      </c>
      <c r="AA142" s="159">
        <f>SUMIFS('Historical Orders'!$G142, 'Historical Orders'!$D142, "3", 'Historical Orders'!$C142, "B", 'Historical Orders'!$B142, "1")</f>
        <v>0</v>
      </c>
      <c r="AB142" s="159">
        <f>SUMIFS('Historical Orders'!$E142, 'Historical Orders'!$D142, "3", 'Historical Orders'!$C142, "A", 'Historical Orders'!$B142, "2")</f>
        <v>0</v>
      </c>
      <c r="AC142" s="159">
        <f>SUMIFS('Historical Orders'!$G142, 'Historical Orders'!$D142, "3", 'Historical Orders'!$C142, "A", 'Historical Orders'!$B142, "2")</f>
        <v>0</v>
      </c>
      <c r="AD142" s="159">
        <f>SUMIFS('Historical Orders'!$E142, 'Historical Orders'!$D142, "3", 'Historical Orders'!$C142, "B", 'Historical Orders'!$B142, "2")</f>
        <v>0</v>
      </c>
      <c r="AE142" s="157">
        <f>SUMIFS('Historical Orders'!$G142, 'Historical Orders'!$D142, "3", 'Historical Orders'!$C142, "B", 'Historical Orders'!$B142, "2")</f>
        <v>0</v>
      </c>
      <c r="AF142" s="157">
        <f>SUMIFS('Historical Orders'!$E142, 'Historical Orders'!$D142, "4", 'Historical Orders'!$C142, "A", 'Historical Orders'!$B142, "1")</f>
        <v>0</v>
      </c>
      <c r="AG142" s="157">
        <f>SUMIFS('Historical Orders'!$G142, 'Historical Orders'!$D142, "4", 'Historical Orders'!$C142, "A", 'Historical Orders'!$B142, "1")</f>
        <v>0</v>
      </c>
      <c r="AH142" s="157">
        <f>SUMIFS('Historical Orders'!$E142, 'Historical Orders'!$D142, "4", 'Historical Orders'!$C142, "B", 'Historical Orders'!$B142, "1")</f>
        <v>0</v>
      </c>
      <c r="AI142" s="157">
        <f>SUMIFS('Historical Orders'!$G142, 'Historical Orders'!$D142, "4", 'Historical Orders'!$C142, "B", 'Historical Orders'!$B142, "1")</f>
        <v>0</v>
      </c>
      <c r="AJ142" s="157">
        <f>SUMIFS('Historical Orders'!$E142, 'Historical Orders'!$D142, "4", 'Historical Orders'!$C142, "A", 'Historical Orders'!$B142, "2")</f>
        <v>0</v>
      </c>
      <c r="AK142" s="157">
        <f>SUMIFS('Historical Orders'!$G142, 'Historical Orders'!$D142, "4", 'Historical Orders'!$C142, "A", 'Historical Orders'!$B142, "2")</f>
        <v>0</v>
      </c>
      <c r="AL142" s="171">
        <f>SUMIFS('Historical Orders'!$E142, 'Historical Orders'!$D142, "4", 'Historical Orders'!$C142, "B", 'Historical Orders'!$B142, "2")</f>
        <v>0</v>
      </c>
      <c r="AM142" s="171">
        <f>SUMIFS('Historical Orders'!$G142, 'Historical Orders'!$D142, "4", 'Historical Orders'!$C142, "B", 'Historical Orders'!$B142, "2")</f>
        <v>0</v>
      </c>
      <c r="AN142" s="171">
        <f>SUMIFS('Historical Orders'!$G142, 'Historical Orders'!$C142, "A", 'Historical Orders'!$B142, "1")</f>
        <v>0</v>
      </c>
      <c r="AO142" s="171">
        <f>SUMIFS('Historical Orders'!$G142, 'Historical Orders'!$C142, "B", 'Historical Orders'!$B142, "1")</f>
        <v>0</v>
      </c>
      <c r="AP142" s="171">
        <f>SUMIFS('Historical Orders'!$G142, 'Historical Orders'!$C142, "A", 'Historical Orders'!$B142, "2")</f>
        <v>6652.8</v>
      </c>
      <c r="AQ142" s="171">
        <f>SUMIFS('Historical Orders'!$G142, 'Historical Orders'!$C142, "B", 'Historical Orders'!$B142, "2")</f>
        <v>0</v>
      </c>
      <c r="AR142" s="145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9"/>
      <c r="BW142" s="179"/>
      <c r="BX142" s="179"/>
      <c r="BY142" s="179"/>
      <c r="BZ142" s="179"/>
      <c r="CA142" s="179"/>
      <c r="CB142" s="179"/>
      <c r="CC142" s="179"/>
      <c r="CD142" s="179"/>
      <c r="CE142" s="179"/>
    </row>
    <row r="143" ht="15.75" customHeight="1">
      <c r="A143" s="151">
        <v>42016.0</v>
      </c>
      <c r="B143" s="152">
        <v>2.0</v>
      </c>
      <c r="C143" s="152" t="s">
        <v>45</v>
      </c>
      <c r="D143" s="152">
        <v>2.0</v>
      </c>
      <c r="E143" s="153">
        <v>3410.0</v>
      </c>
      <c r="F143" s="154">
        <v>1.2</v>
      </c>
      <c r="G143" s="155">
        <v>4092.0</v>
      </c>
      <c r="H143" s="159">
        <f>SUMIFS('Historical Orders'!$E143, 'Historical Orders'!$D143, "1", 'Historical Orders'!$C143, "A", 'Historical Orders'!$B143, "1")</f>
        <v>0</v>
      </c>
      <c r="I143" s="157">
        <f>SUMIFS('Historical Orders'!$G143, 'Historical Orders'!$D143, "1", 'Historical Orders'!$C143, "A", 'Historical Orders'!$B143, "1")</f>
        <v>0</v>
      </c>
      <c r="J143" s="157">
        <f>SUMIFS('Historical Orders'!$E143, 'Historical Orders'!$D143, "1", 'Historical Orders'!$C143, "B", 'Historical Orders'!$B143, "1")</f>
        <v>0</v>
      </c>
      <c r="K143" s="157">
        <f>SUMIFS('Historical Orders'!$G143, 'Historical Orders'!$D143, "1", 'Historical Orders'!$C143, "B", 'Historical Orders'!$B143, "1")</f>
        <v>0</v>
      </c>
      <c r="L143" s="159">
        <f>SUMIFS('Historical Orders'!$E143, 'Historical Orders'!$D143, "1", 'Historical Orders'!$C143, "A", 'Historical Orders'!$B143, "2")</f>
        <v>0</v>
      </c>
      <c r="M143" s="157">
        <f>SUMIFS('Historical Orders'!$G143, 'Historical Orders'!$D143, "1", 'Historical Orders'!$C143, "A", 'Historical Orders'!$B143, "2")</f>
        <v>0</v>
      </c>
      <c r="N143" s="157">
        <f>SUMIFS('Historical Orders'!$E143, 'Historical Orders'!$D143, "1", 'Historical Orders'!$C143, "B", 'Historical Orders'!$B143, "2")</f>
        <v>0</v>
      </c>
      <c r="O143" s="157">
        <f>SUMIFS('Historical Orders'!$G143, 'Historical Orders'!$D143, "1", 'Historical Orders'!$C143, "B", 'Historical Orders'!$B143, "2")</f>
        <v>0</v>
      </c>
      <c r="P143" s="159">
        <f>SUMIFS('Historical Orders'!$E143, 'Historical Orders'!$D143, "2", 'Historical Orders'!$C143, "A", 'Historical Orders'!$B143, "1")</f>
        <v>0</v>
      </c>
      <c r="Q143" s="157">
        <f>SUMIFS('Historical Orders'!$G143, 'Historical Orders'!$D143, "2", 'Historical Orders'!$C143, "A", 'Historical Orders'!$B143, "1")</f>
        <v>0</v>
      </c>
      <c r="R143" s="159">
        <f>SUMIFS('Historical Orders'!$E143, 'Historical Orders'!$D143, "2", 'Historical Orders'!$C143, "B", 'Historical Orders'!$B143, "1")</f>
        <v>0</v>
      </c>
      <c r="S143" s="157">
        <f>SUMIFS('Historical Orders'!$G143, 'Historical Orders'!$D143, "2", 'Historical Orders'!$C143, "B", 'Historical Orders'!$B143, "1")</f>
        <v>0</v>
      </c>
      <c r="T143" s="159">
        <f>SUMIFS('Historical Orders'!$E143, 'Historical Orders'!$D143, "2", 'Historical Orders'!$C143, "A", 'Historical Orders'!$B143, "2")</f>
        <v>3410</v>
      </c>
      <c r="U143" s="157">
        <f>SUMIFS('Historical Orders'!$G143, 'Historical Orders'!$D143, "2", 'Historical Orders'!$C143, "A", 'Historical Orders'!$B143, "2")</f>
        <v>4092</v>
      </c>
      <c r="V143" s="159">
        <f>SUMIFS('Historical Orders'!$E143, 'Historical Orders'!$D143, "2", 'Historical Orders'!$C143, "B", 'Historical Orders'!$B143, "2")</f>
        <v>0</v>
      </c>
      <c r="W143" s="159">
        <f>SUMIFS('Historical Orders'!$G143, 'Historical Orders'!$D143, "2", 'Historical Orders'!$C143, "B", 'Historical Orders'!$B143, "2")</f>
        <v>0</v>
      </c>
      <c r="X143" s="159">
        <f>SUMIFS('Historical Orders'!$E143, 'Historical Orders'!$D143, "3", 'Historical Orders'!$C143, "A", 'Historical Orders'!$B143, "1")</f>
        <v>0</v>
      </c>
      <c r="Y143" s="159">
        <f>SUMIFS('Historical Orders'!$G143, 'Historical Orders'!$D143, "3", 'Historical Orders'!$C143, "A", 'Historical Orders'!$B143, "1")</f>
        <v>0</v>
      </c>
      <c r="Z143" s="159">
        <f>SUMIFS('Historical Orders'!$E143, 'Historical Orders'!$D143, "3", 'Historical Orders'!$C143, "B", 'Historical Orders'!$B143, "1")</f>
        <v>0</v>
      </c>
      <c r="AA143" s="159">
        <f>SUMIFS('Historical Orders'!$G143, 'Historical Orders'!$D143, "3", 'Historical Orders'!$C143, "B", 'Historical Orders'!$B143, "1")</f>
        <v>0</v>
      </c>
      <c r="AB143" s="159">
        <f>SUMIFS('Historical Orders'!$E143, 'Historical Orders'!$D143, "3", 'Historical Orders'!$C143, "A", 'Historical Orders'!$B143, "2")</f>
        <v>0</v>
      </c>
      <c r="AC143" s="159">
        <f>SUMIFS('Historical Orders'!$G143, 'Historical Orders'!$D143, "3", 'Historical Orders'!$C143, "A", 'Historical Orders'!$B143, "2")</f>
        <v>0</v>
      </c>
      <c r="AD143" s="159">
        <f>SUMIFS('Historical Orders'!$E143, 'Historical Orders'!$D143, "3", 'Historical Orders'!$C143, "B", 'Historical Orders'!$B143, "2")</f>
        <v>0</v>
      </c>
      <c r="AE143" s="157">
        <f>SUMIFS('Historical Orders'!$G143, 'Historical Orders'!$D143, "3", 'Historical Orders'!$C143, "B", 'Historical Orders'!$B143, "2")</f>
        <v>0</v>
      </c>
      <c r="AF143" s="157">
        <f>SUMIFS('Historical Orders'!$E143, 'Historical Orders'!$D143, "4", 'Historical Orders'!$C143, "A", 'Historical Orders'!$B143, "1")</f>
        <v>0</v>
      </c>
      <c r="AG143" s="157">
        <f>SUMIFS('Historical Orders'!$G143, 'Historical Orders'!$D143, "4", 'Historical Orders'!$C143, "A", 'Historical Orders'!$B143, "1")</f>
        <v>0</v>
      </c>
      <c r="AH143" s="157">
        <f>SUMIFS('Historical Orders'!$E143, 'Historical Orders'!$D143, "4", 'Historical Orders'!$C143, "B", 'Historical Orders'!$B143, "1")</f>
        <v>0</v>
      </c>
      <c r="AI143" s="157">
        <f>SUMIFS('Historical Orders'!$G143, 'Historical Orders'!$D143, "4", 'Historical Orders'!$C143, "B", 'Historical Orders'!$B143, "1")</f>
        <v>0</v>
      </c>
      <c r="AJ143" s="157">
        <f>SUMIFS('Historical Orders'!$E143, 'Historical Orders'!$D143, "4", 'Historical Orders'!$C143, "A", 'Historical Orders'!$B143, "2")</f>
        <v>0</v>
      </c>
      <c r="AK143" s="157">
        <f>SUMIFS('Historical Orders'!$G143, 'Historical Orders'!$D143, "4", 'Historical Orders'!$C143, "A", 'Historical Orders'!$B143, "2")</f>
        <v>0</v>
      </c>
      <c r="AL143" s="171">
        <f>SUMIFS('Historical Orders'!$E143, 'Historical Orders'!$D143, "4", 'Historical Orders'!$C143, "B", 'Historical Orders'!$B143, "2")</f>
        <v>0</v>
      </c>
      <c r="AM143" s="171">
        <f>SUMIFS('Historical Orders'!$G143, 'Historical Orders'!$D143, "4", 'Historical Orders'!$C143, "B", 'Historical Orders'!$B143, "2")</f>
        <v>0</v>
      </c>
      <c r="AN143" s="171">
        <f>SUMIFS('Historical Orders'!$G143, 'Historical Orders'!$C143, "A", 'Historical Orders'!$B143, "1")</f>
        <v>0</v>
      </c>
      <c r="AO143" s="171">
        <f>SUMIFS('Historical Orders'!$G143, 'Historical Orders'!$C143, "B", 'Historical Orders'!$B143, "1")</f>
        <v>0</v>
      </c>
      <c r="AP143" s="171">
        <f>SUMIFS('Historical Orders'!$G143, 'Historical Orders'!$C143, "A", 'Historical Orders'!$B143, "2")</f>
        <v>4092</v>
      </c>
      <c r="AQ143" s="171">
        <f>SUMIFS('Historical Orders'!$G143, 'Historical Orders'!$C143, "B", 'Historical Orders'!$B143, "2")</f>
        <v>0</v>
      </c>
      <c r="AR143" s="145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9"/>
      <c r="BW143" s="179"/>
      <c r="BX143" s="179"/>
      <c r="BY143" s="179"/>
      <c r="BZ143" s="179"/>
      <c r="CA143" s="179"/>
      <c r="CB143" s="179"/>
      <c r="CC143" s="179"/>
      <c r="CD143" s="179"/>
      <c r="CE143" s="179"/>
    </row>
    <row r="144" ht="15.75" customHeight="1">
      <c r="A144" s="151">
        <v>42016.0</v>
      </c>
      <c r="B144" s="152">
        <v>1.0</v>
      </c>
      <c r="C144" s="152" t="s">
        <v>46</v>
      </c>
      <c r="D144" s="152">
        <v>3.0</v>
      </c>
      <c r="E144" s="153">
        <v>1754.0</v>
      </c>
      <c r="F144" s="154">
        <v>8.3</v>
      </c>
      <c r="G144" s="155">
        <v>14558.2</v>
      </c>
      <c r="H144" s="159">
        <f>SUMIFS('Historical Orders'!$E144, 'Historical Orders'!$D144, "1", 'Historical Orders'!$C144, "A", 'Historical Orders'!$B144, "1")</f>
        <v>0</v>
      </c>
      <c r="I144" s="157">
        <f>SUMIFS('Historical Orders'!$G144, 'Historical Orders'!$D144, "1", 'Historical Orders'!$C144, "A", 'Historical Orders'!$B144, "1")</f>
        <v>0</v>
      </c>
      <c r="J144" s="157">
        <f>SUMIFS('Historical Orders'!$E144, 'Historical Orders'!$D144, "1", 'Historical Orders'!$C144, "B", 'Historical Orders'!$B144, "1")</f>
        <v>0</v>
      </c>
      <c r="K144" s="157">
        <f>SUMIFS('Historical Orders'!$G144, 'Historical Orders'!$D144, "1", 'Historical Orders'!$C144, "B", 'Historical Orders'!$B144, "1")</f>
        <v>0</v>
      </c>
      <c r="L144" s="159">
        <f>SUMIFS('Historical Orders'!$E144, 'Historical Orders'!$D144, "1", 'Historical Orders'!$C144, "A", 'Historical Orders'!$B144, "2")</f>
        <v>0</v>
      </c>
      <c r="M144" s="157">
        <f>SUMIFS('Historical Orders'!$G144, 'Historical Orders'!$D144, "1", 'Historical Orders'!$C144, "A", 'Historical Orders'!$B144, "2")</f>
        <v>0</v>
      </c>
      <c r="N144" s="157">
        <f>SUMIFS('Historical Orders'!$E144, 'Historical Orders'!$D144, "1", 'Historical Orders'!$C144, "B", 'Historical Orders'!$B144, "2")</f>
        <v>0</v>
      </c>
      <c r="O144" s="157">
        <f>SUMIFS('Historical Orders'!$G144, 'Historical Orders'!$D144, "1", 'Historical Orders'!$C144, "B", 'Historical Orders'!$B144, "2")</f>
        <v>0</v>
      </c>
      <c r="P144" s="159">
        <f>SUMIFS('Historical Orders'!$E144, 'Historical Orders'!$D144, "2", 'Historical Orders'!$C144, "A", 'Historical Orders'!$B144, "1")</f>
        <v>0</v>
      </c>
      <c r="Q144" s="157">
        <f>SUMIFS('Historical Orders'!$G144, 'Historical Orders'!$D144, "2", 'Historical Orders'!$C144, "A", 'Historical Orders'!$B144, "1")</f>
        <v>0</v>
      </c>
      <c r="R144" s="159">
        <f>SUMIFS('Historical Orders'!$E144, 'Historical Orders'!$D144, "2", 'Historical Orders'!$C144, "B", 'Historical Orders'!$B144, "1")</f>
        <v>0</v>
      </c>
      <c r="S144" s="157">
        <f>SUMIFS('Historical Orders'!$G144, 'Historical Orders'!$D144, "2", 'Historical Orders'!$C144, "B", 'Historical Orders'!$B144, "1")</f>
        <v>0</v>
      </c>
      <c r="T144" s="159">
        <f>SUMIFS('Historical Orders'!$E144, 'Historical Orders'!$D144, "2", 'Historical Orders'!$C144, "A", 'Historical Orders'!$B144, "2")</f>
        <v>0</v>
      </c>
      <c r="U144" s="157">
        <f>SUMIFS('Historical Orders'!$G144, 'Historical Orders'!$D144, "2", 'Historical Orders'!$C144, "A", 'Historical Orders'!$B144, "2")</f>
        <v>0</v>
      </c>
      <c r="V144" s="159">
        <f>SUMIFS('Historical Orders'!$E144, 'Historical Orders'!$D144, "2", 'Historical Orders'!$C144, "B", 'Historical Orders'!$B144, "2")</f>
        <v>0</v>
      </c>
      <c r="W144" s="159">
        <f>SUMIFS('Historical Orders'!$G144, 'Historical Orders'!$D144, "2", 'Historical Orders'!$C144, "B", 'Historical Orders'!$B144, "2")</f>
        <v>0</v>
      </c>
      <c r="X144" s="159">
        <f>SUMIFS('Historical Orders'!$E144, 'Historical Orders'!$D144, "3", 'Historical Orders'!$C144, "A", 'Historical Orders'!$B144, "1")</f>
        <v>0</v>
      </c>
      <c r="Y144" s="159">
        <f>SUMIFS('Historical Orders'!$G144, 'Historical Orders'!$D144, "3", 'Historical Orders'!$C144, "A", 'Historical Orders'!$B144, "1")</f>
        <v>0</v>
      </c>
      <c r="Z144" s="159">
        <f>SUMIFS('Historical Orders'!$E144, 'Historical Orders'!$D144, "3", 'Historical Orders'!$C144, "B", 'Historical Orders'!$B144, "1")</f>
        <v>1754</v>
      </c>
      <c r="AA144" s="159">
        <f>SUMIFS('Historical Orders'!$G144, 'Historical Orders'!$D144, "3", 'Historical Orders'!$C144, "B", 'Historical Orders'!$B144, "1")</f>
        <v>14558.2</v>
      </c>
      <c r="AB144" s="159">
        <f>SUMIFS('Historical Orders'!$E144, 'Historical Orders'!$D144, "3", 'Historical Orders'!$C144, "A", 'Historical Orders'!$B144, "2")</f>
        <v>0</v>
      </c>
      <c r="AC144" s="159">
        <f>SUMIFS('Historical Orders'!$G144, 'Historical Orders'!$D144, "3", 'Historical Orders'!$C144, "A", 'Historical Orders'!$B144, "2")</f>
        <v>0</v>
      </c>
      <c r="AD144" s="159">
        <f>SUMIFS('Historical Orders'!$E144, 'Historical Orders'!$D144, "3", 'Historical Orders'!$C144, "B", 'Historical Orders'!$B144, "2")</f>
        <v>0</v>
      </c>
      <c r="AE144" s="157">
        <f>SUMIFS('Historical Orders'!$G144, 'Historical Orders'!$D144, "3", 'Historical Orders'!$C144, "B", 'Historical Orders'!$B144, "2")</f>
        <v>0</v>
      </c>
      <c r="AF144" s="157">
        <f>SUMIFS('Historical Orders'!$E144, 'Historical Orders'!$D144, "4", 'Historical Orders'!$C144, "A", 'Historical Orders'!$B144, "1")</f>
        <v>0</v>
      </c>
      <c r="AG144" s="157">
        <f>SUMIFS('Historical Orders'!$G144, 'Historical Orders'!$D144, "4", 'Historical Orders'!$C144, "A", 'Historical Orders'!$B144, "1")</f>
        <v>0</v>
      </c>
      <c r="AH144" s="157">
        <f>SUMIFS('Historical Orders'!$E144, 'Historical Orders'!$D144, "4", 'Historical Orders'!$C144, "B", 'Historical Orders'!$B144, "1")</f>
        <v>0</v>
      </c>
      <c r="AI144" s="157">
        <f>SUMIFS('Historical Orders'!$G144, 'Historical Orders'!$D144, "4", 'Historical Orders'!$C144, "B", 'Historical Orders'!$B144, "1")</f>
        <v>0</v>
      </c>
      <c r="AJ144" s="157">
        <f>SUMIFS('Historical Orders'!$E144, 'Historical Orders'!$D144, "4", 'Historical Orders'!$C144, "A", 'Historical Orders'!$B144, "2")</f>
        <v>0</v>
      </c>
      <c r="AK144" s="157">
        <f>SUMIFS('Historical Orders'!$G144, 'Historical Orders'!$D144, "4", 'Historical Orders'!$C144, "A", 'Historical Orders'!$B144, "2")</f>
        <v>0</v>
      </c>
      <c r="AL144" s="171">
        <f>SUMIFS('Historical Orders'!$E144, 'Historical Orders'!$D144, "4", 'Historical Orders'!$C144, "B", 'Historical Orders'!$B144, "2")</f>
        <v>0</v>
      </c>
      <c r="AM144" s="171">
        <f>SUMIFS('Historical Orders'!$G144, 'Historical Orders'!$D144, "4", 'Historical Orders'!$C144, "B", 'Historical Orders'!$B144, "2")</f>
        <v>0</v>
      </c>
      <c r="AN144" s="171">
        <f>SUMIFS('Historical Orders'!$G144, 'Historical Orders'!$C144, "A", 'Historical Orders'!$B144, "1")</f>
        <v>0</v>
      </c>
      <c r="AO144" s="171">
        <f>SUMIFS('Historical Orders'!$G144, 'Historical Orders'!$C144, "B", 'Historical Orders'!$B144, "1")</f>
        <v>14558.2</v>
      </c>
      <c r="AP144" s="171">
        <f>SUMIFS('Historical Orders'!$G144, 'Historical Orders'!$C144, "A", 'Historical Orders'!$B144, "2")</f>
        <v>0</v>
      </c>
      <c r="AQ144" s="171">
        <f>SUMIFS('Historical Orders'!$G144, 'Historical Orders'!$C144, "B", 'Historical Orders'!$B144, "2")</f>
        <v>0</v>
      </c>
      <c r="AR144" s="145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  <c r="BT144" s="172"/>
      <c r="BU144" s="172"/>
      <c r="BV144" s="179"/>
      <c r="BW144" s="179"/>
      <c r="BX144" s="179"/>
      <c r="BY144" s="179"/>
      <c r="BZ144" s="179"/>
      <c r="CA144" s="179"/>
      <c r="CB144" s="179"/>
      <c r="CC144" s="179"/>
      <c r="CD144" s="179"/>
      <c r="CE144" s="179"/>
    </row>
    <row r="145" ht="15.75" customHeight="1">
      <c r="A145" s="151">
        <v>42016.0</v>
      </c>
      <c r="B145" s="152">
        <v>2.0</v>
      </c>
      <c r="C145" s="152" t="s">
        <v>46</v>
      </c>
      <c r="D145" s="152">
        <v>3.0</v>
      </c>
      <c r="E145" s="153">
        <v>1742.0</v>
      </c>
      <c r="F145" s="154">
        <v>8.3</v>
      </c>
      <c r="G145" s="155">
        <v>14458.6</v>
      </c>
      <c r="H145" s="159">
        <f>SUMIFS('Historical Orders'!$E145, 'Historical Orders'!$D145, "1", 'Historical Orders'!$C145, "A", 'Historical Orders'!$B145, "1")</f>
        <v>0</v>
      </c>
      <c r="I145" s="157">
        <f>SUMIFS('Historical Orders'!$G145, 'Historical Orders'!$D145, "1", 'Historical Orders'!$C145, "A", 'Historical Orders'!$B145, "1")</f>
        <v>0</v>
      </c>
      <c r="J145" s="157">
        <f>SUMIFS('Historical Orders'!$E145, 'Historical Orders'!$D145, "1", 'Historical Orders'!$C145, "B", 'Historical Orders'!$B145, "1")</f>
        <v>0</v>
      </c>
      <c r="K145" s="157">
        <f>SUMIFS('Historical Orders'!$G145, 'Historical Orders'!$D145, "1", 'Historical Orders'!$C145, "B", 'Historical Orders'!$B145, "1")</f>
        <v>0</v>
      </c>
      <c r="L145" s="159">
        <f>SUMIFS('Historical Orders'!$E145, 'Historical Orders'!$D145, "1", 'Historical Orders'!$C145, "A", 'Historical Orders'!$B145, "2")</f>
        <v>0</v>
      </c>
      <c r="M145" s="157">
        <f>SUMIFS('Historical Orders'!$G145, 'Historical Orders'!$D145, "1", 'Historical Orders'!$C145, "A", 'Historical Orders'!$B145, "2")</f>
        <v>0</v>
      </c>
      <c r="N145" s="157">
        <f>SUMIFS('Historical Orders'!$E145, 'Historical Orders'!$D145, "1", 'Historical Orders'!$C145, "B", 'Historical Orders'!$B145, "2")</f>
        <v>0</v>
      </c>
      <c r="O145" s="157">
        <f>SUMIFS('Historical Orders'!$G145, 'Historical Orders'!$D145, "1", 'Historical Orders'!$C145, "B", 'Historical Orders'!$B145, "2")</f>
        <v>0</v>
      </c>
      <c r="P145" s="159">
        <f>SUMIFS('Historical Orders'!$E145, 'Historical Orders'!$D145, "2", 'Historical Orders'!$C145, "A", 'Historical Orders'!$B145, "1")</f>
        <v>0</v>
      </c>
      <c r="Q145" s="157">
        <f>SUMIFS('Historical Orders'!$G145, 'Historical Orders'!$D145, "2", 'Historical Orders'!$C145, "A", 'Historical Orders'!$B145, "1")</f>
        <v>0</v>
      </c>
      <c r="R145" s="159">
        <f>SUMIFS('Historical Orders'!$E145, 'Historical Orders'!$D145, "2", 'Historical Orders'!$C145, "B", 'Historical Orders'!$B145, "1")</f>
        <v>0</v>
      </c>
      <c r="S145" s="157">
        <f>SUMIFS('Historical Orders'!$G145, 'Historical Orders'!$D145, "2", 'Historical Orders'!$C145, "B", 'Historical Orders'!$B145, "1")</f>
        <v>0</v>
      </c>
      <c r="T145" s="159">
        <f>SUMIFS('Historical Orders'!$E145, 'Historical Orders'!$D145, "2", 'Historical Orders'!$C145, "A", 'Historical Orders'!$B145, "2")</f>
        <v>0</v>
      </c>
      <c r="U145" s="157">
        <f>SUMIFS('Historical Orders'!$G145, 'Historical Orders'!$D145, "2", 'Historical Orders'!$C145, "A", 'Historical Orders'!$B145, "2")</f>
        <v>0</v>
      </c>
      <c r="V145" s="159">
        <f>SUMIFS('Historical Orders'!$E145, 'Historical Orders'!$D145, "2", 'Historical Orders'!$C145, "B", 'Historical Orders'!$B145, "2")</f>
        <v>0</v>
      </c>
      <c r="W145" s="159">
        <f>SUMIFS('Historical Orders'!$G145, 'Historical Orders'!$D145, "2", 'Historical Orders'!$C145, "B", 'Historical Orders'!$B145, "2")</f>
        <v>0</v>
      </c>
      <c r="X145" s="159">
        <f>SUMIFS('Historical Orders'!$E145, 'Historical Orders'!$D145, "3", 'Historical Orders'!$C145, "A", 'Historical Orders'!$B145, "1")</f>
        <v>0</v>
      </c>
      <c r="Y145" s="159">
        <f>SUMIFS('Historical Orders'!$G145, 'Historical Orders'!$D145, "3", 'Historical Orders'!$C145, "A", 'Historical Orders'!$B145, "1")</f>
        <v>0</v>
      </c>
      <c r="Z145" s="159">
        <f>SUMIFS('Historical Orders'!$E145, 'Historical Orders'!$D145, "3", 'Historical Orders'!$C145, "B", 'Historical Orders'!$B145, "1")</f>
        <v>0</v>
      </c>
      <c r="AA145" s="159">
        <f>SUMIFS('Historical Orders'!$G145, 'Historical Orders'!$D145, "3", 'Historical Orders'!$C145, "B", 'Historical Orders'!$B145, "1")</f>
        <v>0</v>
      </c>
      <c r="AB145" s="159">
        <f>SUMIFS('Historical Orders'!$E145, 'Historical Orders'!$D145, "3", 'Historical Orders'!$C145, "A", 'Historical Orders'!$B145, "2")</f>
        <v>0</v>
      </c>
      <c r="AC145" s="159">
        <f>SUMIFS('Historical Orders'!$G145, 'Historical Orders'!$D145, "3", 'Historical Orders'!$C145, "A", 'Historical Orders'!$B145, "2")</f>
        <v>0</v>
      </c>
      <c r="AD145" s="159">
        <f>SUMIFS('Historical Orders'!$E145, 'Historical Orders'!$D145, "3", 'Historical Orders'!$C145, "B", 'Historical Orders'!$B145, "2")</f>
        <v>1742</v>
      </c>
      <c r="AE145" s="157">
        <f>SUMIFS('Historical Orders'!$G145, 'Historical Orders'!$D145, "3", 'Historical Orders'!$C145, "B", 'Historical Orders'!$B145, "2")</f>
        <v>14458.6</v>
      </c>
      <c r="AF145" s="157">
        <f>SUMIFS('Historical Orders'!$E145, 'Historical Orders'!$D145, "4", 'Historical Orders'!$C145, "A", 'Historical Orders'!$B145, "1")</f>
        <v>0</v>
      </c>
      <c r="AG145" s="157">
        <f>SUMIFS('Historical Orders'!$G145, 'Historical Orders'!$D145, "4", 'Historical Orders'!$C145, "A", 'Historical Orders'!$B145, "1")</f>
        <v>0</v>
      </c>
      <c r="AH145" s="157">
        <f>SUMIFS('Historical Orders'!$E145, 'Historical Orders'!$D145, "4", 'Historical Orders'!$C145, "B", 'Historical Orders'!$B145, "1")</f>
        <v>0</v>
      </c>
      <c r="AI145" s="157">
        <f>SUMIFS('Historical Orders'!$G145, 'Historical Orders'!$D145, "4", 'Historical Orders'!$C145, "B", 'Historical Orders'!$B145, "1")</f>
        <v>0</v>
      </c>
      <c r="AJ145" s="157">
        <f>SUMIFS('Historical Orders'!$E145, 'Historical Orders'!$D145, "4", 'Historical Orders'!$C145, "A", 'Historical Orders'!$B145, "2")</f>
        <v>0</v>
      </c>
      <c r="AK145" s="157">
        <f>SUMIFS('Historical Orders'!$G145, 'Historical Orders'!$D145, "4", 'Historical Orders'!$C145, "A", 'Historical Orders'!$B145, "2")</f>
        <v>0</v>
      </c>
      <c r="AL145" s="171">
        <f>SUMIFS('Historical Orders'!$E145, 'Historical Orders'!$D145, "4", 'Historical Orders'!$C145, "B", 'Historical Orders'!$B145, "2")</f>
        <v>0</v>
      </c>
      <c r="AM145" s="171">
        <f>SUMIFS('Historical Orders'!$G145, 'Historical Orders'!$D145, "4", 'Historical Orders'!$C145, "B", 'Historical Orders'!$B145, "2")</f>
        <v>0</v>
      </c>
      <c r="AN145" s="171">
        <f>SUMIFS('Historical Orders'!$G145, 'Historical Orders'!$C145, "A", 'Historical Orders'!$B145, "1")</f>
        <v>0</v>
      </c>
      <c r="AO145" s="171">
        <f>SUMIFS('Historical Orders'!$G145, 'Historical Orders'!$C145, "B", 'Historical Orders'!$B145, "1")</f>
        <v>0</v>
      </c>
      <c r="AP145" s="171">
        <f>SUMIFS('Historical Orders'!$G145, 'Historical Orders'!$C145, "A", 'Historical Orders'!$B145, "2")</f>
        <v>0</v>
      </c>
      <c r="AQ145" s="171">
        <f>SUMIFS('Historical Orders'!$G145, 'Historical Orders'!$C145, "B", 'Historical Orders'!$B145, "2")</f>
        <v>14458.6</v>
      </c>
      <c r="AR145" s="145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  <c r="BT145" s="172"/>
      <c r="BU145" s="172"/>
      <c r="BV145" s="179"/>
      <c r="BW145" s="179"/>
      <c r="BX145" s="179"/>
      <c r="BY145" s="179"/>
      <c r="BZ145" s="179"/>
      <c r="CA145" s="179"/>
      <c r="CB145" s="179"/>
      <c r="CC145" s="179"/>
      <c r="CD145" s="179"/>
      <c r="CE145" s="179"/>
    </row>
    <row r="146" ht="15.75" customHeight="1">
      <c r="A146" s="151">
        <v>42023.0</v>
      </c>
      <c r="B146" s="152">
        <v>1.0</v>
      </c>
      <c r="C146" s="152" t="s">
        <v>45</v>
      </c>
      <c r="D146" s="152">
        <v>1.0</v>
      </c>
      <c r="E146" s="153">
        <v>4338.0</v>
      </c>
      <c r="F146" s="154">
        <v>2.2</v>
      </c>
      <c r="G146" s="155">
        <v>9543.6</v>
      </c>
      <c r="H146" s="159">
        <f>SUMIFS('Historical Orders'!$E146, 'Historical Orders'!$D146, "1", 'Historical Orders'!$C146, "A", 'Historical Orders'!$B146, "1")</f>
        <v>4338</v>
      </c>
      <c r="I146" s="157">
        <f>SUMIFS('Historical Orders'!$G146, 'Historical Orders'!$D146, "1", 'Historical Orders'!$C146, "A", 'Historical Orders'!$B146, "1")</f>
        <v>9543.6</v>
      </c>
      <c r="J146" s="157">
        <f>SUMIFS('Historical Orders'!$E146, 'Historical Orders'!$D146, "1", 'Historical Orders'!$C146, "B", 'Historical Orders'!$B146, "1")</f>
        <v>0</v>
      </c>
      <c r="K146" s="157">
        <f>SUMIFS('Historical Orders'!$G146, 'Historical Orders'!$D146, "1", 'Historical Orders'!$C146, "B", 'Historical Orders'!$B146, "1")</f>
        <v>0</v>
      </c>
      <c r="L146" s="159">
        <f>SUMIFS('Historical Orders'!$E146, 'Historical Orders'!$D146, "1", 'Historical Orders'!$C146, "A", 'Historical Orders'!$B146, "2")</f>
        <v>0</v>
      </c>
      <c r="M146" s="157">
        <f>SUMIFS('Historical Orders'!$G146, 'Historical Orders'!$D146, "1", 'Historical Orders'!$C146, "A", 'Historical Orders'!$B146, "2")</f>
        <v>0</v>
      </c>
      <c r="N146" s="157">
        <f>SUMIFS('Historical Orders'!$E146, 'Historical Orders'!$D146, "1", 'Historical Orders'!$C146, "B", 'Historical Orders'!$B146, "2")</f>
        <v>0</v>
      </c>
      <c r="O146" s="157">
        <f>SUMIFS('Historical Orders'!$G146, 'Historical Orders'!$D146, "1", 'Historical Orders'!$C146, "B", 'Historical Orders'!$B146, "2")</f>
        <v>0</v>
      </c>
      <c r="P146" s="159">
        <f>SUMIFS('Historical Orders'!$E146, 'Historical Orders'!$D146, "2", 'Historical Orders'!$C146, "A", 'Historical Orders'!$B146, "1")</f>
        <v>0</v>
      </c>
      <c r="Q146" s="157">
        <f>SUMIFS('Historical Orders'!$G146, 'Historical Orders'!$D146, "2", 'Historical Orders'!$C146, "A", 'Historical Orders'!$B146, "1")</f>
        <v>0</v>
      </c>
      <c r="R146" s="159">
        <f>SUMIFS('Historical Orders'!$E146, 'Historical Orders'!$D146, "2", 'Historical Orders'!$C146, "B", 'Historical Orders'!$B146, "1")</f>
        <v>0</v>
      </c>
      <c r="S146" s="157">
        <f>SUMIFS('Historical Orders'!$G146, 'Historical Orders'!$D146, "2", 'Historical Orders'!$C146, "B", 'Historical Orders'!$B146, "1")</f>
        <v>0</v>
      </c>
      <c r="T146" s="159">
        <f>SUMIFS('Historical Orders'!$E146, 'Historical Orders'!$D146, "2", 'Historical Orders'!$C146, "A", 'Historical Orders'!$B146, "2")</f>
        <v>0</v>
      </c>
      <c r="U146" s="157">
        <f>SUMIFS('Historical Orders'!$G146, 'Historical Orders'!$D146, "2", 'Historical Orders'!$C146, "A", 'Historical Orders'!$B146, "2")</f>
        <v>0</v>
      </c>
      <c r="V146" s="159">
        <f>SUMIFS('Historical Orders'!$E146, 'Historical Orders'!$D146, "2", 'Historical Orders'!$C146, "B", 'Historical Orders'!$B146, "2")</f>
        <v>0</v>
      </c>
      <c r="W146" s="159">
        <f>SUMIFS('Historical Orders'!$G146, 'Historical Orders'!$D146, "2", 'Historical Orders'!$C146, "B", 'Historical Orders'!$B146, "2")</f>
        <v>0</v>
      </c>
      <c r="X146" s="159">
        <f>SUMIFS('Historical Orders'!$E146, 'Historical Orders'!$D146, "3", 'Historical Orders'!$C146, "A", 'Historical Orders'!$B146, "1")</f>
        <v>0</v>
      </c>
      <c r="Y146" s="159">
        <f>SUMIFS('Historical Orders'!$G146, 'Historical Orders'!$D146, "3", 'Historical Orders'!$C146, "A", 'Historical Orders'!$B146, "1")</f>
        <v>0</v>
      </c>
      <c r="Z146" s="159">
        <f>SUMIFS('Historical Orders'!$E146, 'Historical Orders'!$D146, "3", 'Historical Orders'!$C146, "B", 'Historical Orders'!$B146, "1")</f>
        <v>0</v>
      </c>
      <c r="AA146" s="159">
        <f>SUMIFS('Historical Orders'!$G146, 'Historical Orders'!$D146, "3", 'Historical Orders'!$C146, "B", 'Historical Orders'!$B146, "1")</f>
        <v>0</v>
      </c>
      <c r="AB146" s="159">
        <f>SUMIFS('Historical Orders'!$E146, 'Historical Orders'!$D146, "3", 'Historical Orders'!$C146, "A", 'Historical Orders'!$B146, "2")</f>
        <v>0</v>
      </c>
      <c r="AC146" s="159">
        <f>SUMIFS('Historical Orders'!$G146, 'Historical Orders'!$D146, "3", 'Historical Orders'!$C146, "A", 'Historical Orders'!$B146, "2")</f>
        <v>0</v>
      </c>
      <c r="AD146" s="159">
        <f>SUMIFS('Historical Orders'!$E146, 'Historical Orders'!$D146, "3", 'Historical Orders'!$C146, "B", 'Historical Orders'!$B146, "2")</f>
        <v>0</v>
      </c>
      <c r="AE146" s="157">
        <f>SUMIFS('Historical Orders'!$G146, 'Historical Orders'!$D146, "3", 'Historical Orders'!$C146, "B", 'Historical Orders'!$B146, "2")</f>
        <v>0</v>
      </c>
      <c r="AF146" s="157">
        <f>SUMIFS('Historical Orders'!$E146, 'Historical Orders'!$D146, "4", 'Historical Orders'!$C146, "A", 'Historical Orders'!$B146, "1")</f>
        <v>0</v>
      </c>
      <c r="AG146" s="157">
        <f>SUMIFS('Historical Orders'!$G146, 'Historical Orders'!$D146, "4", 'Historical Orders'!$C146, "A", 'Historical Orders'!$B146, "1")</f>
        <v>0</v>
      </c>
      <c r="AH146" s="157">
        <f>SUMIFS('Historical Orders'!$E146, 'Historical Orders'!$D146, "4", 'Historical Orders'!$C146, "B", 'Historical Orders'!$B146, "1")</f>
        <v>0</v>
      </c>
      <c r="AI146" s="157">
        <f>SUMIFS('Historical Orders'!$G146, 'Historical Orders'!$D146, "4", 'Historical Orders'!$C146, "B", 'Historical Orders'!$B146, "1")</f>
        <v>0</v>
      </c>
      <c r="AJ146" s="157">
        <f>SUMIFS('Historical Orders'!$E146, 'Historical Orders'!$D146, "4", 'Historical Orders'!$C146, "A", 'Historical Orders'!$B146, "2")</f>
        <v>0</v>
      </c>
      <c r="AK146" s="157">
        <f>SUMIFS('Historical Orders'!$G146, 'Historical Orders'!$D146, "4", 'Historical Orders'!$C146, "A", 'Historical Orders'!$B146, "2")</f>
        <v>0</v>
      </c>
      <c r="AL146" s="171">
        <f>SUMIFS('Historical Orders'!$E146, 'Historical Orders'!$D146, "4", 'Historical Orders'!$C146, "B", 'Historical Orders'!$B146, "2")</f>
        <v>0</v>
      </c>
      <c r="AM146" s="171">
        <f>SUMIFS('Historical Orders'!$G146, 'Historical Orders'!$D146, "4", 'Historical Orders'!$C146, "B", 'Historical Orders'!$B146, "2")</f>
        <v>0</v>
      </c>
      <c r="AN146" s="171">
        <f>SUMIFS('Historical Orders'!$G146, 'Historical Orders'!$C146, "A", 'Historical Orders'!$B146, "1")</f>
        <v>9543.6</v>
      </c>
      <c r="AO146" s="171">
        <f>SUMIFS('Historical Orders'!$G146, 'Historical Orders'!$C146, "B", 'Historical Orders'!$B146, "1")</f>
        <v>0</v>
      </c>
      <c r="AP146" s="171">
        <f>SUMIFS('Historical Orders'!$G146, 'Historical Orders'!$C146, "A", 'Historical Orders'!$B146, "2")</f>
        <v>0</v>
      </c>
      <c r="AQ146" s="171">
        <f>SUMIFS('Historical Orders'!$G146, 'Historical Orders'!$C146, "B", 'Historical Orders'!$B146, "2")</f>
        <v>0</v>
      </c>
      <c r="AR146" s="145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  <c r="BT146" s="172"/>
      <c r="BU146" s="172"/>
      <c r="BV146" s="179"/>
      <c r="BW146" s="179"/>
      <c r="BX146" s="179"/>
      <c r="BY146" s="179"/>
      <c r="BZ146" s="179"/>
      <c r="CA146" s="179"/>
      <c r="CB146" s="179"/>
      <c r="CC146" s="179"/>
      <c r="CD146" s="179"/>
      <c r="CE146" s="179"/>
    </row>
    <row r="147" ht="15.75" customHeight="1">
      <c r="A147" s="151">
        <v>42023.0</v>
      </c>
      <c r="B147" s="152">
        <v>1.0</v>
      </c>
      <c r="C147" s="152" t="s">
        <v>45</v>
      </c>
      <c r="D147" s="152">
        <v>2.0</v>
      </c>
      <c r="E147" s="153">
        <v>4227.0</v>
      </c>
      <c r="F147" s="154">
        <v>1.2</v>
      </c>
      <c r="G147" s="155">
        <v>5072.4</v>
      </c>
      <c r="H147" s="159">
        <f>SUMIFS('Historical Orders'!$E147, 'Historical Orders'!$D147, "1", 'Historical Orders'!$C147, "A", 'Historical Orders'!$B147, "1")</f>
        <v>0</v>
      </c>
      <c r="I147" s="157">
        <f>SUMIFS('Historical Orders'!$G147, 'Historical Orders'!$D147, "1", 'Historical Orders'!$C147, "A", 'Historical Orders'!$B147, "1")</f>
        <v>0</v>
      </c>
      <c r="J147" s="157">
        <f>SUMIFS('Historical Orders'!$E147, 'Historical Orders'!$D147, "1", 'Historical Orders'!$C147, "B", 'Historical Orders'!$B147, "1")</f>
        <v>0</v>
      </c>
      <c r="K147" s="157">
        <f>SUMIFS('Historical Orders'!$G147, 'Historical Orders'!$D147, "1", 'Historical Orders'!$C147, "B", 'Historical Orders'!$B147, "1")</f>
        <v>0</v>
      </c>
      <c r="L147" s="159">
        <f>SUMIFS('Historical Orders'!$E147, 'Historical Orders'!$D147, "1", 'Historical Orders'!$C147, "A", 'Historical Orders'!$B147, "2")</f>
        <v>0</v>
      </c>
      <c r="M147" s="157">
        <f>SUMIFS('Historical Orders'!$G147, 'Historical Orders'!$D147, "1", 'Historical Orders'!$C147, "A", 'Historical Orders'!$B147, "2")</f>
        <v>0</v>
      </c>
      <c r="N147" s="157">
        <f>SUMIFS('Historical Orders'!$E147, 'Historical Orders'!$D147, "1", 'Historical Orders'!$C147, "B", 'Historical Orders'!$B147, "2")</f>
        <v>0</v>
      </c>
      <c r="O147" s="157">
        <f>SUMIFS('Historical Orders'!$G147, 'Historical Orders'!$D147, "1", 'Historical Orders'!$C147, "B", 'Historical Orders'!$B147, "2")</f>
        <v>0</v>
      </c>
      <c r="P147" s="159">
        <f>SUMIFS('Historical Orders'!$E147, 'Historical Orders'!$D147, "2", 'Historical Orders'!$C147, "A", 'Historical Orders'!$B147, "1")</f>
        <v>4227</v>
      </c>
      <c r="Q147" s="157">
        <f>SUMIFS('Historical Orders'!$G147, 'Historical Orders'!$D147, "2", 'Historical Orders'!$C147, "A", 'Historical Orders'!$B147, "1")</f>
        <v>5072.4</v>
      </c>
      <c r="R147" s="159">
        <f>SUMIFS('Historical Orders'!$E147, 'Historical Orders'!$D147, "2", 'Historical Orders'!$C147, "B", 'Historical Orders'!$B147, "1")</f>
        <v>0</v>
      </c>
      <c r="S147" s="157">
        <f>SUMIFS('Historical Orders'!$G147, 'Historical Orders'!$D147, "2", 'Historical Orders'!$C147, "B", 'Historical Orders'!$B147, "1")</f>
        <v>0</v>
      </c>
      <c r="T147" s="159">
        <f>SUMIFS('Historical Orders'!$E147, 'Historical Orders'!$D147, "2", 'Historical Orders'!$C147, "A", 'Historical Orders'!$B147, "2")</f>
        <v>0</v>
      </c>
      <c r="U147" s="157">
        <f>SUMIFS('Historical Orders'!$G147, 'Historical Orders'!$D147, "2", 'Historical Orders'!$C147, "A", 'Historical Orders'!$B147, "2")</f>
        <v>0</v>
      </c>
      <c r="V147" s="159">
        <f>SUMIFS('Historical Orders'!$E147, 'Historical Orders'!$D147, "2", 'Historical Orders'!$C147, "B", 'Historical Orders'!$B147, "2")</f>
        <v>0</v>
      </c>
      <c r="W147" s="159">
        <f>SUMIFS('Historical Orders'!$G147, 'Historical Orders'!$D147, "2", 'Historical Orders'!$C147, "B", 'Historical Orders'!$B147, "2")</f>
        <v>0</v>
      </c>
      <c r="X147" s="159">
        <f>SUMIFS('Historical Orders'!$E147, 'Historical Orders'!$D147, "3", 'Historical Orders'!$C147, "A", 'Historical Orders'!$B147, "1")</f>
        <v>0</v>
      </c>
      <c r="Y147" s="159">
        <f>SUMIFS('Historical Orders'!$G147, 'Historical Orders'!$D147, "3", 'Historical Orders'!$C147, "A", 'Historical Orders'!$B147, "1")</f>
        <v>0</v>
      </c>
      <c r="Z147" s="159">
        <f>SUMIFS('Historical Orders'!$E147, 'Historical Orders'!$D147, "3", 'Historical Orders'!$C147, "B", 'Historical Orders'!$B147, "1")</f>
        <v>0</v>
      </c>
      <c r="AA147" s="159">
        <f>SUMIFS('Historical Orders'!$G147, 'Historical Orders'!$D147, "3", 'Historical Orders'!$C147, "B", 'Historical Orders'!$B147, "1")</f>
        <v>0</v>
      </c>
      <c r="AB147" s="159">
        <f>SUMIFS('Historical Orders'!$E147, 'Historical Orders'!$D147, "3", 'Historical Orders'!$C147, "A", 'Historical Orders'!$B147, "2")</f>
        <v>0</v>
      </c>
      <c r="AC147" s="159">
        <f>SUMIFS('Historical Orders'!$G147, 'Historical Orders'!$D147, "3", 'Historical Orders'!$C147, "A", 'Historical Orders'!$B147, "2")</f>
        <v>0</v>
      </c>
      <c r="AD147" s="159">
        <f>SUMIFS('Historical Orders'!$E147, 'Historical Orders'!$D147, "3", 'Historical Orders'!$C147, "B", 'Historical Orders'!$B147, "2")</f>
        <v>0</v>
      </c>
      <c r="AE147" s="157">
        <f>SUMIFS('Historical Orders'!$G147, 'Historical Orders'!$D147, "3", 'Historical Orders'!$C147, "B", 'Historical Orders'!$B147, "2")</f>
        <v>0</v>
      </c>
      <c r="AF147" s="157">
        <f>SUMIFS('Historical Orders'!$E147, 'Historical Orders'!$D147, "4", 'Historical Orders'!$C147, "A", 'Historical Orders'!$B147, "1")</f>
        <v>0</v>
      </c>
      <c r="AG147" s="157">
        <f>SUMIFS('Historical Orders'!$G147, 'Historical Orders'!$D147, "4", 'Historical Orders'!$C147, "A", 'Historical Orders'!$B147, "1")</f>
        <v>0</v>
      </c>
      <c r="AH147" s="157">
        <f>SUMIFS('Historical Orders'!$E147, 'Historical Orders'!$D147, "4", 'Historical Orders'!$C147, "B", 'Historical Orders'!$B147, "1")</f>
        <v>0</v>
      </c>
      <c r="AI147" s="157">
        <f>SUMIFS('Historical Orders'!$G147, 'Historical Orders'!$D147, "4", 'Historical Orders'!$C147, "B", 'Historical Orders'!$B147, "1")</f>
        <v>0</v>
      </c>
      <c r="AJ147" s="157">
        <f>SUMIFS('Historical Orders'!$E147, 'Historical Orders'!$D147, "4", 'Historical Orders'!$C147, "A", 'Historical Orders'!$B147, "2")</f>
        <v>0</v>
      </c>
      <c r="AK147" s="157">
        <f>SUMIFS('Historical Orders'!$G147, 'Historical Orders'!$D147, "4", 'Historical Orders'!$C147, "A", 'Historical Orders'!$B147, "2")</f>
        <v>0</v>
      </c>
      <c r="AL147" s="171">
        <f>SUMIFS('Historical Orders'!$E147, 'Historical Orders'!$D147, "4", 'Historical Orders'!$C147, "B", 'Historical Orders'!$B147, "2")</f>
        <v>0</v>
      </c>
      <c r="AM147" s="171">
        <f>SUMIFS('Historical Orders'!$G147, 'Historical Orders'!$D147, "4", 'Historical Orders'!$C147, "B", 'Historical Orders'!$B147, "2")</f>
        <v>0</v>
      </c>
      <c r="AN147" s="171">
        <f>SUMIFS('Historical Orders'!$G147, 'Historical Orders'!$C147, "A", 'Historical Orders'!$B147, "1")</f>
        <v>5072.4</v>
      </c>
      <c r="AO147" s="171">
        <f>SUMIFS('Historical Orders'!$G147, 'Historical Orders'!$C147, "B", 'Historical Orders'!$B147, "1")</f>
        <v>0</v>
      </c>
      <c r="AP147" s="171">
        <f>SUMIFS('Historical Orders'!$G147, 'Historical Orders'!$C147, "A", 'Historical Orders'!$B147, "2")</f>
        <v>0</v>
      </c>
      <c r="AQ147" s="171">
        <f>SUMIFS('Historical Orders'!$G147, 'Historical Orders'!$C147, "B", 'Historical Orders'!$B147, "2")</f>
        <v>0</v>
      </c>
      <c r="AR147" s="145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  <c r="BT147" s="172"/>
      <c r="BU147" s="172"/>
      <c r="BV147" s="179"/>
      <c r="BW147" s="179"/>
      <c r="BX147" s="179"/>
      <c r="BY147" s="179"/>
      <c r="BZ147" s="179"/>
      <c r="CA147" s="179"/>
      <c r="CB147" s="179"/>
      <c r="CC147" s="179"/>
      <c r="CD147" s="179"/>
      <c r="CE147" s="179"/>
    </row>
    <row r="148" ht="15.75" customHeight="1">
      <c r="A148" s="151">
        <v>42023.0</v>
      </c>
      <c r="B148" s="152">
        <v>2.0</v>
      </c>
      <c r="C148" s="152" t="s">
        <v>45</v>
      </c>
      <c r="D148" s="152">
        <v>1.0</v>
      </c>
      <c r="E148" s="153">
        <v>2688.0</v>
      </c>
      <c r="F148" s="154">
        <v>2.2</v>
      </c>
      <c r="G148" s="155">
        <v>5913.6</v>
      </c>
      <c r="H148" s="159">
        <f>SUMIFS('Historical Orders'!$E148, 'Historical Orders'!$D148, "1", 'Historical Orders'!$C148, "A", 'Historical Orders'!$B148, "1")</f>
        <v>0</v>
      </c>
      <c r="I148" s="157">
        <f>SUMIFS('Historical Orders'!$G148, 'Historical Orders'!$D148, "1", 'Historical Orders'!$C148, "A", 'Historical Orders'!$B148, "1")</f>
        <v>0</v>
      </c>
      <c r="J148" s="157">
        <f>SUMIFS('Historical Orders'!$E148, 'Historical Orders'!$D148, "1", 'Historical Orders'!$C148, "B", 'Historical Orders'!$B148, "1")</f>
        <v>0</v>
      </c>
      <c r="K148" s="157">
        <f>SUMIFS('Historical Orders'!$G148, 'Historical Orders'!$D148, "1", 'Historical Orders'!$C148, "B", 'Historical Orders'!$B148, "1")</f>
        <v>0</v>
      </c>
      <c r="L148" s="159">
        <f>SUMIFS('Historical Orders'!$E148, 'Historical Orders'!$D148, "1", 'Historical Orders'!$C148, "A", 'Historical Orders'!$B148, "2")</f>
        <v>2688</v>
      </c>
      <c r="M148" s="157">
        <f>SUMIFS('Historical Orders'!$G148, 'Historical Orders'!$D148, "1", 'Historical Orders'!$C148, "A", 'Historical Orders'!$B148, "2")</f>
        <v>5913.6</v>
      </c>
      <c r="N148" s="157">
        <f>SUMIFS('Historical Orders'!$E148, 'Historical Orders'!$D148, "1", 'Historical Orders'!$C148, "B", 'Historical Orders'!$B148, "2")</f>
        <v>0</v>
      </c>
      <c r="O148" s="157">
        <f>SUMIFS('Historical Orders'!$G148, 'Historical Orders'!$D148, "1", 'Historical Orders'!$C148, "B", 'Historical Orders'!$B148, "2")</f>
        <v>0</v>
      </c>
      <c r="P148" s="159">
        <f>SUMIFS('Historical Orders'!$E148, 'Historical Orders'!$D148, "2", 'Historical Orders'!$C148, "A", 'Historical Orders'!$B148, "1")</f>
        <v>0</v>
      </c>
      <c r="Q148" s="157">
        <f>SUMIFS('Historical Orders'!$G148, 'Historical Orders'!$D148, "2", 'Historical Orders'!$C148, "A", 'Historical Orders'!$B148, "1")</f>
        <v>0</v>
      </c>
      <c r="R148" s="159">
        <f>SUMIFS('Historical Orders'!$E148, 'Historical Orders'!$D148, "2", 'Historical Orders'!$C148, "B", 'Historical Orders'!$B148, "1")</f>
        <v>0</v>
      </c>
      <c r="S148" s="157">
        <f>SUMIFS('Historical Orders'!$G148, 'Historical Orders'!$D148, "2", 'Historical Orders'!$C148, "B", 'Historical Orders'!$B148, "1")</f>
        <v>0</v>
      </c>
      <c r="T148" s="159">
        <f>SUMIFS('Historical Orders'!$E148, 'Historical Orders'!$D148, "2", 'Historical Orders'!$C148, "A", 'Historical Orders'!$B148, "2")</f>
        <v>0</v>
      </c>
      <c r="U148" s="157">
        <f>SUMIFS('Historical Orders'!$G148, 'Historical Orders'!$D148, "2", 'Historical Orders'!$C148, "A", 'Historical Orders'!$B148, "2")</f>
        <v>0</v>
      </c>
      <c r="V148" s="159">
        <f>SUMIFS('Historical Orders'!$E148, 'Historical Orders'!$D148, "2", 'Historical Orders'!$C148, "B", 'Historical Orders'!$B148, "2")</f>
        <v>0</v>
      </c>
      <c r="W148" s="159">
        <f>SUMIFS('Historical Orders'!$G148, 'Historical Orders'!$D148, "2", 'Historical Orders'!$C148, "B", 'Historical Orders'!$B148, "2")</f>
        <v>0</v>
      </c>
      <c r="X148" s="159">
        <f>SUMIFS('Historical Orders'!$E148, 'Historical Orders'!$D148, "3", 'Historical Orders'!$C148, "A", 'Historical Orders'!$B148, "1")</f>
        <v>0</v>
      </c>
      <c r="Y148" s="159">
        <f>SUMIFS('Historical Orders'!$G148, 'Historical Orders'!$D148, "3", 'Historical Orders'!$C148, "A", 'Historical Orders'!$B148, "1")</f>
        <v>0</v>
      </c>
      <c r="Z148" s="159">
        <f>SUMIFS('Historical Orders'!$E148, 'Historical Orders'!$D148, "3", 'Historical Orders'!$C148, "B", 'Historical Orders'!$B148, "1")</f>
        <v>0</v>
      </c>
      <c r="AA148" s="159">
        <f>SUMIFS('Historical Orders'!$G148, 'Historical Orders'!$D148, "3", 'Historical Orders'!$C148, "B", 'Historical Orders'!$B148, "1")</f>
        <v>0</v>
      </c>
      <c r="AB148" s="159">
        <f>SUMIFS('Historical Orders'!$E148, 'Historical Orders'!$D148, "3", 'Historical Orders'!$C148, "A", 'Historical Orders'!$B148, "2")</f>
        <v>0</v>
      </c>
      <c r="AC148" s="159">
        <f>SUMIFS('Historical Orders'!$G148, 'Historical Orders'!$D148, "3", 'Historical Orders'!$C148, "A", 'Historical Orders'!$B148, "2")</f>
        <v>0</v>
      </c>
      <c r="AD148" s="159">
        <f>SUMIFS('Historical Orders'!$E148, 'Historical Orders'!$D148, "3", 'Historical Orders'!$C148, "B", 'Historical Orders'!$B148, "2")</f>
        <v>0</v>
      </c>
      <c r="AE148" s="157">
        <f>SUMIFS('Historical Orders'!$G148, 'Historical Orders'!$D148, "3", 'Historical Orders'!$C148, "B", 'Historical Orders'!$B148, "2")</f>
        <v>0</v>
      </c>
      <c r="AF148" s="157">
        <f>SUMIFS('Historical Orders'!$E148, 'Historical Orders'!$D148, "4", 'Historical Orders'!$C148, "A", 'Historical Orders'!$B148, "1")</f>
        <v>0</v>
      </c>
      <c r="AG148" s="157">
        <f>SUMIFS('Historical Orders'!$G148, 'Historical Orders'!$D148, "4", 'Historical Orders'!$C148, "A", 'Historical Orders'!$B148, "1")</f>
        <v>0</v>
      </c>
      <c r="AH148" s="157">
        <f>SUMIFS('Historical Orders'!$E148, 'Historical Orders'!$D148, "4", 'Historical Orders'!$C148, "B", 'Historical Orders'!$B148, "1")</f>
        <v>0</v>
      </c>
      <c r="AI148" s="157">
        <f>SUMIFS('Historical Orders'!$G148, 'Historical Orders'!$D148, "4", 'Historical Orders'!$C148, "B", 'Historical Orders'!$B148, "1")</f>
        <v>0</v>
      </c>
      <c r="AJ148" s="157">
        <f>SUMIFS('Historical Orders'!$E148, 'Historical Orders'!$D148, "4", 'Historical Orders'!$C148, "A", 'Historical Orders'!$B148, "2")</f>
        <v>0</v>
      </c>
      <c r="AK148" s="157">
        <f>SUMIFS('Historical Orders'!$G148, 'Historical Orders'!$D148, "4", 'Historical Orders'!$C148, "A", 'Historical Orders'!$B148, "2")</f>
        <v>0</v>
      </c>
      <c r="AL148" s="171">
        <f>SUMIFS('Historical Orders'!$E148, 'Historical Orders'!$D148, "4", 'Historical Orders'!$C148, "B", 'Historical Orders'!$B148, "2")</f>
        <v>0</v>
      </c>
      <c r="AM148" s="171">
        <f>SUMIFS('Historical Orders'!$G148, 'Historical Orders'!$D148, "4", 'Historical Orders'!$C148, "B", 'Historical Orders'!$B148, "2")</f>
        <v>0</v>
      </c>
      <c r="AN148" s="171">
        <f>SUMIFS('Historical Orders'!$G148, 'Historical Orders'!$C148, "A", 'Historical Orders'!$B148, "1")</f>
        <v>0</v>
      </c>
      <c r="AO148" s="171">
        <f>SUMIFS('Historical Orders'!$G148, 'Historical Orders'!$C148, "B", 'Historical Orders'!$B148, "1")</f>
        <v>0</v>
      </c>
      <c r="AP148" s="171">
        <f>SUMIFS('Historical Orders'!$G148, 'Historical Orders'!$C148, "A", 'Historical Orders'!$B148, "2")</f>
        <v>5913.6</v>
      </c>
      <c r="AQ148" s="171">
        <f>SUMIFS('Historical Orders'!$G148, 'Historical Orders'!$C148, "B", 'Historical Orders'!$B148, "2")</f>
        <v>0</v>
      </c>
      <c r="AR148" s="145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  <c r="BT148" s="172"/>
      <c r="BU148" s="172"/>
      <c r="BV148" s="179"/>
      <c r="BW148" s="179"/>
      <c r="BX148" s="179"/>
      <c r="BY148" s="179"/>
      <c r="BZ148" s="179"/>
      <c r="CA148" s="179"/>
      <c r="CB148" s="179"/>
      <c r="CC148" s="179"/>
      <c r="CD148" s="179"/>
      <c r="CE148" s="179"/>
    </row>
    <row r="149" ht="15.75" customHeight="1">
      <c r="A149" s="151">
        <v>42023.0</v>
      </c>
      <c r="B149" s="152">
        <v>2.0</v>
      </c>
      <c r="C149" s="152" t="s">
        <v>45</v>
      </c>
      <c r="D149" s="152">
        <v>2.0</v>
      </c>
      <c r="E149" s="153">
        <v>4862.0</v>
      </c>
      <c r="F149" s="154">
        <v>1.2</v>
      </c>
      <c r="G149" s="155">
        <v>5834.4</v>
      </c>
      <c r="H149" s="159">
        <f>SUMIFS('Historical Orders'!$E149, 'Historical Orders'!$D149, "1", 'Historical Orders'!$C149, "A", 'Historical Orders'!$B149, "1")</f>
        <v>0</v>
      </c>
      <c r="I149" s="157">
        <f>SUMIFS('Historical Orders'!$G149, 'Historical Orders'!$D149, "1", 'Historical Orders'!$C149, "A", 'Historical Orders'!$B149, "1")</f>
        <v>0</v>
      </c>
      <c r="J149" s="157">
        <f>SUMIFS('Historical Orders'!$E149, 'Historical Orders'!$D149, "1", 'Historical Orders'!$C149, "B", 'Historical Orders'!$B149, "1")</f>
        <v>0</v>
      </c>
      <c r="K149" s="157">
        <f>SUMIFS('Historical Orders'!$G149, 'Historical Orders'!$D149, "1", 'Historical Orders'!$C149, "B", 'Historical Orders'!$B149, "1")</f>
        <v>0</v>
      </c>
      <c r="L149" s="159">
        <f>SUMIFS('Historical Orders'!$E149, 'Historical Orders'!$D149, "1", 'Historical Orders'!$C149, "A", 'Historical Orders'!$B149, "2")</f>
        <v>0</v>
      </c>
      <c r="M149" s="157">
        <f>SUMIFS('Historical Orders'!$G149, 'Historical Orders'!$D149, "1", 'Historical Orders'!$C149, "A", 'Historical Orders'!$B149, "2")</f>
        <v>0</v>
      </c>
      <c r="N149" s="157">
        <f>SUMIFS('Historical Orders'!$E149, 'Historical Orders'!$D149, "1", 'Historical Orders'!$C149, "B", 'Historical Orders'!$B149, "2")</f>
        <v>0</v>
      </c>
      <c r="O149" s="157">
        <f>SUMIFS('Historical Orders'!$G149, 'Historical Orders'!$D149, "1", 'Historical Orders'!$C149, "B", 'Historical Orders'!$B149, "2")</f>
        <v>0</v>
      </c>
      <c r="P149" s="159">
        <f>SUMIFS('Historical Orders'!$E149, 'Historical Orders'!$D149, "2", 'Historical Orders'!$C149, "A", 'Historical Orders'!$B149, "1")</f>
        <v>0</v>
      </c>
      <c r="Q149" s="157">
        <f>SUMIFS('Historical Orders'!$G149, 'Historical Orders'!$D149, "2", 'Historical Orders'!$C149, "A", 'Historical Orders'!$B149, "1")</f>
        <v>0</v>
      </c>
      <c r="R149" s="159">
        <f>SUMIFS('Historical Orders'!$E149, 'Historical Orders'!$D149, "2", 'Historical Orders'!$C149, "B", 'Historical Orders'!$B149, "1")</f>
        <v>0</v>
      </c>
      <c r="S149" s="157">
        <f>SUMIFS('Historical Orders'!$G149, 'Historical Orders'!$D149, "2", 'Historical Orders'!$C149, "B", 'Historical Orders'!$B149, "1")</f>
        <v>0</v>
      </c>
      <c r="T149" s="159">
        <f>SUMIFS('Historical Orders'!$E149, 'Historical Orders'!$D149, "2", 'Historical Orders'!$C149, "A", 'Historical Orders'!$B149, "2")</f>
        <v>4862</v>
      </c>
      <c r="U149" s="157">
        <f>SUMIFS('Historical Orders'!$G149, 'Historical Orders'!$D149, "2", 'Historical Orders'!$C149, "A", 'Historical Orders'!$B149, "2")</f>
        <v>5834.4</v>
      </c>
      <c r="V149" s="159">
        <f>SUMIFS('Historical Orders'!$E149, 'Historical Orders'!$D149, "2", 'Historical Orders'!$C149, "B", 'Historical Orders'!$B149, "2")</f>
        <v>0</v>
      </c>
      <c r="W149" s="159">
        <f>SUMIFS('Historical Orders'!$G149, 'Historical Orders'!$D149, "2", 'Historical Orders'!$C149, "B", 'Historical Orders'!$B149, "2")</f>
        <v>0</v>
      </c>
      <c r="X149" s="159">
        <f>SUMIFS('Historical Orders'!$E149, 'Historical Orders'!$D149, "3", 'Historical Orders'!$C149, "A", 'Historical Orders'!$B149, "1")</f>
        <v>0</v>
      </c>
      <c r="Y149" s="159">
        <f>SUMIFS('Historical Orders'!$G149, 'Historical Orders'!$D149, "3", 'Historical Orders'!$C149, "A", 'Historical Orders'!$B149, "1")</f>
        <v>0</v>
      </c>
      <c r="Z149" s="159">
        <f>SUMIFS('Historical Orders'!$E149, 'Historical Orders'!$D149, "3", 'Historical Orders'!$C149, "B", 'Historical Orders'!$B149, "1")</f>
        <v>0</v>
      </c>
      <c r="AA149" s="159">
        <f>SUMIFS('Historical Orders'!$G149, 'Historical Orders'!$D149, "3", 'Historical Orders'!$C149, "B", 'Historical Orders'!$B149, "1")</f>
        <v>0</v>
      </c>
      <c r="AB149" s="159">
        <f>SUMIFS('Historical Orders'!$E149, 'Historical Orders'!$D149, "3", 'Historical Orders'!$C149, "A", 'Historical Orders'!$B149, "2")</f>
        <v>0</v>
      </c>
      <c r="AC149" s="159">
        <f>SUMIFS('Historical Orders'!$G149, 'Historical Orders'!$D149, "3", 'Historical Orders'!$C149, "A", 'Historical Orders'!$B149, "2")</f>
        <v>0</v>
      </c>
      <c r="AD149" s="159">
        <f>SUMIFS('Historical Orders'!$E149, 'Historical Orders'!$D149, "3", 'Historical Orders'!$C149, "B", 'Historical Orders'!$B149, "2")</f>
        <v>0</v>
      </c>
      <c r="AE149" s="157">
        <f>SUMIFS('Historical Orders'!$G149, 'Historical Orders'!$D149, "3", 'Historical Orders'!$C149, "B", 'Historical Orders'!$B149, "2")</f>
        <v>0</v>
      </c>
      <c r="AF149" s="157">
        <f>SUMIFS('Historical Orders'!$E149, 'Historical Orders'!$D149, "4", 'Historical Orders'!$C149, "A", 'Historical Orders'!$B149, "1")</f>
        <v>0</v>
      </c>
      <c r="AG149" s="157">
        <f>SUMIFS('Historical Orders'!$G149, 'Historical Orders'!$D149, "4", 'Historical Orders'!$C149, "A", 'Historical Orders'!$B149, "1")</f>
        <v>0</v>
      </c>
      <c r="AH149" s="157">
        <f>SUMIFS('Historical Orders'!$E149, 'Historical Orders'!$D149, "4", 'Historical Orders'!$C149, "B", 'Historical Orders'!$B149, "1")</f>
        <v>0</v>
      </c>
      <c r="AI149" s="157">
        <f>SUMIFS('Historical Orders'!$G149, 'Historical Orders'!$D149, "4", 'Historical Orders'!$C149, "B", 'Historical Orders'!$B149, "1")</f>
        <v>0</v>
      </c>
      <c r="AJ149" s="157">
        <f>SUMIFS('Historical Orders'!$E149, 'Historical Orders'!$D149, "4", 'Historical Orders'!$C149, "A", 'Historical Orders'!$B149, "2")</f>
        <v>0</v>
      </c>
      <c r="AK149" s="157">
        <f>SUMIFS('Historical Orders'!$G149, 'Historical Orders'!$D149, "4", 'Historical Orders'!$C149, "A", 'Historical Orders'!$B149, "2")</f>
        <v>0</v>
      </c>
      <c r="AL149" s="171">
        <f>SUMIFS('Historical Orders'!$E149, 'Historical Orders'!$D149, "4", 'Historical Orders'!$C149, "B", 'Historical Orders'!$B149, "2")</f>
        <v>0</v>
      </c>
      <c r="AM149" s="171">
        <f>SUMIFS('Historical Orders'!$G149, 'Historical Orders'!$D149, "4", 'Historical Orders'!$C149, "B", 'Historical Orders'!$B149, "2")</f>
        <v>0</v>
      </c>
      <c r="AN149" s="171">
        <f>SUMIFS('Historical Orders'!$G149, 'Historical Orders'!$C149, "A", 'Historical Orders'!$B149, "1")</f>
        <v>0</v>
      </c>
      <c r="AO149" s="171">
        <f>SUMIFS('Historical Orders'!$G149, 'Historical Orders'!$C149, "B", 'Historical Orders'!$B149, "1")</f>
        <v>0</v>
      </c>
      <c r="AP149" s="171">
        <f>SUMIFS('Historical Orders'!$G149, 'Historical Orders'!$C149, "A", 'Historical Orders'!$B149, "2")</f>
        <v>5834.4</v>
      </c>
      <c r="AQ149" s="171">
        <f>SUMIFS('Historical Orders'!$G149, 'Historical Orders'!$C149, "B", 'Historical Orders'!$B149, "2")</f>
        <v>0</v>
      </c>
      <c r="AR149" s="145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  <c r="BT149" s="172"/>
      <c r="BU149" s="172"/>
      <c r="BV149" s="179"/>
      <c r="BW149" s="179"/>
      <c r="BX149" s="179"/>
      <c r="BY149" s="179"/>
      <c r="BZ149" s="179"/>
      <c r="CA149" s="179"/>
      <c r="CB149" s="179"/>
      <c r="CC149" s="179"/>
      <c r="CD149" s="179"/>
      <c r="CE149" s="179"/>
    </row>
    <row r="150" ht="15.75" customHeight="1">
      <c r="A150" s="151">
        <v>42023.0</v>
      </c>
      <c r="B150" s="152">
        <v>1.0</v>
      </c>
      <c r="C150" s="152" t="s">
        <v>46</v>
      </c>
      <c r="D150" s="152">
        <v>3.0</v>
      </c>
      <c r="E150" s="153">
        <v>1514.0</v>
      </c>
      <c r="F150" s="154">
        <v>8.3</v>
      </c>
      <c r="G150" s="155">
        <v>12566.2</v>
      </c>
      <c r="H150" s="159">
        <f>SUMIFS('Historical Orders'!$E150, 'Historical Orders'!$D150, "1", 'Historical Orders'!$C150, "A", 'Historical Orders'!$B150, "1")</f>
        <v>0</v>
      </c>
      <c r="I150" s="157">
        <f>SUMIFS('Historical Orders'!$G150, 'Historical Orders'!$D150, "1", 'Historical Orders'!$C150, "A", 'Historical Orders'!$B150, "1")</f>
        <v>0</v>
      </c>
      <c r="J150" s="157">
        <f>SUMIFS('Historical Orders'!$E150, 'Historical Orders'!$D150, "1", 'Historical Orders'!$C150, "B", 'Historical Orders'!$B150, "1")</f>
        <v>0</v>
      </c>
      <c r="K150" s="157">
        <f>SUMIFS('Historical Orders'!$G150, 'Historical Orders'!$D150, "1", 'Historical Orders'!$C150, "B", 'Historical Orders'!$B150, "1")</f>
        <v>0</v>
      </c>
      <c r="L150" s="159">
        <f>SUMIFS('Historical Orders'!$E150, 'Historical Orders'!$D150, "1", 'Historical Orders'!$C150, "A", 'Historical Orders'!$B150, "2")</f>
        <v>0</v>
      </c>
      <c r="M150" s="157">
        <f>SUMIFS('Historical Orders'!$G150, 'Historical Orders'!$D150, "1", 'Historical Orders'!$C150, "A", 'Historical Orders'!$B150, "2")</f>
        <v>0</v>
      </c>
      <c r="N150" s="157">
        <f>SUMIFS('Historical Orders'!$E150, 'Historical Orders'!$D150, "1", 'Historical Orders'!$C150, "B", 'Historical Orders'!$B150, "2")</f>
        <v>0</v>
      </c>
      <c r="O150" s="157">
        <f>SUMIFS('Historical Orders'!$G150, 'Historical Orders'!$D150, "1", 'Historical Orders'!$C150, "B", 'Historical Orders'!$B150, "2")</f>
        <v>0</v>
      </c>
      <c r="P150" s="159">
        <f>SUMIFS('Historical Orders'!$E150, 'Historical Orders'!$D150, "2", 'Historical Orders'!$C150, "A", 'Historical Orders'!$B150, "1")</f>
        <v>0</v>
      </c>
      <c r="Q150" s="157">
        <f>SUMIFS('Historical Orders'!$G150, 'Historical Orders'!$D150, "2", 'Historical Orders'!$C150, "A", 'Historical Orders'!$B150, "1")</f>
        <v>0</v>
      </c>
      <c r="R150" s="159">
        <f>SUMIFS('Historical Orders'!$E150, 'Historical Orders'!$D150, "2", 'Historical Orders'!$C150, "B", 'Historical Orders'!$B150, "1")</f>
        <v>0</v>
      </c>
      <c r="S150" s="157">
        <f>SUMIFS('Historical Orders'!$G150, 'Historical Orders'!$D150, "2", 'Historical Orders'!$C150, "B", 'Historical Orders'!$B150, "1")</f>
        <v>0</v>
      </c>
      <c r="T150" s="159">
        <f>SUMIFS('Historical Orders'!$E150, 'Historical Orders'!$D150, "2", 'Historical Orders'!$C150, "A", 'Historical Orders'!$B150, "2")</f>
        <v>0</v>
      </c>
      <c r="U150" s="157">
        <f>SUMIFS('Historical Orders'!$G150, 'Historical Orders'!$D150, "2", 'Historical Orders'!$C150, "A", 'Historical Orders'!$B150, "2")</f>
        <v>0</v>
      </c>
      <c r="V150" s="159">
        <f>SUMIFS('Historical Orders'!$E150, 'Historical Orders'!$D150, "2", 'Historical Orders'!$C150, "B", 'Historical Orders'!$B150, "2")</f>
        <v>0</v>
      </c>
      <c r="W150" s="159">
        <f>SUMIFS('Historical Orders'!$G150, 'Historical Orders'!$D150, "2", 'Historical Orders'!$C150, "B", 'Historical Orders'!$B150, "2")</f>
        <v>0</v>
      </c>
      <c r="X150" s="159">
        <f>SUMIFS('Historical Orders'!$E150, 'Historical Orders'!$D150, "3", 'Historical Orders'!$C150, "A", 'Historical Orders'!$B150, "1")</f>
        <v>0</v>
      </c>
      <c r="Y150" s="159">
        <f>SUMIFS('Historical Orders'!$G150, 'Historical Orders'!$D150, "3", 'Historical Orders'!$C150, "A", 'Historical Orders'!$B150, "1")</f>
        <v>0</v>
      </c>
      <c r="Z150" s="159">
        <f>SUMIFS('Historical Orders'!$E150, 'Historical Orders'!$D150, "3", 'Historical Orders'!$C150, "B", 'Historical Orders'!$B150, "1")</f>
        <v>1514</v>
      </c>
      <c r="AA150" s="159">
        <f>SUMIFS('Historical Orders'!$G150, 'Historical Orders'!$D150, "3", 'Historical Orders'!$C150, "B", 'Historical Orders'!$B150, "1")</f>
        <v>12566.2</v>
      </c>
      <c r="AB150" s="159">
        <f>SUMIFS('Historical Orders'!$E150, 'Historical Orders'!$D150, "3", 'Historical Orders'!$C150, "A", 'Historical Orders'!$B150, "2")</f>
        <v>0</v>
      </c>
      <c r="AC150" s="159">
        <f>SUMIFS('Historical Orders'!$G150, 'Historical Orders'!$D150, "3", 'Historical Orders'!$C150, "A", 'Historical Orders'!$B150, "2")</f>
        <v>0</v>
      </c>
      <c r="AD150" s="159">
        <f>SUMIFS('Historical Orders'!$E150, 'Historical Orders'!$D150, "3", 'Historical Orders'!$C150, "B", 'Historical Orders'!$B150, "2")</f>
        <v>0</v>
      </c>
      <c r="AE150" s="157">
        <f>SUMIFS('Historical Orders'!$G150, 'Historical Orders'!$D150, "3", 'Historical Orders'!$C150, "B", 'Historical Orders'!$B150, "2")</f>
        <v>0</v>
      </c>
      <c r="AF150" s="157">
        <f>SUMIFS('Historical Orders'!$E150, 'Historical Orders'!$D150, "4", 'Historical Orders'!$C150, "A", 'Historical Orders'!$B150, "1")</f>
        <v>0</v>
      </c>
      <c r="AG150" s="157">
        <f>SUMIFS('Historical Orders'!$G150, 'Historical Orders'!$D150, "4", 'Historical Orders'!$C150, "A", 'Historical Orders'!$B150, "1")</f>
        <v>0</v>
      </c>
      <c r="AH150" s="157">
        <f>SUMIFS('Historical Orders'!$E150, 'Historical Orders'!$D150, "4", 'Historical Orders'!$C150, "B", 'Historical Orders'!$B150, "1")</f>
        <v>0</v>
      </c>
      <c r="AI150" s="157">
        <f>SUMIFS('Historical Orders'!$G150, 'Historical Orders'!$D150, "4", 'Historical Orders'!$C150, "B", 'Historical Orders'!$B150, "1")</f>
        <v>0</v>
      </c>
      <c r="AJ150" s="157">
        <f>SUMIFS('Historical Orders'!$E150, 'Historical Orders'!$D150, "4", 'Historical Orders'!$C150, "A", 'Historical Orders'!$B150, "2")</f>
        <v>0</v>
      </c>
      <c r="AK150" s="157">
        <f>SUMIFS('Historical Orders'!$G150, 'Historical Orders'!$D150, "4", 'Historical Orders'!$C150, "A", 'Historical Orders'!$B150, "2")</f>
        <v>0</v>
      </c>
      <c r="AL150" s="171">
        <f>SUMIFS('Historical Orders'!$E150, 'Historical Orders'!$D150, "4", 'Historical Orders'!$C150, "B", 'Historical Orders'!$B150, "2")</f>
        <v>0</v>
      </c>
      <c r="AM150" s="171">
        <f>SUMIFS('Historical Orders'!$G150, 'Historical Orders'!$D150, "4", 'Historical Orders'!$C150, "B", 'Historical Orders'!$B150, "2")</f>
        <v>0</v>
      </c>
      <c r="AN150" s="171">
        <f>SUMIFS('Historical Orders'!$G150, 'Historical Orders'!$C150, "A", 'Historical Orders'!$B150, "1")</f>
        <v>0</v>
      </c>
      <c r="AO150" s="171">
        <f>SUMIFS('Historical Orders'!$G150, 'Historical Orders'!$C150, "B", 'Historical Orders'!$B150, "1")</f>
        <v>12566.2</v>
      </c>
      <c r="AP150" s="171">
        <f>SUMIFS('Historical Orders'!$G150, 'Historical Orders'!$C150, "A", 'Historical Orders'!$B150, "2")</f>
        <v>0</v>
      </c>
      <c r="AQ150" s="171">
        <f>SUMIFS('Historical Orders'!$G150, 'Historical Orders'!$C150, "B", 'Historical Orders'!$B150, "2")</f>
        <v>0</v>
      </c>
      <c r="AR150" s="145"/>
      <c r="AS150" s="172"/>
      <c r="AT150" s="172"/>
      <c r="AU150" s="172"/>
      <c r="AV150" s="172"/>
      <c r="AW150" s="172"/>
      <c r="AX150" s="172"/>
      <c r="AY150" s="172"/>
      <c r="AZ150" s="172"/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172"/>
      <c r="BV150" s="179"/>
      <c r="BW150" s="179"/>
      <c r="BX150" s="179"/>
      <c r="BY150" s="179"/>
      <c r="BZ150" s="179"/>
      <c r="CA150" s="179"/>
      <c r="CB150" s="179"/>
      <c r="CC150" s="179"/>
      <c r="CD150" s="179"/>
      <c r="CE150" s="179"/>
    </row>
    <row r="151" ht="15.75" customHeight="1">
      <c r="A151" s="151">
        <v>42023.0</v>
      </c>
      <c r="B151" s="152">
        <v>2.0</v>
      </c>
      <c r="C151" s="152" t="s">
        <v>46</v>
      </c>
      <c r="D151" s="152">
        <v>3.0</v>
      </c>
      <c r="E151" s="153">
        <v>1973.0</v>
      </c>
      <c r="F151" s="154">
        <v>8.3</v>
      </c>
      <c r="G151" s="155">
        <v>16375.900000000001</v>
      </c>
      <c r="H151" s="159">
        <f>SUMIFS('Historical Orders'!$E151, 'Historical Orders'!$D151, "1", 'Historical Orders'!$C151, "A", 'Historical Orders'!$B151, "1")</f>
        <v>0</v>
      </c>
      <c r="I151" s="157">
        <f>SUMIFS('Historical Orders'!$G151, 'Historical Orders'!$D151, "1", 'Historical Orders'!$C151, "A", 'Historical Orders'!$B151, "1")</f>
        <v>0</v>
      </c>
      <c r="J151" s="157">
        <f>SUMIFS('Historical Orders'!$E151, 'Historical Orders'!$D151, "1", 'Historical Orders'!$C151, "B", 'Historical Orders'!$B151, "1")</f>
        <v>0</v>
      </c>
      <c r="K151" s="157">
        <f>SUMIFS('Historical Orders'!$G151, 'Historical Orders'!$D151, "1", 'Historical Orders'!$C151, "B", 'Historical Orders'!$B151, "1")</f>
        <v>0</v>
      </c>
      <c r="L151" s="159">
        <f>SUMIFS('Historical Orders'!$E151, 'Historical Orders'!$D151, "1", 'Historical Orders'!$C151, "A", 'Historical Orders'!$B151, "2")</f>
        <v>0</v>
      </c>
      <c r="M151" s="157">
        <f>SUMIFS('Historical Orders'!$G151, 'Historical Orders'!$D151, "1", 'Historical Orders'!$C151, "A", 'Historical Orders'!$B151, "2")</f>
        <v>0</v>
      </c>
      <c r="N151" s="157">
        <f>SUMIFS('Historical Orders'!$E151, 'Historical Orders'!$D151, "1", 'Historical Orders'!$C151, "B", 'Historical Orders'!$B151, "2")</f>
        <v>0</v>
      </c>
      <c r="O151" s="157">
        <f>SUMIFS('Historical Orders'!$G151, 'Historical Orders'!$D151, "1", 'Historical Orders'!$C151, "B", 'Historical Orders'!$B151, "2")</f>
        <v>0</v>
      </c>
      <c r="P151" s="159">
        <f>SUMIFS('Historical Orders'!$E151, 'Historical Orders'!$D151, "2", 'Historical Orders'!$C151, "A", 'Historical Orders'!$B151, "1")</f>
        <v>0</v>
      </c>
      <c r="Q151" s="157">
        <f>SUMIFS('Historical Orders'!$G151, 'Historical Orders'!$D151, "2", 'Historical Orders'!$C151, "A", 'Historical Orders'!$B151, "1")</f>
        <v>0</v>
      </c>
      <c r="R151" s="159">
        <f>SUMIFS('Historical Orders'!$E151, 'Historical Orders'!$D151, "2", 'Historical Orders'!$C151, "B", 'Historical Orders'!$B151, "1")</f>
        <v>0</v>
      </c>
      <c r="S151" s="157">
        <f>SUMIFS('Historical Orders'!$G151, 'Historical Orders'!$D151, "2", 'Historical Orders'!$C151, "B", 'Historical Orders'!$B151, "1")</f>
        <v>0</v>
      </c>
      <c r="T151" s="159">
        <f>SUMIFS('Historical Orders'!$E151, 'Historical Orders'!$D151, "2", 'Historical Orders'!$C151, "A", 'Historical Orders'!$B151, "2")</f>
        <v>0</v>
      </c>
      <c r="U151" s="157">
        <f>SUMIFS('Historical Orders'!$G151, 'Historical Orders'!$D151, "2", 'Historical Orders'!$C151, "A", 'Historical Orders'!$B151, "2")</f>
        <v>0</v>
      </c>
      <c r="V151" s="159">
        <f>SUMIFS('Historical Orders'!$E151, 'Historical Orders'!$D151, "2", 'Historical Orders'!$C151, "B", 'Historical Orders'!$B151, "2")</f>
        <v>0</v>
      </c>
      <c r="W151" s="159">
        <f>SUMIFS('Historical Orders'!$G151, 'Historical Orders'!$D151, "2", 'Historical Orders'!$C151, "B", 'Historical Orders'!$B151, "2")</f>
        <v>0</v>
      </c>
      <c r="X151" s="159">
        <f>SUMIFS('Historical Orders'!$E151, 'Historical Orders'!$D151, "3", 'Historical Orders'!$C151, "A", 'Historical Orders'!$B151, "1")</f>
        <v>0</v>
      </c>
      <c r="Y151" s="159">
        <f>SUMIFS('Historical Orders'!$G151, 'Historical Orders'!$D151, "3", 'Historical Orders'!$C151, "A", 'Historical Orders'!$B151, "1")</f>
        <v>0</v>
      </c>
      <c r="Z151" s="159">
        <f>SUMIFS('Historical Orders'!$E151, 'Historical Orders'!$D151, "3", 'Historical Orders'!$C151, "B", 'Historical Orders'!$B151, "1")</f>
        <v>0</v>
      </c>
      <c r="AA151" s="159">
        <f>SUMIFS('Historical Orders'!$G151, 'Historical Orders'!$D151, "3", 'Historical Orders'!$C151, "B", 'Historical Orders'!$B151, "1")</f>
        <v>0</v>
      </c>
      <c r="AB151" s="159">
        <f>SUMIFS('Historical Orders'!$E151, 'Historical Orders'!$D151, "3", 'Historical Orders'!$C151, "A", 'Historical Orders'!$B151, "2")</f>
        <v>0</v>
      </c>
      <c r="AC151" s="159">
        <f>SUMIFS('Historical Orders'!$G151, 'Historical Orders'!$D151, "3", 'Historical Orders'!$C151, "A", 'Historical Orders'!$B151, "2")</f>
        <v>0</v>
      </c>
      <c r="AD151" s="159">
        <f>SUMIFS('Historical Orders'!$E151, 'Historical Orders'!$D151, "3", 'Historical Orders'!$C151, "B", 'Historical Orders'!$B151, "2")</f>
        <v>1973</v>
      </c>
      <c r="AE151" s="157">
        <f>SUMIFS('Historical Orders'!$G151, 'Historical Orders'!$D151, "3", 'Historical Orders'!$C151, "B", 'Historical Orders'!$B151, "2")</f>
        <v>16375.9</v>
      </c>
      <c r="AF151" s="157">
        <f>SUMIFS('Historical Orders'!$E151, 'Historical Orders'!$D151, "4", 'Historical Orders'!$C151, "A", 'Historical Orders'!$B151, "1")</f>
        <v>0</v>
      </c>
      <c r="AG151" s="157">
        <f>SUMIFS('Historical Orders'!$G151, 'Historical Orders'!$D151, "4", 'Historical Orders'!$C151, "A", 'Historical Orders'!$B151, "1")</f>
        <v>0</v>
      </c>
      <c r="AH151" s="157">
        <f>SUMIFS('Historical Orders'!$E151, 'Historical Orders'!$D151, "4", 'Historical Orders'!$C151, "B", 'Historical Orders'!$B151, "1")</f>
        <v>0</v>
      </c>
      <c r="AI151" s="157">
        <f>SUMIFS('Historical Orders'!$G151, 'Historical Orders'!$D151, "4", 'Historical Orders'!$C151, "B", 'Historical Orders'!$B151, "1")</f>
        <v>0</v>
      </c>
      <c r="AJ151" s="157">
        <f>SUMIFS('Historical Orders'!$E151, 'Historical Orders'!$D151, "4", 'Historical Orders'!$C151, "A", 'Historical Orders'!$B151, "2")</f>
        <v>0</v>
      </c>
      <c r="AK151" s="157">
        <f>SUMIFS('Historical Orders'!$G151, 'Historical Orders'!$D151, "4", 'Historical Orders'!$C151, "A", 'Historical Orders'!$B151, "2")</f>
        <v>0</v>
      </c>
      <c r="AL151" s="171">
        <f>SUMIFS('Historical Orders'!$E151, 'Historical Orders'!$D151, "4", 'Historical Orders'!$C151, "B", 'Historical Orders'!$B151, "2")</f>
        <v>0</v>
      </c>
      <c r="AM151" s="171">
        <f>SUMIFS('Historical Orders'!$G151, 'Historical Orders'!$D151, "4", 'Historical Orders'!$C151, "B", 'Historical Orders'!$B151, "2")</f>
        <v>0</v>
      </c>
      <c r="AN151" s="171">
        <f>SUMIFS('Historical Orders'!$G151, 'Historical Orders'!$C151, "A", 'Historical Orders'!$B151, "1")</f>
        <v>0</v>
      </c>
      <c r="AO151" s="171">
        <f>SUMIFS('Historical Orders'!$G151, 'Historical Orders'!$C151, "B", 'Historical Orders'!$B151, "1")</f>
        <v>0</v>
      </c>
      <c r="AP151" s="171">
        <f>SUMIFS('Historical Orders'!$G151, 'Historical Orders'!$C151, "A", 'Historical Orders'!$B151, "2")</f>
        <v>0</v>
      </c>
      <c r="AQ151" s="171">
        <f>SUMIFS('Historical Orders'!$G151, 'Historical Orders'!$C151, "B", 'Historical Orders'!$B151, "2")</f>
        <v>16375.9</v>
      </c>
      <c r="AR151" s="145"/>
      <c r="AS151" s="172"/>
      <c r="AT151" s="172"/>
      <c r="AU151" s="172"/>
      <c r="AV151" s="172"/>
      <c r="AW151" s="172"/>
      <c r="AX151" s="172"/>
      <c r="AY151" s="172"/>
      <c r="AZ151" s="172"/>
      <c r="BA151" s="172"/>
      <c r="BB151" s="172"/>
      <c r="BC151" s="172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  <c r="BT151" s="172"/>
      <c r="BU151" s="172"/>
      <c r="BV151" s="179"/>
      <c r="BW151" s="179"/>
      <c r="BX151" s="179"/>
      <c r="BY151" s="179"/>
      <c r="BZ151" s="179"/>
      <c r="CA151" s="179"/>
      <c r="CB151" s="179"/>
      <c r="CC151" s="179"/>
      <c r="CD151" s="179"/>
      <c r="CE151" s="179"/>
    </row>
    <row r="152" ht="15.75" customHeight="1">
      <c r="A152" s="151">
        <v>42030.0</v>
      </c>
      <c r="B152" s="152">
        <v>1.0</v>
      </c>
      <c r="C152" s="152" t="s">
        <v>45</v>
      </c>
      <c r="D152" s="152">
        <v>1.0</v>
      </c>
      <c r="E152" s="153">
        <v>4495.0</v>
      </c>
      <c r="F152" s="154">
        <v>2.2</v>
      </c>
      <c r="G152" s="155">
        <v>9889.0</v>
      </c>
      <c r="H152" s="159">
        <f>SUMIFS('Historical Orders'!$E152, 'Historical Orders'!$D152, "1", 'Historical Orders'!$C152, "A", 'Historical Orders'!$B152, "1")</f>
        <v>4495</v>
      </c>
      <c r="I152" s="157">
        <f>SUMIFS('Historical Orders'!$G152, 'Historical Orders'!$D152, "1", 'Historical Orders'!$C152, "A", 'Historical Orders'!$B152, "1")</f>
        <v>9889</v>
      </c>
      <c r="J152" s="157">
        <f>SUMIFS('Historical Orders'!$E152, 'Historical Orders'!$D152, "1", 'Historical Orders'!$C152, "B", 'Historical Orders'!$B152, "1")</f>
        <v>0</v>
      </c>
      <c r="K152" s="157">
        <f>SUMIFS('Historical Orders'!$G152, 'Historical Orders'!$D152, "1", 'Historical Orders'!$C152, "B", 'Historical Orders'!$B152, "1")</f>
        <v>0</v>
      </c>
      <c r="L152" s="159">
        <f>SUMIFS('Historical Orders'!$E152, 'Historical Orders'!$D152, "1", 'Historical Orders'!$C152, "A", 'Historical Orders'!$B152, "2")</f>
        <v>0</v>
      </c>
      <c r="M152" s="157">
        <f>SUMIFS('Historical Orders'!$G152, 'Historical Orders'!$D152, "1", 'Historical Orders'!$C152, "A", 'Historical Orders'!$B152, "2")</f>
        <v>0</v>
      </c>
      <c r="N152" s="157">
        <f>SUMIFS('Historical Orders'!$E152, 'Historical Orders'!$D152, "1", 'Historical Orders'!$C152, "B", 'Historical Orders'!$B152, "2")</f>
        <v>0</v>
      </c>
      <c r="O152" s="157">
        <f>SUMIFS('Historical Orders'!$G152, 'Historical Orders'!$D152, "1", 'Historical Orders'!$C152, "B", 'Historical Orders'!$B152, "2")</f>
        <v>0</v>
      </c>
      <c r="P152" s="159">
        <f>SUMIFS('Historical Orders'!$E152, 'Historical Orders'!$D152, "2", 'Historical Orders'!$C152, "A", 'Historical Orders'!$B152, "1")</f>
        <v>0</v>
      </c>
      <c r="Q152" s="157">
        <f>SUMIFS('Historical Orders'!$G152, 'Historical Orders'!$D152, "2", 'Historical Orders'!$C152, "A", 'Historical Orders'!$B152, "1")</f>
        <v>0</v>
      </c>
      <c r="R152" s="159">
        <f>SUMIFS('Historical Orders'!$E152, 'Historical Orders'!$D152, "2", 'Historical Orders'!$C152, "B", 'Historical Orders'!$B152, "1")</f>
        <v>0</v>
      </c>
      <c r="S152" s="157">
        <f>SUMIFS('Historical Orders'!$G152, 'Historical Orders'!$D152, "2", 'Historical Orders'!$C152, "B", 'Historical Orders'!$B152, "1")</f>
        <v>0</v>
      </c>
      <c r="T152" s="159">
        <f>SUMIFS('Historical Orders'!$E152, 'Historical Orders'!$D152, "2", 'Historical Orders'!$C152, "A", 'Historical Orders'!$B152, "2")</f>
        <v>0</v>
      </c>
      <c r="U152" s="157">
        <f>SUMIFS('Historical Orders'!$G152, 'Historical Orders'!$D152, "2", 'Historical Orders'!$C152, "A", 'Historical Orders'!$B152, "2")</f>
        <v>0</v>
      </c>
      <c r="V152" s="159">
        <f>SUMIFS('Historical Orders'!$E152, 'Historical Orders'!$D152, "2", 'Historical Orders'!$C152, "B", 'Historical Orders'!$B152, "2")</f>
        <v>0</v>
      </c>
      <c r="W152" s="159">
        <f>SUMIFS('Historical Orders'!$G152, 'Historical Orders'!$D152, "2", 'Historical Orders'!$C152, "B", 'Historical Orders'!$B152, "2")</f>
        <v>0</v>
      </c>
      <c r="X152" s="159">
        <f>SUMIFS('Historical Orders'!$E152, 'Historical Orders'!$D152, "3", 'Historical Orders'!$C152, "A", 'Historical Orders'!$B152, "1")</f>
        <v>0</v>
      </c>
      <c r="Y152" s="159">
        <f>SUMIFS('Historical Orders'!$G152, 'Historical Orders'!$D152, "3", 'Historical Orders'!$C152, "A", 'Historical Orders'!$B152, "1")</f>
        <v>0</v>
      </c>
      <c r="Z152" s="159">
        <f>SUMIFS('Historical Orders'!$E152, 'Historical Orders'!$D152, "3", 'Historical Orders'!$C152, "B", 'Historical Orders'!$B152, "1")</f>
        <v>0</v>
      </c>
      <c r="AA152" s="159">
        <f>SUMIFS('Historical Orders'!$G152, 'Historical Orders'!$D152, "3", 'Historical Orders'!$C152, "B", 'Historical Orders'!$B152, "1")</f>
        <v>0</v>
      </c>
      <c r="AB152" s="159">
        <f>SUMIFS('Historical Orders'!$E152, 'Historical Orders'!$D152, "3", 'Historical Orders'!$C152, "A", 'Historical Orders'!$B152, "2")</f>
        <v>0</v>
      </c>
      <c r="AC152" s="159">
        <f>SUMIFS('Historical Orders'!$G152, 'Historical Orders'!$D152, "3", 'Historical Orders'!$C152, "A", 'Historical Orders'!$B152, "2")</f>
        <v>0</v>
      </c>
      <c r="AD152" s="159">
        <f>SUMIFS('Historical Orders'!$E152, 'Historical Orders'!$D152, "3", 'Historical Orders'!$C152, "B", 'Historical Orders'!$B152, "2")</f>
        <v>0</v>
      </c>
      <c r="AE152" s="157">
        <f>SUMIFS('Historical Orders'!$G152, 'Historical Orders'!$D152, "3", 'Historical Orders'!$C152, "B", 'Historical Orders'!$B152, "2")</f>
        <v>0</v>
      </c>
      <c r="AF152" s="157">
        <f>SUMIFS('Historical Orders'!$E152, 'Historical Orders'!$D152, "4", 'Historical Orders'!$C152, "A", 'Historical Orders'!$B152, "1")</f>
        <v>0</v>
      </c>
      <c r="AG152" s="157">
        <f>SUMIFS('Historical Orders'!$G152, 'Historical Orders'!$D152, "4", 'Historical Orders'!$C152, "A", 'Historical Orders'!$B152, "1")</f>
        <v>0</v>
      </c>
      <c r="AH152" s="157">
        <f>SUMIFS('Historical Orders'!$E152, 'Historical Orders'!$D152, "4", 'Historical Orders'!$C152, "B", 'Historical Orders'!$B152, "1")</f>
        <v>0</v>
      </c>
      <c r="AI152" s="157">
        <f>SUMIFS('Historical Orders'!$G152, 'Historical Orders'!$D152, "4", 'Historical Orders'!$C152, "B", 'Historical Orders'!$B152, "1")</f>
        <v>0</v>
      </c>
      <c r="AJ152" s="157">
        <f>SUMIFS('Historical Orders'!$E152, 'Historical Orders'!$D152, "4", 'Historical Orders'!$C152, "A", 'Historical Orders'!$B152, "2")</f>
        <v>0</v>
      </c>
      <c r="AK152" s="157">
        <f>SUMIFS('Historical Orders'!$G152, 'Historical Orders'!$D152, "4", 'Historical Orders'!$C152, "A", 'Historical Orders'!$B152, "2")</f>
        <v>0</v>
      </c>
      <c r="AL152" s="171">
        <f>SUMIFS('Historical Orders'!$E152, 'Historical Orders'!$D152, "4", 'Historical Orders'!$C152, "B", 'Historical Orders'!$B152, "2")</f>
        <v>0</v>
      </c>
      <c r="AM152" s="171">
        <f>SUMIFS('Historical Orders'!$G152, 'Historical Orders'!$D152, "4", 'Historical Orders'!$C152, "B", 'Historical Orders'!$B152, "2")</f>
        <v>0</v>
      </c>
      <c r="AN152" s="171">
        <f>SUMIFS('Historical Orders'!$G152, 'Historical Orders'!$C152, "A", 'Historical Orders'!$B152, "1")</f>
        <v>9889</v>
      </c>
      <c r="AO152" s="171">
        <f>SUMIFS('Historical Orders'!$G152, 'Historical Orders'!$C152, "B", 'Historical Orders'!$B152, "1")</f>
        <v>0</v>
      </c>
      <c r="AP152" s="171">
        <f>SUMIFS('Historical Orders'!$G152, 'Historical Orders'!$C152, "A", 'Historical Orders'!$B152, "2")</f>
        <v>0</v>
      </c>
      <c r="AQ152" s="171">
        <f>SUMIFS('Historical Orders'!$G152, 'Historical Orders'!$C152, "B", 'Historical Orders'!$B152, "2")</f>
        <v>0</v>
      </c>
      <c r="AR152" s="145"/>
      <c r="AS152" s="172"/>
      <c r="AT152" s="172"/>
      <c r="AU152" s="172"/>
      <c r="AV152" s="172"/>
      <c r="AW152" s="172"/>
      <c r="AX152" s="172"/>
      <c r="AY152" s="172"/>
      <c r="AZ152" s="172"/>
      <c r="BA152" s="172"/>
      <c r="BB152" s="172"/>
      <c r="BC152" s="172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  <c r="BT152" s="172"/>
      <c r="BU152" s="172"/>
      <c r="BV152" s="179"/>
      <c r="BW152" s="179"/>
      <c r="BX152" s="179"/>
      <c r="BY152" s="179"/>
      <c r="BZ152" s="179"/>
      <c r="CA152" s="179"/>
      <c r="CB152" s="179"/>
      <c r="CC152" s="179"/>
      <c r="CD152" s="179"/>
      <c r="CE152" s="179"/>
    </row>
    <row r="153" ht="15.75" customHeight="1">
      <c r="A153" s="151">
        <v>42030.0</v>
      </c>
      <c r="B153" s="152">
        <v>1.0</v>
      </c>
      <c r="C153" s="152" t="s">
        <v>45</v>
      </c>
      <c r="D153" s="152">
        <v>2.0</v>
      </c>
      <c r="E153" s="153">
        <v>5337.0</v>
      </c>
      <c r="F153" s="154">
        <v>1.2</v>
      </c>
      <c r="G153" s="155">
        <v>6404.4</v>
      </c>
      <c r="H153" s="159">
        <f>SUMIFS('Historical Orders'!$E153, 'Historical Orders'!$D153, "1", 'Historical Orders'!$C153, "A", 'Historical Orders'!$B153, "1")</f>
        <v>0</v>
      </c>
      <c r="I153" s="157">
        <f>SUMIFS('Historical Orders'!$G153, 'Historical Orders'!$D153, "1", 'Historical Orders'!$C153, "A", 'Historical Orders'!$B153, "1")</f>
        <v>0</v>
      </c>
      <c r="J153" s="157">
        <f>SUMIFS('Historical Orders'!$E153, 'Historical Orders'!$D153, "1", 'Historical Orders'!$C153, "B", 'Historical Orders'!$B153, "1")</f>
        <v>0</v>
      </c>
      <c r="K153" s="157">
        <f>SUMIFS('Historical Orders'!$G153, 'Historical Orders'!$D153, "1", 'Historical Orders'!$C153, "B", 'Historical Orders'!$B153, "1")</f>
        <v>0</v>
      </c>
      <c r="L153" s="159">
        <f>SUMIFS('Historical Orders'!$E153, 'Historical Orders'!$D153, "1", 'Historical Orders'!$C153, "A", 'Historical Orders'!$B153, "2")</f>
        <v>0</v>
      </c>
      <c r="M153" s="157">
        <f>SUMIFS('Historical Orders'!$G153, 'Historical Orders'!$D153, "1", 'Historical Orders'!$C153, "A", 'Historical Orders'!$B153, "2")</f>
        <v>0</v>
      </c>
      <c r="N153" s="157">
        <f>SUMIFS('Historical Orders'!$E153, 'Historical Orders'!$D153, "1", 'Historical Orders'!$C153, "B", 'Historical Orders'!$B153, "2")</f>
        <v>0</v>
      </c>
      <c r="O153" s="157">
        <f>SUMIFS('Historical Orders'!$G153, 'Historical Orders'!$D153, "1", 'Historical Orders'!$C153, "B", 'Historical Orders'!$B153, "2")</f>
        <v>0</v>
      </c>
      <c r="P153" s="159">
        <f>SUMIFS('Historical Orders'!$E153, 'Historical Orders'!$D153, "2", 'Historical Orders'!$C153, "A", 'Historical Orders'!$B153, "1")</f>
        <v>5337</v>
      </c>
      <c r="Q153" s="157">
        <f>SUMIFS('Historical Orders'!$G153, 'Historical Orders'!$D153, "2", 'Historical Orders'!$C153, "A", 'Historical Orders'!$B153, "1")</f>
        <v>6404.4</v>
      </c>
      <c r="R153" s="159">
        <f>SUMIFS('Historical Orders'!$E153, 'Historical Orders'!$D153, "2", 'Historical Orders'!$C153, "B", 'Historical Orders'!$B153, "1")</f>
        <v>0</v>
      </c>
      <c r="S153" s="157">
        <f>SUMIFS('Historical Orders'!$G153, 'Historical Orders'!$D153, "2", 'Historical Orders'!$C153, "B", 'Historical Orders'!$B153, "1")</f>
        <v>0</v>
      </c>
      <c r="T153" s="159">
        <f>SUMIFS('Historical Orders'!$E153, 'Historical Orders'!$D153, "2", 'Historical Orders'!$C153, "A", 'Historical Orders'!$B153, "2")</f>
        <v>0</v>
      </c>
      <c r="U153" s="157">
        <f>SUMIFS('Historical Orders'!$G153, 'Historical Orders'!$D153, "2", 'Historical Orders'!$C153, "A", 'Historical Orders'!$B153, "2")</f>
        <v>0</v>
      </c>
      <c r="V153" s="159">
        <f>SUMIFS('Historical Orders'!$E153, 'Historical Orders'!$D153, "2", 'Historical Orders'!$C153, "B", 'Historical Orders'!$B153, "2")</f>
        <v>0</v>
      </c>
      <c r="W153" s="159">
        <f>SUMIFS('Historical Orders'!$G153, 'Historical Orders'!$D153, "2", 'Historical Orders'!$C153, "B", 'Historical Orders'!$B153, "2")</f>
        <v>0</v>
      </c>
      <c r="X153" s="159">
        <f>SUMIFS('Historical Orders'!$E153, 'Historical Orders'!$D153, "3", 'Historical Orders'!$C153, "A", 'Historical Orders'!$B153, "1")</f>
        <v>0</v>
      </c>
      <c r="Y153" s="159">
        <f>SUMIFS('Historical Orders'!$G153, 'Historical Orders'!$D153, "3", 'Historical Orders'!$C153, "A", 'Historical Orders'!$B153, "1")</f>
        <v>0</v>
      </c>
      <c r="Z153" s="159">
        <f>SUMIFS('Historical Orders'!$E153, 'Historical Orders'!$D153, "3", 'Historical Orders'!$C153, "B", 'Historical Orders'!$B153, "1")</f>
        <v>0</v>
      </c>
      <c r="AA153" s="159">
        <f>SUMIFS('Historical Orders'!$G153, 'Historical Orders'!$D153, "3", 'Historical Orders'!$C153, "B", 'Historical Orders'!$B153, "1")</f>
        <v>0</v>
      </c>
      <c r="AB153" s="159">
        <f>SUMIFS('Historical Orders'!$E153, 'Historical Orders'!$D153, "3", 'Historical Orders'!$C153, "A", 'Historical Orders'!$B153, "2")</f>
        <v>0</v>
      </c>
      <c r="AC153" s="159">
        <f>SUMIFS('Historical Orders'!$G153, 'Historical Orders'!$D153, "3", 'Historical Orders'!$C153, "A", 'Historical Orders'!$B153, "2")</f>
        <v>0</v>
      </c>
      <c r="AD153" s="159">
        <f>SUMIFS('Historical Orders'!$E153, 'Historical Orders'!$D153, "3", 'Historical Orders'!$C153, "B", 'Historical Orders'!$B153, "2")</f>
        <v>0</v>
      </c>
      <c r="AE153" s="157">
        <f>SUMIFS('Historical Orders'!$G153, 'Historical Orders'!$D153, "3", 'Historical Orders'!$C153, "B", 'Historical Orders'!$B153, "2")</f>
        <v>0</v>
      </c>
      <c r="AF153" s="157">
        <f>SUMIFS('Historical Orders'!$E153, 'Historical Orders'!$D153, "4", 'Historical Orders'!$C153, "A", 'Historical Orders'!$B153, "1")</f>
        <v>0</v>
      </c>
      <c r="AG153" s="157">
        <f>SUMIFS('Historical Orders'!$G153, 'Historical Orders'!$D153, "4", 'Historical Orders'!$C153, "A", 'Historical Orders'!$B153, "1")</f>
        <v>0</v>
      </c>
      <c r="AH153" s="157">
        <f>SUMIFS('Historical Orders'!$E153, 'Historical Orders'!$D153, "4", 'Historical Orders'!$C153, "B", 'Historical Orders'!$B153, "1")</f>
        <v>0</v>
      </c>
      <c r="AI153" s="157">
        <f>SUMIFS('Historical Orders'!$G153, 'Historical Orders'!$D153, "4", 'Historical Orders'!$C153, "B", 'Historical Orders'!$B153, "1")</f>
        <v>0</v>
      </c>
      <c r="AJ153" s="157">
        <f>SUMIFS('Historical Orders'!$E153, 'Historical Orders'!$D153, "4", 'Historical Orders'!$C153, "A", 'Historical Orders'!$B153, "2")</f>
        <v>0</v>
      </c>
      <c r="AK153" s="157">
        <f>SUMIFS('Historical Orders'!$G153, 'Historical Orders'!$D153, "4", 'Historical Orders'!$C153, "A", 'Historical Orders'!$B153, "2")</f>
        <v>0</v>
      </c>
      <c r="AL153" s="171">
        <f>SUMIFS('Historical Orders'!$E153, 'Historical Orders'!$D153, "4", 'Historical Orders'!$C153, "B", 'Historical Orders'!$B153, "2")</f>
        <v>0</v>
      </c>
      <c r="AM153" s="171">
        <f>SUMIFS('Historical Orders'!$G153, 'Historical Orders'!$D153, "4", 'Historical Orders'!$C153, "B", 'Historical Orders'!$B153, "2")</f>
        <v>0</v>
      </c>
      <c r="AN153" s="171">
        <f>SUMIFS('Historical Orders'!$G153, 'Historical Orders'!$C153, "A", 'Historical Orders'!$B153, "1")</f>
        <v>6404.4</v>
      </c>
      <c r="AO153" s="171">
        <f>SUMIFS('Historical Orders'!$G153, 'Historical Orders'!$C153, "B", 'Historical Orders'!$B153, "1")</f>
        <v>0</v>
      </c>
      <c r="AP153" s="171">
        <f>SUMIFS('Historical Orders'!$G153, 'Historical Orders'!$C153, "A", 'Historical Orders'!$B153, "2")</f>
        <v>0</v>
      </c>
      <c r="AQ153" s="171">
        <f>SUMIFS('Historical Orders'!$G153, 'Historical Orders'!$C153, "B", 'Historical Orders'!$B153, "2")</f>
        <v>0</v>
      </c>
      <c r="AR153" s="145"/>
      <c r="AS153" s="172"/>
      <c r="AT153" s="172"/>
      <c r="AU153" s="172"/>
      <c r="AV153" s="172"/>
      <c r="AW153" s="172"/>
      <c r="AX153" s="172"/>
      <c r="AY153" s="172"/>
      <c r="AZ153" s="172"/>
      <c r="BA153" s="172"/>
      <c r="BB153" s="172"/>
      <c r="BC153" s="172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  <c r="BT153" s="172"/>
      <c r="BU153" s="172"/>
      <c r="BV153" s="179"/>
      <c r="BW153" s="179"/>
      <c r="BX153" s="179"/>
      <c r="BY153" s="179"/>
      <c r="BZ153" s="179"/>
      <c r="CA153" s="179"/>
      <c r="CB153" s="179"/>
      <c r="CC153" s="179"/>
      <c r="CD153" s="179"/>
      <c r="CE153" s="179"/>
    </row>
    <row r="154" ht="15.75" customHeight="1">
      <c r="A154" s="151">
        <v>42030.0</v>
      </c>
      <c r="B154" s="152">
        <v>2.0</v>
      </c>
      <c r="C154" s="152" t="s">
        <v>45</v>
      </c>
      <c r="D154" s="152">
        <v>1.0</v>
      </c>
      <c r="E154" s="153">
        <v>3448.0</v>
      </c>
      <c r="F154" s="154">
        <v>2.2</v>
      </c>
      <c r="G154" s="155">
        <v>7585.6</v>
      </c>
      <c r="H154" s="159">
        <f>SUMIFS('Historical Orders'!$E154, 'Historical Orders'!$D154, "1", 'Historical Orders'!$C154, "A", 'Historical Orders'!$B154, "1")</f>
        <v>0</v>
      </c>
      <c r="I154" s="157">
        <f>SUMIFS('Historical Orders'!$G154, 'Historical Orders'!$D154, "1", 'Historical Orders'!$C154, "A", 'Historical Orders'!$B154, "1")</f>
        <v>0</v>
      </c>
      <c r="J154" s="157">
        <f>SUMIFS('Historical Orders'!$E154, 'Historical Orders'!$D154, "1", 'Historical Orders'!$C154, "B", 'Historical Orders'!$B154, "1")</f>
        <v>0</v>
      </c>
      <c r="K154" s="157">
        <f>SUMIFS('Historical Orders'!$G154, 'Historical Orders'!$D154, "1", 'Historical Orders'!$C154, "B", 'Historical Orders'!$B154, "1")</f>
        <v>0</v>
      </c>
      <c r="L154" s="159">
        <f>SUMIFS('Historical Orders'!$E154, 'Historical Orders'!$D154, "1", 'Historical Orders'!$C154, "A", 'Historical Orders'!$B154, "2")</f>
        <v>3448</v>
      </c>
      <c r="M154" s="157">
        <f>SUMIFS('Historical Orders'!$G154, 'Historical Orders'!$D154, "1", 'Historical Orders'!$C154, "A", 'Historical Orders'!$B154, "2")</f>
        <v>7585.6</v>
      </c>
      <c r="N154" s="157">
        <f>SUMIFS('Historical Orders'!$E154, 'Historical Orders'!$D154, "1", 'Historical Orders'!$C154, "B", 'Historical Orders'!$B154, "2")</f>
        <v>0</v>
      </c>
      <c r="O154" s="157">
        <f>SUMIFS('Historical Orders'!$G154, 'Historical Orders'!$D154, "1", 'Historical Orders'!$C154, "B", 'Historical Orders'!$B154, "2")</f>
        <v>0</v>
      </c>
      <c r="P154" s="159">
        <f>SUMIFS('Historical Orders'!$E154, 'Historical Orders'!$D154, "2", 'Historical Orders'!$C154, "A", 'Historical Orders'!$B154, "1")</f>
        <v>0</v>
      </c>
      <c r="Q154" s="157">
        <f>SUMIFS('Historical Orders'!$G154, 'Historical Orders'!$D154, "2", 'Historical Orders'!$C154, "A", 'Historical Orders'!$B154, "1")</f>
        <v>0</v>
      </c>
      <c r="R154" s="159">
        <f>SUMIFS('Historical Orders'!$E154, 'Historical Orders'!$D154, "2", 'Historical Orders'!$C154, "B", 'Historical Orders'!$B154, "1")</f>
        <v>0</v>
      </c>
      <c r="S154" s="157">
        <f>SUMIFS('Historical Orders'!$G154, 'Historical Orders'!$D154, "2", 'Historical Orders'!$C154, "B", 'Historical Orders'!$B154, "1")</f>
        <v>0</v>
      </c>
      <c r="T154" s="159">
        <f>SUMIFS('Historical Orders'!$E154, 'Historical Orders'!$D154, "2", 'Historical Orders'!$C154, "A", 'Historical Orders'!$B154, "2")</f>
        <v>0</v>
      </c>
      <c r="U154" s="157">
        <f>SUMIFS('Historical Orders'!$G154, 'Historical Orders'!$D154, "2", 'Historical Orders'!$C154, "A", 'Historical Orders'!$B154, "2")</f>
        <v>0</v>
      </c>
      <c r="V154" s="159">
        <f>SUMIFS('Historical Orders'!$E154, 'Historical Orders'!$D154, "2", 'Historical Orders'!$C154, "B", 'Historical Orders'!$B154, "2")</f>
        <v>0</v>
      </c>
      <c r="W154" s="159">
        <f>SUMIFS('Historical Orders'!$G154, 'Historical Orders'!$D154, "2", 'Historical Orders'!$C154, "B", 'Historical Orders'!$B154, "2")</f>
        <v>0</v>
      </c>
      <c r="X154" s="159">
        <f>SUMIFS('Historical Orders'!$E154, 'Historical Orders'!$D154, "3", 'Historical Orders'!$C154, "A", 'Historical Orders'!$B154, "1")</f>
        <v>0</v>
      </c>
      <c r="Y154" s="159">
        <f>SUMIFS('Historical Orders'!$G154, 'Historical Orders'!$D154, "3", 'Historical Orders'!$C154, "A", 'Historical Orders'!$B154, "1")</f>
        <v>0</v>
      </c>
      <c r="Z154" s="159">
        <f>SUMIFS('Historical Orders'!$E154, 'Historical Orders'!$D154, "3", 'Historical Orders'!$C154, "B", 'Historical Orders'!$B154, "1")</f>
        <v>0</v>
      </c>
      <c r="AA154" s="159">
        <f>SUMIFS('Historical Orders'!$G154, 'Historical Orders'!$D154, "3", 'Historical Orders'!$C154, "B", 'Historical Orders'!$B154, "1")</f>
        <v>0</v>
      </c>
      <c r="AB154" s="159">
        <f>SUMIFS('Historical Orders'!$E154, 'Historical Orders'!$D154, "3", 'Historical Orders'!$C154, "A", 'Historical Orders'!$B154, "2")</f>
        <v>0</v>
      </c>
      <c r="AC154" s="159">
        <f>SUMIFS('Historical Orders'!$G154, 'Historical Orders'!$D154, "3", 'Historical Orders'!$C154, "A", 'Historical Orders'!$B154, "2")</f>
        <v>0</v>
      </c>
      <c r="AD154" s="159">
        <f>SUMIFS('Historical Orders'!$E154, 'Historical Orders'!$D154, "3", 'Historical Orders'!$C154, "B", 'Historical Orders'!$B154, "2")</f>
        <v>0</v>
      </c>
      <c r="AE154" s="157">
        <f>SUMIFS('Historical Orders'!$G154, 'Historical Orders'!$D154, "3", 'Historical Orders'!$C154, "B", 'Historical Orders'!$B154, "2")</f>
        <v>0</v>
      </c>
      <c r="AF154" s="157">
        <f>SUMIFS('Historical Orders'!$E154, 'Historical Orders'!$D154, "4", 'Historical Orders'!$C154, "A", 'Historical Orders'!$B154, "1")</f>
        <v>0</v>
      </c>
      <c r="AG154" s="157">
        <f>SUMIFS('Historical Orders'!$G154, 'Historical Orders'!$D154, "4", 'Historical Orders'!$C154, "A", 'Historical Orders'!$B154, "1")</f>
        <v>0</v>
      </c>
      <c r="AH154" s="157">
        <f>SUMIFS('Historical Orders'!$E154, 'Historical Orders'!$D154, "4", 'Historical Orders'!$C154, "B", 'Historical Orders'!$B154, "1")</f>
        <v>0</v>
      </c>
      <c r="AI154" s="157">
        <f>SUMIFS('Historical Orders'!$G154, 'Historical Orders'!$D154, "4", 'Historical Orders'!$C154, "B", 'Historical Orders'!$B154, "1")</f>
        <v>0</v>
      </c>
      <c r="AJ154" s="157">
        <f>SUMIFS('Historical Orders'!$E154, 'Historical Orders'!$D154, "4", 'Historical Orders'!$C154, "A", 'Historical Orders'!$B154, "2")</f>
        <v>0</v>
      </c>
      <c r="AK154" s="157">
        <f>SUMIFS('Historical Orders'!$G154, 'Historical Orders'!$D154, "4", 'Historical Orders'!$C154, "A", 'Historical Orders'!$B154, "2")</f>
        <v>0</v>
      </c>
      <c r="AL154" s="171">
        <f>SUMIFS('Historical Orders'!$E154, 'Historical Orders'!$D154, "4", 'Historical Orders'!$C154, "B", 'Historical Orders'!$B154, "2")</f>
        <v>0</v>
      </c>
      <c r="AM154" s="171">
        <f>SUMIFS('Historical Orders'!$G154, 'Historical Orders'!$D154, "4", 'Historical Orders'!$C154, "B", 'Historical Orders'!$B154, "2")</f>
        <v>0</v>
      </c>
      <c r="AN154" s="171">
        <f>SUMIFS('Historical Orders'!$G154, 'Historical Orders'!$C154, "A", 'Historical Orders'!$B154, "1")</f>
        <v>0</v>
      </c>
      <c r="AO154" s="171">
        <f>SUMIFS('Historical Orders'!$G154, 'Historical Orders'!$C154, "B", 'Historical Orders'!$B154, "1")</f>
        <v>0</v>
      </c>
      <c r="AP154" s="171">
        <f>SUMIFS('Historical Orders'!$G154, 'Historical Orders'!$C154, "A", 'Historical Orders'!$B154, "2")</f>
        <v>7585.6</v>
      </c>
      <c r="AQ154" s="171">
        <f>SUMIFS('Historical Orders'!$G154, 'Historical Orders'!$C154, "B", 'Historical Orders'!$B154, "2")</f>
        <v>0</v>
      </c>
      <c r="AR154" s="145"/>
      <c r="AS154" s="172"/>
      <c r="AT154" s="172"/>
      <c r="AU154" s="172"/>
      <c r="AV154" s="172"/>
      <c r="AW154" s="172"/>
      <c r="AX154" s="172"/>
      <c r="AY154" s="172"/>
      <c r="AZ154" s="172"/>
      <c r="BA154" s="172"/>
      <c r="BB154" s="172"/>
      <c r="BC154" s="172"/>
      <c r="BD154" s="172"/>
      <c r="BE154" s="172"/>
      <c r="BF154" s="172"/>
      <c r="BG154" s="172"/>
      <c r="BH154" s="172"/>
      <c r="BI154" s="172"/>
      <c r="BJ154" s="172"/>
      <c r="BK154" s="172"/>
      <c r="BL154" s="172"/>
      <c r="BM154" s="172"/>
      <c r="BN154" s="172"/>
      <c r="BO154" s="172"/>
      <c r="BP154" s="172"/>
      <c r="BQ154" s="172"/>
      <c r="BR154" s="172"/>
      <c r="BS154" s="172"/>
      <c r="BT154" s="172"/>
      <c r="BU154" s="172"/>
      <c r="BV154" s="179"/>
      <c r="BW154" s="179"/>
      <c r="BX154" s="179"/>
      <c r="BY154" s="179"/>
      <c r="BZ154" s="179"/>
      <c r="CA154" s="179"/>
      <c r="CB154" s="179"/>
      <c r="CC154" s="179"/>
      <c r="CD154" s="179"/>
      <c r="CE154" s="179"/>
    </row>
    <row r="155" ht="15.75" customHeight="1">
      <c r="A155" s="151">
        <v>42030.0</v>
      </c>
      <c r="B155" s="152">
        <v>2.0</v>
      </c>
      <c r="C155" s="152" t="s">
        <v>45</v>
      </c>
      <c r="D155" s="152">
        <v>2.0</v>
      </c>
      <c r="E155" s="153">
        <v>5568.0</v>
      </c>
      <c r="F155" s="154">
        <v>1.2</v>
      </c>
      <c r="G155" s="155">
        <v>6681.599999999999</v>
      </c>
      <c r="H155" s="159">
        <f>SUMIFS('Historical Orders'!$E155, 'Historical Orders'!$D155, "1", 'Historical Orders'!$C155, "A", 'Historical Orders'!$B155, "1")</f>
        <v>0</v>
      </c>
      <c r="I155" s="157">
        <f>SUMIFS('Historical Orders'!$G155, 'Historical Orders'!$D155, "1", 'Historical Orders'!$C155, "A", 'Historical Orders'!$B155, "1")</f>
        <v>0</v>
      </c>
      <c r="J155" s="157">
        <f>SUMIFS('Historical Orders'!$E155, 'Historical Orders'!$D155, "1", 'Historical Orders'!$C155, "B", 'Historical Orders'!$B155, "1")</f>
        <v>0</v>
      </c>
      <c r="K155" s="157">
        <f>SUMIFS('Historical Orders'!$G155, 'Historical Orders'!$D155, "1", 'Historical Orders'!$C155, "B", 'Historical Orders'!$B155, "1")</f>
        <v>0</v>
      </c>
      <c r="L155" s="159">
        <f>SUMIFS('Historical Orders'!$E155, 'Historical Orders'!$D155, "1", 'Historical Orders'!$C155, "A", 'Historical Orders'!$B155, "2")</f>
        <v>0</v>
      </c>
      <c r="M155" s="157">
        <f>SUMIFS('Historical Orders'!$G155, 'Historical Orders'!$D155, "1", 'Historical Orders'!$C155, "A", 'Historical Orders'!$B155, "2")</f>
        <v>0</v>
      </c>
      <c r="N155" s="157">
        <f>SUMIFS('Historical Orders'!$E155, 'Historical Orders'!$D155, "1", 'Historical Orders'!$C155, "B", 'Historical Orders'!$B155, "2")</f>
        <v>0</v>
      </c>
      <c r="O155" s="157">
        <f>SUMIFS('Historical Orders'!$G155, 'Historical Orders'!$D155, "1", 'Historical Orders'!$C155, "B", 'Historical Orders'!$B155, "2")</f>
        <v>0</v>
      </c>
      <c r="P155" s="159">
        <f>SUMIFS('Historical Orders'!$E155, 'Historical Orders'!$D155, "2", 'Historical Orders'!$C155, "A", 'Historical Orders'!$B155, "1")</f>
        <v>0</v>
      </c>
      <c r="Q155" s="157">
        <f>SUMIFS('Historical Orders'!$G155, 'Historical Orders'!$D155, "2", 'Historical Orders'!$C155, "A", 'Historical Orders'!$B155, "1")</f>
        <v>0</v>
      </c>
      <c r="R155" s="159">
        <f>SUMIFS('Historical Orders'!$E155, 'Historical Orders'!$D155, "2", 'Historical Orders'!$C155, "B", 'Historical Orders'!$B155, "1")</f>
        <v>0</v>
      </c>
      <c r="S155" s="157">
        <f>SUMIFS('Historical Orders'!$G155, 'Historical Orders'!$D155, "2", 'Historical Orders'!$C155, "B", 'Historical Orders'!$B155, "1")</f>
        <v>0</v>
      </c>
      <c r="T155" s="159">
        <f>SUMIFS('Historical Orders'!$E155, 'Historical Orders'!$D155, "2", 'Historical Orders'!$C155, "A", 'Historical Orders'!$B155, "2")</f>
        <v>5568</v>
      </c>
      <c r="U155" s="157">
        <f>SUMIFS('Historical Orders'!$G155, 'Historical Orders'!$D155, "2", 'Historical Orders'!$C155, "A", 'Historical Orders'!$B155, "2")</f>
        <v>6681.6</v>
      </c>
      <c r="V155" s="159">
        <f>SUMIFS('Historical Orders'!$E155, 'Historical Orders'!$D155, "2", 'Historical Orders'!$C155, "B", 'Historical Orders'!$B155, "2")</f>
        <v>0</v>
      </c>
      <c r="W155" s="159">
        <f>SUMIFS('Historical Orders'!$G155, 'Historical Orders'!$D155, "2", 'Historical Orders'!$C155, "B", 'Historical Orders'!$B155, "2")</f>
        <v>0</v>
      </c>
      <c r="X155" s="159">
        <f>SUMIFS('Historical Orders'!$E155, 'Historical Orders'!$D155, "3", 'Historical Orders'!$C155, "A", 'Historical Orders'!$B155, "1")</f>
        <v>0</v>
      </c>
      <c r="Y155" s="159">
        <f>SUMIFS('Historical Orders'!$G155, 'Historical Orders'!$D155, "3", 'Historical Orders'!$C155, "A", 'Historical Orders'!$B155, "1")</f>
        <v>0</v>
      </c>
      <c r="Z155" s="159">
        <f>SUMIFS('Historical Orders'!$E155, 'Historical Orders'!$D155, "3", 'Historical Orders'!$C155, "B", 'Historical Orders'!$B155, "1")</f>
        <v>0</v>
      </c>
      <c r="AA155" s="159">
        <f>SUMIFS('Historical Orders'!$G155, 'Historical Orders'!$D155, "3", 'Historical Orders'!$C155, "B", 'Historical Orders'!$B155, "1")</f>
        <v>0</v>
      </c>
      <c r="AB155" s="159">
        <f>SUMIFS('Historical Orders'!$E155, 'Historical Orders'!$D155, "3", 'Historical Orders'!$C155, "A", 'Historical Orders'!$B155, "2")</f>
        <v>0</v>
      </c>
      <c r="AC155" s="159">
        <f>SUMIFS('Historical Orders'!$G155, 'Historical Orders'!$D155, "3", 'Historical Orders'!$C155, "A", 'Historical Orders'!$B155, "2")</f>
        <v>0</v>
      </c>
      <c r="AD155" s="159">
        <f>SUMIFS('Historical Orders'!$E155, 'Historical Orders'!$D155, "3", 'Historical Orders'!$C155, "B", 'Historical Orders'!$B155, "2")</f>
        <v>0</v>
      </c>
      <c r="AE155" s="157">
        <f>SUMIFS('Historical Orders'!$G155, 'Historical Orders'!$D155, "3", 'Historical Orders'!$C155, "B", 'Historical Orders'!$B155, "2")</f>
        <v>0</v>
      </c>
      <c r="AF155" s="157">
        <f>SUMIFS('Historical Orders'!$E155, 'Historical Orders'!$D155, "4", 'Historical Orders'!$C155, "A", 'Historical Orders'!$B155, "1")</f>
        <v>0</v>
      </c>
      <c r="AG155" s="157">
        <f>SUMIFS('Historical Orders'!$G155, 'Historical Orders'!$D155, "4", 'Historical Orders'!$C155, "A", 'Historical Orders'!$B155, "1")</f>
        <v>0</v>
      </c>
      <c r="AH155" s="157">
        <f>SUMIFS('Historical Orders'!$E155, 'Historical Orders'!$D155, "4", 'Historical Orders'!$C155, "B", 'Historical Orders'!$B155, "1")</f>
        <v>0</v>
      </c>
      <c r="AI155" s="157">
        <f>SUMIFS('Historical Orders'!$G155, 'Historical Orders'!$D155, "4", 'Historical Orders'!$C155, "B", 'Historical Orders'!$B155, "1")</f>
        <v>0</v>
      </c>
      <c r="AJ155" s="157">
        <f>SUMIFS('Historical Orders'!$E155, 'Historical Orders'!$D155, "4", 'Historical Orders'!$C155, "A", 'Historical Orders'!$B155, "2")</f>
        <v>0</v>
      </c>
      <c r="AK155" s="157">
        <f>SUMIFS('Historical Orders'!$G155, 'Historical Orders'!$D155, "4", 'Historical Orders'!$C155, "A", 'Historical Orders'!$B155, "2")</f>
        <v>0</v>
      </c>
      <c r="AL155" s="171">
        <f>SUMIFS('Historical Orders'!$E155, 'Historical Orders'!$D155, "4", 'Historical Orders'!$C155, "B", 'Historical Orders'!$B155, "2")</f>
        <v>0</v>
      </c>
      <c r="AM155" s="171">
        <f>SUMIFS('Historical Orders'!$G155, 'Historical Orders'!$D155, "4", 'Historical Orders'!$C155, "B", 'Historical Orders'!$B155, "2")</f>
        <v>0</v>
      </c>
      <c r="AN155" s="171">
        <f>SUMIFS('Historical Orders'!$G155, 'Historical Orders'!$C155, "A", 'Historical Orders'!$B155, "1")</f>
        <v>0</v>
      </c>
      <c r="AO155" s="171">
        <f>SUMIFS('Historical Orders'!$G155, 'Historical Orders'!$C155, "B", 'Historical Orders'!$B155, "1")</f>
        <v>0</v>
      </c>
      <c r="AP155" s="171">
        <f>SUMIFS('Historical Orders'!$G155, 'Historical Orders'!$C155, "A", 'Historical Orders'!$B155, "2")</f>
        <v>6681.6</v>
      </c>
      <c r="AQ155" s="171">
        <f>SUMIFS('Historical Orders'!$G155, 'Historical Orders'!$C155, "B", 'Historical Orders'!$B155, "2")</f>
        <v>0</v>
      </c>
      <c r="AR155" s="145"/>
      <c r="AS155" s="172"/>
      <c r="AT155" s="172"/>
      <c r="AU155" s="172"/>
      <c r="AV155" s="172"/>
      <c r="AW155" s="172"/>
      <c r="AX155" s="172"/>
      <c r="AY155" s="172"/>
      <c r="AZ155" s="172"/>
      <c r="BA155" s="172"/>
      <c r="BB155" s="172"/>
      <c r="BC155" s="172"/>
      <c r="BD155" s="172"/>
      <c r="BE155" s="172"/>
      <c r="BF155" s="172"/>
      <c r="BG155" s="172"/>
      <c r="BH155" s="172"/>
      <c r="BI155" s="172"/>
      <c r="BJ155" s="172"/>
      <c r="BK155" s="172"/>
      <c r="BL155" s="172"/>
      <c r="BM155" s="172"/>
      <c r="BN155" s="172"/>
      <c r="BO155" s="172"/>
      <c r="BP155" s="172"/>
      <c r="BQ155" s="172"/>
      <c r="BR155" s="172"/>
      <c r="BS155" s="172"/>
      <c r="BT155" s="172"/>
      <c r="BU155" s="172"/>
      <c r="BV155" s="179"/>
      <c r="BW155" s="179"/>
      <c r="BX155" s="179"/>
      <c r="BY155" s="179"/>
      <c r="BZ155" s="179"/>
      <c r="CA155" s="179"/>
      <c r="CB155" s="179"/>
      <c r="CC155" s="179"/>
      <c r="CD155" s="179"/>
      <c r="CE155" s="179"/>
    </row>
    <row r="156" ht="15.75" customHeight="1">
      <c r="A156" s="151">
        <v>42030.0</v>
      </c>
      <c r="B156" s="152">
        <v>1.0</v>
      </c>
      <c r="C156" s="152" t="s">
        <v>46</v>
      </c>
      <c r="D156" s="152">
        <v>3.0</v>
      </c>
      <c r="E156" s="153">
        <v>1742.0</v>
      </c>
      <c r="F156" s="154">
        <v>8.3</v>
      </c>
      <c r="G156" s="155">
        <v>14458.6</v>
      </c>
      <c r="H156" s="159">
        <f>SUMIFS('Historical Orders'!$E156, 'Historical Orders'!$D156, "1", 'Historical Orders'!$C156, "A", 'Historical Orders'!$B156, "1")</f>
        <v>0</v>
      </c>
      <c r="I156" s="157">
        <f>SUMIFS('Historical Orders'!$G156, 'Historical Orders'!$D156, "1", 'Historical Orders'!$C156, "A", 'Historical Orders'!$B156, "1")</f>
        <v>0</v>
      </c>
      <c r="J156" s="157">
        <f>SUMIFS('Historical Orders'!$E156, 'Historical Orders'!$D156, "1", 'Historical Orders'!$C156, "B", 'Historical Orders'!$B156, "1")</f>
        <v>0</v>
      </c>
      <c r="K156" s="157">
        <f>SUMIFS('Historical Orders'!$G156, 'Historical Orders'!$D156, "1", 'Historical Orders'!$C156, "B", 'Historical Orders'!$B156, "1")</f>
        <v>0</v>
      </c>
      <c r="L156" s="159">
        <f>SUMIFS('Historical Orders'!$E156, 'Historical Orders'!$D156, "1", 'Historical Orders'!$C156, "A", 'Historical Orders'!$B156, "2")</f>
        <v>0</v>
      </c>
      <c r="M156" s="157">
        <f>SUMIFS('Historical Orders'!$G156, 'Historical Orders'!$D156, "1", 'Historical Orders'!$C156, "A", 'Historical Orders'!$B156, "2")</f>
        <v>0</v>
      </c>
      <c r="N156" s="157">
        <f>SUMIFS('Historical Orders'!$E156, 'Historical Orders'!$D156, "1", 'Historical Orders'!$C156, "B", 'Historical Orders'!$B156, "2")</f>
        <v>0</v>
      </c>
      <c r="O156" s="157">
        <f>SUMIFS('Historical Orders'!$G156, 'Historical Orders'!$D156, "1", 'Historical Orders'!$C156, "B", 'Historical Orders'!$B156, "2")</f>
        <v>0</v>
      </c>
      <c r="P156" s="159">
        <f>SUMIFS('Historical Orders'!$E156, 'Historical Orders'!$D156, "2", 'Historical Orders'!$C156, "A", 'Historical Orders'!$B156, "1")</f>
        <v>0</v>
      </c>
      <c r="Q156" s="157">
        <f>SUMIFS('Historical Orders'!$G156, 'Historical Orders'!$D156, "2", 'Historical Orders'!$C156, "A", 'Historical Orders'!$B156, "1")</f>
        <v>0</v>
      </c>
      <c r="R156" s="159">
        <f>SUMIFS('Historical Orders'!$E156, 'Historical Orders'!$D156, "2", 'Historical Orders'!$C156, "B", 'Historical Orders'!$B156, "1")</f>
        <v>0</v>
      </c>
      <c r="S156" s="157">
        <f>SUMIFS('Historical Orders'!$G156, 'Historical Orders'!$D156, "2", 'Historical Orders'!$C156, "B", 'Historical Orders'!$B156, "1")</f>
        <v>0</v>
      </c>
      <c r="T156" s="159">
        <f>SUMIFS('Historical Orders'!$E156, 'Historical Orders'!$D156, "2", 'Historical Orders'!$C156, "A", 'Historical Orders'!$B156, "2")</f>
        <v>0</v>
      </c>
      <c r="U156" s="157">
        <f>SUMIFS('Historical Orders'!$G156, 'Historical Orders'!$D156, "2", 'Historical Orders'!$C156, "A", 'Historical Orders'!$B156, "2")</f>
        <v>0</v>
      </c>
      <c r="V156" s="159">
        <f>SUMIFS('Historical Orders'!$E156, 'Historical Orders'!$D156, "2", 'Historical Orders'!$C156, "B", 'Historical Orders'!$B156, "2")</f>
        <v>0</v>
      </c>
      <c r="W156" s="159">
        <f>SUMIFS('Historical Orders'!$G156, 'Historical Orders'!$D156, "2", 'Historical Orders'!$C156, "B", 'Historical Orders'!$B156, "2")</f>
        <v>0</v>
      </c>
      <c r="X156" s="159">
        <f>SUMIFS('Historical Orders'!$E156, 'Historical Orders'!$D156, "3", 'Historical Orders'!$C156, "A", 'Historical Orders'!$B156, "1")</f>
        <v>0</v>
      </c>
      <c r="Y156" s="159">
        <f>SUMIFS('Historical Orders'!$G156, 'Historical Orders'!$D156, "3", 'Historical Orders'!$C156, "A", 'Historical Orders'!$B156, "1")</f>
        <v>0</v>
      </c>
      <c r="Z156" s="159">
        <f>SUMIFS('Historical Orders'!$E156, 'Historical Orders'!$D156, "3", 'Historical Orders'!$C156, "B", 'Historical Orders'!$B156, "1")</f>
        <v>1742</v>
      </c>
      <c r="AA156" s="159">
        <f>SUMIFS('Historical Orders'!$G156, 'Historical Orders'!$D156, "3", 'Historical Orders'!$C156, "B", 'Historical Orders'!$B156, "1")</f>
        <v>14458.6</v>
      </c>
      <c r="AB156" s="159">
        <f>SUMIFS('Historical Orders'!$E156, 'Historical Orders'!$D156, "3", 'Historical Orders'!$C156, "A", 'Historical Orders'!$B156, "2")</f>
        <v>0</v>
      </c>
      <c r="AC156" s="159">
        <f>SUMIFS('Historical Orders'!$G156, 'Historical Orders'!$D156, "3", 'Historical Orders'!$C156, "A", 'Historical Orders'!$B156, "2")</f>
        <v>0</v>
      </c>
      <c r="AD156" s="159">
        <f>SUMIFS('Historical Orders'!$E156, 'Historical Orders'!$D156, "3", 'Historical Orders'!$C156, "B", 'Historical Orders'!$B156, "2")</f>
        <v>0</v>
      </c>
      <c r="AE156" s="157">
        <f>SUMIFS('Historical Orders'!$G156, 'Historical Orders'!$D156, "3", 'Historical Orders'!$C156, "B", 'Historical Orders'!$B156, "2")</f>
        <v>0</v>
      </c>
      <c r="AF156" s="157">
        <f>SUMIFS('Historical Orders'!$E156, 'Historical Orders'!$D156, "4", 'Historical Orders'!$C156, "A", 'Historical Orders'!$B156, "1")</f>
        <v>0</v>
      </c>
      <c r="AG156" s="157">
        <f>SUMIFS('Historical Orders'!$G156, 'Historical Orders'!$D156, "4", 'Historical Orders'!$C156, "A", 'Historical Orders'!$B156, "1")</f>
        <v>0</v>
      </c>
      <c r="AH156" s="157">
        <f>SUMIFS('Historical Orders'!$E156, 'Historical Orders'!$D156, "4", 'Historical Orders'!$C156, "B", 'Historical Orders'!$B156, "1")</f>
        <v>0</v>
      </c>
      <c r="AI156" s="157">
        <f>SUMIFS('Historical Orders'!$G156, 'Historical Orders'!$D156, "4", 'Historical Orders'!$C156, "B", 'Historical Orders'!$B156, "1")</f>
        <v>0</v>
      </c>
      <c r="AJ156" s="157">
        <f>SUMIFS('Historical Orders'!$E156, 'Historical Orders'!$D156, "4", 'Historical Orders'!$C156, "A", 'Historical Orders'!$B156, "2")</f>
        <v>0</v>
      </c>
      <c r="AK156" s="157">
        <f>SUMIFS('Historical Orders'!$G156, 'Historical Orders'!$D156, "4", 'Historical Orders'!$C156, "A", 'Historical Orders'!$B156, "2")</f>
        <v>0</v>
      </c>
      <c r="AL156" s="171">
        <f>SUMIFS('Historical Orders'!$E156, 'Historical Orders'!$D156, "4", 'Historical Orders'!$C156, "B", 'Historical Orders'!$B156, "2")</f>
        <v>0</v>
      </c>
      <c r="AM156" s="171">
        <f>SUMIFS('Historical Orders'!$G156, 'Historical Orders'!$D156, "4", 'Historical Orders'!$C156, "B", 'Historical Orders'!$B156, "2")</f>
        <v>0</v>
      </c>
      <c r="AN156" s="171">
        <f>SUMIFS('Historical Orders'!$G156, 'Historical Orders'!$C156, "A", 'Historical Orders'!$B156, "1")</f>
        <v>0</v>
      </c>
      <c r="AO156" s="171">
        <f>SUMIFS('Historical Orders'!$G156, 'Historical Orders'!$C156, "B", 'Historical Orders'!$B156, "1")</f>
        <v>14458.6</v>
      </c>
      <c r="AP156" s="171">
        <f>SUMIFS('Historical Orders'!$G156, 'Historical Orders'!$C156, "A", 'Historical Orders'!$B156, "2")</f>
        <v>0</v>
      </c>
      <c r="AQ156" s="171">
        <f>SUMIFS('Historical Orders'!$G156, 'Historical Orders'!$C156, "B", 'Historical Orders'!$B156, "2")</f>
        <v>0</v>
      </c>
      <c r="AR156" s="145"/>
      <c r="AS156" s="172"/>
      <c r="AT156" s="172"/>
      <c r="AU156" s="172"/>
      <c r="AV156" s="172"/>
      <c r="AW156" s="172"/>
      <c r="AX156" s="172"/>
      <c r="AY156" s="172"/>
      <c r="AZ156" s="172"/>
      <c r="BA156" s="172"/>
      <c r="BB156" s="172"/>
      <c r="BC156" s="172"/>
      <c r="BD156" s="172"/>
      <c r="BE156" s="172"/>
      <c r="BF156" s="172"/>
      <c r="BG156" s="172"/>
      <c r="BH156" s="172"/>
      <c r="BI156" s="172"/>
      <c r="BJ156" s="172"/>
      <c r="BK156" s="172"/>
      <c r="BL156" s="172"/>
      <c r="BM156" s="172"/>
      <c r="BN156" s="172"/>
      <c r="BO156" s="172"/>
      <c r="BP156" s="172"/>
      <c r="BQ156" s="172"/>
      <c r="BR156" s="172"/>
      <c r="BS156" s="172"/>
      <c r="BT156" s="172"/>
      <c r="BU156" s="172"/>
      <c r="BV156" s="179"/>
      <c r="BW156" s="179"/>
      <c r="BX156" s="179"/>
      <c r="BY156" s="179"/>
      <c r="BZ156" s="179"/>
      <c r="CA156" s="179"/>
      <c r="CB156" s="179"/>
      <c r="CC156" s="179"/>
      <c r="CD156" s="179"/>
      <c r="CE156" s="179"/>
    </row>
    <row r="157" ht="15.75" customHeight="1">
      <c r="A157" s="151">
        <v>42030.0</v>
      </c>
      <c r="B157" s="152">
        <v>2.0</v>
      </c>
      <c r="C157" s="152" t="s">
        <v>46</v>
      </c>
      <c r="D157" s="152">
        <v>3.0</v>
      </c>
      <c r="E157" s="153">
        <v>2311.0</v>
      </c>
      <c r="F157" s="154">
        <v>8.3</v>
      </c>
      <c r="G157" s="155">
        <v>19181.300000000003</v>
      </c>
      <c r="H157" s="159">
        <f>SUMIFS('Historical Orders'!$E157, 'Historical Orders'!$D157, "1", 'Historical Orders'!$C157, "A", 'Historical Orders'!$B157, "1")</f>
        <v>0</v>
      </c>
      <c r="I157" s="157">
        <f>SUMIFS('Historical Orders'!$G157, 'Historical Orders'!$D157, "1", 'Historical Orders'!$C157, "A", 'Historical Orders'!$B157, "1")</f>
        <v>0</v>
      </c>
      <c r="J157" s="157">
        <f>SUMIFS('Historical Orders'!$E157, 'Historical Orders'!$D157, "1", 'Historical Orders'!$C157, "B", 'Historical Orders'!$B157, "1")</f>
        <v>0</v>
      </c>
      <c r="K157" s="157">
        <f>SUMIFS('Historical Orders'!$G157, 'Historical Orders'!$D157, "1", 'Historical Orders'!$C157, "B", 'Historical Orders'!$B157, "1")</f>
        <v>0</v>
      </c>
      <c r="L157" s="159">
        <f>SUMIFS('Historical Orders'!$E157, 'Historical Orders'!$D157, "1", 'Historical Orders'!$C157, "A", 'Historical Orders'!$B157, "2")</f>
        <v>0</v>
      </c>
      <c r="M157" s="157">
        <f>SUMIFS('Historical Orders'!$G157, 'Historical Orders'!$D157, "1", 'Historical Orders'!$C157, "A", 'Historical Orders'!$B157, "2")</f>
        <v>0</v>
      </c>
      <c r="N157" s="157">
        <f>SUMIFS('Historical Orders'!$E157, 'Historical Orders'!$D157, "1", 'Historical Orders'!$C157, "B", 'Historical Orders'!$B157, "2")</f>
        <v>0</v>
      </c>
      <c r="O157" s="157">
        <f>SUMIFS('Historical Orders'!$G157, 'Historical Orders'!$D157, "1", 'Historical Orders'!$C157, "B", 'Historical Orders'!$B157, "2")</f>
        <v>0</v>
      </c>
      <c r="P157" s="159">
        <f>SUMIFS('Historical Orders'!$E157, 'Historical Orders'!$D157, "2", 'Historical Orders'!$C157, "A", 'Historical Orders'!$B157, "1")</f>
        <v>0</v>
      </c>
      <c r="Q157" s="157">
        <f>SUMIFS('Historical Orders'!$G157, 'Historical Orders'!$D157, "2", 'Historical Orders'!$C157, "A", 'Historical Orders'!$B157, "1")</f>
        <v>0</v>
      </c>
      <c r="R157" s="159">
        <f>SUMIFS('Historical Orders'!$E157, 'Historical Orders'!$D157, "2", 'Historical Orders'!$C157, "B", 'Historical Orders'!$B157, "1")</f>
        <v>0</v>
      </c>
      <c r="S157" s="157">
        <f>SUMIFS('Historical Orders'!$G157, 'Historical Orders'!$D157, "2", 'Historical Orders'!$C157, "B", 'Historical Orders'!$B157, "1")</f>
        <v>0</v>
      </c>
      <c r="T157" s="159">
        <f>SUMIFS('Historical Orders'!$E157, 'Historical Orders'!$D157, "2", 'Historical Orders'!$C157, "A", 'Historical Orders'!$B157, "2")</f>
        <v>0</v>
      </c>
      <c r="U157" s="157">
        <f>SUMIFS('Historical Orders'!$G157, 'Historical Orders'!$D157, "2", 'Historical Orders'!$C157, "A", 'Historical Orders'!$B157, "2")</f>
        <v>0</v>
      </c>
      <c r="V157" s="159">
        <f>SUMIFS('Historical Orders'!$E157, 'Historical Orders'!$D157, "2", 'Historical Orders'!$C157, "B", 'Historical Orders'!$B157, "2")</f>
        <v>0</v>
      </c>
      <c r="W157" s="159">
        <f>SUMIFS('Historical Orders'!$G157, 'Historical Orders'!$D157, "2", 'Historical Orders'!$C157, "B", 'Historical Orders'!$B157, "2")</f>
        <v>0</v>
      </c>
      <c r="X157" s="159">
        <f>SUMIFS('Historical Orders'!$E157, 'Historical Orders'!$D157, "3", 'Historical Orders'!$C157, "A", 'Historical Orders'!$B157, "1")</f>
        <v>0</v>
      </c>
      <c r="Y157" s="159">
        <f>SUMIFS('Historical Orders'!$G157, 'Historical Orders'!$D157, "3", 'Historical Orders'!$C157, "A", 'Historical Orders'!$B157, "1")</f>
        <v>0</v>
      </c>
      <c r="Z157" s="159">
        <f>SUMIFS('Historical Orders'!$E157, 'Historical Orders'!$D157, "3", 'Historical Orders'!$C157, "B", 'Historical Orders'!$B157, "1")</f>
        <v>0</v>
      </c>
      <c r="AA157" s="159">
        <f>SUMIFS('Historical Orders'!$G157, 'Historical Orders'!$D157, "3", 'Historical Orders'!$C157, "B", 'Historical Orders'!$B157, "1")</f>
        <v>0</v>
      </c>
      <c r="AB157" s="159">
        <f>SUMIFS('Historical Orders'!$E157, 'Historical Orders'!$D157, "3", 'Historical Orders'!$C157, "A", 'Historical Orders'!$B157, "2")</f>
        <v>0</v>
      </c>
      <c r="AC157" s="159">
        <f>SUMIFS('Historical Orders'!$G157, 'Historical Orders'!$D157, "3", 'Historical Orders'!$C157, "A", 'Historical Orders'!$B157, "2")</f>
        <v>0</v>
      </c>
      <c r="AD157" s="159">
        <f>SUMIFS('Historical Orders'!$E157, 'Historical Orders'!$D157, "3", 'Historical Orders'!$C157, "B", 'Historical Orders'!$B157, "2")</f>
        <v>2311</v>
      </c>
      <c r="AE157" s="157">
        <f>SUMIFS('Historical Orders'!$G157, 'Historical Orders'!$D157, "3", 'Historical Orders'!$C157, "B", 'Historical Orders'!$B157, "2")</f>
        <v>19181.3</v>
      </c>
      <c r="AF157" s="157">
        <f>SUMIFS('Historical Orders'!$E157, 'Historical Orders'!$D157, "4", 'Historical Orders'!$C157, "A", 'Historical Orders'!$B157, "1")</f>
        <v>0</v>
      </c>
      <c r="AG157" s="157">
        <f>SUMIFS('Historical Orders'!$G157, 'Historical Orders'!$D157, "4", 'Historical Orders'!$C157, "A", 'Historical Orders'!$B157, "1")</f>
        <v>0</v>
      </c>
      <c r="AH157" s="157">
        <f>SUMIFS('Historical Orders'!$E157, 'Historical Orders'!$D157, "4", 'Historical Orders'!$C157, "B", 'Historical Orders'!$B157, "1")</f>
        <v>0</v>
      </c>
      <c r="AI157" s="157">
        <f>SUMIFS('Historical Orders'!$G157, 'Historical Orders'!$D157, "4", 'Historical Orders'!$C157, "B", 'Historical Orders'!$B157, "1")</f>
        <v>0</v>
      </c>
      <c r="AJ157" s="157">
        <f>SUMIFS('Historical Orders'!$E157, 'Historical Orders'!$D157, "4", 'Historical Orders'!$C157, "A", 'Historical Orders'!$B157, "2")</f>
        <v>0</v>
      </c>
      <c r="AK157" s="157">
        <f>SUMIFS('Historical Orders'!$G157, 'Historical Orders'!$D157, "4", 'Historical Orders'!$C157, "A", 'Historical Orders'!$B157, "2")</f>
        <v>0</v>
      </c>
      <c r="AL157" s="171">
        <f>SUMIFS('Historical Orders'!$E157, 'Historical Orders'!$D157, "4", 'Historical Orders'!$C157, "B", 'Historical Orders'!$B157, "2")</f>
        <v>0</v>
      </c>
      <c r="AM157" s="171">
        <f>SUMIFS('Historical Orders'!$G157, 'Historical Orders'!$D157, "4", 'Historical Orders'!$C157, "B", 'Historical Orders'!$B157, "2")</f>
        <v>0</v>
      </c>
      <c r="AN157" s="171">
        <f>SUMIFS('Historical Orders'!$G157, 'Historical Orders'!$C157, "A", 'Historical Orders'!$B157, "1")</f>
        <v>0</v>
      </c>
      <c r="AO157" s="171">
        <f>SUMIFS('Historical Orders'!$G157, 'Historical Orders'!$C157, "B", 'Historical Orders'!$B157, "1")</f>
        <v>0</v>
      </c>
      <c r="AP157" s="171">
        <f>SUMIFS('Historical Orders'!$G157, 'Historical Orders'!$C157, "A", 'Historical Orders'!$B157, "2")</f>
        <v>0</v>
      </c>
      <c r="AQ157" s="171">
        <f>SUMIFS('Historical Orders'!$G157, 'Historical Orders'!$C157, "B", 'Historical Orders'!$B157, "2")</f>
        <v>19181.3</v>
      </c>
      <c r="AR157" s="145"/>
      <c r="AS157" s="172"/>
      <c r="AT157" s="172"/>
      <c r="AU157" s="172"/>
      <c r="AV157" s="172"/>
      <c r="AW157" s="172"/>
      <c r="AX157" s="172"/>
      <c r="AY157" s="172"/>
      <c r="AZ157" s="172"/>
      <c r="BA157" s="172"/>
      <c r="BB157" s="172"/>
      <c r="BC157" s="172"/>
      <c r="BD157" s="172"/>
      <c r="BE157" s="172"/>
      <c r="BF157" s="172"/>
      <c r="BG157" s="172"/>
      <c r="BH157" s="172"/>
      <c r="BI157" s="172"/>
      <c r="BJ157" s="172"/>
      <c r="BK157" s="172"/>
      <c r="BL157" s="172"/>
      <c r="BM157" s="172"/>
      <c r="BN157" s="172"/>
      <c r="BO157" s="172"/>
      <c r="BP157" s="172"/>
      <c r="BQ157" s="172"/>
      <c r="BR157" s="172"/>
      <c r="BS157" s="172"/>
      <c r="BT157" s="172"/>
      <c r="BU157" s="172"/>
      <c r="BV157" s="179"/>
      <c r="BW157" s="179"/>
      <c r="BX157" s="179"/>
      <c r="BY157" s="179"/>
      <c r="BZ157" s="179"/>
      <c r="CA157" s="179"/>
      <c r="CB157" s="179"/>
      <c r="CC157" s="179"/>
      <c r="CD157" s="179"/>
      <c r="CE157" s="179"/>
    </row>
    <row r="158" ht="15.75" customHeight="1">
      <c r="A158" s="151">
        <v>42037.0</v>
      </c>
      <c r="B158" s="152">
        <v>1.0</v>
      </c>
      <c r="C158" s="152" t="s">
        <v>45</v>
      </c>
      <c r="D158" s="152">
        <v>1.0</v>
      </c>
      <c r="E158" s="153">
        <v>4174.0</v>
      </c>
      <c r="F158" s="154">
        <v>2.2</v>
      </c>
      <c r="G158" s="155">
        <v>9182.800000000001</v>
      </c>
      <c r="H158" s="159">
        <f>SUMIFS('Historical Orders'!$E158, 'Historical Orders'!$D158, "1", 'Historical Orders'!$C158, "A", 'Historical Orders'!$B158, "1")</f>
        <v>4174</v>
      </c>
      <c r="I158" s="157">
        <f>SUMIFS('Historical Orders'!$G158, 'Historical Orders'!$D158, "1", 'Historical Orders'!$C158, "A", 'Historical Orders'!$B158, "1")</f>
        <v>9182.8</v>
      </c>
      <c r="J158" s="157">
        <f>SUMIFS('Historical Orders'!$E158, 'Historical Orders'!$D158, "1", 'Historical Orders'!$C158, "B", 'Historical Orders'!$B158, "1")</f>
        <v>0</v>
      </c>
      <c r="K158" s="157">
        <f>SUMIFS('Historical Orders'!$G158, 'Historical Orders'!$D158, "1", 'Historical Orders'!$C158, "B", 'Historical Orders'!$B158, "1")</f>
        <v>0</v>
      </c>
      <c r="L158" s="159">
        <f>SUMIFS('Historical Orders'!$E158, 'Historical Orders'!$D158, "1", 'Historical Orders'!$C158, "A", 'Historical Orders'!$B158, "2")</f>
        <v>0</v>
      </c>
      <c r="M158" s="157">
        <f>SUMIFS('Historical Orders'!$G158, 'Historical Orders'!$D158, "1", 'Historical Orders'!$C158, "A", 'Historical Orders'!$B158, "2")</f>
        <v>0</v>
      </c>
      <c r="N158" s="157">
        <f>SUMIFS('Historical Orders'!$E158, 'Historical Orders'!$D158, "1", 'Historical Orders'!$C158, "B", 'Historical Orders'!$B158, "2")</f>
        <v>0</v>
      </c>
      <c r="O158" s="157">
        <f>SUMIFS('Historical Orders'!$G158, 'Historical Orders'!$D158, "1", 'Historical Orders'!$C158, "B", 'Historical Orders'!$B158, "2")</f>
        <v>0</v>
      </c>
      <c r="P158" s="159">
        <f>SUMIFS('Historical Orders'!$E158, 'Historical Orders'!$D158, "2", 'Historical Orders'!$C158, "A", 'Historical Orders'!$B158, "1")</f>
        <v>0</v>
      </c>
      <c r="Q158" s="157">
        <f>SUMIFS('Historical Orders'!$G158, 'Historical Orders'!$D158, "2", 'Historical Orders'!$C158, "A", 'Historical Orders'!$B158, "1")</f>
        <v>0</v>
      </c>
      <c r="R158" s="159">
        <f>SUMIFS('Historical Orders'!$E158, 'Historical Orders'!$D158, "2", 'Historical Orders'!$C158, "B", 'Historical Orders'!$B158, "1")</f>
        <v>0</v>
      </c>
      <c r="S158" s="157">
        <f>SUMIFS('Historical Orders'!$G158, 'Historical Orders'!$D158, "2", 'Historical Orders'!$C158, "B", 'Historical Orders'!$B158, "1")</f>
        <v>0</v>
      </c>
      <c r="T158" s="159">
        <f>SUMIFS('Historical Orders'!$E158, 'Historical Orders'!$D158, "2", 'Historical Orders'!$C158, "A", 'Historical Orders'!$B158, "2")</f>
        <v>0</v>
      </c>
      <c r="U158" s="157">
        <f>SUMIFS('Historical Orders'!$G158, 'Historical Orders'!$D158, "2", 'Historical Orders'!$C158, "A", 'Historical Orders'!$B158, "2")</f>
        <v>0</v>
      </c>
      <c r="V158" s="159">
        <f>SUMIFS('Historical Orders'!$E158, 'Historical Orders'!$D158, "2", 'Historical Orders'!$C158, "B", 'Historical Orders'!$B158, "2")</f>
        <v>0</v>
      </c>
      <c r="W158" s="159">
        <f>SUMIFS('Historical Orders'!$G158, 'Historical Orders'!$D158, "2", 'Historical Orders'!$C158, "B", 'Historical Orders'!$B158, "2")</f>
        <v>0</v>
      </c>
      <c r="X158" s="159">
        <f>SUMIFS('Historical Orders'!$E158, 'Historical Orders'!$D158, "3", 'Historical Orders'!$C158, "A", 'Historical Orders'!$B158, "1")</f>
        <v>0</v>
      </c>
      <c r="Y158" s="159">
        <f>SUMIFS('Historical Orders'!$G158, 'Historical Orders'!$D158, "3", 'Historical Orders'!$C158, "A", 'Historical Orders'!$B158, "1")</f>
        <v>0</v>
      </c>
      <c r="Z158" s="159">
        <f>SUMIFS('Historical Orders'!$E158, 'Historical Orders'!$D158, "3", 'Historical Orders'!$C158, "B", 'Historical Orders'!$B158, "1")</f>
        <v>0</v>
      </c>
      <c r="AA158" s="159">
        <f>SUMIFS('Historical Orders'!$G158, 'Historical Orders'!$D158, "3", 'Historical Orders'!$C158, "B", 'Historical Orders'!$B158, "1")</f>
        <v>0</v>
      </c>
      <c r="AB158" s="159">
        <f>SUMIFS('Historical Orders'!$E158, 'Historical Orders'!$D158, "3", 'Historical Orders'!$C158, "A", 'Historical Orders'!$B158, "2")</f>
        <v>0</v>
      </c>
      <c r="AC158" s="159">
        <f>SUMIFS('Historical Orders'!$G158, 'Historical Orders'!$D158, "3", 'Historical Orders'!$C158, "A", 'Historical Orders'!$B158, "2")</f>
        <v>0</v>
      </c>
      <c r="AD158" s="159">
        <f>SUMIFS('Historical Orders'!$E158, 'Historical Orders'!$D158, "3", 'Historical Orders'!$C158, "B", 'Historical Orders'!$B158, "2")</f>
        <v>0</v>
      </c>
      <c r="AE158" s="157">
        <f>SUMIFS('Historical Orders'!$G158, 'Historical Orders'!$D158, "3", 'Historical Orders'!$C158, "B", 'Historical Orders'!$B158, "2")</f>
        <v>0</v>
      </c>
      <c r="AF158" s="157">
        <f>SUMIFS('Historical Orders'!$E158, 'Historical Orders'!$D158, "4", 'Historical Orders'!$C158, "A", 'Historical Orders'!$B158, "1")</f>
        <v>0</v>
      </c>
      <c r="AG158" s="157">
        <f>SUMIFS('Historical Orders'!$G158, 'Historical Orders'!$D158, "4", 'Historical Orders'!$C158, "A", 'Historical Orders'!$B158, "1")</f>
        <v>0</v>
      </c>
      <c r="AH158" s="157">
        <f>SUMIFS('Historical Orders'!$E158, 'Historical Orders'!$D158, "4", 'Historical Orders'!$C158, "B", 'Historical Orders'!$B158, "1")</f>
        <v>0</v>
      </c>
      <c r="AI158" s="157">
        <f>SUMIFS('Historical Orders'!$G158, 'Historical Orders'!$D158, "4", 'Historical Orders'!$C158, "B", 'Historical Orders'!$B158, "1")</f>
        <v>0</v>
      </c>
      <c r="AJ158" s="157">
        <f>SUMIFS('Historical Orders'!$E158, 'Historical Orders'!$D158, "4", 'Historical Orders'!$C158, "A", 'Historical Orders'!$B158, "2")</f>
        <v>0</v>
      </c>
      <c r="AK158" s="157">
        <f>SUMIFS('Historical Orders'!$G158, 'Historical Orders'!$D158, "4", 'Historical Orders'!$C158, "A", 'Historical Orders'!$B158, "2")</f>
        <v>0</v>
      </c>
      <c r="AL158" s="171">
        <f>SUMIFS('Historical Orders'!$E158, 'Historical Orders'!$D158, "4", 'Historical Orders'!$C158, "B", 'Historical Orders'!$B158, "2")</f>
        <v>0</v>
      </c>
      <c r="AM158" s="171">
        <f>SUMIFS('Historical Orders'!$G158, 'Historical Orders'!$D158, "4", 'Historical Orders'!$C158, "B", 'Historical Orders'!$B158, "2")</f>
        <v>0</v>
      </c>
      <c r="AN158" s="171">
        <f>SUMIFS('Historical Orders'!$G158, 'Historical Orders'!$C158, "A", 'Historical Orders'!$B158, "1")</f>
        <v>9182.8</v>
      </c>
      <c r="AO158" s="171">
        <f>SUMIFS('Historical Orders'!$G158, 'Historical Orders'!$C158, "B", 'Historical Orders'!$B158, "1")</f>
        <v>0</v>
      </c>
      <c r="AP158" s="171">
        <f>SUMIFS('Historical Orders'!$G158, 'Historical Orders'!$C158, "A", 'Historical Orders'!$B158, "2")</f>
        <v>0</v>
      </c>
      <c r="AQ158" s="171">
        <f>SUMIFS('Historical Orders'!$G158, 'Historical Orders'!$C158, "B", 'Historical Orders'!$B158, "2")</f>
        <v>0</v>
      </c>
      <c r="AR158" s="145"/>
      <c r="AS158" s="172"/>
      <c r="AT158" s="172"/>
      <c r="AU158" s="172"/>
      <c r="AV158" s="172"/>
      <c r="AW158" s="172"/>
      <c r="AX158" s="172"/>
      <c r="AY158" s="172"/>
      <c r="AZ158" s="172"/>
      <c r="BA158" s="172"/>
      <c r="BB158" s="172"/>
      <c r="BC158" s="172"/>
      <c r="BD158" s="172"/>
      <c r="BE158" s="172"/>
      <c r="BF158" s="172"/>
      <c r="BG158" s="172"/>
      <c r="BH158" s="172"/>
      <c r="BI158" s="172"/>
      <c r="BJ158" s="172"/>
      <c r="BK158" s="172"/>
      <c r="BL158" s="172"/>
      <c r="BM158" s="172"/>
      <c r="BN158" s="172"/>
      <c r="BO158" s="172"/>
      <c r="BP158" s="172"/>
      <c r="BQ158" s="172"/>
      <c r="BR158" s="172"/>
      <c r="BS158" s="172"/>
      <c r="BT158" s="172"/>
      <c r="BU158" s="172"/>
      <c r="BV158" s="179"/>
      <c r="BW158" s="179"/>
      <c r="BX158" s="179"/>
      <c r="BY158" s="179"/>
      <c r="BZ158" s="179"/>
      <c r="CA158" s="179"/>
      <c r="CB158" s="179"/>
      <c r="CC158" s="179"/>
      <c r="CD158" s="179"/>
      <c r="CE158" s="179"/>
    </row>
    <row r="159" ht="15.75" customHeight="1">
      <c r="A159" s="151">
        <v>42037.0</v>
      </c>
      <c r="B159" s="152">
        <v>1.0</v>
      </c>
      <c r="C159" s="152" t="s">
        <v>45</v>
      </c>
      <c r="D159" s="152">
        <v>2.0</v>
      </c>
      <c r="E159" s="153">
        <v>5324.0</v>
      </c>
      <c r="F159" s="154">
        <v>1.2</v>
      </c>
      <c r="G159" s="155">
        <v>6388.8</v>
      </c>
      <c r="H159" s="159">
        <f>SUMIFS('Historical Orders'!$E159, 'Historical Orders'!$D159, "1", 'Historical Orders'!$C159, "A", 'Historical Orders'!$B159, "1")</f>
        <v>0</v>
      </c>
      <c r="I159" s="157">
        <f>SUMIFS('Historical Orders'!$G159, 'Historical Orders'!$D159, "1", 'Historical Orders'!$C159, "A", 'Historical Orders'!$B159, "1")</f>
        <v>0</v>
      </c>
      <c r="J159" s="157">
        <f>SUMIFS('Historical Orders'!$E159, 'Historical Orders'!$D159, "1", 'Historical Orders'!$C159, "B", 'Historical Orders'!$B159, "1")</f>
        <v>0</v>
      </c>
      <c r="K159" s="157">
        <f>SUMIFS('Historical Orders'!$G159, 'Historical Orders'!$D159, "1", 'Historical Orders'!$C159, "B", 'Historical Orders'!$B159, "1")</f>
        <v>0</v>
      </c>
      <c r="L159" s="159">
        <f>SUMIFS('Historical Orders'!$E159, 'Historical Orders'!$D159, "1", 'Historical Orders'!$C159, "A", 'Historical Orders'!$B159, "2")</f>
        <v>0</v>
      </c>
      <c r="M159" s="157">
        <f>SUMIFS('Historical Orders'!$G159, 'Historical Orders'!$D159, "1", 'Historical Orders'!$C159, "A", 'Historical Orders'!$B159, "2")</f>
        <v>0</v>
      </c>
      <c r="N159" s="157">
        <f>SUMIFS('Historical Orders'!$E159, 'Historical Orders'!$D159, "1", 'Historical Orders'!$C159, "B", 'Historical Orders'!$B159, "2")</f>
        <v>0</v>
      </c>
      <c r="O159" s="157">
        <f>SUMIFS('Historical Orders'!$G159, 'Historical Orders'!$D159, "1", 'Historical Orders'!$C159, "B", 'Historical Orders'!$B159, "2")</f>
        <v>0</v>
      </c>
      <c r="P159" s="159">
        <f>SUMIFS('Historical Orders'!$E159, 'Historical Orders'!$D159, "2", 'Historical Orders'!$C159, "A", 'Historical Orders'!$B159, "1")</f>
        <v>5324</v>
      </c>
      <c r="Q159" s="157">
        <f>SUMIFS('Historical Orders'!$G159, 'Historical Orders'!$D159, "2", 'Historical Orders'!$C159, "A", 'Historical Orders'!$B159, "1")</f>
        <v>6388.8</v>
      </c>
      <c r="R159" s="159">
        <f>SUMIFS('Historical Orders'!$E159, 'Historical Orders'!$D159, "2", 'Historical Orders'!$C159, "B", 'Historical Orders'!$B159, "1")</f>
        <v>0</v>
      </c>
      <c r="S159" s="157">
        <f>SUMIFS('Historical Orders'!$G159, 'Historical Orders'!$D159, "2", 'Historical Orders'!$C159, "B", 'Historical Orders'!$B159, "1")</f>
        <v>0</v>
      </c>
      <c r="T159" s="159">
        <f>SUMIFS('Historical Orders'!$E159, 'Historical Orders'!$D159, "2", 'Historical Orders'!$C159, "A", 'Historical Orders'!$B159, "2")</f>
        <v>0</v>
      </c>
      <c r="U159" s="157">
        <f>SUMIFS('Historical Orders'!$G159, 'Historical Orders'!$D159, "2", 'Historical Orders'!$C159, "A", 'Historical Orders'!$B159, "2")</f>
        <v>0</v>
      </c>
      <c r="V159" s="159">
        <f>SUMIFS('Historical Orders'!$E159, 'Historical Orders'!$D159, "2", 'Historical Orders'!$C159, "B", 'Historical Orders'!$B159, "2")</f>
        <v>0</v>
      </c>
      <c r="W159" s="159">
        <f>SUMIFS('Historical Orders'!$G159, 'Historical Orders'!$D159, "2", 'Historical Orders'!$C159, "B", 'Historical Orders'!$B159, "2")</f>
        <v>0</v>
      </c>
      <c r="X159" s="159">
        <f>SUMIFS('Historical Orders'!$E159, 'Historical Orders'!$D159, "3", 'Historical Orders'!$C159, "A", 'Historical Orders'!$B159, "1")</f>
        <v>0</v>
      </c>
      <c r="Y159" s="159">
        <f>SUMIFS('Historical Orders'!$G159, 'Historical Orders'!$D159, "3", 'Historical Orders'!$C159, "A", 'Historical Orders'!$B159, "1")</f>
        <v>0</v>
      </c>
      <c r="Z159" s="159">
        <f>SUMIFS('Historical Orders'!$E159, 'Historical Orders'!$D159, "3", 'Historical Orders'!$C159, "B", 'Historical Orders'!$B159, "1")</f>
        <v>0</v>
      </c>
      <c r="AA159" s="159">
        <f>SUMIFS('Historical Orders'!$G159, 'Historical Orders'!$D159, "3", 'Historical Orders'!$C159, "B", 'Historical Orders'!$B159, "1")</f>
        <v>0</v>
      </c>
      <c r="AB159" s="159">
        <f>SUMIFS('Historical Orders'!$E159, 'Historical Orders'!$D159, "3", 'Historical Orders'!$C159, "A", 'Historical Orders'!$B159, "2")</f>
        <v>0</v>
      </c>
      <c r="AC159" s="159">
        <f>SUMIFS('Historical Orders'!$G159, 'Historical Orders'!$D159, "3", 'Historical Orders'!$C159, "A", 'Historical Orders'!$B159, "2")</f>
        <v>0</v>
      </c>
      <c r="AD159" s="159">
        <f>SUMIFS('Historical Orders'!$E159, 'Historical Orders'!$D159, "3", 'Historical Orders'!$C159, "B", 'Historical Orders'!$B159, "2")</f>
        <v>0</v>
      </c>
      <c r="AE159" s="157">
        <f>SUMIFS('Historical Orders'!$G159, 'Historical Orders'!$D159, "3", 'Historical Orders'!$C159, "B", 'Historical Orders'!$B159, "2")</f>
        <v>0</v>
      </c>
      <c r="AF159" s="157">
        <f>SUMIFS('Historical Orders'!$E159, 'Historical Orders'!$D159, "4", 'Historical Orders'!$C159, "A", 'Historical Orders'!$B159, "1")</f>
        <v>0</v>
      </c>
      <c r="AG159" s="157">
        <f>SUMIFS('Historical Orders'!$G159, 'Historical Orders'!$D159, "4", 'Historical Orders'!$C159, "A", 'Historical Orders'!$B159, "1")</f>
        <v>0</v>
      </c>
      <c r="AH159" s="157">
        <f>SUMIFS('Historical Orders'!$E159, 'Historical Orders'!$D159, "4", 'Historical Orders'!$C159, "B", 'Historical Orders'!$B159, "1")</f>
        <v>0</v>
      </c>
      <c r="AI159" s="157">
        <f>SUMIFS('Historical Orders'!$G159, 'Historical Orders'!$D159, "4", 'Historical Orders'!$C159, "B", 'Historical Orders'!$B159, "1")</f>
        <v>0</v>
      </c>
      <c r="AJ159" s="157">
        <f>SUMIFS('Historical Orders'!$E159, 'Historical Orders'!$D159, "4", 'Historical Orders'!$C159, "A", 'Historical Orders'!$B159, "2")</f>
        <v>0</v>
      </c>
      <c r="AK159" s="157">
        <f>SUMIFS('Historical Orders'!$G159, 'Historical Orders'!$D159, "4", 'Historical Orders'!$C159, "A", 'Historical Orders'!$B159, "2")</f>
        <v>0</v>
      </c>
      <c r="AL159" s="171">
        <f>SUMIFS('Historical Orders'!$E159, 'Historical Orders'!$D159, "4", 'Historical Orders'!$C159, "B", 'Historical Orders'!$B159, "2")</f>
        <v>0</v>
      </c>
      <c r="AM159" s="171">
        <f>SUMIFS('Historical Orders'!$G159, 'Historical Orders'!$D159, "4", 'Historical Orders'!$C159, "B", 'Historical Orders'!$B159, "2")</f>
        <v>0</v>
      </c>
      <c r="AN159" s="171">
        <f>SUMIFS('Historical Orders'!$G159, 'Historical Orders'!$C159, "A", 'Historical Orders'!$B159, "1")</f>
        <v>6388.8</v>
      </c>
      <c r="AO159" s="171">
        <f>SUMIFS('Historical Orders'!$G159, 'Historical Orders'!$C159, "B", 'Historical Orders'!$B159, "1")</f>
        <v>0</v>
      </c>
      <c r="AP159" s="171">
        <f>SUMIFS('Historical Orders'!$G159, 'Historical Orders'!$C159, "A", 'Historical Orders'!$B159, "2")</f>
        <v>0</v>
      </c>
      <c r="AQ159" s="171">
        <f>SUMIFS('Historical Orders'!$G159, 'Historical Orders'!$C159, "B", 'Historical Orders'!$B159, "2")</f>
        <v>0</v>
      </c>
      <c r="AR159" s="145"/>
      <c r="AS159" s="172"/>
      <c r="AT159" s="172"/>
      <c r="AU159" s="172"/>
      <c r="AV159" s="172"/>
      <c r="AW159" s="172"/>
      <c r="AX159" s="172"/>
      <c r="AY159" s="172"/>
      <c r="AZ159" s="172"/>
      <c r="BA159" s="172"/>
      <c r="BB159" s="172"/>
      <c r="BC159" s="172"/>
      <c r="BD159" s="172"/>
      <c r="BE159" s="172"/>
      <c r="BF159" s="172"/>
      <c r="BG159" s="172"/>
      <c r="BH159" s="172"/>
      <c r="BI159" s="172"/>
      <c r="BJ159" s="172"/>
      <c r="BK159" s="172"/>
      <c r="BL159" s="172"/>
      <c r="BM159" s="172"/>
      <c r="BN159" s="172"/>
      <c r="BO159" s="172"/>
      <c r="BP159" s="172"/>
      <c r="BQ159" s="172"/>
      <c r="BR159" s="172"/>
      <c r="BS159" s="172"/>
      <c r="BT159" s="172"/>
      <c r="BU159" s="172"/>
      <c r="BV159" s="179"/>
      <c r="BW159" s="179"/>
      <c r="BX159" s="179"/>
      <c r="BY159" s="179"/>
      <c r="BZ159" s="179"/>
      <c r="CA159" s="179"/>
      <c r="CB159" s="179"/>
      <c r="CC159" s="179"/>
      <c r="CD159" s="179"/>
      <c r="CE159" s="179"/>
    </row>
    <row r="160" ht="15.75" customHeight="1">
      <c r="A160" s="151">
        <v>42037.0</v>
      </c>
      <c r="B160" s="152">
        <v>2.0</v>
      </c>
      <c r="C160" s="152" t="s">
        <v>45</v>
      </c>
      <c r="D160" s="152">
        <v>1.0</v>
      </c>
      <c r="E160" s="153">
        <v>2843.0</v>
      </c>
      <c r="F160" s="154">
        <v>2.2</v>
      </c>
      <c r="G160" s="155">
        <v>6254.6</v>
      </c>
      <c r="H160" s="159">
        <f>SUMIFS('Historical Orders'!$E160, 'Historical Orders'!$D160, "1", 'Historical Orders'!$C160, "A", 'Historical Orders'!$B160, "1")</f>
        <v>0</v>
      </c>
      <c r="I160" s="157">
        <f>SUMIFS('Historical Orders'!$G160, 'Historical Orders'!$D160, "1", 'Historical Orders'!$C160, "A", 'Historical Orders'!$B160, "1")</f>
        <v>0</v>
      </c>
      <c r="J160" s="157">
        <f>SUMIFS('Historical Orders'!$E160, 'Historical Orders'!$D160, "1", 'Historical Orders'!$C160, "B", 'Historical Orders'!$B160, "1")</f>
        <v>0</v>
      </c>
      <c r="K160" s="157">
        <f>SUMIFS('Historical Orders'!$G160, 'Historical Orders'!$D160, "1", 'Historical Orders'!$C160, "B", 'Historical Orders'!$B160, "1")</f>
        <v>0</v>
      </c>
      <c r="L160" s="159">
        <f>SUMIFS('Historical Orders'!$E160, 'Historical Orders'!$D160, "1", 'Historical Orders'!$C160, "A", 'Historical Orders'!$B160, "2")</f>
        <v>2843</v>
      </c>
      <c r="M160" s="157">
        <f>SUMIFS('Historical Orders'!$G160, 'Historical Orders'!$D160, "1", 'Historical Orders'!$C160, "A", 'Historical Orders'!$B160, "2")</f>
        <v>6254.6</v>
      </c>
      <c r="N160" s="157">
        <f>SUMIFS('Historical Orders'!$E160, 'Historical Orders'!$D160, "1", 'Historical Orders'!$C160, "B", 'Historical Orders'!$B160, "2")</f>
        <v>0</v>
      </c>
      <c r="O160" s="157">
        <f>SUMIFS('Historical Orders'!$G160, 'Historical Orders'!$D160, "1", 'Historical Orders'!$C160, "B", 'Historical Orders'!$B160, "2")</f>
        <v>0</v>
      </c>
      <c r="P160" s="159">
        <f>SUMIFS('Historical Orders'!$E160, 'Historical Orders'!$D160, "2", 'Historical Orders'!$C160, "A", 'Historical Orders'!$B160, "1")</f>
        <v>0</v>
      </c>
      <c r="Q160" s="157">
        <f>SUMIFS('Historical Orders'!$G160, 'Historical Orders'!$D160, "2", 'Historical Orders'!$C160, "A", 'Historical Orders'!$B160, "1")</f>
        <v>0</v>
      </c>
      <c r="R160" s="159">
        <f>SUMIFS('Historical Orders'!$E160, 'Historical Orders'!$D160, "2", 'Historical Orders'!$C160, "B", 'Historical Orders'!$B160, "1")</f>
        <v>0</v>
      </c>
      <c r="S160" s="157">
        <f>SUMIFS('Historical Orders'!$G160, 'Historical Orders'!$D160, "2", 'Historical Orders'!$C160, "B", 'Historical Orders'!$B160, "1")</f>
        <v>0</v>
      </c>
      <c r="T160" s="159">
        <f>SUMIFS('Historical Orders'!$E160, 'Historical Orders'!$D160, "2", 'Historical Orders'!$C160, "A", 'Historical Orders'!$B160, "2")</f>
        <v>0</v>
      </c>
      <c r="U160" s="157">
        <f>SUMIFS('Historical Orders'!$G160, 'Historical Orders'!$D160, "2", 'Historical Orders'!$C160, "A", 'Historical Orders'!$B160, "2")</f>
        <v>0</v>
      </c>
      <c r="V160" s="159">
        <f>SUMIFS('Historical Orders'!$E160, 'Historical Orders'!$D160, "2", 'Historical Orders'!$C160, "B", 'Historical Orders'!$B160, "2")</f>
        <v>0</v>
      </c>
      <c r="W160" s="159">
        <f>SUMIFS('Historical Orders'!$G160, 'Historical Orders'!$D160, "2", 'Historical Orders'!$C160, "B", 'Historical Orders'!$B160, "2")</f>
        <v>0</v>
      </c>
      <c r="X160" s="159">
        <f>SUMIFS('Historical Orders'!$E160, 'Historical Orders'!$D160, "3", 'Historical Orders'!$C160, "A", 'Historical Orders'!$B160, "1")</f>
        <v>0</v>
      </c>
      <c r="Y160" s="159">
        <f>SUMIFS('Historical Orders'!$G160, 'Historical Orders'!$D160, "3", 'Historical Orders'!$C160, "A", 'Historical Orders'!$B160, "1")</f>
        <v>0</v>
      </c>
      <c r="Z160" s="159">
        <f>SUMIFS('Historical Orders'!$E160, 'Historical Orders'!$D160, "3", 'Historical Orders'!$C160, "B", 'Historical Orders'!$B160, "1")</f>
        <v>0</v>
      </c>
      <c r="AA160" s="159">
        <f>SUMIFS('Historical Orders'!$G160, 'Historical Orders'!$D160, "3", 'Historical Orders'!$C160, "B", 'Historical Orders'!$B160, "1")</f>
        <v>0</v>
      </c>
      <c r="AB160" s="159">
        <f>SUMIFS('Historical Orders'!$E160, 'Historical Orders'!$D160, "3", 'Historical Orders'!$C160, "A", 'Historical Orders'!$B160, "2")</f>
        <v>0</v>
      </c>
      <c r="AC160" s="159">
        <f>SUMIFS('Historical Orders'!$G160, 'Historical Orders'!$D160, "3", 'Historical Orders'!$C160, "A", 'Historical Orders'!$B160, "2")</f>
        <v>0</v>
      </c>
      <c r="AD160" s="159">
        <f>SUMIFS('Historical Orders'!$E160, 'Historical Orders'!$D160, "3", 'Historical Orders'!$C160, "B", 'Historical Orders'!$B160, "2")</f>
        <v>0</v>
      </c>
      <c r="AE160" s="157">
        <f>SUMIFS('Historical Orders'!$G160, 'Historical Orders'!$D160, "3", 'Historical Orders'!$C160, "B", 'Historical Orders'!$B160, "2")</f>
        <v>0</v>
      </c>
      <c r="AF160" s="157">
        <f>SUMIFS('Historical Orders'!$E160, 'Historical Orders'!$D160, "4", 'Historical Orders'!$C160, "A", 'Historical Orders'!$B160, "1")</f>
        <v>0</v>
      </c>
      <c r="AG160" s="157">
        <f>SUMIFS('Historical Orders'!$G160, 'Historical Orders'!$D160, "4", 'Historical Orders'!$C160, "A", 'Historical Orders'!$B160, "1")</f>
        <v>0</v>
      </c>
      <c r="AH160" s="157">
        <f>SUMIFS('Historical Orders'!$E160, 'Historical Orders'!$D160, "4", 'Historical Orders'!$C160, "B", 'Historical Orders'!$B160, "1")</f>
        <v>0</v>
      </c>
      <c r="AI160" s="157">
        <f>SUMIFS('Historical Orders'!$G160, 'Historical Orders'!$D160, "4", 'Historical Orders'!$C160, "B", 'Historical Orders'!$B160, "1")</f>
        <v>0</v>
      </c>
      <c r="AJ160" s="157">
        <f>SUMIFS('Historical Orders'!$E160, 'Historical Orders'!$D160, "4", 'Historical Orders'!$C160, "A", 'Historical Orders'!$B160, "2")</f>
        <v>0</v>
      </c>
      <c r="AK160" s="157">
        <f>SUMIFS('Historical Orders'!$G160, 'Historical Orders'!$D160, "4", 'Historical Orders'!$C160, "A", 'Historical Orders'!$B160, "2")</f>
        <v>0</v>
      </c>
      <c r="AL160" s="171">
        <f>SUMIFS('Historical Orders'!$E160, 'Historical Orders'!$D160, "4", 'Historical Orders'!$C160, "B", 'Historical Orders'!$B160, "2")</f>
        <v>0</v>
      </c>
      <c r="AM160" s="171">
        <f>SUMIFS('Historical Orders'!$G160, 'Historical Orders'!$D160, "4", 'Historical Orders'!$C160, "B", 'Historical Orders'!$B160, "2")</f>
        <v>0</v>
      </c>
      <c r="AN160" s="171">
        <f>SUMIFS('Historical Orders'!$G160, 'Historical Orders'!$C160, "A", 'Historical Orders'!$B160, "1")</f>
        <v>0</v>
      </c>
      <c r="AO160" s="171">
        <f>SUMIFS('Historical Orders'!$G160, 'Historical Orders'!$C160, "B", 'Historical Orders'!$B160, "1")</f>
        <v>0</v>
      </c>
      <c r="AP160" s="171">
        <f>SUMIFS('Historical Orders'!$G160, 'Historical Orders'!$C160, "A", 'Historical Orders'!$B160, "2")</f>
        <v>6254.6</v>
      </c>
      <c r="AQ160" s="171">
        <f>SUMIFS('Historical Orders'!$G160, 'Historical Orders'!$C160, "B", 'Historical Orders'!$B160, "2")</f>
        <v>0</v>
      </c>
      <c r="AR160" s="145"/>
      <c r="AS160" s="172"/>
      <c r="AT160" s="172"/>
      <c r="AU160" s="172"/>
      <c r="AV160" s="172"/>
      <c r="AW160" s="172"/>
      <c r="AX160" s="172"/>
      <c r="AY160" s="172"/>
      <c r="AZ160" s="172"/>
      <c r="BA160" s="172"/>
      <c r="BB160" s="172"/>
      <c r="BC160" s="172"/>
      <c r="BD160" s="172"/>
      <c r="BE160" s="172"/>
      <c r="BF160" s="172"/>
      <c r="BG160" s="172"/>
      <c r="BH160" s="172"/>
      <c r="BI160" s="172"/>
      <c r="BJ160" s="172"/>
      <c r="BK160" s="172"/>
      <c r="BL160" s="172"/>
      <c r="BM160" s="172"/>
      <c r="BN160" s="172"/>
      <c r="BO160" s="172"/>
      <c r="BP160" s="172"/>
      <c r="BQ160" s="172"/>
      <c r="BR160" s="172"/>
      <c r="BS160" s="172"/>
      <c r="BT160" s="172"/>
      <c r="BU160" s="172"/>
      <c r="BV160" s="179"/>
      <c r="BW160" s="179"/>
      <c r="BX160" s="179"/>
      <c r="BY160" s="179"/>
      <c r="BZ160" s="179"/>
      <c r="CA160" s="179"/>
      <c r="CB160" s="179"/>
      <c r="CC160" s="179"/>
      <c r="CD160" s="179"/>
      <c r="CE160" s="179"/>
    </row>
    <row r="161" ht="15.75" customHeight="1">
      <c r="A161" s="151">
        <v>42037.0</v>
      </c>
      <c r="B161" s="152">
        <v>2.0</v>
      </c>
      <c r="C161" s="152" t="s">
        <v>45</v>
      </c>
      <c r="D161" s="152">
        <v>2.0</v>
      </c>
      <c r="E161" s="153">
        <v>6268.0</v>
      </c>
      <c r="F161" s="154">
        <v>1.2</v>
      </c>
      <c r="G161" s="155">
        <v>7521.599999999999</v>
      </c>
      <c r="H161" s="159">
        <f>SUMIFS('Historical Orders'!$E161, 'Historical Orders'!$D161, "1", 'Historical Orders'!$C161, "A", 'Historical Orders'!$B161, "1")</f>
        <v>0</v>
      </c>
      <c r="I161" s="157">
        <f>SUMIFS('Historical Orders'!$G161, 'Historical Orders'!$D161, "1", 'Historical Orders'!$C161, "A", 'Historical Orders'!$B161, "1")</f>
        <v>0</v>
      </c>
      <c r="J161" s="157">
        <f>SUMIFS('Historical Orders'!$E161, 'Historical Orders'!$D161, "1", 'Historical Orders'!$C161, "B", 'Historical Orders'!$B161, "1")</f>
        <v>0</v>
      </c>
      <c r="K161" s="157">
        <f>SUMIFS('Historical Orders'!$G161, 'Historical Orders'!$D161, "1", 'Historical Orders'!$C161, "B", 'Historical Orders'!$B161, "1")</f>
        <v>0</v>
      </c>
      <c r="L161" s="159">
        <f>SUMIFS('Historical Orders'!$E161, 'Historical Orders'!$D161, "1", 'Historical Orders'!$C161, "A", 'Historical Orders'!$B161, "2")</f>
        <v>0</v>
      </c>
      <c r="M161" s="157">
        <f>SUMIFS('Historical Orders'!$G161, 'Historical Orders'!$D161, "1", 'Historical Orders'!$C161, "A", 'Historical Orders'!$B161, "2")</f>
        <v>0</v>
      </c>
      <c r="N161" s="157">
        <f>SUMIFS('Historical Orders'!$E161, 'Historical Orders'!$D161, "1", 'Historical Orders'!$C161, "B", 'Historical Orders'!$B161, "2")</f>
        <v>0</v>
      </c>
      <c r="O161" s="157">
        <f>SUMIFS('Historical Orders'!$G161, 'Historical Orders'!$D161, "1", 'Historical Orders'!$C161, "B", 'Historical Orders'!$B161, "2")</f>
        <v>0</v>
      </c>
      <c r="P161" s="159">
        <f>SUMIFS('Historical Orders'!$E161, 'Historical Orders'!$D161, "2", 'Historical Orders'!$C161, "A", 'Historical Orders'!$B161, "1")</f>
        <v>0</v>
      </c>
      <c r="Q161" s="157">
        <f>SUMIFS('Historical Orders'!$G161, 'Historical Orders'!$D161, "2", 'Historical Orders'!$C161, "A", 'Historical Orders'!$B161, "1")</f>
        <v>0</v>
      </c>
      <c r="R161" s="159">
        <f>SUMIFS('Historical Orders'!$E161, 'Historical Orders'!$D161, "2", 'Historical Orders'!$C161, "B", 'Historical Orders'!$B161, "1")</f>
        <v>0</v>
      </c>
      <c r="S161" s="157">
        <f>SUMIFS('Historical Orders'!$G161, 'Historical Orders'!$D161, "2", 'Historical Orders'!$C161, "B", 'Historical Orders'!$B161, "1")</f>
        <v>0</v>
      </c>
      <c r="T161" s="159">
        <f>SUMIFS('Historical Orders'!$E161, 'Historical Orders'!$D161, "2", 'Historical Orders'!$C161, "A", 'Historical Orders'!$B161, "2")</f>
        <v>6268</v>
      </c>
      <c r="U161" s="157">
        <f>SUMIFS('Historical Orders'!$G161, 'Historical Orders'!$D161, "2", 'Historical Orders'!$C161, "A", 'Historical Orders'!$B161, "2")</f>
        <v>7521.6</v>
      </c>
      <c r="V161" s="159">
        <f>SUMIFS('Historical Orders'!$E161, 'Historical Orders'!$D161, "2", 'Historical Orders'!$C161, "B", 'Historical Orders'!$B161, "2")</f>
        <v>0</v>
      </c>
      <c r="W161" s="159">
        <f>SUMIFS('Historical Orders'!$G161, 'Historical Orders'!$D161, "2", 'Historical Orders'!$C161, "B", 'Historical Orders'!$B161, "2")</f>
        <v>0</v>
      </c>
      <c r="X161" s="159">
        <f>SUMIFS('Historical Orders'!$E161, 'Historical Orders'!$D161, "3", 'Historical Orders'!$C161, "A", 'Historical Orders'!$B161, "1")</f>
        <v>0</v>
      </c>
      <c r="Y161" s="159">
        <f>SUMIFS('Historical Orders'!$G161, 'Historical Orders'!$D161, "3", 'Historical Orders'!$C161, "A", 'Historical Orders'!$B161, "1")</f>
        <v>0</v>
      </c>
      <c r="Z161" s="159">
        <f>SUMIFS('Historical Orders'!$E161, 'Historical Orders'!$D161, "3", 'Historical Orders'!$C161, "B", 'Historical Orders'!$B161, "1")</f>
        <v>0</v>
      </c>
      <c r="AA161" s="159">
        <f>SUMIFS('Historical Orders'!$G161, 'Historical Orders'!$D161, "3", 'Historical Orders'!$C161, "B", 'Historical Orders'!$B161, "1")</f>
        <v>0</v>
      </c>
      <c r="AB161" s="159">
        <f>SUMIFS('Historical Orders'!$E161, 'Historical Orders'!$D161, "3", 'Historical Orders'!$C161, "A", 'Historical Orders'!$B161, "2")</f>
        <v>0</v>
      </c>
      <c r="AC161" s="159">
        <f>SUMIFS('Historical Orders'!$G161, 'Historical Orders'!$D161, "3", 'Historical Orders'!$C161, "A", 'Historical Orders'!$B161, "2")</f>
        <v>0</v>
      </c>
      <c r="AD161" s="159">
        <f>SUMIFS('Historical Orders'!$E161, 'Historical Orders'!$D161, "3", 'Historical Orders'!$C161, "B", 'Historical Orders'!$B161, "2")</f>
        <v>0</v>
      </c>
      <c r="AE161" s="157">
        <f>SUMIFS('Historical Orders'!$G161, 'Historical Orders'!$D161, "3", 'Historical Orders'!$C161, "B", 'Historical Orders'!$B161, "2")</f>
        <v>0</v>
      </c>
      <c r="AF161" s="157">
        <f>SUMIFS('Historical Orders'!$E161, 'Historical Orders'!$D161, "4", 'Historical Orders'!$C161, "A", 'Historical Orders'!$B161, "1")</f>
        <v>0</v>
      </c>
      <c r="AG161" s="157">
        <f>SUMIFS('Historical Orders'!$G161, 'Historical Orders'!$D161, "4", 'Historical Orders'!$C161, "A", 'Historical Orders'!$B161, "1")</f>
        <v>0</v>
      </c>
      <c r="AH161" s="157">
        <f>SUMIFS('Historical Orders'!$E161, 'Historical Orders'!$D161, "4", 'Historical Orders'!$C161, "B", 'Historical Orders'!$B161, "1")</f>
        <v>0</v>
      </c>
      <c r="AI161" s="157">
        <f>SUMIFS('Historical Orders'!$G161, 'Historical Orders'!$D161, "4", 'Historical Orders'!$C161, "B", 'Historical Orders'!$B161, "1")</f>
        <v>0</v>
      </c>
      <c r="AJ161" s="157">
        <f>SUMIFS('Historical Orders'!$E161, 'Historical Orders'!$D161, "4", 'Historical Orders'!$C161, "A", 'Historical Orders'!$B161, "2")</f>
        <v>0</v>
      </c>
      <c r="AK161" s="157">
        <f>SUMIFS('Historical Orders'!$G161, 'Historical Orders'!$D161, "4", 'Historical Orders'!$C161, "A", 'Historical Orders'!$B161, "2")</f>
        <v>0</v>
      </c>
      <c r="AL161" s="171">
        <f>SUMIFS('Historical Orders'!$E161, 'Historical Orders'!$D161, "4", 'Historical Orders'!$C161, "B", 'Historical Orders'!$B161, "2")</f>
        <v>0</v>
      </c>
      <c r="AM161" s="171">
        <f>SUMIFS('Historical Orders'!$G161, 'Historical Orders'!$D161, "4", 'Historical Orders'!$C161, "B", 'Historical Orders'!$B161, "2")</f>
        <v>0</v>
      </c>
      <c r="AN161" s="171">
        <f>SUMIFS('Historical Orders'!$G161, 'Historical Orders'!$C161, "A", 'Historical Orders'!$B161, "1")</f>
        <v>0</v>
      </c>
      <c r="AO161" s="171">
        <f>SUMIFS('Historical Orders'!$G161, 'Historical Orders'!$C161, "B", 'Historical Orders'!$B161, "1")</f>
        <v>0</v>
      </c>
      <c r="AP161" s="171">
        <f>SUMIFS('Historical Orders'!$G161, 'Historical Orders'!$C161, "A", 'Historical Orders'!$B161, "2")</f>
        <v>7521.6</v>
      </c>
      <c r="AQ161" s="171">
        <f>SUMIFS('Historical Orders'!$G161, 'Historical Orders'!$C161, "B", 'Historical Orders'!$B161, "2")</f>
        <v>0</v>
      </c>
      <c r="AR161" s="145"/>
      <c r="AS161" s="172"/>
      <c r="AT161" s="172"/>
      <c r="AU161" s="172"/>
      <c r="AV161" s="172"/>
      <c r="AW161" s="172"/>
      <c r="AX161" s="172"/>
      <c r="AY161" s="172"/>
      <c r="AZ161" s="172"/>
      <c r="BA161" s="172"/>
      <c r="BB161" s="172"/>
      <c r="BC161" s="172"/>
      <c r="BD161" s="172"/>
      <c r="BE161" s="172"/>
      <c r="BF161" s="172"/>
      <c r="BG161" s="172"/>
      <c r="BH161" s="172"/>
      <c r="BI161" s="172"/>
      <c r="BJ161" s="172"/>
      <c r="BK161" s="172"/>
      <c r="BL161" s="172"/>
      <c r="BM161" s="172"/>
      <c r="BN161" s="172"/>
      <c r="BO161" s="172"/>
      <c r="BP161" s="172"/>
      <c r="BQ161" s="172"/>
      <c r="BR161" s="172"/>
      <c r="BS161" s="172"/>
      <c r="BT161" s="172"/>
      <c r="BU161" s="172"/>
      <c r="BV161" s="179"/>
      <c r="BW161" s="179"/>
      <c r="BX161" s="179"/>
      <c r="BY161" s="179"/>
      <c r="BZ161" s="179"/>
      <c r="CA161" s="179"/>
      <c r="CB161" s="179"/>
      <c r="CC161" s="179"/>
      <c r="CD161" s="179"/>
      <c r="CE161" s="179"/>
    </row>
    <row r="162" ht="15.75" customHeight="1">
      <c r="A162" s="151">
        <v>42037.0</v>
      </c>
      <c r="B162" s="152">
        <v>1.0</v>
      </c>
      <c r="C162" s="152" t="s">
        <v>46</v>
      </c>
      <c r="D162" s="152">
        <v>3.0</v>
      </c>
      <c r="E162" s="153">
        <v>1971.0</v>
      </c>
      <c r="F162" s="154">
        <v>8.3</v>
      </c>
      <c r="G162" s="155">
        <v>16359.300000000001</v>
      </c>
      <c r="H162" s="159">
        <f>SUMIFS('Historical Orders'!$E162, 'Historical Orders'!$D162, "1", 'Historical Orders'!$C162, "A", 'Historical Orders'!$B162, "1")</f>
        <v>0</v>
      </c>
      <c r="I162" s="157">
        <f>SUMIFS('Historical Orders'!$G162, 'Historical Orders'!$D162, "1", 'Historical Orders'!$C162, "A", 'Historical Orders'!$B162, "1")</f>
        <v>0</v>
      </c>
      <c r="J162" s="157">
        <f>SUMIFS('Historical Orders'!$E162, 'Historical Orders'!$D162, "1", 'Historical Orders'!$C162, "B", 'Historical Orders'!$B162, "1")</f>
        <v>0</v>
      </c>
      <c r="K162" s="157">
        <f>SUMIFS('Historical Orders'!$G162, 'Historical Orders'!$D162, "1", 'Historical Orders'!$C162, "B", 'Historical Orders'!$B162, "1")</f>
        <v>0</v>
      </c>
      <c r="L162" s="159">
        <f>SUMIFS('Historical Orders'!$E162, 'Historical Orders'!$D162, "1", 'Historical Orders'!$C162, "A", 'Historical Orders'!$B162, "2")</f>
        <v>0</v>
      </c>
      <c r="M162" s="157">
        <f>SUMIFS('Historical Orders'!$G162, 'Historical Orders'!$D162, "1", 'Historical Orders'!$C162, "A", 'Historical Orders'!$B162, "2")</f>
        <v>0</v>
      </c>
      <c r="N162" s="157">
        <f>SUMIFS('Historical Orders'!$E162, 'Historical Orders'!$D162, "1", 'Historical Orders'!$C162, "B", 'Historical Orders'!$B162, "2")</f>
        <v>0</v>
      </c>
      <c r="O162" s="157">
        <f>SUMIFS('Historical Orders'!$G162, 'Historical Orders'!$D162, "1", 'Historical Orders'!$C162, "B", 'Historical Orders'!$B162, "2")</f>
        <v>0</v>
      </c>
      <c r="P162" s="159">
        <f>SUMIFS('Historical Orders'!$E162, 'Historical Orders'!$D162, "2", 'Historical Orders'!$C162, "A", 'Historical Orders'!$B162, "1")</f>
        <v>0</v>
      </c>
      <c r="Q162" s="157">
        <f>SUMIFS('Historical Orders'!$G162, 'Historical Orders'!$D162, "2", 'Historical Orders'!$C162, "A", 'Historical Orders'!$B162, "1")</f>
        <v>0</v>
      </c>
      <c r="R162" s="159">
        <f>SUMIFS('Historical Orders'!$E162, 'Historical Orders'!$D162, "2", 'Historical Orders'!$C162, "B", 'Historical Orders'!$B162, "1")</f>
        <v>0</v>
      </c>
      <c r="S162" s="157">
        <f>SUMIFS('Historical Orders'!$G162, 'Historical Orders'!$D162, "2", 'Historical Orders'!$C162, "B", 'Historical Orders'!$B162, "1")</f>
        <v>0</v>
      </c>
      <c r="T162" s="159">
        <f>SUMIFS('Historical Orders'!$E162, 'Historical Orders'!$D162, "2", 'Historical Orders'!$C162, "A", 'Historical Orders'!$B162, "2")</f>
        <v>0</v>
      </c>
      <c r="U162" s="157">
        <f>SUMIFS('Historical Orders'!$G162, 'Historical Orders'!$D162, "2", 'Historical Orders'!$C162, "A", 'Historical Orders'!$B162, "2")</f>
        <v>0</v>
      </c>
      <c r="V162" s="159">
        <f>SUMIFS('Historical Orders'!$E162, 'Historical Orders'!$D162, "2", 'Historical Orders'!$C162, "B", 'Historical Orders'!$B162, "2")</f>
        <v>0</v>
      </c>
      <c r="W162" s="159">
        <f>SUMIFS('Historical Orders'!$G162, 'Historical Orders'!$D162, "2", 'Historical Orders'!$C162, "B", 'Historical Orders'!$B162, "2")</f>
        <v>0</v>
      </c>
      <c r="X162" s="159">
        <f>SUMIFS('Historical Orders'!$E162, 'Historical Orders'!$D162, "3", 'Historical Orders'!$C162, "A", 'Historical Orders'!$B162, "1")</f>
        <v>0</v>
      </c>
      <c r="Y162" s="159">
        <f>SUMIFS('Historical Orders'!$G162, 'Historical Orders'!$D162, "3", 'Historical Orders'!$C162, "A", 'Historical Orders'!$B162, "1")</f>
        <v>0</v>
      </c>
      <c r="Z162" s="159">
        <f>SUMIFS('Historical Orders'!$E162, 'Historical Orders'!$D162, "3", 'Historical Orders'!$C162, "B", 'Historical Orders'!$B162, "1")</f>
        <v>1971</v>
      </c>
      <c r="AA162" s="159">
        <f>SUMIFS('Historical Orders'!$G162, 'Historical Orders'!$D162, "3", 'Historical Orders'!$C162, "B", 'Historical Orders'!$B162, "1")</f>
        <v>16359.3</v>
      </c>
      <c r="AB162" s="159">
        <f>SUMIFS('Historical Orders'!$E162, 'Historical Orders'!$D162, "3", 'Historical Orders'!$C162, "A", 'Historical Orders'!$B162, "2")</f>
        <v>0</v>
      </c>
      <c r="AC162" s="159">
        <f>SUMIFS('Historical Orders'!$G162, 'Historical Orders'!$D162, "3", 'Historical Orders'!$C162, "A", 'Historical Orders'!$B162, "2")</f>
        <v>0</v>
      </c>
      <c r="AD162" s="159">
        <f>SUMIFS('Historical Orders'!$E162, 'Historical Orders'!$D162, "3", 'Historical Orders'!$C162, "B", 'Historical Orders'!$B162, "2")</f>
        <v>0</v>
      </c>
      <c r="AE162" s="157">
        <f>SUMIFS('Historical Orders'!$G162, 'Historical Orders'!$D162, "3", 'Historical Orders'!$C162, "B", 'Historical Orders'!$B162, "2")</f>
        <v>0</v>
      </c>
      <c r="AF162" s="157">
        <f>SUMIFS('Historical Orders'!$E162, 'Historical Orders'!$D162, "4", 'Historical Orders'!$C162, "A", 'Historical Orders'!$B162, "1")</f>
        <v>0</v>
      </c>
      <c r="AG162" s="157">
        <f>SUMIFS('Historical Orders'!$G162, 'Historical Orders'!$D162, "4", 'Historical Orders'!$C162, "A", 'Historical Orders'!$B162, "1")</f>
        <v>0</v>
      </c>
      <c r="AH162" s="157">
        <f>SUMIFS('Historical Orders'!$E162, 'Historical Orders'!$D162, "4", 'Historical Orders'!$C162, "B", 'Historical Orders'!$B162, "1")</f>
        <v>0</v>
      </c>
      <c r="AI162" s="157">
        <f>SUMIFS('Historical Orders'!$G162, 'Historical Orders'!$D162, "4", 'Historical Orders'!$C162, "B", 'Historical Orders'!$B162, "1")</f>
        <v>0</v>
      </c>
      <c r="AJ162" s="157">
        <f>SUMIFS('Historical Orders'!$E162, 'Historical Orders'!$D162, "4", 'Historical Orders'!$C162, "A", 'Historical Orders'!$B162, "2")</f>
        <v>0</v>
      </c>
      <c r="AK162" s="157">
        <f>SUMIFS('Historical Orders'!$G162, 'Historical Orders'!$D162, "4", 'Historical Orders'!$C162, "A", 'Historical Orders'!$B162, "2")</f>
        <v>0</v>
      </c>
      <c r="AL162" s="171">
        <f>SUMIFS('Historical Orders'!$E162, 'Historical Orders'!$D162, "4", 'Historical Orders'!$C162, "B", 'Historical Orders'!$B162, "2")</f>
        <v>0</v>
      </c>
      <c r="AM162" s="171">
        <f>SUMIFS('Historical Orders'!$G162, 'Historical Orders'!$D162, "4", 'Historical Orders'!$C162, "B", 'Historical Orders'!$B162, "2")</f>
        <v>0</v>
      </c>
      <c r="AN162" s="171">
        <f>SUMIFS('Historical Orders'!$G162, 'Historical Orders'!$C162, "A", 'Historical Orders'!$B162, "1")</f>
        <v>0</v>
      </c>
      <c r="AO162" s="171">
        <f>SUMIFS('Historical Orders'!$G162, 'Historical Orders'!$C162, "B", 'Historical Orders'!$B162, "1")</f>
        <v>16359.3</v>
      </c>
      <c r="AP162" s="171">
        <f>SUMIFS('Historical Orders'!$G162, 'Historical Orders'!$C162, "A", 'Historical Orders'!$B162, "2")</f>
        <v>0</v>
      </c>
      <c r="AQ162" s="171">
        <f>SUMIFS('Historical Orders'!$G162, 'Historical Orders'!$C162, "B", 'Historical Orders'!$B162, "2")</f>
        <v>0</v>
      </c>
      <c r="AR162" s="145"/>
      <c r="AS162" s="172"/>
      <c r="AT162" s="172"/>
      <c r="AU162" s="172"/>
      <c r="AV162" s="172"/>
      <c r="AW162" s="172"/>
      <c r="AX162" s="172"/>
      <c r="AY162" s="172"/>
      <c r="AZ162" s="172"/>
      <c r="BA162" s="172"/>
      <c r="BB162" s="172"/>
      <c r="BC162" s="172"/>
      <c r="BD162" s="172"/>
      <c r="BE162" s="172"/>
      <c r="BF162" s="172"/>
      <c r="BG162" s="172"/>
      <c r="BH162" s="172"/>
      <c r="BI162" s="172"/>
      <c r="BJ162" s="172"/>
      <c r="BK162" s="172"/>
      <c r="BL162" s="172"/>
      <c r="BM162" s="172"/>
      <c r="BN162" s="172"/>
      <c r="BO162" s="172"/>
      <c r="BP162" s="172"/>
      <c r="BQ162" s="172"/>
      <c r="BR162" s="172"/>
      <c r="BS162" s="172"/>
      <c r="BT162" s="172"/>
      <c r="BU162" s="172"/>
      <c r="BV162" s="179"/>
      <c r="BW162" s="179"/>
      <c r="BX162" s="179"/>
      <c r="BY162" s="179"/>
      <c r="BZ162" s="179"/>
      <c r="CA162" s="179"/>
      <c r="CB162" s="179"/>
      <c r="CC162" s="179"/>
      <c r="CD162" s="179"/>
      <c r="CE162" s="179"/>
    </row>
    <row r="163" ht="15.75" customHeight="1">
      <c r="A163" s="151">
        <v>42037.0</v>
      </c>
      <c r="B163" s="152">
        <v>2.0</v>
      </c>
      <c r="C163" s="152" t="s">
        <v>46</v>
      </c>
      <c r="D163" s="152">
        <v>3.0</v>
      </c>
      <c r="E163" s="153">
        <v>2065.0</v>
      </c>
      <c r="F163" s="154">
        <v>8.3</v>
      </c>
      <c r="G163" s="155">
        <v>17139.5</v>
      </c>
      <c r="H163" s="159">
        <f>SUMIFS('Historical Orders'!$E163, 'Historical Orders'!$D163, "1", 'Historical Orders'!$C163, "A", 'Historical Orders'!$B163, "1")</f>
        <v>0</v>
      </c>
      <c r="I163" s="157">
        <f>SUMIFS('Historical Orders'!$G163, 'Historical Orders'!$D163, "1", 'Historical Orders'!$C163, "A", 'Historical Orders'!$B163, "1")</f>
        <v>0</v>
      </c>
      <c r="J163" s="157">
        <f>SUMIFS('Historical Orders'!$E163, 'Historical Orders'!$D163, "1", 'Historical Orders'!$C163, "B", 'Historical Orders'!$B163, "1")</f>
        <v>0</v>
      </c>
      <c r="K163" s="157">
        <f>SUMIFS('Historical Orders'!$G163, 'Historical Orders'!$D163, "1", 'Historical Orders'!$C163, "B", 'Historical Orders'!$B163, "1")</f>
        <v>0</v>
      </c>
      <c r="L163" s="159">
        <f>SUMIFS('Historical Orders'!$E163, 'Historical Orders'!$D163, "1", 'Historical Orders'!$C163, "A", 'Historical Orders'!$B163, "2")</f>
        <v>0</v>
      </c>
      <c r="M163" s="157">
        <f>SUMIFS('Historical Orders'!$G163, 'Historical Orders'!$D163, "1", 'Historical Orders'!$C163, "A", 'Historical Orders'!$B163, "2")</f>
        <v>0</v>
      </c>
      <c r="N163" s="157">
        <f>SUMIFS('Historical Orders'!$E163, 'Historical Orders'!$D163, "1", 'Historical Orders'!$C163, "B", 'Historical Orders'!$B163, "2")</f>
        <v>0</v>
      </c>
      <c r="O163" s="157">
        <f>SUMIFS('Historical Orders'!$G163, 'Historical Orders'!$D163, "1", 'Historical Orders'!$C163, "B", 'Historical Orders'!$B163, "2")</f>
        <v>0</v>
      </c>
      <c r="P163" s="159">
        <f>SUMIFS('Historical Orders'!$E163, 'Historical Orders'!$D163, "2", 'Historical Orders'!$C163, "A", 'Historical Orders'!$B163, "1")</f>
        <v>0</v>
      </c>
      <c r="Q163" s="157">
        <f>SUMIFS('Historical Orders'!$G163, 'Historical Orders'!$D163, "2", 'Historical Orders'!$C163, "A", 'Historical Orders'!$B163, "1")</f>
        <v>0</v>
      </c>
      <c r="R163" s="159">
        <f>SUMIFS('Historical Orders'!$E163, 'Historical Orders'!$D163, "2", 'Historical Orders'!$C163, "B", 'Historical Orders'!$B163, "1")</f>
        <v>0</v>
      </c>
      <c r="S163" s="157">
        <f>SUMIFS('Historical Orders'!$G163, 'Historical Orders'!$D163, "2", 'Historical Orders'!$C163, "B", 'Historical Orders'!$B163, "1")</f>
        <v>0</v>
      </c>
      <c r="T163" s="159">
        <f>SUMIFS('Historical Orders'!$E163, 'Historical Orders'!$D163, "2", 'Historical Orders'!$C163, "A", 'Historical Orders'!$B163, "2")</f>
        <v>0</v>
      </c>
      <c r="U163" s="157">
        <f>SUMIFS('Historical Orders'!$G163, 'Historical Orders'!$D163, "2", 'Historical Orders'!$C163, "A", 'Historical Orders'!$B163, "2")</f>
        <v>0</v>
      </c>
      <c r="V163" s="159">
        <f>SUMIFS('Historical Orders'!$E163, 'Historical Orders'!$D163, "2", 'Historical Orders'!$C163, "B", 'Historical Orders'!$B163, "2")</f>
        <v>0</v>
      </c>
      <c r="W163" s="159">
        <f>SUMIFS('Historical Orders'!$G163, 'Historical Orders'!$D163, "2", 'Historical Orders'!$C163, "B", 'Historical Orders'!$B163, "2")</f>
        <v>0</v>
      </c>
      <c r="X163" s="159">
        <f>SUMIFS('Historical Orders'!$E163, 'Historical Orders'!$D163, "3", 'Historical Orders'!$C163, "A", 'Historical Orders'!$B163, "1")</f>
        <v>0</v>
      </c>
      <c r="Y163" s="159">
        <f>SUMIFS('Historical Orders'!$G163, 'Historical Orders'!$D163, "3", 'Historical Orders'!$C163, "A", 'Historical Orders'!$B163, "1")</f>
        <v>0</v>
      </c>
      <c r="Z163" s="159">
        <f>SUMIFS('Historical Orders'!$E163, 'Historical Orders'!$D163, "3", 'Historical Orders'!$C163, "B", 'Historical Orders'!$B163, "1")</f>
        <v>0</v>
      </c>
      <c r="AA163" s="159">
        <f>SUMIFS('Historical Orders'!$G163, 'Historical Orders'!$D163, "3", 'Historical Orders'!$C163, "B", 'Historical Orders'!$B163, "1")</f>
        <v>0</v>
      </c>
      <c r="AB163" s="159">
        <f>SUMIFS('Historical Orders'!$E163, 'Historical Orders'!$D163, "3", 'Historical Orders'!$C163, "A", 'Historical Orders'!$B163, "2")</f>
        <v>0</v>
      </c>
      <c r="AC163" s="159">
        <f>SUMIFS('Historical Orders'!$G163, 'Historical Orders'!$D163, "3", 'Historical Orders'!$C163, "A", 'Historical Orders'!$B163, "2")</f>
        <v>0</v>
      </c>
      <c r="AD163" s="159">
        <f>SUMIFS('Historical Orders'!$E163, 'Historical Orders'!$D163, "3", 'Historical Orders'!$C163, "B", 'Historical Orders'!$B163, "2")</f>
        <v>2065</v>
      </c>
      <c r="AE163" s="157">
        <f>SUMIFS('Historical Orders'!$G163, 'Historical Orders'!$D163, "3", 'Historical Orders'!$C163, "B", 'Historical Orders'!$B163, "2")</f>
        <v>17139.5</v>
      </c>
      <c r="AF163" s="157">
        <f>SUMIFS('Historical Orders'!$E163, 'Historical Orders'!$D163, "4", 'Historical Orders'!$C163, "A", 'Historical Orders'!$B163, "1")</f>
        <v>0</v>
      </c>
      <c r="AG163" s="157">
        <f>SUMIFS('Historical Orders'!$G163, 'Historical Orders'!$D163, "4", 'Historical Orders'!$C163, "A", 'Historical Orders'!$B163, "1")</f>
        <v>0</v>
      </c>
      <c r="AH163" s="157">
        <f>SUMIFS('Historical Orders'!$E163, 'Historical Orders'!$D163, "4", 'Historical Orders'!$C163, "B", 'Historical Orders'!$B163, "1")</f>
        <v>0</v>
      </c>
      <c r="AI163" s="157">
        <f>SUMIFS('Historical Orders'!$G163, 'Historical Orders'!$D163, "4", 'Historical Orders'!$C163, "B", 'Historical Orders'!$B163, "1")</f>
        <v>0</v>
      </c>
      <c r="AJ163" s="157">
        <f>SUMIFS('Historical Orders'!$E163, 'Historical Orders'!$D163, "4", 'Historical Orders'!$C163, "A", 'Historical Orders'!$B163, "2")</f>
        <v>0</v>
      </c>
      <c r="AK163" s="157">
        <f>SUMIFS('Historical Orders'!$G163, 'Historical Orders'!$D163, "4", 'Historical Orders'!$C163, "A", 'Historical Orders'!$B163, "2")</f>
        <v>0</v>
      </c>
      <c r="AL163" s="171">
        <f>SUMIFS('Historical Orders'!$E163, 'Historical Orders'!$D163, "4", 'Historical Orders'!$C163, "B", 'Historical Orders'!$B163, "2")</f>
        <v>0</v>
      </c>
      <c r="AM163" s="171">
        <f>SUMIFS('Historical Orders'!$G163, 'Historical Orders'!$D163, "4", 'Historical Orders'!$C163, "B", 'Historical Orders'!$B163, "2")</f>
        <v>0</v>
      </c>
      <c r="AN163" s="171">
        <f>SUMIFS('Historical Orders'!$G163, 'Historical Orders'!$C163, "A", 'Historical Orders'!$B163, "1")</f>
        <v>0</v>
      </c>
      <c r="AO163" s="171">
        <f>SUMIFS('Historical Orders'!$G163, 'Historical Orders'!$C163, "B", 'Historical Orders'!$B163, "1")</f>
        <v>0</v>
      </c>
      <c r="AP163" s="171">
        <f>SUMIFS('Historical Orders'!$G163, 'Historical Orders'!$C163, "A", 'Historical Orders'!$B163, "2")</f>
        <v>0</v>
      </c>
      <c r="AQ163" s="171">
        <f>SUMIFS('Historical Orders'!$G163, 'Historical Orders'!$C163, "B", 'Historical Orders'!$B163, "2")</f>
        <v>17139.5</v>
      </c>
      <c r="AR163" s="145"/>
      <c r="AS163" s="172"/>
      <c r="AT163" s="172"/>
      <c r="AU163" s="172"/>
      <c r="AV163" s="172"/>
      <c r="AW163" s="172"/>
      <c r="AX163" s="172"/>
      <c r="AY163" s="172"/>
      <c r="AZ163" s="172"/>
      <c r="BA163" s="172"/>
      <c r="BB163" s="172"/>
      <c r="BC163" s="172"/>
      <c r="BD163" s="172"/>
      <c r="BE163" s="172"/>
      <c r="BF163" s="172"/>
      <c r="BG163" s="172"/>
      <c r="BH163" s="172"/>
      <c r="BI163" s="172"/>
      <c r="BJ163" s="172"/>
      <c r="BK163" s="172"/>
      <c r="BL163" s="172"/>
      <c r="BM163" s="172"/>
      <c r="BN163" s="172"/>
      <c r="BO163" s="172"/>
      <c r="BP163" s="172"/>
      <c r="BQ163" s="172"/>
      <c r="BR163" s="172"/>
      <c r="BS163" s="172"/>
      <c r="BT163" s="172"/>
      <c r="BU163" s="172"/>
      <c r="BV163" s="179"/>
      <c r="BW163" s="179"/>
      <c r="BX163" s="179"/>
      <c r="BY163" s="179"/>
      <c r="BZ163" s="179"/>
      <c r="CA163" s="179"/>
      <c r="CB163" s="179"/>
      <c r="CC163" s="179"/>
      <c r="CD163" s="179"/>
      <c r="CE163" s="179"/>
    </row>
    <row r="164" ht="15.75" customHeight="1">
      <c r="A164" s="151">
        <v>42044.0</v>
      </c>
      <c r="B164" s="152">
        <v>1.0</v>
      </c>
      <c r="C164" s="152" t="s">
        <v>45</v>
      </c>
      <c r="D164" s="152">
        <v>1.0</v>
      </c>
      <c r="E164" s="153">
        <v>4882.0</v>
      </c>
      <c r="F164" s="154">
        <v>2.2</v>
      </c>
      <c r="G164" s="155">
        <v>10740.400000000001</v>
      </c>
      <c r="H164" s="159">
        <f>SUMIFS('Historical Orders'!$E164, 'Historical Orders'!$D164, "1", 'Historical Orders'!$C164, "A", 'Historical Orders'!$B164, "1")</f>
        <v>4882</v>
      </c>
      <c r="I164" s="157">
        <f>SUMIFS('Historical Orders'!$G164, 'Historical Orders'!$D164, "1", 'Historical Orders'!$C164, "A", 'Historical Orders'!$B164, "1")</f>
        <v>10740.4</v>
      </c>
      <c r="J164" s="157">
        <f>SUMIFS('Historical Orders'!$E164, 'Historical Orders'!$D164, "1", 'Historical Orders'!$C164, "B", 'Historical Orders'!$B164, "1")</f>
        <v>0</v>
      </c>
      <c r="K164" s="157">
        <f>SUMIFS('Historical Orders'!$G164, 'Historical Orders'!$D164, "1", 'Historical Orders'!$C164, "B", 'Historical Orders'!$B164, "1")</f>
        <v>0</v>
      </c>
      <c r="L164" s="159">
        <f>SUMIFS('Historical Orders'!$E164, 'Historical Orders'!$D164, "1", 'Historical Orders'!$C164, "A", 'Historical Orders'!$B164, "2")</f>
        <v>0</v>
      </c>
      <c r="M164" s="157">
        <f>SUMIFS('Historical Orders'!$G164, 'Historical Orders'!$D164, "1", 'Historical Orders'!$C164, "A", 'Historical Orders'!$B164, "2")</f>
        <v>0</v>
      </c>
      <c r="N164" s="157">
        <f>SUMIFS('Historical Orders'!$E164, 'Historical Orders'!$D164, "1", 'Historical Orders'!$C164, "B", 'Historical Orders'!$B164, "2")</f>
        <v>0</v>
      </c>
      <c r="O164" s="157">
        <f>SUMIFS('Historical Orders'!$G164, 'Historical Orders'!$D164, "1", 'Historical Orders'!$C164, "B", 'Historical Orders'!$B164, "2")</f>
        <v>0</v>
      </c>
      <c r="P164" s="159">
        <f>SUMIFS('Historical Orders'!$E164, 'Historical Orders'!$D164, "2", 'Historical Orders'!$C164, "A", 'Historical Orders'!$B164, "1")</f>
        <v>0</v>
      </c>
      <c r="Q164" s="157">
        <f>SUMIFS('Historical Orders'!$G164, 'Historical Orders'!$D164, "2", 'Historical Orders'!$C164, "A", 'Historical Orders'!$B164, "1")</f>
        <v>0</v>
      </c>
      <c r="R164" s="159">
        <f>SUMIFS('Historical Orders'!$E164, 'Historical Orders'!$D164, "2", 'Historical Orders'!$C164, "B", 'Historical Orders'!$B164, "1")</f>
        <v>0</v>
      </c>
      <c r="S164" s="157">
        <f>SUMIFS('Historical Orders'!$G164, 'Historical Orders'!$D164, "2", 'Historical Orders'!$C164, "B", 'Historical Orders'!$B164, "1")</f>
        <v>0</v>
      </c>
      <c r="T164" s="159">
        <f>SUMIFS('Historical Orders'!$E164, 'Historical Orders'!$D164, "2", 'Historical Orders'!$C164, "A", 'Historical Orders'!$B164, "2")</f>
        <v>0</v>
      </c>
      <c r="U164" s="157">
        <f>SUMIFS('Historical Orders'!$G164, 'Historical Orders'!$D164, "2", 'Historical Orders'!$C164, "A", 'Historical Orders'!$B164, "2")</f>
        <v>0</v>
      </c>
      <c r="V164" s="159">
        <f>SUMIFS('Historical Orders'!$E164, 'Historical Orders'!$D164, "2", 'Historical Orders'!$C164, "B", 'Historical Orders'!$B164, "2")</f>
        <v>0</v>
      </c>
      <c r="W164" s="159">
        <f>SUMIFS('Historical Orders'!$G164, 'Historical Orders'!$D164, "2", 'Historical Orders'!$C164, "B", 'Historical Orders'!$B164, "2")</f>
        <v>0</v>
      </c>
      <c r="X164" s="159">
        <f>SUMIFS('Historical Orders'!$E164, 'Historical Orders'!$D164, "3", 'Historical Orders'!$C164, "A", 'Historical Orders'!$B164, "1")</f>
        <v>0</v>
      </c>
      <c r="Y164" s="159">
        <f>SUMIFS('Historical Orders'!$G164, 'Historical Orders'!$D164, "3", 'Historical Orders'!$C164, "A", 'Historical Orders'!$B164, "1")</f>
        <v>0</v>
      </c>
      <c r="Z164" s="159">
        <f>SUMIFS('Historical Orders'!$E164, 'Historical Orders'!$D164, "3", 'Historical Orders'!$C164, "B", 'Historical Orders'!$B164, "1")</f>
        <v>0</v>
      </c>
      <c r="AA164" s="159">
        <f>SUMIFS('Historical Orders'!$G164, 'Historical Orders'!$D164, "3", 'Historical Orders'!$C164, "B", 'Historical Orders'!$B164, "1")</f>
        <v>0</v>
      </c>
      <c r="AB164" s="159">
        <f>SUMIFS('Historical Orders'!$E164, 'Historical Orders'!$D164, "3", 'Historical Orders'!$C164, "A", 'Historical Orders'!$B164, "2")</f>
        <v>0</v>
      </c>
      <c r="AC164" s="159">
        <f>SUMIFS('Historical Orders'!$G164, 'Historical Orders'!$D164, "3", 'Historical Orders'!$C164, "A", 'Historical Orders'!$B164, "2")</f>
        <v>0</v>
      </c>
      <c r="AD164" s="159">
        <f>SUMIFS('Historical Orders'!$E164, 'Historical Orders'!$D164, "3", 'Historical Orders'!$C164, "B", 'Historical Orders'!$B164, "2")</f>
        <v>0</v>
      </c>
      <c r="AE164" s="157">
        <f>SUMIFS('Historical Orders'!$G164, 'Historical Orders'!$D164, "3", 'Historical Orders'!$C164, "B", 'Historical Orders'!$B164, "2")</f>
        <v>0</v>
      </c>
      <c r="AF164" s="157">
        <f>SUMIFS('Historical Orders'!$E164, 'Historical Orders'!$D164, "4", 'Historical Orders'!$C164, "A", 'Historical Orders'!$B164, "1")</f>
        <v>0</v>
      </c>
      <c r="AG164" s="157">
        <f>SUMIFS('Historical Orders'!$G164, 'Historical Orders'!$D164, "4", 'Historical Orders'!$C164, "A", 'Historical Orders'!$B164, "1")</f>
        <v>0</v>
      </c>
      <c r="AH164" s="157">
        <f>SUMIFS('Historical Orders'!$E164, 'Historical Orders'!$D164, "4", 'Historical Orders'!$C164, "B", 'Historical Orders'!$B164, "1")</f>
        <v>0</v>
      </c>
      <c r="AI164" s="157">
        <f>SUMIFS('Historical Orders'!$G164, 'Historical Orders'!$D164, "4", 'Historical Orders'!$C164, "B", 'Historical Orders'!$B164, "1")</f>
        <v>0</v>
      </c>
      <c r="AJ164" s="157">
        <f>SUMIFS('Historical Orders'!$E164, 'Historical Orders'!$D164, "4", 'Historical Orders'!$C164, "A", 'Historical Orders'!$B164, "2")</f>
        <v>0</v>
      </c>
      <c r="AK164" s="157">
        <f>SUMIFS('Historical Orders'!$G164, 'Historical Orders'!$D164, "4", 'Historical Orders'!$C164, "A", 'Historical Orders'!$B164, "2")</f>
        <v>0</v>
      </c>
      <c r="AL164" s="171">
        <f>SUMIFS('Historical Orders'!$E164, 'Historical Orders'!$D164, "4", 'Historical Orders'!$C164, "B", 'Historical Orders'!$B164, "2")</f>
        <v>0</v>
      </c>
      <c r="AM164" s="171">
        <f>SUMIFS('Historical Orders'!$G164, 'Historical Orders'!$D164, "4", 'Historical Orders'!$C164, "B", 'Historical Orders'!$B164, "2")</f>
        <v>0</v>
      </c>
      <c r="AN164" s="171">
        <f>SUMIFS('Historical Orders'!$G164, 'Historical Orders'!$C164, "A", 'Historical Orders'!$B164, "1")</f>
        <v>10740.4</v>
      </c>
      <c r="AO164" s="171">
        <f>SUMIFS('Historical Orders'!$G164, 'Historical Orders'!$C164, "B", 'Historical Orders'!$B164, "1")</f>
        <v>0</v>
      </c>
      <c r="AP164" s="171">
        <f>SUMIFS('Historical Orders'!$G164, 'Historical Orders'!$C164, "A", 'Historical Orders'!$B164, "2")</f>
        <v>0</v>
      </c>
      <c r="AQ164" s="171">
        <f>SUMIFS('Historical Orders'!$G164, 'Historical Orders'!$C164, "B", 'Historical Orders'!$B164, "2")</f>
        <v>0</v>
      </c>
      <c r="AR164" s="145"/>
      <c r="AS164" s="172"/>
      <c r="AT164" s="172"/>
      <c r="AU164" s="172"/>
      <c r="AV164" s="172"/>
      <c r="AW164" s="172"/>
      <c r="AX164" s="172"/>
      <c r="AY164" s="172"/>
      <c r="AZ164" s="172"/>
      <c r="BA164" s="172"/>
      <c r="BB164" s="172"/>
      <c r="BC164" s="172"/>
      <c r="BD164" s="172"/>
      <c r="BE164" s="172"/>
      <c r="BF164" s="172"/>
      <c r="BG164" s="172"/>
      <c r="BH164" s="172"/>
      <c r="BI164" s="172"/>
      <c r="BJ164" s="172"/>
      <c r="BK164" s="172"/>
      <c r="BL164" s="172"/>
      <c r="BM164" s="172"/>
      <c r="BN164" s="172"/>
      <c r="BO164" s="172"/>
      <c r="BP164" s="172"/>
      <c r="BQ164" s="172"/>
      <c r="BR164" s="172"/>
      <c r="BS164" s="172"/>
      <c r="BT164" s="172"/>
      <c r="BU164" s="172"/>
      <c r="BV164" s="179"/>
      <c r="BW164" s="179"/>
      <c r="BX164" s="179"/>
      <c r="BY164" s="179"/>
      <c r="BZ164" s="179"/>
      <c r="CA164" s="179"/>
      <c r="CB164" s="179"/>
      <c r="CC164" s="179"/>
      <c r="CD164" s="179"/>
      <c r="CE164" s="179"/>
    </row>
    <row r="165" ht="15.75" customHeight="1">
      <c r="A165" s="151">
        <v>42044.0</v>
      </c>
      <c r="B165" s="152">
        <v>1.0</v>
      </c>
      <c r="C165" s="152" t="s">
        <v>45</v>
      </c>
      <c r="D165" s="152">
        <v>2.0</v>
      </c>
      <c r="E165" s="153">
        <v>5559.0</v>
      </c>
      <c r="F165" s="154">
        <v>1.2</v>
      </c>
      <c r="G165" s="155">
        <v>6670.8</v>
      </c>
      <c r="H165" s="159">
        <f>SUMIFS('Historical Orders'!$E165, 'Historical Orders'!$D165, "1", 'Historical Orders'!$C165, "A", 'Historical Orders'!$B165, "1")</f>
        <v>0</v>
      </c>
      <c r="I165" s="157">
        <f>SUMIFS('Historical Orders'!$G165, 'Historical Orders'!$D165, "1", 'Historical Orders'!$C165, "A", 'Historical Orders'!$B165, "1")</f>
        <v>0</v>
      </c>
      <c r="J165" s="157">
        <f>SUMIFS('Historical Orders'!$E165, 'Historical Orders'!$D165, "1", 'Historical Orders'!$C165, "B", 'Historical Orders'!$B165, "1")</f>
        <v>0</v>
      </c>
      <c r="K165" s="157">
        <f>SUMIFS('Historical Orders'!$G165, 'Historical Orders'!$D165, "1", 'Historical Orders'!$C165, "B", 'Historical Orders'!$B165, "1")</f>
        <v>0</v>
      </c>
      <c r="L165" s="159">
        <f>SUMIFS('Historical Orders'!$E165, 'Historical Orders'!$D165, "1", 'Historical Orders'!$C165, "A", 'Historical Orders'!$B165, "2")</f>
        <v>0</v>
      </c>
      <c r="M165" s="157">
        <f>SUMIFS('Historical Orders'!$G165, 'Historical Orders'!$D165, "1", 'Historical Orders'!$C165, "A", 'Historical Orders'!$B165, "2")</f>
        <v>0</v>
      </c>
      <c r="N165" s="157">
        <f>SUMIFS('Historical Orders'!$E165, 'Historical Orders'!$D165, "1", 'Historical Orders'!$C165, "B", 'Historical Orders'!$B165, "2")</f>
        <v>0</v>
      </c>
      <c r="O165" s="157">
        <f>SUMIFS('Historical Orders'!$G165, 'Historical Orders'!$D165, "1", 'Historical Orders'!$C165, "B", 'Historical Orders'!$B165, "2")</f>
        <v>0</v>
      </c>
      <c r="P165" s="159">
        <f>SUMIFS('Historical Orders'!$E165, 'Historical Orders'!$D165, "2", 'Historical Orders'!$C165, "A", 'Historical Orders'!$B165, "1")</f>
        <v>5559</v>
      </c>
      <c r="Q165" s="157">
        <f>SUMIFS('Historical Orders'!$G165, 'Historical Orders'!$D165, "2", 'Historical Orders'!$C165, "A", 'Historical Orders'!$B165, "1")</f>
        <v>6670.8</v>
      </c>
      <c r="R165" s="159">
        <f>SUMIFS('Historical Orders'!$E165, 'Historical Orders'!$D165, "2", 'Historical Orders'!$C165, "B", 'Historical Orders'!$B165, "1")</f>
        <v>0</v>
      </c>
      <c r="S165" s="157">
        <f>SUMIFS('Historical Orders'!$G165, 'Historical Orders'!$D165, "2", 'Historical Orders'!$C165, "B", 'Historical Orders'!$B165, "1")</f>
        <v>0</v>
      </c>
      <c r="T165" s="159">
        <f>SUMIFS('Historical Orders'!$E165, 'Historical Orders'!$D165, "2", 'Historical Orders'!$C165, "A", 'Historical Orders'!$B165, "2")</f>
        <v>0</v>
      </c>
      <c r="U165" s="157">
        <f>SUMIFS('Historical Orders'!$G165, 'Historical Orders'!$D165, "2", 'Historical Orders'!$C165, "A", 'Historical Orders'!$B165, "2")</f>
        <v>0</v>
      </c>
      <c r="V165" s="159">
        <f>SUMIFS('Historical Orders'!$E165, 'Historical Orders'!$D165, "2", 'Historical Orders'!$C165, "B", 'Historical Orders'!$B165, "2")</f>
        <v>0</v>
      </c>
      <c r="W165" s="159">
        <f>SUMIFS('Historical Orders'!$G165, 'Historical Orders'!$D165, "2", 'Historical Orders'!$C165, "B", 'Historical Orders'!$B165, "2")</f>
        <v>0</v>
      </c>
      <c r="X165" s="159">
        <f>SUMIFS('Historical Orders'!$E165, 'Historical Orders'!$D165, "3", 'Historical Orders'!$C165, "A", 'Historical Orders'!$B165, "1")</f>
        <v>0</v>
      </c>
      <c r="Y165" s="159">
        <f>SUMIFS('Historical Orders'!$G165, 'Historical Orders'!$D165, "3", 'Historical Orders'!$C165, "A", 'Historical Orders'!$B165, "1")</f>
        <v>0</v>
      </c>
      <c r="Z165" s="159">
        <f>SUMIFS('Historical Orders'!$E165, 'Historical Orders'!$D165, "3", 'Historical Orders'!$C165, "B", 'Historical Orders'!$B165, "1")</f>
        <v>0</v>
      </c>
      <c r="AA165" s="159">
        <f>SUMIFS('Historical Orders'!$G165, 'Historical Orders'!$D165, "3", 'Historical Orders'!$C165, "B", 'Historical Orders'!$B165, "1")</f>
        <v>0</v>
      </c>
      <c r="AB165" s="159">
        <f>SUMIFS('Historical Orders'!$E165, 'Historical Orders'!$D165, "3", 'Historical Orders'!$C165, "A", 'Historical Orders'!$B165, "2")</f>
        <v>0</v>
      </c>
      <c r="AC165" s="159">
        <f>SUMIFS('Historical Orders'!$G165, 'Historical Orders'!$D165, "3", 'Historical Orders'!$C165, "A", 'Historical Orders'!$B165, "2")</f>
        <v>0</v>
      </c>
      <c r="AD165" s="159">
        <f>SUMIFS('Historical Orders'!$E165, 'Historical Orders'!$D165, "3", 'Historical Orders'!$C165, "B", 'Historical Orders'!$B165, "2")</f>
        <v>0</v>
      </c>
      <c r="AE165" s="157">
        <f>SUMIFS('Historical Orders'!$G165, 'Historical Orders'!$D165, "3", 'Historical Orders'!$C165, "B", 'Historical Orders'!$B165, "2")</f>
        <v>0</v>
      </c>
      <c r="AF165" s="157">
        <f>SUMIFS('Historical Orders'!$E165, 'Historical Orders'!$D165, "4", 'Historical Orders'!$C165, "A", 'Historical Orders'!$B165, "1")</f>
        <v>0</v>
      </c>
      <c r="AG165" s="157">
        <f>SUMIFS('Historical Orders'!$G165, 'Historical Orders'!$D165, "4", 'Historical Orders'!$C165, "A", 'Historical Orders'!$B165, "1")</f>
        <v>0</v>
      </c>
      <c r="AH165" s="157">
        <f>SUMIFS('Historical Orders'!$E165, 'Historical Orders'!$D165, "4", 'Historical Orders'!$C165, "B", 'Historical Orders'!$B165, "1")</f>
        <v>0</v>
      </c>
      <c r="AI165" s="157">
        <f>SUMIFS('Historical Orders'!$G165, 'Historical Orders'!$D165, "4", 'Historical Orders'!$C165, "B", 'Historical Orders'!$B165, "1")</f>
        <v>0</v>
      </c>
      <c r="AJ165" s="157">
        <f>SUMIFS('Historical Orders'!$E165, 'Historical Orders'!$D165, "4", 'Historical Orders'!$C165, "A", 'Historical Orders'!$B165, "2")</f>
        <v>0</v>
      </c>
      <c r="AK165" s="157">
        <f>SUMIFS('Historical Orders'!$G165, 'Historical Orders'!$D165, "4", 'Historical Orders'!$C165, "A", 'Historical Orders'!$B165, "2")</f>
        <v>0</v>
      </c>
      <c r="AL165" s="171">
        <f>SUMIFS('Historical Orders'!$E165, 'Historical Orders'!$D165, "4", 'Historical Orders'!$C165, "B", 'Historical Orders'!$B165, "2")</f>
        <v>0</v>
      </c>
      <c r="AM165" s="171">
        <f>SUMIFS('Historical Orders'!$G165, 'Historical Orders'!$D165, "4", 'Historical Orders'!$C165, "B", 'Historical Orders'!$B165, "2")</f>
        <v>0</v>
      </c>
      <c r="AN165" s="171">
        <f>SUMIFS('Historical Orders'!$G165, 'Historical Orders'!$C165, "A", 'Historical Orders'!$B165, "1")</f>
        <v>6670.8</v>
      </c>
      <c r="AO165" s="171">
        <f>SUMIFS('Historical Orders'!$G165, 'Historical Orders'!$C165, "B", 'Historical Orders'!$B165, "1")</f>
        <v>0</v>
      </c>
      <c r="AP165" s="171">
        <f>SUMIFS('Historical Orders'!$G165, 'Historical Orders'!$C165, "A", 'Historical Orders'!$B165, "2")</f>
        <v>0</v>
      </c>
      <c r="AQ165" s="171">
        <f>SUMIFS('Historical Orders'!$G165, 'Historical Orders'!$C165, "B", 'Historical Orders'!$B165, "2")</f>
        <v>0</v>
      </c>
      <c r="AR165" s="145"/>
      <c r="AS165" s="172"/>
      <c r="AT165" s="172"/>
      <c r="AU165" s="172"/>
      <c r="AV165" s="172"/>
      <c r="AW165" s="172"/>
      <c r="AX165" s="172"/>
      <c r="AY165" s="172"/>
      <c r="AZ165" s="172"/>
      <c r="BA165" s="172"/>
      <c r="BB165" s="172"/>
      <c r="BC165" s="172"/>
      <c r="BD165" s="172"/>
      <c r="BE165" s="172"/>
      <c r="BF165" s="172"/>
      <c r="BG165" s="172"/>
      <c r="BH165" s="172"/>
      <c r="BI165" s="172"/>
      <c r="BJ165" s="172"/>
      <c r="BK165" s="172"/>
      <c r="BL165" s="172"/>
      <c r="BM165" s="172"/>
      <c r="BN165" s="172"/>
      <c r="BO165" s="172"/>
      <c r="BP165" s="172"/>
      <c r="BQ165" s="172"/>
      <c r="BR165" s="172"/>
      <c r="BS165" s="172"/>
      <c r="BT165" s="172"/>
      <c r="BU165" s="172"/>
      <c r="BV165" s="179"/>
      <c r="BW165" s="179"/>
      <c r="BX165" s="179"/>
      <c r="BY165" s="179"/>
      <c r="BZ165" s="179"/>
      <c r="CA165" s="179"/>
      <c r="CB165" s="179"/>
      <c r="CC165" s="179"/>
      <c r="CD165" s="179"/>
      <c r="CE165" s="179"/>
    </row>
    <row r="166" ht="15.75" customHeight="1">
      <c r="A166" s="151">
        <v>42044.0</v>
      </c>
      <c r="B166" s="152">
        <v>2.0</v>
      </c>
      <c r="C166" s="152" t="s">
        <v>45</v>
      </c>
      <c r="D166" s="152">
        <v>1.0</v>
      </c>
      <c r="E166" s="153">
        <v>4081.0</v>
      </c>
      <c r="F166" s="154">
        <v>2.2</v>
      </c>
      <c r="G166" s="155">
        <v>8978.2</v>
      </c>
      <c r="H166" s="159">
        <f>SUMIFS('Historical Orders'!$E166, 'Historical Orders'!$D166, "1", 'Historical Orders'!$C166, "A", 'Historical Orders'!$B166, "1")</f>
        <v>0</v>
      </c>
      <c r="I166" s="157">
        <f>SUMIFS('Historical Orders'!$G166, 'Historical Orders'!$D166, "1", 'Historical Orders'!$C166, "A", 'Historical Orders'!$B166, "1")</f>
        <v>0</v>
      </c>
      <c r="J166" s="157">
        <f>SUMIFS('Historical Orders'!$E166, 'Historical Orders'!$D166, "1", 'Historical Orders'!$C166, "B", 'Historical Orders'!$B166, "1")</f>
        <v>0</v>
      </c>
      <c r="K166" s="157">
        <f>SUMIFS('Historical Orders'!$G166, 'Historical Orders'!$D166, "1", 'Historical Orders'!$C166, "B", 'Historical Orders'!$B166, "1")</f>
        <v>0</v>
      </c>
      <c r="L166" s="159">
        <f>SUMIFS('Historical Orders'!$E166, 'Historical Orders'!$D166, "1", 'Historical Orders'!$C166, "A", 'Historical Orders'!$B166, "2")</f>
        <v>4081</v>
      </c>
      <c r="M166" s="157">
        <f>SUMIFS('Historical Orders'!$G166, 'Historical Orders'!$D166, "1", 'Historical Orders'!$C166, "A", 'Historical Orders'!$B166, "2")</f>
        <v>8978.2</v>
      </c>
      <c r="N166" s="157">
        <f>SUMIFS('Historical Orders'!$E166, 'Historical Orders'!$D166, "1", 'Historical Orders'!$C166, "B", 'Historical Orders'!$B166, "2")</f>
        <v>0</v>
      </c>
      <c r="O166" s="157">
        <f>SUMIFS('Historical Orders'!$G166, 'Historical Orders'!$D166, "1", 'Historical Orders'!$C166, "B", 'Historical Orders'!$B166, "2")</f>
        <v>0</v>
      </c>
      <c r="P166" s="159">
        <f>SUMIFS('Historical Orders'!$E166, 'Historical Orders'!$D166, "2", 'Historical Orders'!$C166, "A", 'Historical Orders'!$B166, "1")</f>
        <v>0</v>
      </c>
      <c r="Q166" s="157">
        <f>SUMIFS('Historical Orders'!$G166, 'Historical Orders'!$D166, "2", 'Historical Orders'!$C166, "A", 'Historical Orders'!$B166, "1")</f>
        <v>0</v>
      </c>
      <c r="R166" s="159">
        <f>SUMIFS('Historical Orders'!$E166, 'Historical Orders'!$D166, "2", 'Historical Orders'!$C166, "B", 'Historical Orders'!$B166, "1")</f>
        <v>0</v>
      </c>
      <c r="S166" s="157">
        <f>SUMIFS('Historical Orders'!$G166, 'Historical Orders'!$D166, "2", 'Historical Orders'!$C166, "B", 'Historical Orders'!$B166, "1")</f>
        <v>0</v>
      </c>
      <c r="T166" s="159">
        <f>SUMIFS('Historical Orders'!$E166, 'Historical Orders'!$D166, "2", 'Historical Orders'!$C166, "A", 'Historical Orders'!$B166, "2")</f>
        <v>0</v>
      </c>
      <c r="U166" s="157">
        <f>SUMIFS('Historical Orders'!$G166, 'Historical Orders'!$D166, "2", 'Historical Orders'!$C166, "A", 'Historical Orders'!$B166, "2")</f>
        <v>0</v>
      </c>
      <c r="V166" s="159">
        <f>SUMIFS('Historical Orders'!$E166, 'Historical Orders'!$D166, "2", 'Historical Orders'!$C166, "B", 'Historical Orders'!$B166, "2")</f>
        <v>0</v>
      </c>
      <c r="W166" s="159">
        <f>SUMIFS('Historical Orders'!$G166, 'Historical Orders'!$D166, "2", 'Historical Orders'!$C166, "B", 'Historical Orders'!$B166, "2")</f>
        <v>0</v>
      </c>
      <c r="X166" s="159">
        <f>SUMIFS('Historical Orders'!$E166, 'Historical Orders'!$D166, "3", 'Historical Orders'!$C166, "A", 'Historical Orders'!$B166, "1")</f>
        <v>0</v>
      </c>
      <c r="Y166" s="159">
        <f>SUMIFS('Historical Orders'!$G166, 'Historical Orders'!$D166, "3", 'Historical Orders'!$C166, "A", 'Historical Orders'!$B166, "1")</f>
        <v>0</v>
      </c>
      <c r="Z166" s="159">
        <f>SUMIFS('Historical Orders'!$E166, 'Historical Orders'!$D166, "3", 'Historical Orders'!$C166, "B", 'Historical Orders'!$B166, "1")</f>
        <v>0</v>
      </c>
      <c r="AA166" s="159">
        <f>SUMIFS('Historical Orders'!$G166, 'Historical Orders'!$D166, "3", 'Historical Orders'!$C166, "B", 'Historical Orders'!$B166, "1")</f>
        <v>0</v>
      </c>
      <c r="AB166" s="159">
        <f>SUMIFS('Historical Orders'!$E166, 'Historical Orders'!$D166, "3", 'Historical Orders'!$C166, "A", 'Historical Orders'!$B166, "2")</f>
        <v>0</v>
      </c>
      <c r="AC166" s="159">
        <f>SUMIFS('Historical Orders'!$G166, 'Historical Orders'!$D166, "3", 'Historical Orders'!$C166, "A", 'Historical Orders'!$B166, "2")</f>
        <v>0</v>
      </c>
      <c r="AD166" s="159">
        <f>SUMIFS('Historical Orders'!$E166, 'Historical Orders'!$D166, "3", 'Historical Orders'!$C166, "B", 'Historical Orders'!$B166, "2")</f>
        <v>0</v>
      </c>
      <c r="AE166" s="157">
        <f>SUMIFS('Historical Orders'!$G166, 'Historical Orders'!$D166, "3", 'Historical Orders'!$C166, "B", 'Historical Orders'!$B166, "2")</f>
        <v>0</v>
      </c>
      <c r="AF166" s="157">
        <f>SUMIFS('Historical Orders'!$E166, 'Historical Orders'!$D166, "4", 'Historical Orders'!$C166, "A", 'Historical Orders'!$B166, "1")</f>
        <v>0</v>
      </c>
      <c r="AG166" s="157">
        <f>SUMIFS('Historical Orders'!$G166, 'Historical Orders'!$D166, "4", 'Historical Orders'!$C166, "A", 'Historical Orders'!$B166, "1")</f>
        <v>0</v>
      </c>
      <c r="AH166" s="157">
        <f>SUMIFS('Historical Orders'!$E166, 'Historical Orders'!$D166, "4", 'Historical Orders'!$C166, "B", 'Historical Orders'!$B166, "1")</f>
        <v>0</v>
      </c>
      <c r="AI166" s="157">
        <f>SUMIFS('Historical Orders'!$G166, 'Historical Orders'!$D166, "4", 'Historical Orders'!$C166, "B", 'Historical Orders'!$B166, "1")</f>
        <v>0</v>
      </c>
      <c r="AJ166" s="157">
        <f>SUMIFS('Historical Orders'!$E166, 'Historical Orders'!$D166, "4", 'Historical Orders'!$C166, "A", 'Historical Orders'!$B166, "2")</f>
        <v>0</v>
      </c>
      <c r="AK166" s="157">
        <f>SUMIFS('Historical Orders'!$G166, 'Historical Orders'!$D166, "4", 'Historical Orders'!$C166, "A", 'Historical Orders'!$B166, "2")</f>
        <v>0</v>
      </c>
      <c r="AL166" s="171">
        <f>SUMIFS('Historical Orders'!$E166, 'Historical Orders'!$D166, "4", 'Historical Orders'!$C166, "B", 'Historical Orders'!$B166, "2")</f>
        <v>0</v>
      </c>
      <c r="AM166" s="171">
        <f>SUMIFS('Historical Orders'!$G166, 'Historical Orders'!$D166, "4", 'Historical Orders'!$C166, "B", 'Historical Orders'!$B166, "2")</f>
        <v>0</v>
      </c>
      <c r="AN166" s="171">
        <f>SUMIFS('Historical Orders'!$G166, 'Historical Orders'!$C166, "A", 'Historical Orders'!$B166, "1")</f>
        <v>0</v>
      </c>
      <c r="AO166" s="171">
        <f>SUMIFS('Historical Orders'!$G166, 'Historical Orders'!$C166, "B", 'Historical Orders'!$B166, "1")</f>
        <v>0</v>
      </c>
      <c r="AP166" s="171">
        <f>SUMIFS('Historical Orders'!$G166, 'Historical Orders'!$C166, "A", 'Historical Orders'!$B166, "2")</f>
        <v>8978.2</v>
      </c>
      <c r="AQ166" s="171">
        <f>SUMIFS('Historical Orders'!$G166, 'Historical Orders'!$C166, "B", 'Historical Orders'!$B166, "2")</f>
        <v>0</v>
      </c>
      <c r="AR166" s="145"/>
      <c r="AS166" s="172"/>
      <c r="AT166" s="172"/>
      <c r="AU166" s="172"/>
      <c r="AV166" s="172"/>
      <c r="AW166" s="172"/>
      <c r="AX166" s="172"/>
      <c r="AY166" s="172"/>
      <c r="AZ166" s="172"/>
      <c r="BA166" s="172"/>
      <c r="BB166" s="172"/>
      <c r="BC166" s="172"/>
      <c r="BD166" s="172"/>
      <c r="BE166" s="172"/>
      <c r="BF166" s="172"/>
      <c r="BG166" s="172"/>
      <c r="BH166" s="172"/>
      <c r="BI166" s="172"/>
      <c r="BJ166" s="172"/>
      <c r="BK166" s="172"/>
      <c r="BL166" s="172"/>
      <c r="BM166" s="172"/>
      <c r="BN166" s="172"/>
      <c r="BO166" s="172"/>
      <c r="BP166" s="172"/>
      <c r="BQ166" s="172"/>
      <c r="BR166" s="172"/>
      <c r="BS166" s="172"/>
      <c r="BT166" s="172"/>
      <c r="BU166" s="172"/>
      <c r="BV166" s="179"/>
      <c r="BW166" s="179"/>
      <c r="BX166" s="179"/>
      <c r="BY166" s="179"/>
      <c r="BZ166" s="179"/>
      <c r="CA166" s="179"/>
      <c r="CB166" s="179"/>
      <c r="CC166" s="179"/>
      <c r="CD166" s="179"/>
      <c r="CE166" s="179"/>
    </row>
    <row r="167" ht="15.75" customHeight="1">
      <c r="A167" s="151">
        <v>42044.0</v>
      </c>
      <c r="B167" s="152">
        <v>2.0</v>
      </c>
      <c r="C167" s="152" t="s">
        <v>45</v>
      </c>
      <c r="D167" s="152">
        <v>2.0</v>
      </c>
      <c r="E167" s="153">
        <v>5892.0</v>
      </c>
      <c r="F167" s="154">
        <v>1.2</v>
      </c>
      <c r="G167" s="155">
        <v>7070.4</v>
      </c>
      <c r="H167" s="159">
        <f>SUMIFS('Historical Orders'!$E167, 'Historical Orders'!$D167, "1", 'Historical Orders'!$C167, "A", 'Historical Orders'!$B167, "1")</f>
        <v>0</v>
      </c>
      <c r="I167" s="157">
        <f>SUMIFS('Historical Orders'!$G167, 'Historical Orders'!$D167, "1", 'Historical Orders'!$C167, "A", 'Historical Orders'!$B167, "1")</f>
        <v>0</v>
      </c>
      <c r="J167" s="157">
        <f>SUMIFS('Historical Orders'!$E167, 'Historical Orders'!$D167, "1", 'Historical Orders'!$C167, "B", 'Historical Orders'!$B167, "1")</f>
        <v>0</v>
      </c>
      <c r="K167" s="157">
        <f>SUMIFS('Historical Orders'!$G167, 'Historical Orders'!$D167, "1", 'Historical Orders'!$C167, "B", 'Historical Orders'!$B167, "1")</f>
        <v>0</v>
      </c>
      <c r="L167" s="159">
        <f>SUMIFS('Historical Orders'!$E167, 'Historical Orders'!$D167, "1", 'Historical Orders'!$C167, "A", 'Historical Orders'!$B167, "2")</f>
        <v>0</v>
      </c>
      <c r="M167" s="157">
        <f>SUMIFS('Historical Orders'!$G167, 'Historical Orders'!$D167, "1", 'Historical Orders'!$C167, "A", 'Historical Orders'!$B167, "2")</f>
        <v>0</v>
      </c>
      <c r="N167" s="157">
        <f>SUMIFS('Historical Orders'!$E167, 'Historical Orders'!$D167, "1", 'Historical Orders'!$C167, "B", 'Historical Orders'!$B167, "2")</f>
        <v>0</v>
      </c>
      <c r="O167" s="157">
        <f>SUMIFS('Historical Orders'!$G167, 'Historical Orders'!$D167, "1", 'Historical Orders'!$C167, "B", 'Historical Orders'!$B167, "2")</f>
        <v>0</v>
      </c>
      <c r="P167" s="159">
        <f>SUMIFS('Historical Orders'!$E167, 'Historical Orders'!$D167, "2", 'Historical Orders'!$C167, "A", 'Historical Orders'!$B167, "1")</f>
        <v>0</v>
      </c>
      <c r="Q167" s="157">
        <f>SUMIFS('Historical Orders'!$G167, 'Historical Orders'!$D167, "2", 'Historical Orders'!$C167, "A", 'Historical Orders'!$B167, "1")</f>
        <v>0</v>
      </c>
      <c r="R167" s="159">
        <f>SUMIFS('Historical Orders'!$E167, 'Historical Orders'!$D167, "2", 'Historical Orders'!$C167, "B", 'Historical Orders'!$B167, "1")</f>
        <v>0</v>
      </c>
      <c r="S167" s="157">
        <f>SUMIFS('Historical Orders'!$G167, 'Historical Orders'!$D167, "2", 'Historical Orders'!$C167, "B", 'Historical Orders'!$B167, "1")</f>
        <v>0</v>
      </c>
      <c r="T167" s="159">
        <f>SUMIFS('Historical Orders'!$E167, 'Historical Orders'!$D167, "2", 'Historical Orders'!$C167, "A", 'Historical Orders'!$B167, "2")</f>
        <v>5892</v>
      </c>
      <c r="U167" s="157">
        <f>SUMIFS('Historical Orders'!$G167, 'Historical Orders'!$D167, "2", 'Historical Orders'!$C167, "A", 'Historical Orders'!$B167, "2")</f>
        <v>7070.4</v>
      </c>
      <c r="V167" s="159">
        <f>SUMIFS('Historical Orders'!$E167, 'Historical Orders'!$D167, "2", 'Historical Orders'!$C167, "B", 'Historical Orders'!$B167, "2")</f>
        <v>0</v>
      </c>
      <c r="W167" s="159">
        <f>SUMIFS('Historical Orders'!$G167, 'Historical Orders'!$D167, "2", 'Historical Orders'!$C167, "B", 'Historical Orders'!$B167, "2")</f>
        <v>0</v>
      </c>
      <c r="X167" s="159">
        <f>SUMIFS('Historical Orders'!$E167, 'Historical Orders'!$D167, "3", 'Historical Orders'!$C167, "A", 'Historical Orders'!$B167, "1")</f>
        <v>0</v>
      </c>
      <c r="Y167" s="159">
        <f>SUMIFS('Historical Orders'!$G167, 'Historical Orders'!$D167, "3", 'Historical Orders'!$C167, "A", 'Historical Orders'!$B167, "1")</f>
        <v>0</v>
      </c>
      <c r="Z167" s="159">
        <f>SUMIFS('Historical Orders'!$E167, 'Historical Orders'!$D167, "3", 'Historical Orders'!$C167, "B", 'Historical Orders'!$B167, "1")</f>
        <v>0</v>
      </c>
      <c r="AA167" s="159">
        <f>SUMIFS('Historical Orders'!$G167, 'Historical Orders'!$D167, "3", 'Historical Orders'!$C167, "B", 'Historical Orders'!$B167, "1")</f>
        <v>0</v>
      </c>
      <c r="AB167" s="159">
        <f>SUMIFS('Historical Orders'!$E167, 'Historical Orders'!$D167, "3", 'Historical Orders'!$C167, "A", 'Historical Orders'!$B167, "2")</f>
        <v>0</v>
      </c>
      <c r="AC167" s="159">
        <f>SUMIFS('Historical Orders'!$G167, 'Historical Orders'!$D167, "3", 'Historical Orders'!$C167, "A", 'Historical Orders'!$B167, "2")</f>
        <v>0</v>
      </c>
      <c r="AD167" s="159">
        <f>SUMIFS('Historical Orders'!$E167, 'Historical Orders'!$D167, "3", 'Historical Orders'!$C167, "B", 'Historical Orders'!$B167, "2")</f>
        <v>0</v>
      </c>
      <c r="AE167" s="157">
        <f>SUMIFS('Historical Orders'!$G167, 'Historical Orders'!$D167, "3", 'Historical Orders'!$C167, "B", 'Historical Orders'!$B167, "2")</f>
        <v>0</v>
      </c>
      <c r="AF167" s="157">
        <f>SUMIFS('Historical Orders'!$E167, 'Historical Orders'!$D167, "4", 'Historical Orders'!$C167, "A", 'Historical Orders'!$B167, "1")</f>
        <v>0</v>
      </c>
      <c r="AG167" s="157">
        <f>SUMIFS('Historical Orders'!$G167, 'Historical Orders'!$D167, "4", 'Historical Orders'!$C167, "A", 'Historical Orders'!$B167, "1")</f>
        <v>0</v>
      </c>
      <c r="AH167" s="157">
        <f>SUMIFS('Historical Orders'!$E167, 'Historical Orders'!$D167, "4", 'Historical Orders'!$C167, "B", 'Historical Orders'!$B167, "1")</f>
        <v>0</v>
      </c>
      <c r="AI167" s="157">
        <f>SUMIFS('Historical Orders'!$G167, 'Historical Orders'!$D167, "4", 'Historical Orders'!$C167, "B", 'Historical Orders'!$B167, "1")</f>
        <v>0</v>
      </c>
      <c r="AJ167" s="157">
        <f>SUMIFS('Historical Orders'!$E167, 'Historical Orders'!$D167, "4", 'Historical Orders'!$C167, "A", 'Historical Orders'!$B167, "2")</f>
        <v>0</v>
      </c>
      <c r="AK167" s="157">
        <f>SUMIFS('Historical Orders'!$G167, 'Historical Orders'!$D167, "4", 'Historical Orders'!$C167, "A", 'Historical Orders'!$B167, "2")</f>
        <v>0</v>
      </c>
      <c r="AL167" s="171">
        <f>SUMIFS('Historical Orders'!$E167, 'Historical Orders'!$D167, "4", 'Historical Orders'!$C167, "B", 'Historical Orders'!$B167, "2")</f>
        <v>0</v>
      </c>
      <c r="AM167" s="171">
        <f>SUMIFS('Historical Orders'!$G167, 'Historical Orders'!$D167, "4", 'Historical Orders'!$C167, "B", 'Historical Orders'!$B167, "2")</f>
        <v>0</v>
      </c>
      <c r="AN167" s="171">
        <f>SUMIFS('Historical Orders'!$G167, 'Historical Orders'!$C167, "A", 'Historical Orders'!$B167, "1")</f>
        <v>0</v>
      </c>
      <c r="AO167" s="171">
        <f>SUMIFS('Historical Orders'!$G167, 'Historical Orders'!$C167, "B", 'Historical Orders'!$B167, "1")</f>
        <v>0</v>
      </c>
      <c r="AP167" s="171">
        <f>SUMIFS('Historical Orders'!$G167, 'Historical Orders'!$C167, "A", 'Historical Orders'!$B167, "2")</f>
        <v>7070.4</v>
      </c>
      <c r="AQ167" s="171">
        <f>SUMIFS('Historical Orders'!$G167, 'Historical Orders'!$C167, "B", 'Historical Orders'!$B167, "2")</f>
        <v>0</v>
      </c>
      <c r="AR167" s="145"/>
      <c r="AS167" s="172"/>
      <c r="AT167" s="172"/>
      <c r="AU167" s="172"/>
      <c r="AV167" s="172"/>
      <c r="AW167" s="172"/>
      <c r="AX167" s="172"/>
      <c r="AY167" s="172"/>
      <c r="AZ167" s="172"/>
      <c r="BA167" s="172"/>
      <c r="BB167" s="172"/>
      <c r="BC167" s="172"/>
      <c r="BD167" s="172"/>
      <c r="BE167" s="172"/>
      <c r="BF167" s="172"/>
      <c r="BG167" s="172"/>
      <c r="BH167" s="172"/>
      <c r="BI167" s="172"/>
      <c r="BJ167" s="172"/>
      <c r="BK167" s="172"/>
      <c r="BL167" s="172"/>
      <c r="BM167" s="172"/>
      <c r="BN167" s="172"/>
      <c r="BO167" s="172"/>
      <c r="BP167" s="172"/>
      <c r="BQ167" s="172"/>
      <c r="BR167" s="172"/>
      <c r="BS167" s="172"/>
      <c r="BT167" s="172"/>
      <c r="BU167" s="172"/>
      <c r="BV167" s="179"/>
      <c r="BW167" s="179"/>
      <c r="BX167" s="179"/>
      <c r="BY167" s="179"/>
      <c r="BZ167" s="179"/>
      <c r="CA167" s="179"/>
      <c r="CB167" s="179"/>
      <c r="CC167" s="179"/>
      <c r="CD167" s="179"/>
      <c r="CE167" s="179"/>
    </row>
    <row r="168" ht="15.75" customHeight="1">
      <c r="A168" s="151">
        <v>42044.0</v>
      </c>
      <c r="B168" s="152">
        <v>1.0</v>
      </c>
      <c r="C168" s="152" t="s">
        <v>46</v>
      </c>
      <c r="D168" s="152">
        <v>3.0</v>
      </c>
      <c r="E168" s="153">
        <v>2174.0</v>
      </c>
      <c r="F168" s="154">
        <v>8.3</v>
      </c>
      <c r="G168" s="155">
        <v>18044.2</v>
      </c>
      <c r="H168" s="159">
        <f>SUMIFS('Historical Orders'!$E168, 'Historical Orders'!$D168, "1", 'Historical Orders'!$C168, "A", 'Historical Orders'!$B168, "1")</f>
        <v>0</v>
      </c>
      <c r="I168" s="157">
        <f>SUMIFS('Historical Orders'!$G168, 'Historical Orders'!$D168, "1", 'Historical Orders'!$C168, "A", 'Historical Orders'!$B168, "1")</f>
        <v>0</v>
      </c>
      <c r="J168" s="157">
        <f>SUMIFS('Historical Orders'!$E168, 'Historical Orders'!$D168, "1", 'Historical Orders'!$C168, "B", 'Historical Orders'!$B168, "1")</f>
        <v>0</v>
      </c>
      <c r="K168" s="157">
        <f>SUMIFS('Historical Orders'!$G168, 'Historical Orders'!$D168, "1", 'Historical Orders'!$C168, "B", 'Historical Orders'!$B168, "1")</f>
        <v>0</v>
      </c>
      <c r="L168" s="159">
        <f>SUMIFS('Historical Orders'!$E168, 'Historical Orders'!$D168, "1", 'Historical Orders'!$C168, "A", 'Historical Orders'!$B168, "2")</f>
        <v>0</v>
      </c>
      <c r="M168" s="157">
        <f>SUMIFS('Historical Orders'!$G168, 'Historical Orders'!$D168, "1", 'Historical Orders'!$C168, "A", 'Historical Orders'!$B168, "2")</f>
        <v>0</v>
      </c>
      <c r="N168" s="157">
        <f>SUMIFS('Historical Orders'!$E168, 'Historical Orders'!$D168, "1", 'Historical Orders'!$C168, "B", 'Historical Orders'!$B168, "2")</f>
        <v>0</v>
      </c>
      <c r="O168" s="157">
        <f>SUMIFS('Historical Orders'!$G168, 'Historical Orders'!$D168, "1", 'Historical Orders'!$C168, "B", 'Historical Orders'!$B168, "2")</f>
        <v>0</v>
      </c>
      <c r="P168" s="159">
        <f>SUMIFS('Historical Orders'!$E168, 'Historical Orders'!$D168, "2", 'Historical Orders'!$C168, "A", 'Historical Orders'!$B168, "1")</f>
        <v>0</v>
      </c>
      <c r="Q168" s="157">
        <f>SUMIFS('Historical Orders'!$G168, 'Historical Orders'!$D168, "2", 'Historical Orders'!$C168, "A", 'Historical Orders'!$B168, "1")</f>
        <v>0</v>
      </c>
      <c r="R168" s="159">
        <f>SUMIFS('Historical Orders'!$E168, 'Historical Orders'!$D168, "2", 'Historical Orders'!$C168, "B", 'Historical Orders'!$B168, "1")</f>
        <v>0</v>
      </c>
      <c r="S168" s="157">
        <f>SUMIFS('Historical Orders'!$G168, 'Historical Orders'!$D168, "2", 'Historical Orders'!$C168, "B", 'Historical Orders'!$B168, "1")</f>
        <v>0</v>
      </c>
      <c r="T168" s="159">
        <f>SUMIFS('Historical Orders'!$E168, 'Historical Orders'!$D168, "2", 'Historical Orders'!$C168, "A", 'Historical Orders'!$B168, "2")</f>
        <v>0</v>
      </c>
      <c r="U168" s="157">
        <f>SUMIFS('Historical Orders'!$G168, 'Historical Orders'!$D168, "2", 'Historical Orders'!$C168, "A", 'Historical Orders'!$B168, "2")</f>
        <v>0</v>
      </c>
      <c r="V168" s="159">
        <f>SUMIFS('Historical Orders'!$E168, 'Historical Orders'!$D168, "2", 'Historical Orders'!$C168, "B", 'Historical Orders'!$B168, "2")</f>
        <v>0</v>
      </c>
      <c r="W168" s="159">
        <f>SUMIFS('Historical Orders'!$G168, 'Historical Orders'!$D168, "2", 'Historical Orders'!$C168, "B", 'Historical Orders'!$B168, "2")</f>
        <v>0</v>
      </c>
      <c r="X168" s="159">
        <f>SUMIFS('Historical Orders'!$E168, 'Historical Orders'!$D168, "3", 'Historical Orders'!$C168, "A", 'Historical Orders'!$B168, "1")</f>
        <v>0</v>
      </c>
      <c r="Y168" s="159">
        <f>SUMIFS('Historical Orders'!$G168, 'Historical Orders'!$D168, "3", 'Historical Orders'!$C168, "A", 'Historical Orders'!$B168, "1")</f>
        <v>0</v>
      </c>
      <c r="Z168" s="159">
        <f>SUMIFS('Historical Orders'!$E168, 'Historical Orders'!$D168, "3", 'Historical Orders'!$C168, "B", 'Historical Orders'!$B168, "1")</f>
        <v>2174</v>
      </c>
      <c r="AA168" s="159">
        <f>SUMIFS('Historical Orders'!$G168, 'Historical Orders'!$D168, "3", 'Historical Orders'!$C168, "B", 'Historical Orders'!$B168, "1")</f>
        <v>18044.2</v>
      </c>
      <c r="AB168" s="159">
        <f>SUMIFS('Historical Orders'!$E168, 'Historical Orders'!$D168, "3", 'Historical Orders'!$C168, "A", 'Historical Orders'!$B168, "2")</f>
        <v>0</v>
      </c>
      <c r="AC168" s="159">
        <f>SUMIFS('Historical Orders'!$G168, 'Historical Orders'!$D168, "3", 'Historical Orders'!$C168, "A", 'Historical Orders'!$B168, "2")</f>
        <v>0</v>
      </c>
      <c r="AD168" s="159">
        <f>SUMIFS('Historical Orders'!$E168, 'Historical Orders'!$D168, "3", 'Historical Orders'!$C168, "B", 'Historical Orders'!$B168, "2")</f>
        <v>0</v>
      </c>
      <c r="AE168" s="157">
        <f>SUMIFS('Historical Orders'!$G168, 'Historical Orders'!$D168, "3", 'Historical Orders'!$C168, "B", 'Historical Orders'!$B168, "2")</f>
        <v>0</v>
      </c>
      <c r="AF168" s="157">
        <f>SUMIFS('Historical Orders'!$E168, 'Historical Orders'!$D168, "4", 'Historical Orders'!$C168, "A", 'Historical Orders'!$B168, "1")</f>
        <v>0</v>
      </c>
      <c r="AG168" s="157">
        <f>SUMIFS('Historical Orders'!$G168, 'Historical Orders'!$D168, "4", 'Historical Orders'!$C168, "A", 'Historical Orders'!$B168, "1")</f>
        <v>0</v>
      </c>
      <c r="AH168" s="157">
        <f>SUMIFS('Historical Orders'!$E168, 'Historical Orders'!$D168, "4", 'Historical Orders'!$C168, "B", 'Historical Orders'!$B168, "1")</f>
        <v>0</v>
      </c>
      <c r="AI168" s="157">
        <f>SUMIFS('Historical Orders'!$G168, 'Historical Orders'!$D168, "4", 'Historical Orders'!$C168, "B", 'Historical Orders'!$B168, "1")</f>
        <v>0</v>
      </c>
      <c r="AJ168" s="157">
        <f>SUMIFS('Historical Orders'!$E168, 'Historical Orders'!$D168, "4", 'Historical Orders'!$C168, "A", 'Historical Orders'!$B168, "2")</f>
        <v>0</v>
      </c>
      <c r="AK168" s="157">
        <f>SUMIFS('Historical Orders'!$G168, 'Historical Orders'!$D168, "4", 'Historical Orders'!$C168, "A", 'Historical Orders'!$B168, "2")</f>
        <v>0</v>
      </c>
      <c r="AL168" s="171">
        <f>SUMIFS('Historical Orders'!$E168, 'Historical Orders'!$D168, "4", 'Historical Orders'!$C168, "B", 'Historical Orders'!$B168, "2")</f>
        <v>0</v>
      </c>
      <c r="AM168" s="171">
        <f>SUMIFS('Historical Orders'!$G168, 'Historical Orders'!$D168, "4", 'Historical Orders'!$C168, "B", 'Historical Orders'!$B168, "2")</f>
        <v>0</v>
      </c>
      <c r="AN168" s="171">
        <f>SUMIFS('Historical Orders'!$G168, 'Historical Orders'!$C168, "A", 'Historical Orders'!$B168, "1")</f>
        <v>0</v>
      </c>
      <c r="AO168" s="171">
        <f>SUMIFS('Historical Orders'!$G168, 'Historical Orders'!$C168, "B", 'Historical Orders'!$B168, "1")</f>
        <v>18044.2</v>
      </c>
      <c r="AP168" s="171">
        <f>SUMIFS('Historical Orders'!$G168, 'Historical Orders'!$C168, "A", 'Historical Orders'!$B168, "2")</f>
        <v>0</v>
      </c>
      <c r="AQ168" s="171">
        <f>SUMIFS('Historical Orders'!$G168, 'Historical Orders'!$C168, "B", 'Historical Orders'!$B168, "2")</f>
        <v>0</v>
      </c>
      <c r="AR168" s="145"/>
      <c r="AS168" s="172"/>
      <c r="AT168" s="172"/>
      <c r="AU168" s="172"/>
      <c r="AV168" s="172"/>
      <c r="AW168" s="172"/>
      <c r="AX168" s="172"/>
      <c r="AY168" s="172"/>
      <c r="AZ168" s="172"/>
      <c r="BA168" s="172"/>
      <c r="BB168" s="172"/>
      <c r="BC168" s="172"/>
      <c r="BD168" s="172"/>
      <c r="BE168" s="172"/>
      <c r="BF168" s="172"/>
      <c r="BG168" s="172"/>
      <c r="BH168" s="172"/>
      <c r="BI168" s="172"/>
      <c r="BJ168" s="172"/>
      <c r="BK168" s="172"/>
      <c r="BL168" s="172"/>
      <c r="BM168" s="172"/>
      <c r="BN168" s="172"/>
      <c r="BO168" s="172"/>
      <c r="BP168" s="172"/>
      <c r="BQ168" s="172"/>
      <c r="BR168" s="172"/>
      <c r="BS168" s="172"/>
      <c r="BT168" s="172"/>
      <c r="BU168" s="172"/>
      <c r="BV168" s="179"/>
      <c r="BW168" s="179"/>
      <c r="BX168" s="179"/>
      <c r="BY168" s="179"/>
      <c r="BZ168" s="179"/>
      <c r="CA168" s="179"/>
      <c r="CB168" s="179"/>
      <c r="CC168" s="179"/>
      <c r="CD168" s="179"/>
      <c r="CE168" s="179"/>
    </row>
    <row r="169" ht="15.75" customHeight="1">
      <c r="A169" s="151">
        <v>42044.0</v>
      </c>
      <c r="B169" s="152">
        <v>2.0</v>
      </c>
      <c r="C169" s="152" t="s">
        <v>46</v>
      </c>
      <c r="D169" s="152">
        <v>3.0</v>
      </c>
      <c r="E169" s="153">
        <v>2669.0</v>
      </c>
      <c r="F169" s="154">
        <v>8.3</v>
      </c>
      <c r="G169" s="155">
        <v>22152.7</v>
      </c>
      <c r="H169" s="159">
        <f>SUMIFS('Historical Orders'!$E169, 'Historical Orders'!$D169, "1", 'Historical Orders'!$C169, "A", 'Historical Orders'!$B169, "1")</f>
        <v>0</v>
      </c>
      <c r="I169" s="157">
        <f>SUMIFS('Historical Orders'!$G169, 'Historical Orders'!$D169, "1", 'Historical Orders'!$C169, "A", 'Historical Orders'!$B169, "1")</f>
        <v>0</v>
      </c>
      <c r="J169" s="157">
        <f>SUMIFS('Historical Orders'!$E169, 'Historical Orders'!$D169, "1", 'Historical Orders'!$C169, "B", 'Historical Orders'!$B169, "1")</f>
        <v>0</v>
      </c>
      <c r="K169" s="157">
        <f>SUMIFS('Historical Orders'!$G169, 'Historical Orders'!$D169, "1", 'Historical Orders'!$C169, "B", 'Historical Orders'!$B169, "1")</f>
        <v>0</v>
      </c>
      <c r="L169" s="159">
        <f>SUMIFS('Historical Orders'!$E169, 'Historical Orders'!$D169, "1", 'Historical Orders'!$C169, "A", 'Historical Orders'!$B169, "2")</f>
        <v>0</v>
      </c>
      <c r="M169" s="157">
        <f>SUMIFS('Historical Orders'!$G169, 'Historical Orders'!$D169, "1", 'Historical Orders'!$C169, "A", 'Historical Orders'!$B169, "2")</f>
        <v>0</v>
      </c>
      <c r="N169" s="157">
        <f>SUMIFS('Historical Orders'!$E169, 'Historical Orders'!$D169, "1", 'Historical Orders'!$C169, "B", 'Historical Orders'!$B169, "2")</f>
        <v>0</v>
      </c>
      <c r="O169" s="157">
        <f>SUMIFS('Historical Orders'!$G169, 'Historical Orders'!$D169, "1", 'Historical Orders'!$C169, "B", 'Historical Orders'!$B169, "2")</f>
        <v>0</v>
      </c>
      <c r="P169" s="159">
        <f>SUMIFS('Historical Orders'!$E169, 'Historical Orders'!$D169, "2", 'Historical Orders'!$C169, "A", 'Historical Orders'!$B169, "1")</f>
        <v>0</v>
      </c>
      <c r="Q169" s="157">
        <f>SUMIFS('Historical Orders'!$G169, 'Historical Orders'!$D169, "2", 'Historical Orders'!$C169, "A", 'Historical Orders'!$B169, "1")</f>
        <v>0</v>
      </c>
      <c r="R169" s="159">
        <f>SUMIFS('Historical Orders'!$E169, 'Historical Orders'!$D169, "2", 'Historical Orders'!$C169, "B", 'Historical Orders'!$B169, "1")</f>
        <v>0</v>
      </c>
      <c r="S169" s="157">
        <f>SUMIFS('Historical Orders'!$G169, 'Historical Orders'!$D169, "2", 'Historical Orders'!$C169, "B", 'Historical Orders'!$B169, "1")</f>
        <v>0</v>
      </c>
      <c r="T169" s="159">
        <f>SUMIFS('Historical Orders'!$E169, 'Historical Orders'!$D169, "2", 'Historical Orders'!$C169, "A", 'Historical Orders'!$B169, "2")</f>
        <v>0</v>
      </c>
      <c r="U169" s="157">
        <f>SUMIFS('Historical Orders'!$G169, 'Historical Orders'!$D169, "2", 'Historical Orders'!$C169, "A", 'Historical Orders'!$B169, "2")</f>
        <v>0</v>
      </c>
      <c r="V169" s="159">
        <f>SUMIFS('Historical Orders'!$E169, 'Historical Orders'!$D169, "2", 'Historical Orders'!$C169, "B", 'Historical Orders'!$B169, "2")</f>
        <v>0</v>
      </c>
      <c r="W169" s="159">
        <f>SUMIFS('Historical Orders'!$G169, 'Historical Orders'!$D169, "2", 'Historical Orders'!$C169, "B", 'Historical Orders'!$B169, "2")</f>
        <v>0</v>
      </c>
      <c r="X169" s="159">
        <f>SUMIFS('Historical Orders'!$E169, 'Historical Orders'!$D169, "3", 'Historical Orders'!$C169, "A", 'Historical Orders'!$B169, "1")</f>
        <v>0</v>
      </c>
      <c r="Y169" s="159">
        <f>SUMIFS('Historical Orders'!$G169, 'Historical Orders'!$D169, "3", 'Historical Orders'!$C169, "A", 'Historical Orders'!$B169, "1")</f>
        <v>0</v>
      </c>
      <c r="Z169" s="159">
        <f>SUMIFS('Historical Orders'!$E169, 'Historical Orders'!$D169, "3", 'Historical Orders'!$C169, "B", 'Historical Orders'!$B169, "1")</f>
        <v>0</v>
      </c>
      <c r="AA169" s="159">
        <f>SUMIFS('Historical Orders'!$G169, 'Historical Orders'!$D169, "3", 'Historical Orders'!$C169, "B", 'Historical Orders'!$B169, "1")</f>
        <v>0</v>
      </c>
      <c r="AB169" s="159">
        <f>SUMIFS('Historical Orders'!$E169, 'Historical Orders'!$D169, "3", 'Historical Orders'!$C169, "A", 'Historical Orders'!$B169, "2")</f>
        <v>0</v>
      </c>
      <c r="AC169" s="159">
        <f>SUMIFS('Historical Orders'!$G169, 'Historical Orders'!$D169, "3", 'Historical Orders'!$C169, "A", 'Historical Orders'!$B169, "2")</f>
        <v>0</v>
      </c>
      <c r="AD169" s="159">
        <f>SUMIFS('Historical Orders'!$E169, 'Historical Orders'!$D169, "3", 'Historical Orders'!$C169, "B", 'Historical Orders'!$B169, "2")</f>
        <v>2669</v>
      </c>
      <c r="AE169" s="157">
        <f>SUMIFS('Historical Orders'!$G169, 'Historical Orders'!$D169, "3", 'Historical Orders'!$C169, "B", 'Historical Orders'!$B169, "2")</f>
        <v>22152.7</v>
      </c>
      <c r="AF169" s="157">
        <f>SUMIFS('Historical Orders'!$E169, 'Historical Orders'!$D169, "4", 'Historical Orders'!$C169, "A", 'Historical Orders'!$B169, "1")</f>
        <v>0</v>
      </c>
      <c r="AG169" s="157">
        <f>SUMIFS('Historical Orders'!$G169, 'Historical Orders'!$D169, "4", 'Historical Orders'!$C169, "A", 'Historical Orders'!$B169, "1")</f>
        <v>0</v>
      </c>
      <c r="AH169" s="157">
        <f>SUMIFS('Historical Orders'!$E169, 'Historical Orders'!$D169, "4", 'Historical Orders'!$C169, "B", 'Historical Orders'!$B169, "1")</f>
        <v>0</v>
      </c>
      <c r="AI169" s="157">
        <f>SUMIFS('Historical Orders'!$G169, 'Historical Orders'!$D169, "4", 'Historical Orders'!$C169, "B", 'Historical Orders'!$B169, "1")</f>
        <v>0</v>
      </c>
      <c r="AJ169" s="157">
        <f>SUMIFS('Historical Orders'!$E169, 'Historical Orders'!$D169, "4", 'Historical Orders'!$C169, "A", 'Historical Orders'!$B169, "2")</f>
        <v>0</v>
      </c>
      <c r="AK169" s="157">
        <f>SUMIFS('Historical Orders'!$G169, 'Historical Orders'!$D169, "4", 'Historical Orders'!$C169, "A", 'Historical Orders'!$B169, "2")</f>
        <v>0</v>
      </c>
      <c r="AL169" s="171">
        <f>SUMIFS('Historical Orders'!$E169, 'Historical Orders'!$D169, "4", 'Historical Orders'!$C169, "B", 'Historical Orders'!$B169, "2")</f>
        <v>0</v>
      </c>
      <c r="AM169" s="171">
        <f>SUMIFS('Historical Orders'!$G169, 'Historical Orders'!$D169, "4", 'Historical Orders'!$C169, "B", 'Historical Orders'!$B169, "2")</f>
        <v>0</v>
      </c>
      <c r="AN169" s="171">
        <f>SUMIFS('Historical Orders'!$G169, 'Historical Orders'!$C169, "A", 'Historical Orders'!$B169, "1")</f>
        <v>0</v>
      </c>
      <c r="AO169" s="171">
        <f>SUMIFS('Historical Orders'!$G169, 'Historical Orders'!$C169, "B", 'Historical Orders'!$B169, "1")</f>
        <v>0</v>
      </c>
      <c r="AP169" s="171">
        <f>SUMIFS('Historical Orders'!$G169, 'Historical Orders'!$C169, "A", 'Historical Orders'!$B169, "2")</f>
        <v>0</v>
      </c>
      <c r="AQ169" s="171">
        <f>SUMIFS('Historical Orders'!$G169, 'Historical Orders'!$C169, "B", 'Historical Orders'!$B169, "2")</f>
        <v>22152.7</v>
      </c>
      <c r="AR169" s="145"/>
      <c r="AS169" s="172"/>
      <c r="AT169" s="172"/>
      <c r="AU169" s="172"/>
      <c r="AV169" s="172"/>
      <c r="AW169" s="172"/>
      <c r="AX169" s="172"/>
      <c r="AY169" s="172"/>
      <c r="AZ169" s="172"/>
      <c r="BA169" s="172"/>
      <c r="BB169" s="172"/>
      <c r="BC169" s="172"/>
      <c r="BD169" s="172"/>
      <c r="BE169" s="172"/>
      <c r="BF169" s="172"/>
      <c r="BG169" s="172"/>
      <c r="BH169" s="172"/>
      <c r="BI169" s="172"/>
      <c r="BJ169" s="172"/>
      <c r="BK169" s="172"/>
      <c r="BL169" s="172"/>
      <c r="BM169" s="172"/>
      <c r="BN169" s="172"/>
      <c r="BO169" s="172"/>
      <c r="BP169" s="172"/>
      <c r="BQ169" s="172"/>
      <c r="BR169" s="172"/>
      <c r="BS169" s="172"/>
      <c r="BT169" s="172"/>
      <c r="BU169" s="172"/>
      <c r="BV169" s="179"/>
      <c r="BW169" s="179"/>
      <c r="BX169" s="179"/>
      <c r="BY169" s="179"/>
      <c r="BZ169" s="179"/>
      <c r="CA169" s="179"/>
      <c r="CB169" s="179"/>
      <c r="CC169" s="179"/>
      <c r="CD169" s="179"/>
      <c r="CE169" s="179"/>
    </row>
    <row r="170" ht="15.75" customHeight="1">
      <c r="A170" s="151">
        <v>42051.0</v>
      </c>
      <c r="B170" s="152">
        <v>1.0</v>
      </c>
      <c r="C170" s="152" t="s">
        <v>45</v>
      </c>
      <c r="D170" s="152">
        <v>1.0</v>
      </c>
      <c r="E170" s="153">
        <v>4099.0</v>
      </c>
      <c r="F170" s="154">
        <v>2.2</v>
      </c>
      <c r="G170" s="155">
        <v>9017.800000000001</v>
      </c>
      <c r="H170" s="159">
        <f>SUMIFS('Historical Orders'!$E170, 'Historical Orders'!$D170, "1", 'Historical Orders'!$C170, "A", 'Historical Orders'!$B170, "1")</f>
        <v>4099</v>
      </c>
      <c r="I170" s="157">
        <f>SUMIFS('Historical Orders'!$G170, 'Historical Orders'!$D170, "1", 'Historical Orders'!$C170, "A", 'Historical Orders'!$B170, "1")</f>
        <v>9017.8</v>
      </c>
      <c r="J170" s="157">
        <f>SUMIFS('Historical Orders'!$E170, 'Historical Orders'!$D170, "1", 'Historical Orders'!$C170, "B", 'Historical Orders'!$B170, "1")</f>
        <v>0</v>
      </c>
      <c r="K170" s="157">
        <f>SUMIFS('Historical Orders'!$G170, 'Historical Orders'!$D170, "1", 'Historical Orders'!$C170, "B", 'Historical Orders'!$B170, "1")</f>
        <v>0</v>
      </c>
      <c r="L170" s="159">
        <f>SUMIFS('Historical Orders'!$E170, 'Historical Orders'!$D170, "1", 'Historical Orders'!$C170, "A", 'Historical Orders'!$B170, "2")</f>
        <v>0</v>
      </c>
      <c r="M170" s="157">
        <f>SUMIFS('Historical Orders'!$G170, 'Historical Orders'!$D170, "1", 'Historical Orders'!$C170, "A", 'Historical Orders'!$B170, "2")</f>
        <v>0</v>
      </c>
      <c r="N170" s="157">
        <f>SUMIFS('Historical Orders'!$E170, 'Historical Orders'!$D170, "1", 'Historical Orders'!$C170, "B", 'Historical Orders'!$B170, "2")</f>
        <v>0</v>
      </c>
      <c r="O170" s="157">
        <f>SUMIFS('Historical Orders'!$G170, 'Historical Orders'!$D170, "1", 'Historical Orders'!$C170, "B", 'Historical Orders'!$B170, "2")</f>
        <v>0</v>
      </c>
      <c r="P170" s="159">
        <f>SUMIFS('Historical Orders'!$E170, 'Historical Orders'!$D170, "2", 'Historical Orders'!$C170, "A", 'Historical Orders'!$B170, "1")</f>
        <v>0</v>
      </c>
      <c r="Q170" s="157">
        <f>SUMIFS('Historical Orders'!$G170, 'Historical Orders'!$D170, "2", 'Historical Orders'!$C170, "A", 'Historical Orders'!$B170, "1")</f>
        <v>0</v>
      </c>
      <c r="R170" s="159">
        <f>SUMIFS('Historical Orders'!$E170, 'Historical Orders'!$D170, "2", 'Historical Orders'!$C170, "B", 'Historical Orders'!$B170, "1")</f>
        <v>0</v>
      </c>
      <c r="S170" s="157">
        <f>SUMIFS('Historical Orders'!$G170, 'Historical Orders'!$D170, "2", 'Historical Orders'!$C170, "B", 'Historical Orders'!$B170, "1")</f>
        <v>0</v>
      </c>
      <c r="T170" s="159">
        <f>SUMIFS('Historical Orders'!$E170, 'Historical Orders'!$D170, "2", 'Historical Orders'!$C170, "A", 'Historical Orders'!$B170, "2")</f>
        <v>0</v>
      </c>
      <c r="U170" s="157">
        <f>SUMIFS('Historical Orders'!$G170, 'Historical Orders'!$D170, "2", 'Historical Orders'!$C170, "A", 'Historical Orders'!$B170, "2")</f>
        <v>0</v>
      </c>
      <c r="V170" s="159">
        <f>SUMIFS('Historical Orders'!$E170, 'Historical Orders'!$D170, "2", 'Historical Orders'!$C170, "B", 'Historical Orders'!$B170, "2")</f>
        <v>0</v>
      </c>
      <c r="W170" s="159">
        <f>SUMIFS('Historical Orders'!$G170, 'Historical Orders'!$D170, "2", 'Historical Orders'!$C170, "B", 'Historical Orders'!$B170, "2")</f>
        <v>0</v>
      </c>
      <c r="X170" s="159">
        <f>SUMIFS('Historical Orders'!$E170, 'Historical Orders'!$D170, "3", 'Historical Orders'!$C170, "A", 'Historical Orders'!$B170, "1")</f>
        <v>0</v>
      </c>
      <c r="Y170" s="159">
        <f>SUMIFS('Historical Orders'!$G170, 'Historical Orders'!$D170, "3", 'Historical Orders'!$C170, "A", 'Historical Orders'!$B170, "1")</f>
        <v>0</v>
      </c>
      <c r="Z170" s="159">
        <f>SUMIFS('Historical Orders'!$E170, 'Historical Orders'!$D170, "3", 'Historical Orders'!$C170, "B", 'Historical Orders'!$B170, "1")</f>
        <v>0</v>
      </c>
      <c r="AA170" s="159">
        <f>SUMIFS('Historical Orders'!$G170, 'Historical Orders'!$D170, "3", 'Historical Orders'!$C170, "B", 'Historical Orders'!$B170, "1")</f>
        <v>0</v>
      </c>
      <c r="AB170" s="159">
        <f>SUMIFS('Historical Orders'!$E170, 'Historical Orders'!$D170, "3", 'Historical Orders'!$C170, "A", 'Historical Orders'!$B170, "2")</f>
        <v>0</v>
      </c>
      <c r="AC170" s="159">
        <f>SUMIFS('Historical Orders'!$G170, 'Historical Orders'!$D170, "3", 'Historical Orders'!$C170, "A", 'Historical Orders'!$B170, "2")</f>
        <v>0</v>
      </c>
      <c r="AD170" s="159">
        <f>SUMIFS('Historical Orders'!$E170, 'Historical Orders'!$D170, "3", 'Historical Orders'!$C170, "B", 'Historical Orders'!$B170, "2")</f>
        <v>0</v>
      </c>
      <c r="AE170" s="157">
        <f>SUMIFS('Historical Orders'!$G170, 'Historical Orders'!$D170, "3", 'Historical Orders'!$C170, "B", 'Historical Orders'!$B170, "2")</f>
        <v>0</v>
      </c>
      <c r="AF170" s="157">
        <f>SUMIFS('Historical Orders'!$E170, 'Historical Orders'!$D170, "4", 'Historical Orders'!$C170, "A", 'Historical Orders'!$B170, "1")</f>
        <v>0</v>
      </c>
      <c r="AG170" s="157">
        <f>SUMIFS('Historical Orders'!$G170, 'Historical Orders'!$D170, "4", 'Historical Orders'!$C170, "A", 'Historical Orders'!$B170, "1")</f>
        <v>0</v>
      </c>
      <c r="AH170" s="157">
        <f>SUMIFS('Historical Orders'!$E170, 'Historical Orders'!$D170, "4", 'Historical Orders'!$C170, "B", 'Historical Orders'!$B170, "1")</f>
        <v>0</v>
      </c>
      <c r="AI170" s="157">
        <f>SUMIFS('Historical Orders'!$G170, 'Historical Orders'!$D170, "4", 'Historical Orders'!$C170, "B", 'Historical Orders'!$B170, "1")</f>
        <v>0</v>
      </c>
      <c r="AJ170" s="157">
        <f>SUMIFS('Historical Orders'!$E170, 'Historical Orders'!$D170, "4", 'Historical Orders'!$C170, "A", 'Historical Orders'!$B170, "2")</f>
        <v>0</v>
      </c>
      <c r="AK170" s="157">
        <f>SUMIFS('Historical Orders'!$G170, 'Historical Orders'!$D170, "4", 'Historical Orders'!$C170, "A", 'Historical Orders'!$B170, "2")</f>
        <v>0</v>
      </c>
      <c r="AL170" s="171">
        <f>SUMIFS('Historical Orders'!$E170, 'Historical Orders'!$D170, "4", 'Historical Orders'!$C170, "B", 'Historical Orders'!$B170, "2")</f>
        <v>0</v>
      </c>
      <c r="AM170" s="171">
        <f>SUMIFS('Historical Orders'!$G170, 'Historical Orders'!$D170, "4", 'Historical Orders'!$C170, "B", 'Historical Orders'!$B170, "2")</f>
        <v>0</v>
      </c>
      <c r="AN170" s="171">
        <f>SUMIFS('Historical Orders'!$G170, 'Historical Orders'!$C170, "A", 'Historical Orders'!$B170, "1")</f>
        <v>9017.8</v>
      </c>
      <c r="AO170" s="171">
        <f>SUMIFS('Historical Orders'!$G170, 'Historical Orders'!$C170, "B", 'Historical Orders'!$B170, "1")</f>
        <v>0</v>
      </c>
      <c r="AP170" s="171">
        <f>SUMIFS('Historical Orders'!$G170, 'Historical Orders'!$C170, "A", 'Historical Orders'!$B170, "2")</f>
        <v>0</v>
      </c>
      <c r="AQ170" s="171">
        <f>SUMIFS('Historical Orders'!$G170, 'Historical Orders'!$C170, "B", 'Historical Orders'!$B170, "2")</f>
        <v>0</v>
      </c>
      <c r="AR170" s="145"/>
      <c r="AS170" s="172"/>
      <c r="AT170" s="172"/>
      <c r="AU170" s="172"/>
      <c r="AV170" s="172"/>
      <c r="AW170" s="172"/>
      <c r="AX170" s="172"/>
      <c r="AY170" s="172"/>
      <c r="AZ170" s="172"/>
      <c r="BA170" s="172"/>
      <c r="BB170" s="172"/>
      <c r="BC170" s="172"/>
      <c r="BD170" s="172"/>
      <c r="BE170" s="172"/>
      <c r="BF170" s="172"/>
      <c r="BG170" s="172"/>
      <c r="BH170" s="172"/>
      <c r="BI170" s="172"/>
      <c r="BJ170" s="172"/>
      <c r="BK170" s="172"/>
      <c r="BL170" s="172"/>
      <c r="BM170" s="172"/>
      <c r="BN170" s="172"/>
      <c r="BO170" s="172"/>
      <c r="BP170" s="172"/>
      <c r="BQ170" s="172"/>
      <c r="BR170" s="172"/>
      <c r="BS170" s="172"/>
      <c r="BT170" s="172"/>
      <c r="BU170" s="172"/>
      <c r="BV170" s="179"/>
      <c r="BW170" s="179"/>
      <c r="BX170" s="179"/>
      <c r="BY170" s="179"/>
      <c r="BZ170" s="179"/>
      <c r="CA170" s="179"/>
      <c r="CB170" s="179"/>
      <c r="CC170" s="179"/>
      <c r="CD170" s="179"/>
      <c r="CE170" s="179"/>
    </row>
    <row r="171" ht="15.75" customHeight="1">
      <c r="A171" s="151">
        <v>42051.0</v>
      </c>
      <c r="B171" s="152">
        <v>1.0</v>
      </c>
      <c r="C171" s="152" t="s">
        <v>45</v>
      </c>
      <c r="D171" s="152">
        <v>2.0</v>
      </c>
      <c r="E171" s="153">
        <v>4954.0</v>
      </c>
      <c r="F171" s="154">
        <v>1.2</v>
      </c>
      <c r="G171" s="155">
        <v>5944.8</v>
      </c>
      <c r="H171" s="159">
        <f>SUMIFS('Historical Orders'!$E171, 'Historical Orders'!$D171, "1", 'Historical Orders'!$C171, "A", 'Historical Orders'!$B171, "1")</f>
        <v>0</v>
      </c>
      <c r="I171" s="157">
        <f>SUMIFS('Historical Orders'!$G171, 'Historical Orders'!$D171, "1", 'Historical Orders'!$C171, "A", 'Historical Orders'!$B171, "1")</f>
        <v>0</v>
      </c>
      <c r="J171" s="157">
        <f>SUMIFS('Historical Orders'!$E171, 'Historical Orders'!$D171, "1", 'Historical Orders'!$C171, "B", 'Historical Orders'!$B171, "1")</f>
        <v>0</v>
      </c>
      <c r="K171" s="157">
        <f>SUMIFS('Historical Orders'!$G171, 'Historical Orders'!$D171, "1", 'Historical Orders'!$C171, "B", 'Historical Orders'!$B171, "1")</f>
        <v>0</v>
      </c>
      <c r="L171" s="159">
        <f>SUMIFS('Historical Orders'!$E171, 'Historical Orders'!$D171, "1", 'Historical Orders'!$C171, "A", 'Historical Orders'!$B171, "2")</f>
        <v>0</v>
      </c>
      <c r="M171" s="157">
        <f>SUMIFS('Historical Orders'!$G171, 'Historical Orders'!$D171, "1", 'Historical Orders'!$C171, "A", 'Historical Orders'!$B171, "2")</f>
        <v>0</v>
      </c>
      <c r="N171" s="157">
        <f>SUMIFS('Historical Orders'!$E171, 'Historical Orders'!$D171, "1", 'Historical Orders'!$C171, "B", 'Historical Orders'!$B171, "2")</f>
        <v>0</v>
      </c>
      <c r="O171" s="157">
        <f>SUMIFS('Historical Orders'!$G171, 'Historical Orders'!$D171, "1", 'Historical Orders'!$C171, "B", 'Historical Orders'!$B171, "2")</f>
        <v>0</v>
      </c>
      <c r="P171" s="159">
        <f>SUMIFS('Historical Orders'!$E171, 'Historical Orders'!$D171, "2", 'Historical Orders'!$C171, "A", 'Historical Orders'!$B171, "1")</f>
        <v>4954</v>
      </c>
      <c r="Q171" s="157">
        <f>SUMIFS('Historical Orders'!$G171, 'Historical Orders'!$D171, "2", 'Historical Orders'!$C171, "A", 'Historical Orders'!$B171, "1")</f>
        <v>5944.8</v>
      </c>
      <c r="R171" s="159">
        <f>SUMIFS('Historical Orders'!$E171, 'Historical Orders'!$D171, "2", 'Historical Orders'!$C171, "B", 'Historical Orders'!$B171, "1")</f>
        <v>0</v>
      </c>
      <c r="S171" s="157">
        <f>SUMIFS('Historical Orders'!$G171, 'Historical Orders'!$D171, "2", 'Historical Orders'!$C171, "B", 'Historical Orders'!$B171, "1")</f>
        <v>0</v>
      </c>
      <c r="T171" s="159">
        <f>SUMIFS('Historical Orders'!$E171, 'Historical Orders'!$D171, "2", 'Historical Orders'!$C171, "A", 'Historical Orders'!$B171, "2")</f>
        <v>0</v>
      </c>
      <c r="U171" s="157">
        <f>SUMIFS('Historical Orders'!$G171, 'Historical Orders'!$D171, "2", 'Historical Orders'!$C171, "A", 'Historical Orders'!$B171, "2")</f>
        <v>0</v>
      </c>
      <c r="V171" s="159">
        <f>SUMIFS('Historical Orders'!$E171, 'Historical Orders'!$D171, "2", 'Historical Orders'!$C171, "B", 'Historical Orders'!$B171, "2")</f>
        <v>0</v>
      </c>
      <c r="W171" s="159">
        <f>SUMIFS('Historical Orders'!$G171, 'Historical Orders'!$D171, "2", 'Historical Orders'!$C171, "B", 'Historical Orders'!$B171, "2")</f>
        <v>0</v>
      </c>
      <c r="X171" s="159">
        <f>SUMIFS('Historical Orders'!$E171, 'Historical Orders'!$D171, "3", 'Historical Orders'!$C171, "A", 'Historical Orders'!$B171, "1")</f>
        <v>0</v>
      </c>
      <c r="Y171" s="159">
        <f>SUMIFS('Historical Orders'!$G171, 'Historical Orders'!$D171, "3", 'Historical Orders'!$C171, "A", 'Historical Orders'!$B171, "1")</f>
        <v>0</v>
      </c>
      <c r="Z171" s="159">
        <f>SUMIFS('Historical Orders'!$E171, 'Historical Orders'!$D171, "3", 'Historical Orders'!$C171, "B", 'Historical Orders'!$B171, "1")</f>
        <v>0</v>
      </c>
      <c r="AA171" s="159">
        <f>SUMIFS('Historical Orders'!$G171, 'Historical Orders'!$D171, "3", 'Historical Orders'!$C171, "B", 'Historical Orders'!$B171, "1")</f>
        <v>0</v>
      </c>
      <c r="AB171" s="159">
        <f>SUMIFS('Historical Orders'!$E171, 'Historical Orders'!$D171, "3", 'Historical Orders'!$C171, "A", 'Historical Orders'!$B171, "2")</f>
        <v>0</v>
      </c>
      <c r="AC171" s="159">
        <f>SUMIFS('Historical Orders'!$G171, 'Historical Orders'!$D171, "3", 'Historical Orders'!$C171, "A", 'Historical Orders'!$B171, "2")</f>
        <v>0</v>
      </c>
      <c r="AD171" s="159">
        <f>SUMIFS('Historical Orders'!$E171, 'Historical Orders'!$D171, "3", 'Historical Orders'!$C171, "B", 'Historical Orders'!$B171, "2")</f>
        <v>0</v>
      </c>
      <c r="AE171" s="157">
        <f>SUMIFS('Historical Orders'!$G171, 'Historical Orders'!$D171, "3", 'Historical Orders'!$C171, "B", 'Historical Orders'!$B171, "2")</f>
        <v>0</v>
      </c>
      <c r="AF171" s="157">
        <f>SUMIFS('Historical Orders'!$E171, 'Historical Orders'!$D171, "4", 'Historical Orders'!$C171, "A", 'Historical Orders'!$B171, "1")</f>
        <v>0</v>
      </c>
      <c r="AG171" s="157">
        <f>SUMIFS('Historical Orders'!$G171, 'Historical Orders'!$D171, "4", 'Historical Orders'!$C171, "A", 'Historical Orders'!$B171, "1")</f>
        <v>0</v>
      </c>
      <c r="AH171" s="157">
        <f>SUMIFS('Historical Orders'!$E171, 'Historical Orders'!$D171, "4", 'Historical Orders'!$C171, "B", 'Historical Orders'!$B171, "1")</f>
        <v>0</v>
      </c>
      <c r="AI171" s="157">
        <f>SUMIFS('Historical Orders'!$G171, 'Historical Orders'!$D171, "4", 'Historical Orders'!$C171, "B", 'Historical Orders'!$B171, "1")</f>
        <v>0</v>
      </c>
      <c r="AJ171" s="157">
        <f>SUMIFS('Historical Orders'!$E171, 'Historical Orders'!$D171, "4", 'Historical Orders'!$C171, "A", 'Historical Orders'!$B171, "2")</f>
        <v>0</v>
      </c>
      <c r="AK171" s="157">
        <f>SUMIFS('Historical Orders'!$G171, 'Historical Orders'!$D171, "4", 'Historical Orders'!$C171, "A", 'Historical Orders'!$B171, "2")</f>
        <v>0</v>
      </c>
      <c r="AL171" s="171">
        <f>SUMIFS('Historical Orders'!$E171, 'Historical Orders'!$D171, "4", 'Historical Orders'!$C171, "B", 'Historical Orders'!$B171, "2")</f>
        <v>0</v>
      </c>
      <c r="AM171" s="171">
        <f>SUMIFS('Historical Orders'!$G171, 'Historical Orders'!$D171, "4", 'Historical Orders'!$C171, "B", 'Historical Orders'!$B171, "2")</f>
        <v>0</v>
      </c>
      <c r="AN171" s="171">
        <f>SUMIFS('Historical Orders'!$G171, 'Historical Orders'!$C171, "A", 'Historical Orders'!$B171, "1")</f>
        <v>5944.8</v>
      </c>
      <c r="AO171" s="171">
        <f>SUMIFS('Historical Orders'!$G171, 'Historical Orders'!$C171, "B", 'Historical Orders'!$B171, "1")</f>
        <v>0</v>
      </c>
      <c r="AP171" s="171">
        <f>SUMIFS('Historical Orders'!$G171, 'Historical Orders'!$C171, "A", 'Historical Orders'!$B171, "2")</f>
        <v>0</v>
      </c>
      <c r="AQ171" s="171">
        <f>SUMIFS('Historical Orders'!$G171, 'Historical Orders'!$C171, "B", 'Historical Orders'!$B171, "2")</f>
        <v>0</v>
      </c>
      <c r="AR171" s="145"/>
      <c r="AS171" s="172"/>
      <c r="AT171" s="172"/>
      <c r="AU171" s="172"/>
      <c r="AV171" s="172"/>
      <c r="AW171" s="172"/>
      <c r="AX171" s="172"/>
      <c r="AY171" s="172"/>
      <c r="AZ171" s="172"/>
      <c r="BA171" s="172"/>
      <c r="BB171" s="172"/>
      <c r="BC171" s="172"/>
      <c r="BD171" s="172"/>
      <c r="BE171" s="172"/>
      <c r="BF171" s="172"/>
      <c r="BG171" s="172"/>
      <c r="BH171" s="172"/>
      <c r="BI171" s="172"/>
      <c r="BJ171" s="172"/>
      <c r="BK171" s="172"/>
      <c r="BL171" s="172"/>
      <c r="BM171" s="172"/>
      <c r="BN171" s="172"/>
      <c r="BO171" s="172"/>
      <c r="BP171" s="172"/>
      <c r="BQ171" s="172"/>
      <c r="BR171" s="172"/>
      <c r="BS171" s="172"/>
      <c r="BT171" s="172"/>
      <c r="BU171" s="172"/>
      <c r="BV171" s="179"/>
      <c r="BW171" s="179"/>
      <c r="BX171" s="179"/>
      <c r="BY171" s="179"/>
      <c r="BZ171" s="179"/>
      <c r="CA171" s="179"/>
      <c r="CB171" s="179"/>
      <c r="CC171" s="179"/>
      <c r="CD171" s="179"/>
      <c r="CE171" s="179"/>
    </row>
    <row r="172" ht="15.75" customHeight="1">
      <c r="A172" s="151">
        <v>42051.0</v>
      </c>
      <c r="B172" s="152">
        <v>2.0</v>
      </c>
      <c r="C172" s="152" t="s">
        <v>45</v>
      </c>
      <c r="D172" s="152">
        <v>1.0</v>
      </c>
      <c r="E172" s="153">
        <v>3390.0</v>
      </c>
      <c r="F172" s="154">
        <v>2.2</v>
      </c>
      <c r="G172" s="155">
        <v>7458.000000000001</v>
      </c>
      <c r="H172" s="159">
        <f>SUMIFS('Historical Orders'!$E172, 'Historical Orders'!$D172, "1", 'Historical Orders'!$C172, "A", 'Historical Orders'!$B172, "1")</f>
        <v>0</v>
      </c>
      <c r="I172" s="157">
        <f>SUMIFS('Historical Orders'!$G172, 'Historical Orders'!$D172, "1", 'Historical Orders'!$C172, "A", 'Historical Orders'!$B172, "1")</f>
        <v>0</v>
      </c>
      <c r="J172" s="157">
        <f>SUMIFS('Historical Orders'!$E172, 'Historical Orders'!$D172, "1", 'Historical Orders'!$C172, "B", 'Historical Orders'!$B172, "1")</f>
        <v>0</v>
      </c>
      <c r="K172" s="157">
        <f>SUMIFS('Historical Orders'!$G172, 'Historical Orders'!$D172, "1", 'Historical Orders'!$C172, "B", 'Historical Orders'!$B172, "1")</f>
        <v>0</v>
      </c>
      <c r="L172" s="159">
        <f>SUMIFS('Historical Orders'!$E172, 'Historical Orders'!$D172, "1", 'Historical Orders'!$C172, "A", 'Historical Orders'!$B172, "2")</f>
        <v>3390</v>
      </c>
      <c r="M172" s="157">
        <f>SUMIFS('Historical Orders'!$G172, 'Historical Orders'!$D172, "1", 'Historical Orders'!$C172, "A", 'Historical Orders'!$B172, "2")</f>
        <v>7458</v>
      </c>
      <c r="N172" s="157">
        <f>SUMIFS('Historical Orders'!$E172, 'Historical Orders'!$D172, "1", 'Historical Orders'!$C172, "B", 'Historical Orders'!$B172, "2")</f>
        <v>0</v>
      </c>
      <c r="O172" s="157">
        <f>SUMIFS('Historical Orders'!$G172, 'Historical Orders'!$D172, "1", 'Historical Orders'!$C172, "B", 'Historical Orders'!$B172, "2")</f>
        <v>0</v>
      </c>
      <c r="P172" s="159">
        <f>SUMIFS('Historical Orders'!$E172, 'Historical Orders'!$D172, "2", 'Historical Orders'!$C172, "A", 'Historical Orders'!$B172, "1")</f>
        <v>0</v>
      </c>
      <c r="Q172" s="157">
        <f>SUMIFS('Historical Orders'!$G172, 'Historical Orders'!$D172, "2", 'Historical Orders'!$C172, "A", 'Historical Orders'!$B172, "1")</f>
        <v>0</v>
      </c>
      <c r="R172" s="159">
        <f>SUMIFS('Historical Orders'!$E172, 'Historical Orders'!$D172, "2", 'Historical Orders'!$C172, "B", 'Historical Orders'!$B172, "1")</f>
        <v>0</v>
      </c>
      <c r="S172" s="157">
        <f>SUMIFS('Historical Orders'!$G172, 'Historical Orders'!$D172, "2", 'Historical Orders'!$C172, "B", 'Historical Orders'!$B172, "1")</f>
        <v>0</v>
      </c>
      <c r="T172" s="159">
        <f>SUMIFS('Historical Orders'!$E172, 'Historical Orders'!$D172, "2", 'Historical Orders'!$C172, "A", 'Historical Orders'!$B172, "2")</f>
        <v>0</v>
      </c>
      <c r="U172" s="157">
        <f>SUMIFS('Historical Orders'!$G172, 'Historical Orders'!$D172, "2", 'Historical Orders'!$C172, "A", 'Historical Orders'!$B172, "2")</f>
        <v>0</v>
      </c>
      <c r="V172" s="159">
        <f>SUMIFS('Historical Orders'!$E172, 'Historical Orders'!$D172, "2", 'Historical Orders'!$C172, "B", 'Historical Orders'!$B172, "2")</f>
        <v>0</v>
      </c>
      <c r="W172" s="159">
        <f>SUMIFS('Historical Orders'!$G172, 'Historical Orders'!$D172, "2", 'Historical Orders'!$C172, "B", 'Historical Orders'!$B172, "2")</f>
        <v>0</v>
      </c>
      <c r="X172" s="159">
        <f>SUMIFS('Historical Orders'!$E172, 'Historical Orders'!$D172, "3", 'Historical Orders'!$C172, "A", 'Historical Orders'!$B172, "1")</f>
        <v>0</v>
      </c>
      <c r="Y172" s="159">
        <f>SUMIFS('Historical Orders'!$G172, 'Historical Orders'!$D172, "3", 'Historical Orders'!$C172, "A", 'Historical Orders'!$B172, "1")</f>
        <v>0</v>
      </c>
      <c r="Z172" s="159">
        <f>SUMIFS('Historical Orders'!$E172, 'Historical Orders'!$D172, "3", 'Historical Orders'!$C172, "B", 'Historical Orders'!$B172, "1")</f>
        <v>0</v>
      </c>
      <c r="AA172" s="159">
        <f>SUMIFS('Historical Orders'!$G172, 'Historical Orders'!$D172, "3", 'Historical Orders'!$C172, "B", 'Historical Orders'!$B172, "1")</f>
        <v>0</v>
      </c>
      <c r="AB172" s="159">
        <f>SUMIFS('Historical Orders'!$E172, 'Historical Orders'!$D172, "3", 'Historical Orders'!$C172, "A", 'Historical Orders'!$B172, "2")</f>
        <v>0</v>
      </c>
      <c r="AC172" s="159">
        <f>SUMIFS('Historical Orders'!$G172, 'Historical Orders'!$D172, "3", 'Historical Orders'!$C172, "A", 'Historical Orders'!$B172, "2")</f>
        <v>0</v>
      </c>
      <c r="AD172" s="159">
        <f>SUMIFS('Historical Orders'!$E172, 'Historical Orders'!$D172, "3", 'Historical Orders'!$C172, "B", 'Historical Orders'!$B172, "2")</f>
        <v>0</v>
      </c>
      <c r="AE172" s="157">
        <f>SUMIFS('Historical Orders'!$G172, 'Historical Orders'!$D172, "3", 'Historical Orders'!$C172, "B", 'Historical Orders'!$B172, "2")</f>
        <v>0</v>
      </c>
      <c r="AF172" s="157">
        <f>SUMIFS('Historical Orders'!$E172, 'Historical Orders'!$D172, "4", 'Historical Orders'!$C172, "A", 'Historical Orders'!$B172, "1")</f>
        <v>0</v>
      </c>
      <c r="AG172" s="157">
        <f>SUMIFS('Historical Orders'!$G172, 'Historical Orders'!$D172, "4", 'Historical Orders'!$C172, "A", 'Historical Orders'!$B172, "1")</f>
        <v>0</v>
      </c>
      <c r="AH172" s="157">
        <f>SUMIFS('Historical Orders'!$E172, 'Historical Orders'!$D172, "4", 'Historical Orders'!$C172, "B", 'Historical Orders'!$B172, "1")</f>
        <v>0</v>
      </c>
      <c r="AI172" s="157">
        <f>SUMIFS('Historical Orders'!$G172, 'Historical Orders'!$D172, "4", 'Historical Orders'!$C172, "B", 'Historical Orders'!$B172, "1")</f>
        <v>0</v>
      </c>
      <c r="AJ172" s="157">
        <f>SUMIFS('Historical Orders'!$E172, 'Historical Orders'!$D172, "4", 'Historical Orders'!$C172, "A", 'Historical Orders'!$B172, "2")</f>
        <v>0</v>
      </c>
      <c r="AK172" s="157">
        <f>SUMIFS('Historical Orders'!$G172, 'Historical Orders'!$D172, "4", 'Historical Orders'!$C172, "A", 'Historical Orders'!$B172, "2")</f>
        <v>0</v>
      </c>
      <c r="AL172" s="171">
        <f>SUMIFS('Historical Orders'!$E172, 'Historical Orders'!$D172, "4", 'Historical Orders'!$C172, "B", 'Historical Orders'!$B172, "2")</f>
        <v>0</v>
      </c>
      <c r="AM172" s="171">
        <f>SUMIFS('Historical Orders'!$G172, 'Historical Orders'!$D172, "4", 'Historical Orders'!$C172, "B", 'Historical Orders'!$B172, "2")</f>
        <v>0</v>
      </c>
      <c r="AN172" s="171">
        <f>SUMIFS('Historical Orders'!$G172, 'Historical Orders'!$C172, "A", 'Historical Orders'!$B172, "1")</f>
        <v>0</v>
      </c>
      <c r="AO172" s="171">
        <f>SUMIFS('Historical Orders'!$G172, 'Historical Orders'!$C172, "B", 'Historical Orders'!$B172, "1")</f>
        <v>0</v>
      </c>
      <c r="AP172" s="171">
        <f>SUMIFS('Historical Orders'!$G172, 'Historical Orders'!$C172, "A", 'Historical Orders'!$B172, "2")</f>
        <v>7458</v>
      </c>
      <c r="AQ172" s="171">
        <f>SUMIFS('Historical Orders'!$G172, 'Historical Orders'!$C172, "B", 'Historical Orders'!$B172, "2")</f>
        <v>0</v>
      </c>
      <c r="AR172" s="145"/>
      <c r="AS172" s="172"/>
      <c r="AT172" s="172"/>
      <c r="AU172" s="172"/>
      <c r="AV172" s="172"/>
      <c r="AW172" s="172"/>
      <c r="AX172" s="172"/>
      <c r="AY172" s="172"/>
      <c r="AZ172" s="172"/>
      <c r="BA172" s="172"/>
      <c r="BB172" s="172"/>
      <c r="BC172" s="172"/>
      <c r="BD172" s="172"/>
      <c r="BE172" s="172"/>
      <c r="BF172" s="172"/>
      <c r="BG172" s="172"/>
      <c r="BH172" s="172"/>
      <c r="BI172" s="172"/>
      <c r="BJ172" s="172"/>
      <c r="BK172" s="172"/>
      <c r="BL172" s="172"/>
      <c r="BM172" s="172"/>
      <c r="BN172" s="172"/>
      <c r="BO172" s="172"/>
      <c r="BP172" s="172"/>
      <c r="BQ172" s="172"/>
      <c r="BR172" s="172"/>
      <c r="BS172" s="172"/>
      <c r="BT172" s="172"/>
      <c r="BU172" s="172"/>
      <c r="BV172" s="179"/>
      <c r="BW172" s="179"/>
      <c r="BX172" s="179"/>
      <c r="BY172" s="179"/>
      <c r="BZ172" s="179"/>
      <c r="CA172" s="179"/>
      <c r="CB172" s="179"/>
      <c r="CC172" s="179"/>
      <c r="CD172" s="179"/>
      <c r="CE172" s="179"/>
    </row>
    <row r="173" ht="15.75" customHeight="1">
      <c r="A173" s="151">
        <v>42051.0</v>
      </c>
      <c r="B173" s="152">
        <v>2.0</v>
      </c>
      <c r="C173" s="152" t="s">
        <v>45</v>
      </c>
      <c r="D173" s="152">
        <v>2.0</v>
      </c>
      <c r="E173" s="153">
        <v>4390.0</v>
      </c>
      <c r="F173" s="154">
        <v>1.2</v>
      </c>
      <c r="G173" s="155">
        <v>5268.0</v>
      </c>
      <c r="H173" s="159">
        <f>SUMIFS('Historical Orders'!$E173, 'Historical Orders'!$D173, "1", 'Historical Orders'!$C173, "A", 'Historical Orders'!$B173, "1")</f>
        <v>0</v>
      </c>
      <c r="I173" s="157">
        <f>SUMIFS('Historical Orders'!$G173, 'Historical Orders'!$D173, "1", 'Historical Orders'!$C173, "A", 'Historical Orders'!$B173, "1")</f>
        <v>0</v>
      </c>
      <c r="J173" s="157">
        <f>SUMIFS('Historical Orders'!$E173, 'Historical Orders'!$D173, "1", 'Historical Orders'!$C173, "B", 'Historical Orders'!$B173, "1")</f>
        <v>0</v>
      </c>
      <c r="K173" s="157">
        <f>SUMIFS('Historical Orders'!$G173, 'Historical Orders'!$D173, "1", 'Historical Orders'!$C173, "B", 'Historical Orders'!$B173, "1")</f>
        <v>0</v>
      </c>
      <c r="L173" s="159">
        <f>SUMIFS('Historical Orders'!$E173, 'Historical Orders'!$D173, "1", 'Historical Orders'!$C173, "A", 'Historical Orders'!$B173, "2")</f>
        <v>0</v>
      </c>
      <c r="M173" s="157">
        <f>SUMIFS('Historical Orders'!$G173, 'Historical Orders'!$D173, "1", 'Historical Orders'!$C173, "A", 'Historical Orders'!$B173, "2")</f>
        <v>0</v>
      </c>
      <c r="N173" s="157">
        <f>SUMIFS('Historical Orders'!$E173, 'Historical Orders'!$D173, "1", 'Historical Orders'!$C173, "B", 'Historical Orders'!$B173, "2")</f>
        <v>0</v>
      </c>
      <c r="O173" s="157">
        <f>SUMIFS('Historical Orders'!$G173, 'Historical Orders'!$D173, "1", 'Historical Orders'!$C173, "B", 'Historical Orders'!$B173, "2")</f>
        <v>0</v>
      </c>
      <c r="P173" s="159">
        <f>SUMIFS('Historical Orders'!$E173, 'Historical Orders'!$D173, "2", 'Historical Orders'!$C173, "A", 'Historical Orders'!$B173, "1")</f>
        <v>0</v>
      </c>
      <c r="Q173" s="157">
        <f>SUMIFS('Historical Orders'!$G173, 'Historical Orders'!$D173, "2", 'Historical Orders'!$C173, "A", 'Historical Orders'!$B173, "1")</f>
        <v>0</v>
      </c>
      <c r="R173" s="159">
        <f>SUMIFS('Historical Orders'!$E173, 'Historical Orders'!$D173, "2", 'Historical Orders'!$C173, "B", 'Historical Orders'!$B173, "1")</f>
        <v>0</v>
      </c>
      <c r="S173" s="157">
        <f>SUMIFS('Historical Orders'!$G173, 'Historical Orders'!$D173, "2", 'Historical Orders'!$C173, "B", 'Historical Orders'!$B173, "1")</f>
        <v>0</v>
      </c>
      <c r="T173" s="159">
        <f>SUMIFS('Historical Orders'!$E173, 'Historical Orders'!$D173, "2", 'Historical Orders'!$C173, "A", 'Historical Orders'!$B173, "2")</f>
        <v>4390</v>
      </c>
      <c r="U173" s="157">
        <f>SUMIFS('Historical Orders'!$G173, 'Historical Orders'!$D173, "2", 'Historical Orders'!$C173, "A", 'Historical Orders'!$B173, "2")</f>
        <v>5268</v>
      </c>
      <c r="V173" s="159">
        <f>SUMIFS('Historical Orders'!$E173, 'Historical Orders'!$D173, "2", 'Historical Orders'!$C173, "B", 'Historical Orders'!$B173, "2")</f>
        <v>0</v>
      </c>
      <c r="W173" s="159">
        <f>SUMIFS('Historical Orders'!$G173, 'Historical Orders'!$D173, "2", 'Historical Orders'!$C173, "B", 'Historical Orders'!$B173, "2")</f>
        <v>0</v>
      </c>
      <c r="X173" s="159">
        <f>SUMIFS('Historical Orders'!$E173, 'Historical Orders'!$D173, "3", 'Historical Orders'!$C173, "A", 'Historical Orders'!$B173, "1")</f>
        <v>0</v>
      </c>
      <c r="Y173" s="159">
        <f>SUMIFS('Historical Orders'!$G173, 'Historical Orders'!$D173, "3", 'Historical Orders'!$C173, "A", 'Historical Orders'!$B173, "1")</f>
        <v>0</v>
      </c>
      <c r="Z173" s="159">
        <f>SUMIFS('Historical Orders'!$E173, 'Historical Orders'!$D173, "3", 'Historical Orders'!$C173, "B", 'Historical Orders'!$B173, "1")</f>
        <v>0</v>
      </c>
      <c r="AA173" s="159">
        <f>SUMIFS('Historical Orders'!$G173, 'Historical Orders'!$D173, "3", 'Historical Orders'!$C173, "B", 'Historical Orders'!$B173, "1")</f>
        <v>0</v>
      </c>
      <c r="AB173" s="159">
        <f>SUMIFS('Historical Orders'!$E173, 'Historical Orders'!$D173, "3", 'Historical Orders'!$C173, "A", 'Historical Orders'!$B173, "2")</f>
        <v>0</v>
      </c>
      <c r="AC173" s="159">
        <f>SUMIFS('Historical Orders'!$G173, 'Historical Orders'!$D173, "3", 'Historical Orders'!$C173, "A", 'Historical Orders'!$B173, "2")</f>
        <v>0</v>
      </c>
      <c r="AD173" s="159">
        <f>SUMIFS('Historical Orders'!$E173, 'Historical Orders'!$D173, "3", 'Historical Orders'!$C173, "B", 'Historical Orders'!$B173, "2")</f>
        <v>0</v>
      </c>
      <c r="AE173" s="157">
        <f>SUMIFS('Historical Orders'!$G173, 'Historical Orders'!$D173, "3", 'Historical Orders'!$C173, "B", 'Historical Orders'!$B173, "2")</f>
        <v>0</v>
      </c>
      <c r="AF173" s="157">
        <f>SUMIFS('Historical Orders'!$E173, 'Historical Orders'!$D173, "4", 'Historical Orders'!$C173, "A", 'Historical Orders'!$B173, "1")</f>
        <v>0</v>
      </c>
      <c r="AG173" s="157">
        <f>SUMIFS('Historical Orders'!$G173, 'Historical Orders'!$D173, "4", 'Historical Orders'!$C173, "A", 'Historical Orders'!$B173, "1")</f>
        <v>0</v>
      </c>
      <c r="AH173" s="157">
        <f>SUMIFS('Historical Orders'!$E173, 'Historical Orders'!$D173, "4", 'Historical Orders'!$C173, "B", 'Historical Orders'!$B173, "1")</f>
        <v>0</v>
      </c>
      <c r="AI173" s="157">
        <f>SUMIFS('Historical Orders'!$G173, 'Historical Orders'!$D173, "4", 'Historical Orders'!$C173, "B", 'Historical Orders'!$B173, "1")</f>
        <v>0</v>
      </c>
      <c r="AJ173" s="157">
        <f>SUMIFS('Historical Orders'!$E173, 'Historical Orders'!$D173, "4", 'Historical Orders'!$C173, "A", 'Historical Orders'!$B173, "2")</f>
        <v>0</v>
      </c>
      <c r="AK173" s="157">
        <f>SUMIFS('Historical Orders'!$G173, 'Historical Orders'!$D173, "4", 'Historical Orders'!$C173, "A", 'Historical Orders'!$B173, "2")</f>
        <v>0</v>
      </c>
      <c r="AL173" s="171">
        <f>SUMIFS('Historical Orders'!$E173, 'Historical Orders'!$D173, "4", 'Historical Orders'!$C173, "B", 'Historical Orders'!$B173, "2")</f>
        <v>0</v>
      </c>
      <c r="AM173" s="171">
        <f>SUMIFS('Historical Orders'!$G173, 'Historical Orders'!$D173, "4", 'Historical Orders'!$C173, "B", 'Historical Orders'!$B173, "2")</f>
        <v>0</v>
      </c>
      <c r="AN173" s="171">
        <f>SUMIFS('Historical Orders'!$G173, 'Historical Orders'!$C173, "A", 'Historical Orders'!$B173, "1")</f>
        <v>0</v>
      </c>
      <c r="AO173" s="171">
        <f>SUMIFS('Historical Orders'!$G173, 'Historical Orders'!$C173, "B", 'Historical Orders'!$B173, "1")</f>
        <v>0</v>
      </c>
      <c r="AP173" s="171">
        <f>SUMIFS('Historical Orders'!$G173, 'Historical Orders'!$C173, "A", 'Historical Orders'!$B173, "2")</f>
        <v>5268</v>
      </c>
      <c r="AQ173" s="171">
        <f>SUMIFS('Historical Orders'!$G173, 'Historical Orders'!$C173, "B", 'Historical Orders'!$B173, "2")</f>
        <v>0</v>
      </c>
      <c r="AR173" s="145"/>
      <c r="AS173" s="172"/>
      <c r="AT173" s="172"/>
      <c r="AU173" s="172"/>
      <c r="AV173" s="172"/>
      <c r="AW173" s="172"/>
      <c r="AX173" s="172"/>
      <c r="AY173" s="172"/>
      <c r="AZ173" s="172"/>
      <c r="BA173" s="172"/>
      <c r="BB173" s="172"/>
      <c r="BC173" s="172"/>
      <c r="BD173" s="172"/>
      <c r="BE173" s="172"/>
      <c r="BF173" s="172"/>
      <c r="BG173" s="172"/>
      <c r="BH173" s="172"/>
      <c r="BI173" s="172"/>
      <c r="BJ173" s="172"/>
      <c r="BK173" s="172"/>
      <c r="BL173" s="172"/>
      <c r="BM173" s="172"/>
      <c r="BN173" s="172"/>
      <c r="BO173" s="172"/>
      <c r="BP173" s="172"/>
      <c r="BQ173" s="172"/>
      <c r="BR173" s="172"/>
      <c r="BS173" s="172"/>
      <c r="BT173" s="172"/>
      <c r="BU173" s="172"/>
      <c r="BV173" s="179"/>
      <c r="BW173" s="179"/>
      <c r="BX173" s="179"/>
      <c r="BY173" s="179"/>
      <c r="BZ173" s="179"/>
      <c r="CA173" s="179"/>
      <c r="CB173" s="179"/>
      <c r="CC173" s="179"/>
      <c r="CD173" s="179"/>
      <c r="CE173" s="179"/>
    </row>
    <row r="174" ht="15.75" customHeight="1">
      <c r="A174" s="151">
        <v>42051.0</v>
      </c>
      <c r="B174" s="152">
        <v>1.0</v>
      </c>
      <c r="C174" s="152" t="s">
        <v>46</v>
      </c>
      <c r="D174" s="152">
        <v>3.0</v>
      </c>
      <c r="E174" s="153">
        <v>2338.0</v>
      </c>
      <c r="F174" s="154">
        <v>8.3</v>
      </c>
      <c r="G174" s="155">
        <v>19405.4</v>
      </c>
      <c r="H174" s="159">
        <f>SUMIFS('Historical Orders'!$E174, 'Historical Orders'!$D174, "1", 'Historical Orders'!$C174, "A", 'Historical Orders'!$B174, "1")</f>
        <v>0</v>
      </c>
      <c r="I174" s="157">
        <f>SUMIFS('Historical Orders'!$G174, 'Historical Orders'!$D174, "1", 'Historical Orders'!$C174, "A", 'Historical Orders'!$B174, "1")</f>
        <v>0</v>
      </c>
      <c r="J174" s="157">
        <f>SUMIFS('Historical Orders'!$E174, 'Historical Orders'!$D174, "1", 'Historical Orders'!$C174, "B", 'Historical Orders'!$B174, "1")</f>
        <v>0</v>
      </c>
      <c r="K174" s="157">
        <f>SUMIFS('Historical Orders'!$G174, 'Historical Orders'!$D174, "1", 'Historical Orders'!$C174, "B", 'Historical Orders'!$B174, "1")</f>
        <v>0</v>
      </c>
      <c r="L174" s="159">
        <f>SUMIFS('Historical Orders'!$E174, 'Historical Orders'!$D174, "1", 'Historical Orders'!$C174, "A", 'Historical Orders'!$B174, "2")</f>
        <v>0</v>
      </c>
      <c r="M174" s="157">
        <f>SUMIFS('Historical Orders'!$G174, 'Historical Orders'!$D174, "1", 'Historical Orders'!$C174, "A", 'Historical Orders'!$B174, "2")</f>
        <v>0</v>
      </c>
      <c r="N174" s="157">
        <f>SUMIFS('Historical Orders'!$E174, 'Historical Orders'!$D174, "1", 'Historical Orders'!$C174, "B", 'Historical Orders'!$B174, "2")</f>
        <v>0</v>
      </c>
      <c r="O174" s="157">
        <f>SUMIFS('Historical Orders'!$G174, 'Historical Orders'!$D174, "1", 'Historical Orders'!$C174, "B", 'Historical Orders'!$B174, "2")</f>
        <v>0</v>
      </c>
      <c r="P174" s="159">
        <f>SUMIFS('Historical Orders'!$E174, 'Historical Orders'!$D174, "2", 'Historical Orders'!$C174, "A", 'Historical Orders'!$B174, "1")</f>
        <v>0</v>
      </c>
      <c r="Q174" s="157">
        <f>SUMIFS('Historical Orders'!$G174, 'Historical Orders'!$D174, "2", 'Historical Orders'!$C174, "A", 'Historical Orders'!$B174, "1")</f>
        <v>0</v>
      </c>
      <c r="R174" s="159">
        <f>SUMIFS('Historical Orders'!$E174, 'Historical Orders'!$D174, "2", 'Historical Orders'!$C174, "B", 'Historical Orders'!$B174, "1")</f>
        <v>0</v>
      </c>
      <c r="S174" s="157">
        <f>SUMIFS('Historical Orders'!$G174, 'Historical Orders'!$D174, "2", 'Historical Orders'!$C174, "B", 'Historical Orders'!$B174, "1")</f>
        <v>0</v>
      </c>
      <c r="T174" s="159">
        <f>SUMIFS('Historical Orders'!$E174, 'Historical Orders'!$D174, "2", 'Historical Orders'!$C174, "A", 'Historical Orders'!$B174, "2")</f>
        <v>0</v>
      </c>
      <c r="U174" s="157">
        <f>SUMIFS('Historical Orders'!$G174, 'Historical Orders'!$D174, "2", 'Historical Orders'!$C174, "A", 'Historical Orders'!$B174, "2")</f>
        <v>0</v>
      </c>
      <c r="V174" s="159">
        <f>SUMIFS('Historical Orders'!$E174, 'Historical Orders'!$D174, "2", 'Historical Orders'!$C174, "B", 'Historical Orders'!$B174, "2")</f>
        <v>0</v>
      </c>
      <c r="W174" s="159">
        <f>SUMIFS('Historical Orders'!$G174, 'Historical Orders'!$D174, "2", 'Historical Orders'!$C174, "B", 'Historical Orders'!$B174, "2")</f>
        <v>0</v>
      </c>
      <c r="X174" s="159">
        <f>SUMIFS('Historical Orders'!$E174, 'Historical Orders'!$D174, "3", 'Historical Orders'!$C174, "A", 'Historical Orders'!$B174, "1")</f>
        <v>0</v>
      </c>
      <c r="Y174" s="159">
        <f>SUMIFS('Historical Orders'!$G174, 'Historical Orders'!$D174, "3", 'Historical Orders'!$C174, "A", 'Historical Orders'!$B174, "1")</f>
        <v>0</v>
      </c>
      <c r="Z174" s="159">
        <f>SUMIFS('Historical Orders'!$E174, 'Historical Orders'!$D174, "3", 'Historical Orders'!$C174, "B", 'Historical Orders'!$B174, "1")</f>
        <v>2338</v>
      </c>
      <c r="AA174" s="159">
        <f>SUMIFS('Historical Orders'!$G174, 'Historical Orders'!$D174, "3", 'Historical Orders'!$C174, "B", 'Historical Orders'!$B174, "1")</f>
        <v>19405.4</v>
      </c>
      <c r="AB174" s="159">
        <f>SUMIFS('Historical Orders'!$E174, 'Historical Orders'!$D174, "3", 'Historical Orders'!$C174, "A", 'Historical Orders'!$B174, "2")</f>
        <v>0</v>
      </c>
      <c r="AC174" s="159">
        <f>SUMIFS('Historical Orders'!$G174, 'Historical Orders'!$D174, "3", 'Historical Orders'!$C174, "A", 'Historical Orders'!$B174, "2")</f>
        <v>0</v>
      </c>
      <c r="AD174" s="159">
        <f>SUMIFS('Historical Orders'!$E174, 'Historical Orders'!$D174, "3", 'Historical Orders'!$C174, "B", 'Historical Orders'!$B174, "2")</f>
        <v>0</v>
      </c>
      <c r="AE174" s="157">
        <f>SUMIFS('Historical Orders'!$G174, 'Historical Orders'!$D174, "3", 'Historical Orders'!$C174, "B", 'Historical Orders'!$B174, "2")</f>
        <v>0</v>
      </c>
      <c r="AF174" s="157">
        <f>SUMIFS('Historical Orders'!$E174, 'Historical Orders'!$D174, "4", 'Historical Orders'!$C174, "A", 'Historical Orders'!$B174, "1")</f>
        <v>0</v>
      </c>
      <c r="AG174" s="157">
        <f>SUMIFS('Historical Orders'!$G174, 'Historical Orders'!$D174, "4", 'Historical Orders'!$C174, "A", 'Historical Orders'!$B174, "1")</f>
        <v>0</v>
      </c>
      <c r="AH174" s="157">
        <f>SUMIFS('Historical Orders'!$E174, 'Historical Orders'!$D174, "4", 'Historical Orders'!$C174, "B", 'Historical Orders'!$B174, "1")</f>
        <v>0</v>
      </c>
      <c r="AI174" s="157">
        <f>SUMIFS('Historical Orders'!$G174, 'Historical Orders'!$D174, "4", 'Historical Orders'!$C174, "B", 'Historical Orders'!$B174, "1")</f>
        <v>0</v>
      </c>
      <c r="AJ174" s="157">
        <f>SUMIFS('Historical Orders'!$E174, 'Historical Orders'!$D174, "4", 'Historical Orders'!$C174, "A", 'Historical Orders'!$B174, "2")</f>
        <v>0</v>
      </c>
      <c r="AK174" s="157">
        <f>SUMIFS('Historical Orders'!$G174, 'Historical Orders'!$D174, "4", 'Historical Orders'!$C174, "A", 'Historical Orders'!$B174, "2")</f>
        <v>0</v>
      </c>
      <c r="AL174" s="171">
        <f>SUMIFS('Historical Orders'!$E174, 'Historical Orders'!$D174, "4", 'Historical Orders'!$C174, "B", 'Historical Orders'!$B174, "2")</f>
        <v>0</v>
      </c>
      <c r="AM174" s="171">
        <f>SUMIFS('Historical Orders'!$G174, 'Historical Orders'!$D174, "4", 'Historical Orders'!$C174, "B", 'Historical Orders'!$B174, "2")</f>
        <v>0</v>
      </c>
      <c r="AN174" s="171">
        <f>SUMIFS('Historical Orders'!$G174, 'Historical Orders'!$C174, "A", 'Historical Orders'!$B174, "1")</f>
        <v>0</v>
      </c>
      <c r="AO174" s="171">
        <f>SUMIFS('Historical Orders'!$G174, 'Historical Orders'!$C174, "B", 'Historical Orders'!$B174, "1")</f>
        <v>19405.4</v>
      </c>
      <c r="AP174" s="171">
        <f>SUMIFS('Historical Orders'!$G174, 'Historical Orders'!$C174, "A", 'Historical Orders'!$B174, "2")</f>
        <v>0</v>
      </c>
      <c r="AQ174" s="171">
        <f>SUMIFS('Historical Orders'!$G174, 'Historical Orders'!$C174, "B", 'Historical Orders'!$B174, "2")</f>
        <v>0</v>
      </c>
      <c r="AR174" s="145"/>
      <c r="AS174" s="172"/>
      <c r="AT174" s="172"/>
      <c r="AU174" s="172"/>
      <c r="AV174" s="172"/>
      <c r="AW174" s="172"/>
      <c r="AX174" s="172"/>
      <c r="AY174" s="172"/>
      <c r="AZ174" s="172"/>
      <c r="BA174" s="172"/>
      <c r="BB174" s="172"/>
      <c r="BC174" s="172"/>
      <c r="BD174" s="172"/>
      <c r="BE174" s="172"/>
      <c r="BF174" s="172"/>
      <c r="BG174" s="172"/>
      <c r="BH174" s="172"/>
      <c r="BI174" s="172"/>
      <c r="BJ174" s="172"/>
      <c r="BK174" s="172"/>
      <c r="BL174" s="172"/>
      <c r="BM174" s="172"/>
      <c r="BN174" s="172"/>
      <c r="BO174" s="172"/>
      <c r="BP174" s="172"/>
      <c r="BQ174" s="172"/>
      <c r="BR174" s="172"/>
      <c r="BS174" s="172"/>
      <c r="BT174" s="172"/>
      <c r="BU174" s="172"/>
      <c r="BV174" s="179"/>
      <c r="BW174" s="179"/>
      <c r="BX174" s="179"/>
      <c r="BY174" s="179"/>
      <c r="BZ174" s="179"/>
      <c r="CA174" s="179"/>
      <c r="CB174" s="179"/>
      <c r="CC174" s="179"/>
      <c r="CD174" s="179"/>
      <c r="CE174" s="179"/>
    </row>
    <row r="175" ht="15.75" customHeight="1">
      <c r="A175" s="151">
        <v>42051.0</v>
      </c>
      <c r="B175" s="152">
        <v>2.0</v>
      </c>
      <c r="C175" s="152" t="s">
        <v>46</v>
      </c>
      <c r="D175" s="152">
        <v>3.0</v>
      </c>
      <c r="E175" s="153">
        <v>3206.0</v>
      </c>
      <c r="F175" s="154">
        <v>8.3</v>
      </c>
      <c r="G175" s="155">
        <v>26609.800000000003</v>
      </c>
      <c r="H175" s="159">
        <f>SUMIFS('Historical Orders'!$E175, 'Historical Orders'!$D175, "1", 'Historical Orders'!$C175, "A", 'Historical Orders'!$B175, "1")</f>
        <v>0</v>
      </c>
      <c r="I175" s="157">
        <f>SUMIFS('Historical Orders'!$G175, 'Historical Orders'!$D175, "1", 'Historical Orders'!$C175, "A", 'Historical Orders'!$B175, "1")</f>
        <v>0</v>
      </c>
      <c r="J175" s="157">
        <f>SUMIFS('Historical Orders'!$E175, 'Historical Orders'!$D175, "1", 'Historical Orders'!$C175, "B", 'Historical Orders'!$B175, "1")</f>
        <v>0</v>
      </c>
      <c r="K175" s="157">
        <f>SUMIFS('Historical Orders'!$G175, 'Historical Orders'!$D175, "1", 'Historical Orders'!$C175, "B", 'Historical Orders'!$B175, "1")</f>
        <v>0</v>
      </c>
      <c r="L175" s="159">
        <f>SUMIFS('Historical Orders'!$E175, 'Historical Orders'!$D175, "1", 'Historical Orders'!$C175, "A", 'Historical Orders'!$B175, "2")</f>
        <v>0</v>
      </c>
      <c r="M175" s="157">
        <f>SUMIFS('Historical Orders'!$G175, 'Historical Orders'!$D175, "1", 'Historical Orders'!$C175, "A", 'Historical Orders'!$B175, "2")</f>
        <v>0</v>
      </c>
      <c r="N175" s="157">
        <f>SUMIFS('Historical Orders'!$E175, 'Historical Orders'!$D175, "1", 'Historical Orders'!$C175, "B", 'Historical Orders'!$B175, "2")</f>
        <v>0</v>
      </c>
      <c r="O175" s="157">
        <f>SUMIFS('Historical Orders'!$G175, 'Historical Orders'!$D175, "1", 'Historical Orders'!$C175, "B", 'Historical Orders'!$B175, "2")</f>
        <v>0</v>
      </c>
      <c r="P175" s="159">
        <f>SUMIFS('Historical Orders'!$E175, 'Historical Orders'!$D175, "2", 'Historical Orders'!$C175, "A", 'Historical Orders'!$B175, "1")</f>
        <v>0</v>
      </c>
      <c r="Q175" s="157">
        <f>SUMIFS('Historical Orders'!$G175, 'Historical Orders'!$D175, "2", 'Historical Orders'!$C175, "A", 'Historical Orders'!$B175, "1")</f>
        <v>0</v>
      </c>
      <c r="R175" s="159">
        <f>SUMIFS('Historical Orders'!$E175, 'Historical Orders'!$D175, "2", 'Historical Orders'!$C175, "B", 'Historical Orders'!$B175, "1")</f>
        <v>0</v>
      </c>
      <c r="S175" s="157">
        <f>SUMIFS('Historical Orders'!$G175, 'Historical Orders'!$D175, "2", 'Historical Orders'!$C175, "B", 'Historical Orders'!$B175, "1")</f>
        <v>0</v>
      </c>
      <c r="T175" s="159">
        <f>SUMIFS('Historical Orders'!$E175, 'Historical Orders'!$D175, "2", 'Historical Orders'!$C175, "A", 'Historical Orders'!$B175, "2")</f>
        <v>0</v>
      </c>
      <c r="U175" s="157">
        <f>SUMIFS('Historical Orders'!$G175, 'Historical Orders'!$D175, "2", 'Historical Orders'!$C175, "A", 'Historical Orders'!$B175, "2")</f>
        <v>0</v>
      </c>
      <c r="V175" s="159">
        <f>SUMIFS('Historical Orders'!$E175, 'Historical Orders'!$D175, "2", 'Historical Orders'!$C175, "B", 'Historical Orders'!$B175, "2")</f>
        <v>0</v>
      </c>
      <c r="W175" s="159">
        <f>SUMIFS('Historical Orders'!$G175, 'Historical Orders'!$D175, "2", 'Historical Orders'!$C175, "B", 'Historical Orders'!$B175, "2")</f>
        <v>0</v>
      </c>
      <c r="X175" s="159">
        <f>SUMIFS('Historical Orders'!$E175, 'Historical Orders'!$D175, "3", 'Historical Orders'!$C175, "A", 'Historical Orders'!$B175, "1")</f>
        <v>0</v>
      </c>
      <c r="Y175" s="159">
        <f>SUMIFS('Historical Orders'!$G175, 'Historical Orders'!$D175, "3", 'Historical Orders'!$C175, "A", 'Historical Orders'!$B175, "1")</f>
        <v>0</v>
      </c>
      <c r="Z175" s="159">
        <f>SUMIFS('Historical Orders'!$E175, 'Historical Orders'!$D175, "3", 'Historical Orders'!$C175, "B", 'Historical Orders'!$B175, "1")</f>
        <v>0</v>
      </c>
      <c r="AA175" s="159">
        <f>SUMIFS('Historical Orders'!$G175, 'Historical Orders'!$D175, "3", 'Historical Orders'!$C175, "B", 'Historical Orders'!$B175, "1")</f>
        <v>0</v>
      </c>
      <c r="AB175" s="159">
        <f>SUMIFS('Historical Orders'!$E175, 'Historical Orders'!$D175, "3", 'Historical Orders'!$C175, "A", 'Historical Orders'!$B175, "2")</f>
        <v>0</v>
      </c>
      <c r="AC175" s="159">
        <f>SUMIFS('Historical Orders'!$G175, 'Historical Orders'!$D175, "3", 'Historical Orders'!$C175, "A", 'Historical Orders'!$B175, "2")</f>
        <v>0</v>
      </c>
      <c r="AD175" s="159">
        <f>SUMIFS('Historical Orders'!$E175, 'Historical Orders'!$D175, "3", 'Historical Orders'!$C175, "B", 'Historical Orders'!$B175, "2")</f>
        <v>3206</v>
      </c>
      <c r="AE175" s="157">
        <f>SUMIFS('Historical Orders'!$G175, 'Historical Orders'!$D175, "3", 'Historical Orders'!$C175, "B", 'Historical Orders'!$B175, "2")</f>
        <v>26609.8</v>
      </c>
      <c r="AF175" s="157">
        <f>SUMIFS('Historical Orders'!$E175, 'Historical Orders'!$D175, "4", 'Historical Orders'!$C175, "A", 'Historical Orders'!$B175, "1")</f>
        <v>0</v>
      </c>
      <c r="AG175" s="157">
        <f>SUMIFS('Historical Orders'!$G175, 'Historical Orders'!$D175, "4", 'Historical Orders'!$C175, "A", 'Historical Orders'!$B175, "1")</f>
        <v>0</v>
      </c>
      <c r="AH175" s="157">
        <f>SUMIFS('Historical Orders'!$E175, 'Historical Orders'!$D175, "4", 'Historical Orders'!$C175, "B", 'Historical Orders'!$B175, "1")</f>
        <v>0</v>
      </c>
      <c r="AI175" s="157">
        <f>SUMIFS('Historical Orders'!$G175, 'Historical Orders'!$D175, "4", 'Historical Orders'!$C175, "B", 'Historical Orders'!$B175, "1")</f>
        <v>0</v>
      </c>
      <c r="AJ175" s="157">
        <f>SUMIFS('Historical Orders'!$E175, 'Historical Orders'!$D175, "4", 'Historical Orders'!$C175, "A", 'Historical Orders'!$B175, "2")</f>
        <v>0</v>
      </c>
      <c r="AK175" s="157">
        <f>SUMIFS('Historical Orders'!$G175, 'Historical Orders'!$D175, "4", 'Historical Orders'!$C175, "A", 'Historical Orders'!$B175, "2")</f>
        <v>0</v>
      </c>
      <c r="AL175" s="171">
        <f>SUMIFS('Historical Orders'!$E175, 'Historical Orders'!$D175, "4", 'Historical Orders'!$C175, "B", 'Historical Orders'!$B175, "2")</f>
        <v>0</v>
      </c>
      <c r="AM175" s="171">
        <f>SUMIFS('Historical Orders'!$G175, 'Historical Orders'!$D175, "4", 'Historical Orders'!$C175, "B", 'Historical Orders'!$B175, "2")</f>
        <v>0</v>
      </c>
      <c r="AN175" s="171">
        <f>SUMIFS('Historical Orders'!$G175, 'Historical Orders'!$C175, "A", 'Historical Orders'!$B175, "1")</f>
        <v>0</v>
      </c>
      <c r="AO175" s="171">
        <f>SUMIFS('Historical Orders'!$G175, 'Historical Orders'!$C175, "B", 'Historical Orders'!$B175, "1")</f>
        <v>0</v>
      </c>
      <c r="AP175" s="171">
        <f>SUMIFS('Historical Orders'!$G175, 'Historical Orders'!$C175, "A", 'Historical Orders'!$B175, "2")</f>
        <v>0</v>
      </c>
      <c r="AQ175" s="171">
        <f>SUMIFS('Historical Orders'!$G175, 'Historical Orders'!$C175, "B", 'Historical Orders'!$B175, "2")</f>
        <v>26609.8</v>
      </c>
      <c r="AR175" s="145"/>
      <c r="AS175" s="172"/>
      <c r="AT175" s="172"/>
      <c r="AU175" s="172"/>
      <c r="AV175" s="172"/>
      <c r="AW175" s="172"/>
      <c r="AX175" s="172"/>
      <c r="AY175" s="172"/>
      <c r="AZ175" s="172"/>
      <c r="BA175" s="172"/>
      <c r="BB175" s="172"/>
      <c r="BC175" s="172"/>
      <c r="BD175" s="172"/>
      <c r="BE175" s="172"/>
      <c r="BF175" s="172"/>
      <c r="BG175" s="172"/>
      <c r="BH175" s="172"/>
      <c r="BI175" s="172"/>
      <c r="BJ175" s="172"/>
      <c r="BK175" s="172"/>
      <c r="BL175" s="172"/>
      <c r="BM175" s="172"/>
      <c r="BN175" s="172"/>
      <c r="BO175" s="172"/>
      <c r="BP175" s="172"/>
      <c r="BQ175" s="172"/>
      <c r="BR175" s="172"/>
      <c r="BS175" s="172"/>
      <c r="BT175" s="172"/>
      <c r="BU175" s="172"/>
      <c r="BV175" s="179"/>
      <c r="BW175" s="179"/>
      <c r="BX175" s="179"/>
      <c r="BY175" s="179"/>
      <c r="BZ175" s="179"/>
      <c r="CA175" s="179"/>
      <c r="CB175" s="179"/>
      <c r="CC175" s="179"/>
      <c r="CD175" s="179"/>
      <c r="CE175" s="179"/>
    </row>
    <row r="176" ht="15.75" customHeight="1">
      <c r="A176" s="151">
        <v>42058.0</v>
      </c>
      <c r="B176" s="152">
        <v>1.0</v>
      </c>
      <c r="C176" s="152" t="s">
        <v>45</v>
      </c>
      <c r="D176" s="152">
        <v>1.0</v>
      </c>
      <c r="E176" s="153">
        <v>4059.0</v>
      </c>
      <c r="F176" s="154">
        <v>2.2</v>
      </c>
      <c r="G176" s="155">
        <v>8929.800000000001</v>
      </c>
      <c r="H176" s="159">
        <f>SUMIFS('Historical Orders'!$E176, 'Historical Orders'!$D176, "1", 'Historical Orders'!$C176, "A", 'Historical Orders'!$B176, "1")</f>
        <v>4059</v>
      </c>
      <c r="I176" s="157">
        <f>SUMIFS('Historical Orders'!$G176, 'Historical Orders'!$D176, "1", 'Historical Orders'!$C176, "A", 'Historical Orders'!$B176, "1")</f>
        <v>8929.8</v>
      </c>
      <c r="J176" s="157">
        <f>SUMIFS('Historical Orders'!$E176, 'Historical Orders'!$D176, "1", 'Historical Orders'!$C176, "B", 'Historical Orders'!$B176, "1")</f>
        <v>0</v>
      </c>
      <c r="K176" s="157">
        <f>SUMIFS('Historical Orders'!$G176, 'Historical Orders'!$D176, "1", 'Historical Orders'!$C176, "B", 'Historical Orders'!$B176, "1")</f>
        <v>0</v>
      </c>
      <c r="L176" s="159">
        <f>SUMIFS('Historical Orders'!$E176, 'Historical Orders'!$D176, "1", 'Historical Orders'!$C176, "A", 'Historical Orders'!$B176, "2")</f>
        <v>0</v>
      </c>
      <c r="M176" s="157">
        <f>SUMIFS('Historical Orders'!$G176, 'Historical Orders'!$D176, "1", 'Historical Orders'!$C176, "A", 'Historical Orders'!$B176, "2")</f>
        <v>0</v>
      </c>
      <c r="N176" s="157">
        <f>SUMIFS('Historical Orders'!$E176, 'Historical Orders'!$D176, "1", 'Historical Orders'!$C176, "B", 'Historical Orders'!$B176, "2")</f>
        <v>0</v>
      </c>
      <c r="O176" s="157">
        <f>SUMIFS('Historical Orders'!$G176, 'Historical Orders'!$D176, "1", 'Historical Orders'!$C176, "B", 'Historical Orders'!$B176, "2")</f>
        <v>0</v>
      </c>
      <c r="P176" s="159">
        <f>SUMIFS('Historical Orders'!$E176, 'Historical Orders'!$D176, "2", 'Historical Orders'!$C176, "A", 'Historical Orders'!$B176, "1")</f>
        <v>0</v>
      </c>
      <c r="Q176" s="157">
        <f>SUMIFS('Historical Orders'!$G176, 'Historical Orders'!$D176, "2", 'Historical Orders'!$C176, "A", 'Historical Orders'!$B176, "1")</f>
        <v>0</v>
      </c>
      <c r="R176" s="159">
        <f>SUMIFS('Historical Orders'!$E176, 'Historical Orders'!$D176, "2", 'Historical Orders'!$C176, "B", 'Historical Orders'!$B176, "1")</f>
        <v>0</v>
      </c>
      <c r="S176" s="157">
        <f>SUMIFS('Historical Orders'!$G176, 'Historical Orders'!$D176, "2", 'Historical Orders'!$C176, "B", 'Historical Orders'!$B176, "1")</f>
        <v>0</v>
      </c>
      <c r="T176" s="159">
        <f>SUMIFS('Historical Orders'!$E176, 'Historical Orders'!$D176, "2", 'Historical Orders'!$C176, "A", 'Historical Orders'!$B176, "2")</f>
        <v>0</v>
      </c>
      <c r="U176" s="157">
        <f>SUMIFS('Historical Orders'!$G176, 'Historical Orders'!$D176, "2", 'Historical Orders'!$C176, "A", 'Historical Orders'!$B176, "2")</f>
        <v>0</v>
      </c>
      <c r="V176" s="159">
        <f>SUMIFS('Historical Orders'!$E176, 'Historical Orders'!$D176, "2", 'Historical Orders'!$C176, "B", 'Historical Orders'!$B176, "2")</f>
        <v>0</v>
      </c>
      <c r="W176" s="159">
        <f>SUMIFS('Historical Orders'!$G176, 'Historical Orders'!$D176, "2", 'Historical Orders'!$C176, "B", 'Historical Orders'!$B176, "2")</f>
        <v>0</v>
      </c>
      <c r="X176" s="159">
        <f>SUMIFS('Historical Orders'!$E176, 'Historical Orders'!$D176, "3", 'Historical Orders'!$C176, "A", 'Historical Orders'!$B176, "1")</f>
        <v>0</v>
      </c>
      <c r="Y176" s="159">
        <f>SUMIFS('Historical Orders'!$G176, 'Historical Orders'!$D176, "3", 'Historical Orders'!$C176, "A", 'Historical Orders'!$B176, "1")</f>
        <v>0</v>
      </c>
      <c r="Z176" s="159">
        <f>SUMIFS('Historical Orders'!$E176, 'Historical Orders'!$D176, "3", 'Historical Orders'!$C176, "B", 'Historical Orders'!$B176, "1")</f>
        <v>0</v>
      </c>
      <c r="AA176" s="159">
        <f>SUMIFS('Historical Orders'!$G176, 'Historical Orders'!$D176, "3", 'Historical Orders'!$C176, "B", 'Historical Orders'!$B176, "1")</f>
        <v>0</v>
      </c>
      <c r="AB176" s="159">
        <f>SUMIFS('Historical Orders'!$E176, 'Historical Orders'!$D176, "3", 'Historical Orders'!$C176, "A", 'Historical Orders'!$B176, "2")</f>
        <v>0</v>
      </c>
      <c r="AC176" s="159">
        <f>SUMIFS('Historical Orders'!$G176, 'Historical Orders'!$D176, "3", 'Historical Orders'!$C176, "A", 'Historical Orders'!$B176, "2")</f>
        <v>0</v>
      </c>
      <c r="AD176" s="159">
        <f>SUMIFS('Historical Orders'!$E176, 'Historical Orders'!$D176, "3", 'Historical Orders'!$C176, "B", 'Historical Orders'!$B176, "2")</f>
        <v>0</v>
      </c>
      <c r="AE176" s="157">
        <f>SUMIFS('Historical Orders'!$G176, 'Historical Orders'!$D176, "3", 'Historical Orders'!$C176, "B", 'Historical Orders'!$B176, "2")</f>
        <v>0</v>
      </c>
      <c r="AF176" s="157">
        <f>SUMIFS('Historical Orders'!$E176, 'Historical Orders'!$D176, "4", 'Historical Orders'!$C176, "A", 'Historical Orders'!$B176, "1")</f>
        <v>0</v>
      </c>
      <c r="AG176" s="157">
        <f>SUMIFS('Historical Orders'!$G176, 'Historical Orders'!$D176, "4", 'Historical Orders'!$C176, "A", 'Historical Orders'!$B176, "1")</f>
        <v>0</v>
      </c>
      <c r="AH176" s="157">
        <f>SUMIFS('Historical Orders'!$E176, 'Historical Orders'!$D176, "4", 'Historical Orders'!$C176, "B", 'Historical Orders'!$B176, "1")</f>
        <v>0</v>
      </c>
      <c r="AI176" s="157">
        <f>SUMIFS('Historical Orders'!$G176, 'Historical Orders'!$D176, "4", 'Historical Orders'!$C176, "B", 'Historical Orders'!$B176, "1")</f>
        <v>0</v>
      </c>
      <c r="AJ176" s="157">
        <f>SUMIFS('Historical Orders'!$E176, 'Historical Orders'!$D176, "4", 'Historical Orders'!$C176, "A", 'Historical Orders'!$B176, "2")</f>
        <v>0</v>
      </c>
      <c r="AK176" s="157">
        <f>SUMIFS('Historical Orders'!$G176, 'Historical Orders'!$D176, "4", 'Historical Orders'!$C176, "A", 'Historical Orders'!$B176, "2")</f>
        <v>0</v>
      </c>
      <c r="AL176" s="171">
        <f>SUMIFS('Historical Orders'!$E176, 'Historical Orders'!$D176, "4", 'Historical Orders'!$C176, "B", 'Historical Orders'!$B176, "2")</f>
        <v>0</v>
      </c>
      <c r="AM176" s="171">
        <f>SUMIFS('Historical Orders'!$G176, 'Historical Orders'!$D176, "4", 'Historical Orders'!$C176, "B", 'Historical Orders'!$B176, "2")</f>
        <v>0</v>
      </c>
      <c r="AN176" s="171">
        <f>SUMIFS('Historical Orders'!$G176, 'Historical Orders'!$C176, "A", 'Historical Orders'!$B176, "1")</f>
        <v>8929.8</v>
      </c>
      <c r="AO176" s="171">
        <f>SUMIFS('Historical Orders'!$G176, 'Historical Orders'!$C176, "B", 'Historical Orders'!$B176, "1")</f>
        <v>0</v>
      </c>
      <c r="AP176" s="171">
        <f>SUMIFS('Historical Orders'!$G176, 'Historical Orders'!$C176, "A", 'Historical Orders'!$B176, "2")</f>
        <v>0</v>
      </c>
      <c r="AQ176" s="171">
        <f>SUMIFS('Historical Orders'!$G176, 'Historical Orders'!$C176, "B", 'Historical Orders'!$B176, "2")</f>
        <v>0</v>
      </c>
      <c r="AR176" s="145"/>
      <c r="AS176" s="172"/>
      <c r="AT176" s="172"/>
      <c r="AU176" s="172"/>
      <c r="AV176" s="172"/>
      <c r="AW176" s="172"/>
      <c r="AX176" s="172"/>
      <c r="AY176" s="172"/>
      <c r="AZ176" s="172"/>
      <c r="BA176" s="172"/>
      <c r="BB176" s="172"/>
      <c r="BC176" s="172"/>
      <c r="BD176" s="172"/>
      <c r="BE176" s="172"/>
      <c r="BF176" s="172"/>
      <c r="BG176" s="172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  <c r="BT176" s="172"/>
      <c r="BU176" s="172"/>
      <c r="BV176" s="179"/>
      <c r="BW176" s="179"/>
      <c r="BX176" s="179"/>
      <c r="BY176" s="179"/>
      <c r="BZ176" s="179"/>
      <c r="CA176" s="179"/>
      <c r="CB176" s="179"/>
      <c r="CC176" s="179"/>
      <c r="CD176" s="179"/>
      <c r="CE176" s="179"/>
    </row>
    <row r="177" ht="15.75" customHeight="1">
      <c r="A177" s="151">
        <v>42058.0</v>
      </c>
      <c r="B177" s="152">
        <v>1.0</v>
      </c>
      <c r="C177" s="152" t="s">
        <v>45</v>
      </c>
      <c r="D177" s="152">
        <v>2.0</v>
      </c>
      <c r="E177" s="153">
        <v>5290.0</v>
      </c>
      <c r="F177" s="154">
        <v>1.2</v>
      </c>
      <c r="G177" s="155">
        <v>6348.0</v>
      </c>
      <c r="H177" s="159">
        <f>SUMIFS('Historical Orders'!$E177, 'Historical Orders'!$D177, "1", 'Historical Orders'!$C177, "A", 'Historical Orders'!$B177, "1")</f>
        <v>0</v>
      </c>
      <c r="I177" s="157">
        <f>SUMIFS('Historical Orders'!$G177, 'Historical Orders'!$D177, "1", 'Historical Orders'!$C177, "A", 'Historical Orders'!$B177, "1")</f>
        <v>0</v>
      </c>
      <c r="J177" s="157">
        <f>SUMIFS('Historical Orders'!$E177, 'Historical Orders'!$D177, "1", 'Historical Orders'!$C177, "B", 'Historical Orders'!$B177, "1")</f>
        <v>0</v>
      </c>
      <c r="K177" s="157">
        <f>SUMIFS('Historical Orders'!$G177, 'Historical Orders'!$D177, "1", 'Historical Orders'!$C177, "B", 'Historical Orders'!$B177, "1")</f>
        <v>0</v>
      </c>
      <c r="L177" s="159">
        <f>SUMIFS('Historical Orders'!$E177, 'Historical Orders'!$D177, "1", 'Historical Orders'!$C177, "A", 'Historical Orders'!$B177, "2")</f>
        <v>0</v>
      </c>
      <c r="M177" s="157">
        <f>SUMIFS('Historical Orders'!$G177, 'Historical Orders'!$D177, "1", 'Historical Orders'!$C177, "A", 'Historical Orders'!$B177, "2")</f>
        <v>0</v>
      </c>
      <c r="N177" s="157">
        <f>SUMIFS('Historical Orders'!$E177, 'Historical Orders'!$D177, "1", 'Historical Orders'!$C177, "B", 'Historical Orders'!$B177, "2")</f>
        <v>0</v>
      </c>
      <c r="O177" s="157">
        <f>SUMIFS('Historical Orders'!$G177, 'Historical Orders'!$D177, "1", 'Historical Orders'!$C177, "B", 'Historical Orders'!$B177, "2")</f>
        <v>0</v>
      </c>
      <c r="P177" s="159">
        <f>SUMIFS('Historical Orders'!$E177, 'Historical Orders'!$D177, "2", 'Historical Orders'!$C177, "A", 'Historical Orders'!$B177, "1")</f>
        <v>5290</v>
      </c>
      <c r="Q177" s="157">
        <f>SUMIFS('Historical Orders'!$G177, 'Historical Orders'!$D177, "2", 'Historical Orders'!$C177, "A", 'Historical Orders'!$B177, "1")</f>
        <v>6348</v>
      </c>
      <c r="R177" s="159">
        <f>SUMIFS('Historical Orders'!$E177, 'Historical Orders'!$D177, "2", 'Historical Orders'!$C177, "B", 'Historical Orders'!$B177, "1")</f>
        <v>0</v>
      </c>
      <c r="S177" s="157">
        <f>SUMIFS('Historical Orders'!$G177, 'Historical Orders'!$D177, "2", 'Historical Orders'!$C177, "B", 'Historical Orders'!$B177, "1")</f>
        <v>0</v>
      </c>
      <c r="T177" s="159">
        <f>SUMIFS('Historical Orders'!$E177, 'Historical Orders'!$D177, "2", 'Historical Orders'!$C177, "A", 'Historical Orders'!$B177, "2")</f>
        <v>0</v>
      </c>
      <c r="U177" s="157">
        <f>SUMIFS('Historical Orders'!$G177, 'Historical Orders'!$D177, "2", 'Historical Orders'!$C177, "A", 'Historical Orders'!$B177, "2")</f>
        <v>0</v>
      </c>
      <c r="V177" s="159">
        <f>SUMIFS('Historical Orders'!$E177, 'Historical Orders'!$D177, "2", 'Historical Orders'!$C177, "B", 'Historical Orders'!$B177, "2")</f>
        <v>0</v>
      </c>
      <c r="W177" s="159">
        <f>SUMIFS('Historical Orders'!$G177, 'Historical Orders'!$D177, "2", 'Historical Orders'!$C177, "B", 'Historical Orders'!$B177, "2")</f>
        <v>0</v>
      </c>
      <c r="X177" s="159">
        <f>SUMIFS('Historical Orders'!$E177, 'Historical Orders'!$D177, "3", 'Historical Orders'!$C177, "A", 'Historical Orders'!$B177, "1")</f>
        <v>0</v>
      </c>
      <c r="Y177" s="159">
        <f>SUMIFS('Historical Orders'!$G177, 'Historical Orders'!$D177, "3", 'Historical Orders'!$C177, "A", 'Historical Orders'!$B177, "1")</f>
        <v>0</v>
      </c>
      <c r="Z177" s="159">
        <f>SUMIFS('Historical Orders'!$E177, 'Historical Orders'!$D177, "3", 'Historical Orders'!$C177, "B", 'Historical Orders'!$B177, "1")</f>
        <v>0</v>
      </c>
      <c r="AA177" s="159">
        <f>SUMIFS('Historical Orders'!$G177, 'Historical Orders'!$D177, "3", 'Historical Orders'!$C177, "B", 'Historical Orders'!$B177, "1")</f>
        <v>0</v>
      </c>
      <c r="AB177" s="159">
        <f>SUMIFS('Historical Orders'!$E177, 'Historical Orders'!$D177, "3", 'Historical Orders'!$C177, "A", 'Historical Orders'!$B177, "2")</f>
        <v>0</v>
      </c>
      <c r="AC177" s="159">
        <f>SUMIFS('Historical Orders'!$G177, 'Historical Orders'!$D177, "3", 'Historical Orders'!$C177, "A", 'Historical Orders'!$B177, "2")</f>
        <v>0</v>
      </c>
      <c r="AD177" s="159">
        <f>SUMIFS('Historical Orders'!$E177, 'Historical Orders'!$D177, "3", 'Historical Orders'!$C177, "B", 'Historical Orders'!$B177, "2")</f>
        <v>0</v>
      </c>
      <c r="AE177" s="157">
        <f>SUMIFS('Historical Orders'!$G177, 'Historical Orders'!$D177, "3", 'Historical Orders'!$C177, "B", 'Historical Orders'!$B177, "2")</f>
        <v>0</v>
      </c>
      <c r="AF177" s="157">
        <f>SUMIFS('Historical Orders'!$E177, 'Historical Orders'!$D177, "4", 'Historical Orders'!$C177, "A", 'Historical Orders'!$B177, "1")</f>
        <v>0</v>
      </c>
      <c r="AG177" s="157">
        <f>SUMIFS('Historical Orders'!$G177, 'Historical Orders'!$D177, "4", 'Historical Orders'!$C177, "A", 'Historical Orders'!$B177, "1")</f>
        <v>0</v>
      </c>
      <c r="AH177" s="157">
        <f>SUMIFS('Historical Orders'!$E177, 'Historical Orders'!$D177, "4", 'Historical Orders'!$C177, "B", 'Historical Orders'!$B177, "1")</f>
        <v>0</v>
      </c>
      <c r="AI177" s="157">
        <f>SUMIFS('Historical Orders'!$G177, 'Historical Orders'!$D177, "4", 'Historical Orders'!$C177, "B", 'Historical Orders'!$B177, "1")</f>
        <v>0</v>
      </c>
      <c r="AJ177" s="157">
        <f>SUMIFS('Historical Orders'!$E177, 'Historical Orders'!$D177, "4", 'Historical Orders'!$C177, "A", 'Historical Orders'!$B177, "2")</f>
        <v>0</v>
      </c>
      <c r="AK177" s="157">
        <f>SUMIFS('Historical Orders'!$G177, 'Historical Orders'!$D177, "4", 'Historical Orders'!$C177, "A", 'Historical Orders'!$B177, "2")</f>
        <v>0</v>
      </c>
      <c r="AL177" s="171">
        <f>SUMIFS('Historical Orders'!$E177, 'Historical Orders'!$D177, "4", 'Historical Orders'!$C177, "B", 'Historical Orders'!$B177, "2")</f>
        <v>0</v>
      </c>
      <c r="AM177" s="171">
        <f>SUMIFS('Historical Orders'!$G177, 'Historical Orders'!$D177, "4", 'Historical Orders'!$C177, "B", 'Historical Orders'!$B177, "2")</f>
        <v>0</v>
      </c>
      <c r="AN177" s="171">
        <f>SUMIFS('Historical Orders'!$G177, 'Historical Orders'!$C177, "A", 'Historical Orders'!$B177, "1")</f>
        <v>6348</v>
      </c>
      <c r="AO177" s="171">
        <f>SUMIFS('Historical Orders'!$G177, 'Historical Orders'!$C177, "B", 'Historical Orders'!$B177, "1")</f>
        <v>0</v>
      </c>
      <c r="AP177" s="171">
        <f>SUMIFS('Historical Orders'!$G177, 'Historical Orders'!$C177, "A", 'Historical Orders'!$B177, "2")</f>
        <v>0</v>
      </c>
      <c r="AQ177" s="171">
        <f>SUMIFS('Historical Orders'!$G177, 'Historical Orders'!$C177, "B", 'Historical Orders'!$B177, "2")</f>
        <v>0</v>
      </c>
      <c r="AR177" s="145"/>
      <c r="AS177" s="172"/>
      <c r="AT177" s="172"/>
      <c r="AU177" s="172"/>
      <c r="AV177" s="172"/>
      <c r="AW177" s="172"/>
      <c r="AX177" s="172"/>
      <c r="AY177" s="172"/>
      <c r="AZ177" s="172"/>
      <c r="BA177" s="172"/>
      <c r="BB177" s="172"/>
      <c r="BC177" s="172"/>
      <c r="BD177" s="172"/>
      <c r="BE177" s="172"/>
      <c r="BF177" s="172"/>
      <c r="BG177" s="172"/>
      <c r="BH177" s="172"/>
      <c r="BI177" s="172"/>
      <c r="BJ177" s="172"/>
      <c r="BK177" s="172"/>
      <c r="BL177" s="172"/>
      <c r="BM177" s="172"/>
      <c r="BN177" s="172"/>
      <c r="BO177" s="172"/>
      <c r="BP177" s="172"/>
      <c r="BQ177" s="172"/>
      <c r="BR177" s="172"/>
      <c r="BS177" s="172"/>
      <c r="BT177" s="172"/>
      <c r="BU177" s="172"/>
      <c r="BV177" s="179"/>
      <c r="BW177" s="179"/>
      <c r="BX177" s="179"/>
      <c r="BY177" s="179"/>
      <c r="BZ177" s="179"/>
      <c r="CA177" s="179"/>
      <c r="CB177" s="179"/>
      <c r="CC177" s="179"/>
      <c r="CD177" s="179"/>
      <c r="CE177" s="179"/>
    </row>
    <row r="178" ht="15.75" customHeight="1">
      <c r="A178" s="151">
        <v>42058.0</v>
      </c>
      <c r="B178" s="152">
        <v>2.0</v>
      </c>
      <c r="C178" s="152" t="s">
        <v>45</v>
      </c>
      <c r="D178" s="152">
        <v>1.0</v>
      </c>
      <c r="E178" s="153">
        <v>2438.0</v>
      </c>
      <c r="F178" s="154">
        <v>2.2</v>
      </c>
      <c r="G178" s="155">
        <v>5363.6</v>
      </c>
      <c r="H178" s="159">
        <f>SUMIFS('Historical Orders'!$E178, 'Historical Orders'!$D178, "1", 'Historical Orders'!$C178, "A", 'Historical Orders'!$B178, "1")</f>
        <v>0</v>
      </c>
      <c r="I178" s="157">
        <f>SUMIFS('Historical Orders'!$G178, 'Historical Orders'!$D178, "1", 'Historical Orders'!$C178, "A", 'Historical Orders'!$B178, "1")</f>
        <v>0</v>
      </c>
      <c r="J178" s="157">
        <f>SUMIFS('Historical Orders'!$E178, 'Historical Orders'!$D178, "1", 'Historical Orders'!$C178, "B", 'Historical Orders'!$B178, "1")</f>
        <v>0</v>
      </c>
      <c r="K178" s="157">
        <f>SUMIFS('Historical Orders'!$G178, 'Historical Orders'!$D178, "1", 'Historical Orders'!$C178, "B", 'Historical Orders'!$B178, "1")</f>
        <v>0</v>
      </c>
      <c r="L178" s="159">
        <f>SUMIFS('Historical Orders'!$E178, 'Historical Orders'!$D178, "1", 'Historical Orders'!$C178, "A", 'Historical Orders'!$B178, "2")</f>
        <v>2438</v>
      </c>
      <c r="M178" s="157">
        <f>SUMIFS('Historical Orders'!$G178, 'Historical Orders'!$D178, "1", 'Historical Orders'!$C178, "A", 'Historical Orders'!$B178, "2")</f>
        <v>5363.6</v>
      </c>
      <c r="N178" s="157">
        <f>SUMIFS('Historical Orders'!$E178, 'Historical Orders'!$D178, "1", 'Historical Orders'!$C178, "B", 'Historical Orders'!$B178, "2")</f>
        <v>0</v>
      </c>
      <c r="O178" s="157">
        <f>SUMIFS('Historical Orders'!$G178, 'Historical Orders'!$D178, "1", 'Historical Orders'!$C178, "B", 'Historical Orders'!$B178, "2")</f>
        <v>0</v>
      </c>
      <c r="P178" s="159">
        <f>SUMIFS('Historical Orders'!$E178, 'Historical Orders'!$D178, "2", 'Historical Orders'!$C178, "A", 'Historical Orders'!$B178, "1")</f>
        <v>0</v>
      </c>
      <c r="Q178" s="157">
        <f>SUMIFS('Historical Orders'!$G178, 'Historical Orders'!$D178, "2", 'Historical Orders'!$C178, "A", 'Historical Orders'!$B178, "1")</f>
        <v>0</v>
      </c>
      <c r="R178" s="159">
        <f>SUMIFS('Historical Orders'!$E178, 'Historical Orders'!$D178, "2", 'Historical Orders'!$C178, "B", 'Historical Orders'!$B178, "1")</f>
        <v>0</v>
      </c>
      <c r="S178" s="157">
        <f>SUMIFS('Historical Orders'!$G178, 'Historical Orders'!$D178, "2", 'Historical Orders'!$C178, "B", 'Historical Orders'!$B178, "1")</f>
        <v>0</v>
      </c>
      <c r="T178" s="159">
        <f>SUMIFS('Historical Orders'!$E178, 'Historical Orders'!$D178, "2", 'Historical Orders'!$C178, "A", 'Historical Orders'!$B178, "2")</f>
        <v>0</v>
      </c>
      <c r="U178" s="157">
        <f>SUMIFS('Historical Orders'!$G178, 'Historical Orders'!$D178, "2", 'Historical Orders'!$C178, "A", 'Historical Orders'!$B178, "2")</f>
        <v>0</v>
      </c>
      <c r="V178" s="159">
        <f>SUMIFS('Historical Orders'!$E178, 'Historical Orders'!$D178, "2", 'Historical Orders'!$C178, "B", 'Historical Orders'!$B178, "2")</f>
        <v>0</v>
      </c>
      <c r="W178" s="159">
        <f>SUMIFS('Historical Orders'!$G178, 'Historical Orders'!$D178, "2", 'Historical Orders'!$C178, "B", 'Historical Orders'!$B178, "2")</f>
        <v>0</v>
      </c>
      <c r="X178" s="159">
        <f>SUMIFS('Historical Orders'!$E178, 'Historical Orders'!$D178, "3", 'Historical Orders'!$C178, "A", 'Historical Orders'!$B178, "1")</f>
        <v>0</v>
      </c>
      <c r="Y178" s="159">
        <f>SUMIFS('Historical Orders'!$G178, 'Historical Orders'!$D178, "3", 'Historical Orders'!$C178, "A", 'Historical Orders'!$B178, "1")</f>
        <v>0</v>
      </c>
      <c r="Z178" s="159">
        <f>SUMIFS('Historical Orders'!$E178, 'Historical Orders'!$D178, "3", 'Historical Orders'!$C178, "B", 'Historical Orders'!$B178, "1")</f>
        <v>0</v>
      </c>
      <c r="AA178" s="159">
        <f>SUMIFS('Historical Orders'!$G178, 'Historical Orders'!$D178, "3", 'Historical Orders'!$C178, "B", 'Historical Orders'!$B178, "1")</f>
        <v>0</v>
      </c>
      <c r="AB178" s="159">
        <f>SUMIFS('Historical Orders'!$E178, 'Historical Orders'!$D178, "3", 'Historical Orders'!$C178, "A", 'Historical Orders'!$B178, "2")</f>
        <v>0</v>
      </c>
      <c r="AC178" s="159">
        <f>SUMIFS('Historical Orders'!$G178, 'Historical Orders'!$D178, "3", 'Historical Orders'!$C178, "A", 'Historical Orders'!$B178, "2")</f>
        <v>0</v>
      </c>
      <c r="AD178" s="159">
        <f>SUMIFS('Historical Orders'!$E178, 'Historical Orders'!$D178, "3", 'Historical Orders'!$C178, "B", 'Historical Orders'!$B178, "2")</f>
        <v>0</v>
      </c>
      <c r="AE178" s="157">
        <f>SUMIFS('Historical Orders'!$G178, 'Historical Orders'!$D178, "3", 'Historical Orders'!$C178, "B", 'Historical Orders'!$B178, "2")</f>
        <v>0</v>
      </c>
      <c r="AF178" s="157">
        <f>SUMIFS('Historical Orders'!$E178, 'Historical Orders'!$D178, "4", 'Historical Orders'!$C178, "A", 'Historical Orders'!$B178, "1")</f>
        <v>0</v>
      </c>
      <c r="AG178" s="157">
        <f>SUMIFS('Historical Orders'!$G178, 'Historical Orders'!$D178, "4", 'Historical Orders'!$C178, "A", 'Historical Orders'!$B178, "1")</f>
        <v>0</v>
      </c>
      <c r="AH178" s="157">
        <f>SUMIFS('Historical Orders'!$E178, 'Historical Orders'!$D178, "4", 'Historical Orders'!$C178, "B", 'Historical Orders'!$B178, "1")</f>
        <v>0</v>
      </c>
      <c r="AI178" s="157">
        <f>SUMIFS('Historical Orders'!$G178, 'Historical Orders'!$D178, "4", 'Historical Orders'!$C178, "B", 'Historical Orders'!$B178, "1")</f>
        <v>0</v>
      </c>
      <c r="AJ178" s="157">
        <f>SUMIFS('Historical Orders'!$E178, 'Historical Orders'!$D178, "4", 'Historical Orders'!$C178, "A", 'Historical Orders'!$B178, "2")</f>
        <v>0</v>
      </c>
      <c r="AK178" s="157">
        <f>SUMIFS('Historical Orders'!$G178, 'Historical Orders'!$D178, "4", 'Historical Orders'!$C178, "A", 'Historical Orders'!$B178, "2")</f>
        <v>0</v>
      </c>
      <c r="AL178" s="171">
        <f>SUMIFS('Historical Orders'!$E178, 'Historical Orders'!$D178, "4", 'Historical Orders'!$C178, "B", 'Historical Orders'!$B178, "2")</f>
        <v>0</v>
      </c>
      <c r="AM178" s="171">
        <f>SUMIFS('Historical Orders'!$G178, 'Historical Orders'!$D178, "4", 'Historical Orders'!$C178, "B", 'Historical Orders'!$B178, "2")</f>
        <v>0</v>
      </c>
      <c r="AN178" s="171">
        <f>SUMIFS('Historical Orders'!$G178, 'Historical Orders'!$C178, "A", 'Historical Orders'!$B178, "1")</f>
        <v>0</v>
      </c>
      <c r="AO178" s="171">
        <f>SUMIFS('Historical Orders'!$G178, 'Historical Orders'!$C178, "B", 'Historical Orders'!$B178, "1")</f>
        <v>0</v>
      </c>
      <c r="AP178" s="171">
        <f>SUMIFS('Historical Orders'!$G178, 'Historical Orders'!$C178, "A", 'Historical Orders'!$B178, "2")</f>
        <v>5363.6</v>
      </c>
      <c r="AQ178" s="171">
        <f>SUMIFS('Historical Orders'!$G178, 'Historical Orders'!$C178, "B", 'Historical Orders'!$B178, "2")</f>
        <v>0</v>
      </c>
      <c r="AR178" s="145"/>
      <c r="AS178" s="172"/>
      <c r="AT178" s="172"/>
      <c r="AU178" s="172"/>
      <c r="AV178" s="172"/>
      <c r="AW178" s="172"/>
      <c r="AX178" s="172"/>
      <c r="AY178" s="172"/>
      <c r="AZ178" s="172"/>
      <c r="BA178" s="172"/>
      <c r="BB178" s="172"/>
      <c r="BC178" s="172"/>
      <c r="BD178" s="172"/>
      <c r="BE178" s="172"/>
      <c r="BF178" s="172"/>
      <c r="BG178" s="172"/>
      <c r="BH178" s="172"/>
      <c r="BI178" s="172"/>
      <c r="BJ178" s="172"/>
      <c r="BK178" s="172"/>
      <c r="BL178" s="172"/>
      <c r="BM178" s="172"/>
      <c r="BN178" s="172"/>
      <c r="BO178" s="172"/>
      <c r="BP178" s="172"/>
      <c r="BQ178" s="172"/>
      <c r="BR178" s="172"/>
      <c r="BS178" s="172"/>
      <c r="BT178" s="172"/>
      <c r="BU178" s="172"/>
      <c r="BV178" s="179"/>
      <c r="BW178" s="179"/>
      <c r="BX178" s="179"/>
      <c r="BY178" s="179"/>
      <c r="BZ178" s="179"/>
      <c r="CA178" s="179"/>
      <c r="CB178" s="179"/>
      <c r="CC178" s="179"/>
      <c r="CD178" s="179"/>
      <c r="CE178" s="179"/>
    </row>
    <row r="179" ht="15.75" customHeight="1">
      <c r="A179" s="151">
        <v>42058.0</v>
      </c>
      <c r="B179" s="152">
        <v>2.0</v>
      </c>
      <c r="C179" s="152" t="s">
        <v>45</v>
      </c>
      <c r="D179" s="152">
        <v>2.0</v>
      </c>
      <c r="E179" s="153">
        <v>4835.0</v>
      </c>
      <c r="F179" s="154">
        <v>1.2</v>
      </c>
      <c r="G179" s="155">
        <v>5802.0</v>
      </c>
      <c r="H179" s="159">
        <f>SUMIFS('Historical Orders'!$E179, 'Historical Orders'!$D179, "1", 'Historical Orders'!$C179, "A", 'Historical Orders'!$B179, "1")</f>
        <v>0</v>
      </c>
      <c r="I179" s="157">
        <f>SUMIFS('Historical Orders'!$G179, 'Historical Orders'!$D179, "1", 'Historical Orders'!$C179, "A", 'Historical Orders'!$B179, "1")</f>
        <v>0</v>
      </c>
      <c r="J179" s="157">
        <f>SUMIFS('Historical Orders'!$E179, 'Historical Orders'!$D179, "1", 'Historical Orders'!$C179, "B", 'Historical Orders'!$B179, "1")</f>
        <v>0</v>
      </c>
      <c r="K179" s="157">
        <f>SUMIFS('Historical Orders'!$G179, 'Historical Orders'!$D179, "1", 'Historical Orders'!$C179, "B", 'Historical Orders'!$B179, "1")</f>
        <v>0</v>
      </c>
      <c r="L179" s="159">
        <f>SUMIFS('Historical Orders'!$E179, 'Historical Orders'!$D179, "1", 'Historical Orders'!$C179, "A", 'Historical Orders'!$B179, "2")</f>
        <v>0</v>
      </c>
      <c r="M179" s="157">
        <f>SUMIFS('Historical Orders'!$G179, 'Historical Orders'!$D179, "1", 'Historical Orders'!$C179, "A", 'Historical Orders'!$B179, "2")</f>
        <v>0</v>
      </c>
      <c r="N179" s="157">
        <f>SUMIFS('Historical Orders'!$E179, 'Historical Orders'!$D179, "1", 'Historical Orders'!$C179, "B", 'Historical Orders'!$B179, "2")</f>
        <v>0</v>
      </c>
      <c r="O179" s="157">
        <f>SUMIFS('Historical Orders'!$G179, 'Historical Orders'!$D179, "1", 'Historical Orders'!$C179, "B", 'Historical Orders'!$B179, "2")</f>
        <v>0</v>
      </c>
      <c r="P179" s="159">
        <f>SUMIFS('Historical Orders'!$E179, 'Historical Orders'!$D179, "2", 'Historical Orders'!$C179, "A", 'Historical Orders'!$B179, "1")</f>
        <v>0</v>
      </c>
      <c r="Q179" s="157">
        <f>SUMIFS('Historical Orders'!$G179, 'Historical Orders'!$D179, "2", 'Historical Orders'!$C179, "A", 'Historical Orders'!$B179, "1")</f>
        <v>0</v>
      </c>
      <c r="R179" s="159">
        <f>SUMIFS('Historical Orders'!$E179, 'Historical Orders'!$D179, "2", 'Historical Orders'!$C179, "B", 'Historical Orders'!$B179, "1")</f>
        <v>0</v>
      </c>
      <c r="S179" s="157">
        <f>SUMIFS('Historical Orders'!$G179, 'Historical Orders'!$D179, "2", 'Historical Orders'!$C179, "B", 'Historical Orders'!$B179, "1")</f>
        <v>0</v>
      </c>
      <c r="T179" s="159">
        <f>SUMIFS('Historical Orders'!$E179, 'Historical Orders'!$D179, "2", 'Historical Orders'!$C179, "A", 'Historical Orders'!$B179, "2")</f>
        <v>4835</v>
      </c>
      <c r="U179" s="157">
        <f>SUMIFS('Historical Orders'!$G179, 'Historical Orders'!$D179, "2", 'Historical Orders'!$C179, "A", 'Historical Orders'!$B179, "2")</f>
        <v>5802</v>
      </c>
      <c r="V179" s="159">
        <f>SUMIFS('Historical Orders'!$E179, 'Historical Orders'!$D179, "2", 'Historical Orders'!$C179, "B", 'Historical Orders'!$B179, "2")</f>
        <v>0</v>
      </c>
      <c r="W179" s="159">
        <f>SUMIFS('Historical Orders'!$G179, 'Historical Orders'!$D179, "2", 'Historical Orders'!$C179, "B", 'Historical Orders'!$B179, "2")</f>
        <v>0</v>
      </c>
      <c r="X179" s="159">
        <f>SUMIFS('Historical Orders'!$E179, 'Historical Orders'!$D179, "3", 'Historical Orders'!$C179, "A", 'Historical Orders'!$B179, "1")</f>
        <v>0</v>
      </c>
      <c r="Y179" s="159">
        <f>SUMIFS('Historical Orders'!$G179, 'Historical Orders'!$D179, "3", 'Historical Orders'!$C179, "A", 'Historical Orders'!$B179, "1")</f>
        <v>0</v>
      </c>
      <c r="Z179" s="159">
        <f>SUMIFS('Historical Orders'!$E179, 'Historical Orders'!$D179, "3", 'Historical Orders'!$C179, "B", 'Historical Orders'!$B179, "1")</f>
        <v>0</v>
      </c>
      <c r="AA179" s="159">
        <f>SUMIFS('Historical Orders'!$G179, 'Historical Orders'!$D179, "3", 'Historical Orders'!$C179, "B", 'Historical Orders'!$B179, "1")</f>
        <v>0</v>
      </c>
      <c r="AB179" s="159">
        <f>SUMIFS('Historical Orders'!$E179, 'Historical Orders'!$D179, "3", 'Historical Orders'!$C179, "A", 'Historical Orders'!$B179, "2")</f>
        <v>0</v>
      </c>
      <c r="AC179" s="159">
        <f>SUMIFS('Historical Orders'!$G179, 'Historical Orders'!$D179, "3", 'Historical Orders'!$C179, "A", 'Historical Orders'!$B179, "2")</f>
        <v>0</v>
      </c>
      <c r="AD179" s="159">
        <f>SUMIFS('Historical Orders'!$E179, 'Historical Orders'!$D179, "3", 'Historical Orders'!$C179, "B", 'Historical Orders'!$B179, "2")</f>
        <v>0</v>
      </c>
      <c r="AE179" s="157">
        <f>SUMIFS('Historical Orders'!$G179, 'Historical Orders'!$D179, "3", 'Historical Orders'!$C179, "B", 'Historical Orders'!$B179, "2")</f>
        <v>0</v>
      </c>
      <c r="AF179" s="157">
        <f>SUMIFS('Historical Orders'!$E179, 'Historical Orders'!$D179, "4", 'Historical Orders'!$C179, "A", 'Historical Orders'!$B179, "1")</f>
        <v>0</v>
      </c>
      <c r="AG179" s="157">
        <f>SUMIFS('Historical Orders'!$G179, 'Historical Orders'!$D179, "4", 'Historical Orders'!$C179, "A", 'Historical Orders'!$B179, "1")</f>
        <v>0</v>
      </c>
      <c r="AH179" s="157">
        <f>SUMIFS('Historical Orders'!$E179, 'Historical Orders'!$D179, "4", 'Historical Orders'!$C179, "B", 'Historical Orders'!$B179, "1")</f>
        <v>0</v>
      </c>
      <c r="AI179" s="157">
        <f>SUMIFS('Historical Orders'!$G179, 'Historical Orders'!$D179, "4", 'Historical Orders'!$C179, "B", 'Historical Orders'!$B179, "1")</f>
        <v>0</v>
      </c>
      <c r="AJ179" s="157">
        <f>SUMIFS('Historical Orders'!$E179, 'Historical Orders'!$D179, "4", 'Historical Orders'!$C179, "A", 'Historical Orders'!$B179, "2")</f>
        <v>0</v>
      </c>
      <c r="AK179" s="157">
        <f>SUMIFS('Historical Orders'!$G179, 'Historical Orders'!$D179, "4", 'Historical Orders'!$C179, "A", 'Historical Orders'!$B179, "2")</f>
        <v>0</v>
      </c>
      <c r="AL179" s="171">
        <f>SUMIFS('Historical Orders'!$E179, 'Historical Orders'!$D179, "4", 'Historical Orders'!$C179, "B", 'Historical Orders'!$B179, "2")</f>
        <v>0</v>
      </c>
      <c r="AM179" s="171">
        <f>SUMIFS('Historical Orders'!$G179, 'Historical Orders'!$D179, "4", 'Historical Orders'!$C179, "B", 'Historical Orders'!$B179, "2")</f>
        <v>0</v>
      </c>
      <c r="AN179" s="171">
        <f>SUMIFS('Historical Orders'!$G179, 'Historical Orders'!$C179, "A", 'Historical Orders'!$B179, "1")</f>
        <v>0</v>
      </c>
      <c r="AO179" s="171">
        <f>SUMIFS('Historical Orders'!$G179, 'Historical Orders'!$C179, "B", 'Historical Orders'!$B179, "1")</f>
        <v>0</v>
      </c>
      <c r="AP179" s="171">
        <f>SUMIFS('Historical Orders'!$G179, 'Historical Orders'!$C179, "A", 'Historical Orders'!$B179, "2")</f>
        <v>5802</v>
      </c>
      <c r="AQ179" s="171">
        <f>SUMIFS('Historical Orders'!$G179, 'Historical Orders'!$C179, "B", 'Historical Orders'!$B179, "2")</f>
        <v>0</v>
      </c>
      <c r="AR179" s="145"/>
      <c r="AS179" s="172"/>
      <c r="AT179" s="172"/>
      <c r="AU179" s="172"/>
      <c r="AV179" s="172"/>
      <c r="AW179" s="172"/>
      <c r="AX179" s="172"/>
      <c r="AY179" s="172"/>
      <c r="AZ179" s="172"/>
      <c r="BA179" s="172"/>
      <c r="BB179" s="172"/>
      <c r="BC179" s="172"/>
      <c r="BD179" s="172"/>
      <c r="BE179" s="172"/>
      <c r="BF179" s="172"/>
      <c r="BG179" s="172"/>
      <c r="BH179" s="172"/>
      <c r="BI179" s="172"/>
      <c r="BJ179" s="172"/>
      <c r="BK179" s="172"/>
      <c r="BL179" s="172"/>
      <c r="BM179" s="172"/>
      <c r="BN179" s="172"/>
      <c r="BO179" s="172"/>
      <c r="BP179" s="172"/>
      <c r="BQ179" s="172"/>
      <c r="BR179" s="172"/>
      <c r="BS179" s="172"/>
      <c r="BT179" s="172"/>
      <c r="BU179" s="172"/>
      <c r="BV179" s="179"/>
      <c r="BW179" s="179"/>
      <c r="BX179" s="179"/>
      <c r="BY179" s="179"/>
      <c r="BZ179" s="179"/>
      <c r="CA179" s="179"/>
      <c r="CB179" s="179"/>
      <c r="CC179" s="179"/>
      <c r="CD179" s="179"/>
      <c r="CE179" s="179"/>
    </row>
    <row r="180" ht="15.75" customHeight="1">
      <c r="A180" s="151">
        <v>42058.0</v>
      </c>
      <c r="B180" s="152">
        <v>1.0</v>
      </c>
      <c r="C180" s="152" t="s">
        <v>46</v>
      </c>
      <c r="D180" s="152">
        <v>3.0</v>
      </c>
      <c r="E180" s="153">
        <v>2070.0</v>
      </c>
      <c r="F180" s="154">
        <v>8.3</v>
      </c>
      <c r="G180" s="155">
        <v>17181.0</v>
      </c>
      <c r="H180" s="159">
        <f>SUMIFS('Historical Orders'!$E180, 'Historical Orders'!$D180, "1", 'Historical Orders'!$C180, "A", 'Historical Orders'!$B180, "1")</f>
        <v>0</v>
      </c>
      <c r="I180" s="157">
        <f>SUMIFS('Historical Orders'!$G180, 'Historical Orders'!$D180, "1", 'Historical Orders'!$C180, "A", 'Historical Orders'!$B180, "1")</f>
        <v>0</v>
      </c>
      <c r="J180" s="157">
        <f>SUMIFS('Historical Orders'!$E180, 'Historical Orders'!$D180, "1", 'Historical Orders'!$C180, "B", 'Historical Orders'!$B180, "1")</f>
        <v>0</v>
      </c>
      <c r="K180" s="157">
        <f>SUMIFS('Historical Orders'!$G180, 'Historical Orders'!$D180, "1", 'Historical Orders'!$C180, "B", 'Historical Orders'!$B180, "1")</f>
        <v>0</v>
      </c>
      <c r="L180" s="159">
        <f>SUMIFS('Historical Orders'!$E180, 'Historical Orders'!$D180, "1", 'Historical Orders'!$C180, "A", 'Historical Orders'!$B180, "2")</f>
        <v>0</v>
      </c>
      <c r="M180" s="157">
        <f>SUMIFS('Historical Orders'!$G180, 'Historical Orders'!$D180, "1", 'Historical Orders'!$C180, "A", 'Historical Orders'!$B180, "2")</f>
        <v>0</v>
      </c>
      <c r="N180" s="157">
        <f>SUMIFS('Historical Orders'!$E180, 'Historical Orders'!$D180, "1", 'Historical Orders'!$C180, "B", 'Historical Orders'!$B180, "2")</f>
        <v>0</v>
      </c>
      <c r="O180" s="157">
        <f>SUMIFS('Historical Orders'!$G180, 'Historical Orders'!$D180, "1", 'Historical Orders'!$C180, "B", 'Historical Orders'!$B180, "2")</f>
        <v>0</v>
      </c>
      <c r="P180" s="159">
        <f>SUMIFS('Historical Orders'!$E180, 'Historical Orders'!$D180, "2", 'Historical Orders'!$C180, "A", 'Historical Orders'!$B180, "1")</f>
        <v>0</v>
      </c>
      <c r="Q180" s="157">
        <f>SUMIFS('Historical Orders'!$G180, 'Historical Orders'!$D180, "2", 'Historical Orders'!$C180, "A", 'Historical Orders'!$B180, "1")</f>
        <v>0</v>
      </c>
      <c r="R180" s="159">
        <f>SUMIFS('Historical Orders'!$E180, 'Historical Orders'!$D180, "2", 'Historical Orders'!$C180, "B", 'Historical Orders'!$B180, "1")</f>
        <v>0</v>
      </c>
      <c r="S180" s="157">
        <f>SUMIFS('Historical Orders'!$G180, 'Historical Orders'!$D180, "2", 'Historical Orders'!$C180, "B", 'Historical Orders'!$B180, "1")</f>
        <v>0</v>
      </c>
      <c r="T180" s="159">
        <f>SUMIFS('Historical Orders'!$E180, 'Historical Orders'!$D180, "2", 'Historical Orders'!$C180, "A", 'Historical Orders'!$B180, "2")</f>
        <v>0</v>
      </c>
      <c r="U180" s="157">
        <f>SUMIFS('Historical Orders'!$G180, 'Historical Orders'!$D180, "2", 'Historical Orders'!$C180, "A", 'Historical Orders'!$B180, "2")</f>
        <v>0</v>
      </c>
      <c r="V180" s="159">
        <f>SUMIFS('Historical Orders'!$E180, 'Historical Orders'!$D180, "2", 'Historical Orders'!$C180, "B", 'Historical Orders'!$B180, "2")</f>
        <v>0</v>
      </c>
      <c r="W180" s="159">
        <f>SUMIFS('Historical Orders'!$G180, 'Historical Orders'!$D180, "2", 'Historical Orders'!$C180, "B", 'Historical Orders'!$B180, "2")</f>
        <v>0</v>
      </c>
      <c r="X180" s="159">
        <f>SUMIFS('Historical Orders'!$E180, 'Historical Orders'!$D180, "3", 'Historical Orders'!$C180, "A", 'Historical Orders'!$B180, "1")</f>
        <v>0</v>
      </c>
      <c r="Y180" s="159">
        <f>SUMIFS('Historical Orders'!$G180, 'Historical Orders'!$D180, "3", 'Historical Orders'!$C180, "A", 'Historical Orders'!$B180, "1")</f>
        <v>0</v>
      </c>
      <c r="Z180" s="159">
        <f>SUMIFS('Historical Orders'!$E180, 'Historical Orders'!$D180, "3", 'Historical Orders'!$C180, "B", 'Historical Orders'!$B180, "1")</f>
        <v>2070</v>
      </c>
      <c r="AA180" s="159">
        <f>SUMIFS('Historical Orders'!$G180, 'Historical Orders'!$D180, "3", 'Historical Orders'!$C180, "B", 'Historical Orders'!$B180, "1")</f>
        <v>17181</v>
      </c>
      <c r="AB180" s="159">
        <f>SUMIFS('Historical Orders'!$E180, 'Historical Orders'!$D180, "3", 'Historical Orders'!$C180, "A", 'Historical Orders'!$B180, "2")</f>
        <v>0</v>
      </c>
      <c r="AC180" s="159">
        <f>SUMIFS('Historical Orders'!$G180, 'Historical Orders'!$D180, "3", 'Historical Orders'!$C180, "A", 'Historical Orders'!$B180, "2")</f>
        <v>0</v>
      </c>
      <c r="AD180" s="159">
        <f>SUMIFS('Historical Orders'!$E180, 'Historical Orders'!$D180, "3", 'Historical Orders'!$C180, "B", 'Historical Orders'!$B180, "2")</f>
        <v>0</v>
      </c>
      <c r="AE180" s="157">
        <f>SUMIFS('Historical Orders'!$G180, 'Historical Orders'!$D180, "3", 'Historical Orders'!$C180, "B", 'Historical Orders'!$B180, "2")</f>
        <v>0</v>
      </c>
      <c r="AF180" s="157">
        <f>SUMIFS('Historical Orders'!$E180, 'Historical Orders'!$D180, "4", 'Historical Orders'!$C180, "A", 'Historical Orders'!$B180, "1")</f>
        <v>0</v>
      </c>
      <c r="AG180" s="157">
        <f>SUMIFS('Historical Orders'!$G180, 'Historical Orders'!$D180, "4", 'Historical Orders'!$C180, "A", 'Historical Orders'!$B180, "1")</f>
        <v>0</v>
      </c>
      <c r="AH180" s="157">
        <f>SUMIFS('Historical Orders'!$E180, 'Historical Orders'!$D180, "4", 'Historical Orders'!$C180, "B", 'Historical Orders'!$B180, "1")</f>
        <v>0</v>
      </c>
      <c r="AI180" s="157">
        <f>SUMIFS('Historical Orders'!$G180, 'Historical Orders'!$D180, "4", 'Historical Orders'!$C180, "B", 'Historical Orders'!$B180, "1")</f>
        <v>0</v>
      </c>
      <c r="AJ180" s="157">
        <f>SUMIFS('Historical Orders'!$E180, 'Historical Orders'!$D180, "4", 'Historical Orders'!$C180, "A", 'Historical Orders'!$B180, "2")</f>
        <v>0</v>
      </c>
      <c r="AK180" s="157">
        <f>SUMIFS('Historical Orders'!$G180, 'Historical Orders'!$D180, "4", 'Historical Orders'!$C180, "A", 'Historical Orders'!$B180, "2")</f>
        <v>0</v>
      </c>
      <c r="AL180" s="171">
        <f>SUMIFS('Historical Orders'!$E180, 'Historical Orders'!$D180, "4", 'Historical Orders'!$C180, "B", 'Historical Orders'!$B180, "2")</f>
        <v>0</v>
      </c>
      <c r="AM180" s="171">
        <f>SUMIFS('Historical Orders'!$G180, 'Historical Orders'!$D180, "4", 'Historical Orders'!$C180, "B", 'Historical Orders'!$B180, "2")</f>
        <v>0</v>
      </c>
      <c r="AN180" s="171">
        <f>SUMIFS('Historical Orders'!$G180, 'Historical Orders'!$C180, "A", 'Historical Orders'!$B180, "1")</f>
        <v>0</v>
      </c>
      <c r="AO180" s="171">
        <f>SUMIFS('Historical Orders'!$G180, 'Historical Orders'!$C180, "B", 'Historical Orders'!$B180, "1")</f>
        <v>17181</v>
      </c>
      <c r="AP180" s="171">
        <f>SUMIFS('Historical Orders'!$G180, 'Historical Orders'!$C180, "A", 'Historical Orders'!$B180, "2")</f>
        <v>0</v>
      </c>
      <c r="AQ180" s="171">
        <f>SUMIFS('Historical Orders'!$G180, 'Historical Orders'!$C180, "B", 'Historical Orders'!$B180, "2")</f>
        <v>0</v>
      </c>
      <c r="AR180" s="145"/>
      <c r="AS180" s="172"/>
      <c r="AT180" s="172"/>
      <c r="AU180" s="172"/>
      <c r="AV180" s="172"/>
      <c r="AW180" s="172"/>
      <c r="AX180" s="172"/>
      <c r="AY180" s="172"/>
      <c r="AZ180" s="172"/>
      <c r="BA180" s="172"/>
      <c r="BB180" s="172"/>
      <c r="BC180" s="172"/>
      <c r="BD180" s="172"/>
      <c r="BE180" s="172"/>
      <c r="BF180" s="172"/>
      <c r="BG180" s="172"/>
      <c r="BH180" s="172"/>
      <c r="BI180" s="172"/>
      <c r="BJ180" s="172"/>
      <c r="BK180" s="172"/>
      <c r="BL180" s="172"/>
      <c r="BM180" s="172"/>
      <c r="BN180" s="172"/>
      <c r="BO180" s="172"/>
      <c r="BP180" s="172"/>
      <c r="BQ180" s="172"/>
      <c r="BR180" s="172"/>
      <c r="BS180" s="172"/>
      <c r="BT180" s="172"/>
      <c r="BU180" s="172"/>
      <c r="BV180" s="179"/>
      <c r="BW180" s="179"/>
      <c r="BX180" s="179"/>
      <c r="BY180" s="179"/>
      <c r="BZ180" s="179"/>
      <c r="CA180" s="179"/>
      <c r="CB180" s="179"/>
      <c r="CC180" s="179"/>
      <c r="CD180" s="179"/>
      <c r="CE180" s="179"/>
    </row>
    <row r="181" ht="15.75" customHeight="1">
      <c r="A181" s="151">
        <v>42058.0</v>
      </c>
      <c r="B181" s="152">
        <v>2.0</v>
      </c>
      <c r="C181" s="152" t="s">
        <v>46</v>
      </c>
      <c r="D181" s="152">
        <v>3.0</v>
      </c>
      <c r="E181" s="153">
        <v>2514.0</v>
      </c>
      <c r="F181" s="154">
        <v>8.3</v>
      </c>
      <c r="G181" s="155">
        <v>20866.2</v>
      </c>
      <c r="H181" s="159">
        <f>SUMIFS('Historical Orders'!$E181, 'Historical Orders'!$D181, "1", 'Historical Orders'!$C181, "A", 'Historical Orders'!$B181, "1")</f>
        <v>0</v>
      </c>
      <c r="I181" s="157">
        <f>SUMIFS('Historical Orders'!$G181, 'Historical Orders'!$D181, "1", 'Historical Orders'!$C181, "A", 'Historical Orders'!$B181, "1")</f>
        <v>0</v>
      </c>
      <c r="J181" s="157">
        <f>SUMIFS('Historical Orders'!$E181, 'Historical Orders'!$D181, "1", 'Historical Orders'!$C181, "B", 'Historical Orders'!$B181, "1")</f>
        <v>0</v>
      </c>
      <c r="K181" s="157">
        <f>SUMIFS('Historical Orders'!$G181, 'Historical Orders'!$D181, "1", 'Historical Orders'!$C181, "B", 'Historical Orders'!$B181, "1")</f>
        <v>0</v>
      </c>
      <c r="L181" s="159">
        <f>SUMIFS('Historical Orders'!$E181, 'Historical Orders'!$D181, "1", 'Historical Orders'!$C181, "A", 'Historical Orders'!$B181, "2")</f>
        <v>0</v>
      </c>
      <c r="M181" s="157">
        <f>SUMIFS('Historical Orders'!$G181, 'Historical Orders'!$D181, "1", 'Historical Orders'!$C181, "A", 'Historical Orders'!$B181, "2")</f>
        <v>0</v>
      </c>
      <c r="N181" s="157">
        <f>SUMIFS('Historical Orders'!$E181, 'Historical Orders'!$D181, "1", 'Historical Orders'!$C181, "B", 'Historical Orders'!$B181, "2")</f>
        <v>0</v>
      </c>
      <c r="O181" s="157">
        <f>SUMIFS('Historical Orders'!$G181, 'Historical Orders'!$D181, "1", 'Historical Orders'!$C181, "B", 'Historical Orders'!$B181, "2")</f>
        <v>0</v>
      </c>
      <c r="P181" s="159">
        <f>SUMIFS('Historical Orders'!$E181, 'Historical Orders'!$D181, "2", 'Historical Orders'!$C181, "A", 'Historical Orders'!$B181, "1")</f>
        <v>0</v>
      </c>
      <c r="Q181" s="157">
        <f>SUMIFS('Historical Orders'!$G181, 'Historical Orders'!$D181, "2", 'Historical Orders'!$C181, "A", 'Historical Orders'!$B181, "1")</f>
        <v>0</v>
      </c>
      <c r="R181" s="159">
        <f>SUMIFS('Historical Orders'!$E181, 'Historical Orders'!$D181, "2", 'Historical Orders'!$C181, "B", 'Historical Orders'!$B181, "1")</f>
        <v>0</v>
      </c>
      <c r="S181" s="157">
        <f>SUMIFS('Historical Orders'!$G181, 'Historical Orders'!$D181, "2", 'Historical Orders'!$C181, "B", 'Historical Orders'!$B181, "1")</f>
        <v>0</v>
      </c>
      <c r="T181" s="159">
        <f>SUMIFS('Historical Orders'!$E181, 'Historical Orders'!$D181, "2", 'Historical Orders'!$C181, "A", 'Historical Orders'!$B181, "2")</f>
        <v>0</v>
      </c>
      <c r="U181" s="157">
        <f>SUMIFS('Historical Orders'!$G181, 'Historical Orders'!$D181, "2", 'Historical Orders'!$C181, "A", 'Historical Orders'!$B181, "2")</f>
        <v>0</v>
      </c>
      <c r="V181" s="159">
        <f>SUMIFS('Historical Orders'!$E181, 'Historical Orders'!$D181, "2", 'Historical Orders'!$C181, "B", 'Historical Orders'!$B181, "2")</f>
        <v>0</v>
      </c>
      <c r="W181" s="159">
        <f>SUMIFS('Historical Orders'!$G181, 'Historical Orders'!$D181, "2", 'Historical Orders'!$C181, "B", 'Historical Orders'!$B181, "2")</f>
        <v>0</v>
      </c>
      <c r="X181" s="159">
        <f>SUMIFS('Historical Orders'!$E181, 'Historical Orders'!$D181, "3", 'Historical Orders'!$C181, "A", 'Historical Orders'!$B181, "1")</f>
        <v>0</v>
      </c>
      <c r="Y181" s="159">
        <f>SUMIFS('Historical Orders'!$G181, 'Historical Orders'!$D181, "3", 'Historical Orders'!$C181, "A", 'Historical Orders'!$B181, "1")</f>
        <v>0</v>
      </c>
      <c r="Z181" s="159">
        <f>SUMIFS('Historical Orders'!$E181, 'Historical Orders'!$D181, "3", 'Historical Orders'!$C181, "B", 'Historical Orders'!$B181, "1")</f>
        <v>0</v>
      </c>
      <c r="AA181" s="159">
        <f>SUMIFS('Historical Orders'!$G181, 'Historical Orders'!$D181, "3", 'Historical Orders'!$C181, "B", 'Historical Orders'!$B181, "1")</f>
        <v>0</v>
      </c>
      <c r="AB181" s="159">
        <f>SUMIFS('Historical Orders'!$E181, 'Historical Orders'!$D181, "3", 'Historical Orders'!$C181, "A", 'Historical Orders'!$B181, "2")</f>
        <v>0</v>
      </c>
      <c r="AC181" s="159">
        <f>SUMIFS('Historical Orders'!$G181, 'Historical Orders'!$D181, "3", 'Historical Orders'!$C181, "A", 'Historical Orders'!$B181, "2")</f>
        <v>0</v>
      </c>
      <c r="AD181" s="159">
        <f>SUMIFS('Historical Orders'!$E181, 'Historical Orders'!$D181, "3", 'Historical Orders'!$C181, "B", 'Historical Orders'!$B181, "2")</f>
        <v>2514</v>
      </c>
      <c r="AE181" s="157">
        <f>SUMIFS('Historical Orders'!$G181, 'Historical Orders'!$D181, "3", 'Historical Orders'!$C181, "B", 'Historical Orders'!$B181, "2")</f>
        <v>20866.2</v>
      </c>
      <c r="AF181" s="157">
        <f>SUMIFS('Historical Orders'!$E181, 'Historical Orders'!$D181, "4", 'Historical Orders'!$C181, "A", 'Historical Orders'!$B181, "1")</f>
        <v>0</v>
      </c>
      <c r="AG181" s="157">
        <f>SUMIFS('Historical Orders'!$G181, 'Historical Orders'!$D181, "4", 'Historical Orders'!$C181, "A", 'Historical Orders'!$B181, "1")</f>
        <v>0</v>
      </c>
      <c r="AH181" s="157">
        <f>SUMIFS('Historical Orders'!$E181, 'Historical Orders'!$D181, "4", 'Historical Orders'!$C181, "B", 'Historical Orders'!$B181, "1")</f>
        <v>0</v>
      </c>
      <c r="AI181" s="157">
        <f>SUMIFS('Historical Orders'!$G181, 'Historical Orders'!$D181, "4", 'Historical Orders'!$C181, "B", 'Historical Orders'!$B181, "1")</f>
        <v>0</v>
      </c>
      <c r="AJ181" s="157">
        <f>SUMIFS('Historical Orders'!$E181, 'Historical Orders'!$D181, "4", 'Historical Orders'!$C181, "A", 'Historical Orders'!$B181, "2")</f>
        <v>0</v>
      </c>
      <c r="AK181" s="157">
        <f>SUMIFS('Historical Orders'!$G181, 'Historical Orders'!$D181, "4", 'Historical Orders'!$C181, "A", 'Historical Orders'!$B181, "2")</f>
        <v>0</v>
      </c>
      <c r="AL181" s="171">
        <f>SUMIFS('Historical Orders'!$E181, 'Historical Orders'!$D181, "4", 'Historical Orders'!$C181, "B", 'Historical Orders'!$B181, "2")</f>
        <v>0</v>
      </c>
      <c r="AM181" s="171">
        <f>SUMIFS('Historical Orders'!$G181, 'Historical Orders'!$D181, "4", 'Historical Orders'!$C181, "B", 'Historical Orders'!$B181, "2")</f>
        <v>0</v>
      </c>
      <c r="AN181" s="171">
        <f>SUMIFS('Historical Orders'!$G181, 'Historical Orders'!$C181, "A", 'Historical Orders'!$B181, "1")</f>
        <v>0</v>
      </c>
      <c r="AO181" s="171">
        <f>SUMIFS('Historical Orders'!$G181, 'Historical Orders'!$C181, "B", 'Historical Orders'!$B181, "1")</f>
        <v>0</v>
      </c>
      <c r="AP181" s="171">
        <f>SUMIFS('Historical Orders'!$G181, 'Historical Orders'!$C181, "A", 'Historical Orders'!$B181, "2")</f>
        <v>0</v>
      </c>
      <c r="AQ181" s="171">
        <f>SUMIFS('Historical Orders'!$G181, 'Historical Orders'!$C181, "B", 'Historical Orders'!$B181, "2")</f>
        <v>20866.2</v>
      </c>
      <c r="AR181" s="145"/>
      <c r="AS181" s="172"/>
      <c r="AT181" s="172"/>
      <c r="AU181" s="172"/>
      <c r="AV181" s="172"/>
      <c r="AW181" s="172"/>
      <c r="AX181" s="172"/>
      <c r="AY181" s="172"/>
      <c r="AZ181" s="172"/>
      <c r="BA181" s="172"/>
      <c r="BB181" s="172"/>
      <c r="BC181" s="172"/>
      <c r="BD181" s="172"/>
      <c r="BE181" s="172"/>
      <c r="BF181" s="172"/>
      <c r="BG181" s="172"/>
      <c r="BH181" s="172"/>
      <c r="BI181" s="172"/>
      <c r="BJ181" s="172"/>
      <c r="BK181" s="172"/>
      <c r="BL181" s="172"/>
      <c r="BM181" s="172"/>
      <c r="BN181" s="172"/>
      <c r="BO181" s="172"/>
      <c r="BP181" s="172"/>
      <c r="BQ181" s="172"/>
      <c r="BR181" s="172"/>
      <c r="BS181" s="172"/>
      <c r="BT181" s="172"/>
      <c r="BU181" s="172"/>
      <c r="BV181" s="179"/>
      <c r="BW181" s="179"/>
      <c r="BX181" s="179"/>
      <c r="BY181" s="179"/>
      <c r="BZ181" s="179"/>
      <c r="CA181" s="179"/>
      <c r="CB181" s="179"/>
      <c r="CC181" s="179"/>
      <c r="CD181" s="179"/>
      <c r="CE181" s="179"/>
    </row>
    <row r="182" ht="15.75" customHeight="1">
      <c r="A182" s="151">
        <v>42065.0</v>
      </c>
      <c r="B182" s="152">
        <v>1.0</v>
      </c>
      <c r="C182" s="152" t="s">
        <v>45</v>
      </c>
      <c r="D182" s="152">
        <v>1.0</v>
      </c>
      <c r="E182" s="153">
        <v>4212.0</v>
      </c>
      <c r="F182" s="154">
        <v>2.2</v>
      </c>
      <c r="G182" s="155">
        <v>9266.400000000001</v>
      </c>
      <c r="H182" s="159">
        <f>SUMIFS('Historical Orders'!$E182, 'Historical Orders'!$D182, "1", 'Historical Orders'!$C182, "A", 'Historical Orders'!$B182, "1")</f>
        <v>4212</v>
      </c>
      <c r="I182" s="157">
        <f>SUMIFS('Historical Orders'!$G182, 'Historical Orders'!$D182, "1", 'Historical Orders'!$C182, "A", 'Historical Orders'!$B182, "1")</f>
        <v>9266.4</v>
      </c>
      <c r="J182" s="157">
        <f>SUMIFS('Historical Orders'!$E182, 'Historical Orders'!$D182, "1", 'Historical Orders'!$C182, "B", 'Historical Orders'!$B182, "1")</f>
        <v>0</v>
      </c>
      <c r="K182" s="157">
        <f>SUMIFS('Historical Orders'!$G182, 'Historical Orders'!$D182, "1", 'Historical Orders'!$C182, "B", 'Historical Orders'!$B182, "1")</f>
        <v>0</v>
      </c>
      <c r="L182" s="159">
        <f>SUMIFS('Historical Orders'!$E182, 'Historical Orders'!$D182, "1", 'Historical Orders'!$C182, "A", 'Historical Orders'!$B182, "2")</f>
        <v>0</v>
      </c>
      <c r="M182" s="157">
        <f>SUMIFS('Historical Orders'!$G182, 'Historical Orders'!$D182, "1", 'Historical Orders'!$C182, "A", 'Historical Orders'!$B182, "2")</f>
        <v>0</v>
      </c>
      <c r="N182" s="157">
        <f>SUMIFS('Historical Orders'!$E182, 'Historical Orders'!$D182, "1", 'Historical Orders'!$C182, "B", 'Historical Orders'!$B182, "2")</f>
        <v>0</v>
      </c>
      <c r="O182" s="157">
        <f>SUMIFS('Historical Orders'!$G182, 'Historical Orders'!$D182, "1", 'Historical Orders'!$C182, "B", 'Historical Orders'!$B182, "2")</f>
        <v>0</v>
      </c>
      <c r="P182" s="159">
        <f>SUMIFS('Historical Orders'!$E182, 'Historical Orders'!$D182, "2", 'Historical Orders'!$C182, "A", 'Historical Orders'!$B182, "1")</f>
        <v>0</v>
      </c>
      <c r="Q182" s="157">
        <f>SUMIFS('Historical Orders'!$G182, 'Historical Orders'!$D182, "2", 'Historical Orders'!$C182, "A", 'Historical Orders'!$B182, "1")</f>
        <v>0</v>
      </c>
      <c r="R182" s="159">
        <f>SUMIFS('Historical Orders'!$E182, 'Historical Orders'!$D182, "2", 'Historical Orders'!$C182, "B", 'Historical Orders'!$B182, "1")</f>
        <v>0</v>
      </c>
      <c r="S182" s="157">
        <f>SUMIFS('Historical Orders'!$G182, 'Historical Orders'!$D182, "2", 'Historical Orders'!$C182, "B", 'Historical Orders'!$B182, "1")</f>
        <v>0</v>
      </c>
      <c r="T182" s="159">
        <f>SUMIFS('Historical Orders'!$E182, 'Historical Orders'!$D182, "2", 'Historical Orders'!$C182, "A", 'Historical Orders'!$B182, "2")</f>
        <v>0</v>
      </c>
      <c r="U182" s="157">
        <f>SUMIFS('Historical Orders'!$G182, 'Historical Orders'!$D182, "2", 'Historical Orders'!$C182, "A", 'Historical Orders'!$B182, "2")</f>
        <v>0</v>
      </c>
      <c r="V182" s="159">
        <f>SUMIFS('Historical Orders'!$E182, 'Historical Orders'!$D182, "2", 'Historical Orders'!$C182, "B", 'Historical Orders'!$B182, "2")</f>
        <v>0</v>
      </c>
      <c r="W182" s="159">
        <f>SUMIFS('Historical Orders'!$G182, 'Historical Orders'!$D182, "2", 'Historical Orders'!$C182, "B", 'Historical Orders'!$B182, "2")</f>
        <v>0</v>
      </c>
      <c r="X182" s="159">
        <f>SUMIFS('Historical Orders'!$E182, 'Historical Orders'!$D182, "3", 'Historical Orders'!$C182, "A", 'Historical Orders'!$B182, "1")</f>
        <v>0</v>
      </c>
      <c r="Y182" s="159">
        <f>SUMIFS('Historical Orders'!$G182, 'Historical Orders'!$D182, "3", 'Historical Orders'!$C182, "A", 'Historical Orders'!$B182, "1")</f>
        <v>0</v>
      </c>
      <c r="Z182" s="159">
        <f>SUMIFS('Historical Orders'!$E182, 'Historical Orders'!$D182, "3", 'Historical Orders'!$C182, "B", 'Historical Orders'!$B182, "1")</f>
        <v>0</v>
      </c>
      <c r="AA182" s="159">
        <f>SUMIFS('Historical Orders'!$G182, 'Historical Orders'!$D182, "3", 'Historical Orders'!$C182, "B", 'Historical Orders'!$B182, "1")</f>
        <v>0</v>
      </c>
      <c r="AB182" s="159">
        <f>SUMIFS('Historical Orders'!$E182, 'Historical Orders'!$D182, "3", 'Historical Orders'!$C182, "A", 'Historical Orders'!$B182, "2")</f>
        <v>0</v>
      </c>
      <c r="AC182" s="159">
        <f>SUMIFS('Historical Orders'!$G182, 'Historical Orders'!$D182, "3", 'Historical Orders'!$C182, "A", 'Historical Orders'!$B182, "2")</f>
        <v>0</v>
      </c>
      <c r="AD182" s="159">
        <f>SUMIFS('Historical Orders'!$E182, 'Historical Orders'!$D182, "3", 'Historical Orders'!$C182, "B", 'Historical Orders'!$B182, "2")</f>
        <v>0</v>
      </c>
      <c r="AE182" s="157">
        <f>SUMIFS('Historical Orders'!$G182, 'Historical Orders'!$D182, "3", 'Historical Orders'!$C182, "B", 'Historical Orders'!$B182, "2")</f>
        <v>0</v>
      </c>
      <c r="AF182" s="157">
        <f>SUMIFS('Historical Orders'!$E182, 'Historical Orders'!$D182, "4", 'Historical Orders'!$C182, "A", 'Historical Orders'!$B182, "1")</f>
        <v>0</v>
      </c>
      <c r="AG182" s="157">
        <f>SUMIFS('Historical Orders'!$G182, 'Historical Orders'!$D182, "4", 'Historical Orders'!$C182, "A", 'Historical Orders'!$B182, "1")</f>
        <v>0</v>
      </c>
      <c r="AH182" s="157">
        <f>SUMIFS('Historical Orders'!$E182, 'Historical Orders'!$D182, "4", 'Historical Orders'!$C182, "B", 'Historical Orders'!$B182, "1")</f>
        <v>0</v>
      </c>
      <c r="AI182" s="157">
        <f>SUMIFS('Historical Orders'!$G182, 'Historical Orders'!$D182, "4", 'Historical Orders'!$C182, "B", 'Historical Orders'!$B182, "1")</f>
        <v>0</v>
      </c>
      <c r="AJ182" s="157">
        <f>SUMIFS('Historical Orders'!$E182, 'Historical Orders'!$D182, "4", 'Historical Orders'!$C182, "A", 'Historical Orders'!$B182, "2")</f>
        <v>0</v>
      </c>
      <c r="AK182" s="157">
        <f>SUMIFS('Historical Orders'!$G182, 'Historical Orders'!$D182, "4", 'Historical Orders'!$C182, "A", 'Historical Orders'!$B182, "2")</f>
        <v>0</v>
      </c>
      <c r="AL182" s="171">
        <f>SUMIFS('Historical Orders'!$E182, 'Historical Orders'!$D182, "4", 'Historical Orders'!$C182, "B", 'Historical Orders'!$B182, "2")</f>
        <v>0</v>
      </c>
      <c r="AM182" s="171">
        <f>SUMIFS('Historical Orders'!$G182, 'Historical Orders'!$D182, "4", 'Historical Orders'!$C182, "B", 'Historical Orders'!$B182, "2")</f>
        <v>0</v>
      </c>
      <c r="AN182" s="171">
        <f>SUMIFS('Historical Orders'!$G182, 'Historical Orders'!$C182, "A", 'Historical Orders'!$B182, "1")</f>
        <v>9266.4</v>
      </c>
      <c r="AO182" s="171">
        <f>SUMIFS('Historical Orders'!$G182, 'Historical Orders'!$C182, "B", 'Historical Orders'!$B182, "1")</f>
        <v>0</v>
      </c>
      <c r="AP182" s="171">
        <f>SUMIFS('Historical Orders'!$G182, 'Historical Orders'!$C182, "A", 'Historical Orders'!$B182, "2")</f>
        <v>0</v>
      </c>
      <c r="AQ182" s="171">
        <f>SUMIFS('Historical Orders'!$G182, 'Historical Orders'!$C182, "B", 'Historical Orders'!$B182, "2")</f>
        <v>0</v>
      </c>
      <c r="AR182" s="145"/>
      <c r="AS182" s="172"/>
      <c r="AT182" s="172"/>
      <c r="AU182" s="172"/>
      <c r="AV182" s="172"/>
      <c r="AW182" s="172"/>
      <c r="AX182" s="172"/>
      <c r="AY182" s="172"/>
      <c r="AZ182" s="172"/>
      <c r="BA182" s="172"/>
      <c r="BB182" s="172"/>
      <c r="BC182" s="172"/>
      <c r="BD182" s="172"/>
      <c r="BE182" s="172"/>
      <c r="BF182" s="172"/>
      <c r="BG182" s="172"/>
      <c r="BH182" s="172"/>
      <c r="BI182" s="172"/>
      <c r="BJ182" s="172"/>
      <c r="BK182" s="172"/>
      <c r="BL182" s="172"/>
      <c r="BM182" s="172"/>
      <c r="BN182" s="172"/>
      <c r="BO182" s="172"/>
      <c r="BP182" s="172"/>
      <c r="BQ182" s="172"/>
      <c r="BR182" s="172"/>
      <c r="BS182" s="172"/>
      <c r="BT182" s="172"/>
      <c r="BU182" s="172"/>
      <c r="BV182" s="179"/>
      <c r="BW182" s="179"/>
      <c r="BX182" s="179"/>
      <c r="BY182" s="179"/>
      <c r="BZ182" s="179"/>
      <c r="CA182" s="179"/>
      <c r="CB182" s="179"/>
      <c r="CC182" s="179"/>
      <c r="CD182" s="179"/>
      <c r="CE182" s="179"/>
    </row>
    <row r="183" ht="15.75" customHeight="1">
      <c r="A183" s="151">
        <v>42065.0</v>
      </c>
      <c r="B183" s="152">
        <v>1.0</v>
      </c>
      <c r="C183" s="152" t="s">
        <v>45</v>
      </c>
      <c r="D183" s="152">
        <v>2.0</v>
      </c>
      <c r="E183" s="153">
        <v>5202.0</v>
      </c>
      <c r="F183" s="154">
        <v>1.2</v>
      </c>
      <c r="G183" s="155">
        <v>6242.4</v>
      </c>
      <c r="H183" s="159">
        <f>SUMIFS('Historical Orders'!$E183, 'Historical Orders'!$D183, "1", 'Historical Orders'!$C183, "A", 'Historical Orders'!$B183, "1")</f>
        <v>0</v>
      </c>
      <c r="I183" s="157">
        <f>SUMIFS('Historical Orders'!$G183, 'Historical Orders'!$D183, "1", 'Historical Orders'!$C183, "A", 'Historical Orders'!$B183, "1")</f>
        <v>0</v>
      </c>
      <c r="J183" s="157">
        <f>SUMIFS('Historical Orders'!$E183, 'Historical Orders'!$D183, "1", 'Historical Orders'!$C183, "B", 'Historical Orders'!$B183, "1")</f>
        <v>0</v>
      </c>
      <c r="K183" s="157">
        <f>SUMIFS('Historical Orders'!$G183, 'Historical Orders'!$D183, "1", 'Historical Orders'!$C183, "B", 'Historical Orders'!$B183, "1")</f>
        <v>0</v>
      </c>
      <c r="L183" s="159">
        <f>SUMIFS('Historical Orders'!$E183, 'Historical Orders'!$D183, "1", 'Historical Orders'!$C183, "A", 'Historical Orders'!$B183, "2")</f>
        <v>0</v>
      </c>
      <c r="M183" s="157">
        <f>SUMIFS('Historical Orders'!$G183, 'Historical Orders'!$D183, "1", 'Historical Orders'!$C183, "A", 'Historical Orders'!$B183, "2")</f>
        <v>0</v>
      </c>
      <c r="N183" s="157">
        <f>SUMIFS('Historical Orders'!$E183, 'Historical Orders'!$D183, "1", 'Historical Orders'!$C183, "B", 'Historical Orders'!$B183, "2")</f>
        <v>0</v>
      </c>
      <c r="O183" s="157">
        <f>SUMIFS('Historical Orders'!$G183, 'Historical Orders'!$D183, "1", 'Historical Orders'!$C183, "B", 'Historical Orders'!$B183, "2")</f>
        <v>0</v>
      </c>
      <c r="P183" s="159">
        <f>SUMIFS('Historical Orders'!$E183, 'Historical Orders'!$D183, "2", 'Historical Orders'!$C183, "A", 'Historical Orders'!$B183, "1")</f>
        <v>5202</v>
      </c>
      <c r="Q183" s="157">
        <f>SUMIFS('Historical Orders'!$G183, 'Historical Orders'!$D183, "2", 'Historical Orders'!$C183, "A", 'Historical Orders'!$B183, "1")</f>
        <v>6242.4</v>
      </c>
      <c r="R183" s="159">
        <f>SUMIFS('Historical Orders'!$E183, 'Historical Orders'!$D183, "2", 'Historical Orders'!$C183, "B", 'Historical Orders'!$B183, "1")</f>
        <v>0</v>
      </c>
      <c r="S183" s="157">
        <f>SUMIFS('Historical Orders'!$G183, 'Historical Orders'!$D183, "2", 'Historical Orders'!$C183, "B", 'Historical Orders'!$B183, "1")</f>
        <v>0</v>
      </c>
      <c r="T183" s="159">
        <f>SUMIFS('Historical Orders'!$E183, 'Historical Orders'!$D183, "2", 'Historical Orders'!$C183, "A", 'Historical Orders'!$B183, "2")</f>
        <v>0</v>
      </c>
      <c r="U183" s="157">
        <f>SUMIFS('Historical Orders'!$G183, 'Historical Orders'!$D183, "2", 'Historical Orders'!$C183, "A", 'Historical Orders'!$B183, "2")</f>
        <v>0</v>
      </c>
      <c r="V183" s="159">
        <f>SUMIFS('Historical Orders'!$E183, 'Historical Orders'!$D183, "2", 'Historical Orders'!$C183, "B", 'Historical Orders'!$B183, "2")</f>
        <v>0</v>
      </c>
      <c r="W183" s="159">
        <f>SUMIFS('Historical Orders'!$G183, 'Historical Orders'!$D183, "2", 'Historical Orders'!$C183, "B", 'Historical Orders'!$B183, "2")</f>
        <v>0</v>
      </c>
      <c r="X183" s="159">
        <f>SUMIFS('Historical Orders'!$E183, 'Historical Orders'!$D183, "3", 'Historical Orders'!$C183, "A", 'Historical Orders'!$B183, "1")</f>
        <v>0</v>
      </c>
      <c r="Y183" s="159">
        <f>SUMIFS('Historical Orders'!$G183, 'Historical Orders'!$D183, "3", 'Historical Orders'!$C183, "A", 'Historical Orders'!$B183, "1")</f>
        <v>0</v>
      </c>
      <c r="Z183" s="159">
        <f>SUMIFS('Historical Orders'!$E183, 'Historical Orders'!$D183, "3", 'Historical Orders'!$C183, "B", 'Historical Orders'!$B183, "1")</f>
        <v>0</v>
      </c>
      <c r="AA183" s="159">
        <f>SUMIFS('Historical Orders'!$G183, 'Historical Orders'!$D183, "3", 'Historical Orders'!$C183, "B", 'Historical Orders'!$B183, "1")</f>
        <v>0</v>
      </c>
      <c r="AB183" s="159">
        <f>SUMIFS('Historical Orders'!$E183, 'Historical Orders'!$D183, "3", 'Historical Orders'!$C183, "A", 'Historical Orders'!$B183, "2")</f>
        <v>0</v>
      </c>
      <c r="AC183" s="159">
        <f>SUMIFS('Historical Orders'!$G183, 'Historical Orders'!$D183, "3", 'Historical Orders'!$C183, "A", 'Historical Orders'!$B183, "2")</f>
        <v>0</v>
      </c>
      <c r="AD183" s="159">
        <f>SUMIFS('Historical Orders'!$E183, 'Historical Orders'!$D183, "3", 'Historical Orders'!$C183, "B", 'Historical Orders'!$B183, "2")</f>
        <v>0</v>
      </c>
      <c r="AE183" s="157">
        <f>SUMIFS('Historical Orders'!$G183, 'Historical Orders'!$D183, "3", 'Historical Orders'!$C183, "B", 'Historical Orders'!$B183, "2")</f>
        <v>0</v>
      </c>
      <c r="AF183" s="157">
        <f>SUMIFS('Historical Orders'!$E183, 'Historical Orders'!$D183, "4", 'Historical Orders'!$C183, "A", 'Historical Orders'!$B183, "1")</f>
        <v>0</v>
      </c>
      <c r="AG183" s="157">
        <f>SUMIFS('Historical Orders'!$G183, 'Historical Orders'!$D183, "4", 'Historical Orders'!$C183, "A", 'Historical Orders'!$B183, "1")</f>
        <v>0</v>
      </c>
      <c r="AH183" s="157">
        <f>SUMIFS('Historical Orders'!$E183, 'Historical Orders'!$D183, "4", 'Historical Orders'!$C183, "B", 'Historical Orders'!$B183, "1")</f>
        <v>0</v>
      </c>
      <c r="AI183" s="157">
        <f>SUMIFS('Historical Orders'!$G183, 'Historical Orders'!$D183, "4", 'Historical Orders'!$C183, "B", 'Historical Orders'!$B183, "1")</f>
        <v>0</v>
      </c>
      <c r="AJ183" s="157">
        <f>SUMIFS('Historical Orders'!$E183, 'Historical Orders'!$D183, "4", 'Historical Orders'!$C183, "A", 'Historical Orders'!$B183, "2")</f>
        <v>0</v>
      </c>
      <c r="AK183" s="157">
        <f>SUMIFS('Historical Orders'!$G183, 'Historical Orders'!$D183, "4", 'Historical Orders'!$C183, "A", 'Historical Orders'!$B183, "2")</f>
        <v>0</v>
      </c>
      <c r="AL183" s="171">
        <f>SUMIFS('Historical Orders'!$E183, 'Historical Orders'!$D183, "4", 'Historical Orders'!$C183, "B", 'Historical Orders'!$B183, "2")</f>
        <v>0</v>
      </c>
      <c r="AM183" s="171">
        <f>SUMIFS('Historical Orders'!$G183, 'Historical Orders'!$D183, "4", 'Historical Orders'!$C183, "B", 'Historical Orders'!$B183, "2")</f>
        <v>0</v>
      </c>
      <c r="AN183" s="171">
        <f>SUMIFS('Historical Orders'!$G183, 'Historical Orders'!$C183, "A", 'Historical Orders'!$B183, "1")</f>
        <v>6242.4</v>
      </c>
      <c r="AO183" s="171">
        <f>SUMIFS('Historical Orders'!$G183, 'Historical Orders'!$C183, "B", 'Historical Orders'!$B183, "1")</f>
        <v>0</v>
      </c>
      <c r="AP183" s="171">
        <f>SUMIFS('Historical Orders'!$G183, 'Historical Orders'!$C183, "A", 'Historical Orders'!$B183, "2")</f>
        <v>0</v>
      </c>
      <c r="AQ183" s="171">
        <f>SUMIFS('Historical Orders'!$G183, 'Historical Orders'!$C183, "B", 'Historical Orders'!$B183, "2")</f>
        <v>0</v>
      </c>
      <c r="AR183" s="145"/>
      <c r="AS183" s="172"/>
      <c r="AT183" s="172"/>
      <c r="AU183" s="172"/>
      <c r="AV183" s="172"/>
      <c r="AW183" s="172"/>
      <c r="AX183" s="172"/>
      <c r="AY183" s="172"/>
      <c r="AZ183" s="172"/>
      <c r="BA183" s="172"/>
      <c r="BB183" s="172"/>
      <c r="BC183" s="172"/>
      <c r="BD183" s="172"/>
      <c r="BE183" s="172"/>
      <c r="BF183" s="172"/>
      <c r="BG183" s="172"/>
      <c r="BH183" s="172"/>
      <c r="BI183" s="172"/>
      <c r="BJ183" s="172"/>
      <c r="BK183" s="172"/>
      <c r="BL183" s="172"/>
      <c r="BM183" s="172"/>
      <c r="BN183" s="172"/>
      <c r="BO183" s="172"/>
      <c r="BP183" s="172"/>
      <c r="BQ183" s="172"/>
      <c r="BR183" s="172"/>
      <c r="BS183" s="172"/>
      <c r="BT183" s="172"/>
      <c r="BU183" s="172"/>
      <c r="BV183" s="179"/>
      <c r="BW183" s="179"/>
      <c r="BX183" s="179"/>
      <c r="BY183" s="179"/>
      <c r="BZ183" s="179"/>
      <c r="CA183" s="179"/>
      <c r="CB183" s="179"/>
      <c r="CC183" s="179"/>
      <c r="CD183" s="179"/>
      <c r="CE183" s="179"/>
    </row>
    <row r="184" ht="15.75" customHeight="1">
      <c r="A184" s="151">
        <v>42065.0</v>
      </c>
      <c r="B184" s="152">
        <v>2.0</v>
      </c>
      <c r="C184" s="152" t="s">
        <v>45</v>
      </c>
      <c r="D184" s="152">
        <v>1.0</v>
      </c>
      <c r="E184" s="153">
        <v>2588.0</v>
      </c>
      <c r="F184" s="154">
        <v>2.2</v>
      </c>
      <c r="G184" s="155">
        <v>5693.6</v>
      </c>
      <c r="H184" s="159">
        <f>SUMIFS('Historical Orders'!$E184, 'Historical Orders'!$D184, "1", 'Historical Orders'!$C184, "A", 'Historical Orders'!$B184, "1")</f>
        <v>0</v>
      </c>
      <c r="I184" s="157">
        <f>SUMIFS('Historical Orders'!$G184, 'Historical Orders'!$D184, "1", 'Historical Orders'!$C184, "A", 'Historical Orders'!$B184, "1")</f>
        <v>0</v>
      </c>
      <c r="J184" s="157">
        <f>SUMIFS('Historical Orders'!$E184, 'Historical Orders'!$D184, "1", 'Historical Orders'!$C184, "B", 'Historical Orders'!$B184, "1")</f>
        <v>0</v>
      </c>
      <c r="K184" s="157">
        <f>SUMIFS('Historical Orders'!$G184, 'Historical Orders'!$D184, "1", 'Historical Orders'!$C184, "B", 'Historical Orders'!$B184, "1")</f>
        <v>0</v>
      </c>
      <c r="L184" s="159">
        <f>SUMIFS('Historical Orders'!$E184, 'Historical Orders'!$D184, "1", 'Historical Orders'!$C184, "A", 'Historical Orders'!$B184, "2")</f>
        <v>2588</v>
      </c>
      <c r="M184" s="157">
        <f>SUMIFS('Historical Orders'!$G184, 'Historical Orders'!$D184, "1", 'Historical Orders'!$C184, "A", 'Historical Orders'!$B184, "2")</f>
        <v>5693.6</v>
      </c>
      <c r="N184" s="157">
        <f>SUMIFS('Historical Orders'!$E184, 'Historical Orders'!$D184, "1", 'Historical Orders'!$C184, "B", 'Historical Orders'!$B184, "2")</f>
        <v>0</v>
      </c>
      <c r="O184" s="157">
        <f>SUMIFS('Historical Orders'!$G184, 'Historical Orders'!$D184, "1", 'Historical Orders'!$C184, "B", 'Historical Orders'!$B184, "2")</f>
        <v>0</v>
      </c>
      <c r="P184" s="159">
        <f>SUMIFS('Historical Orders'!$E184, 'Historical Orders'!$D184, "2", 'Historical Orders'!$C184, "A", 'Historical Orders'!$B184, "1")</f>
        <v>0</v>
      </c>
      <c r="Q184" s="157">
        <f>SUMIFS('Historical Orders'!$G184, 'Historical Orders'!$D184, "2", 'Historical Orders'!$C184, "A", 'Historical Orders'!$B184, "1")</f>
        <v>0</v>
      </c>
      <c r="R184" s="159">
        <f>SUMIFS('Historical Orders'!$E184, 'Historical Orders'!$D184, "2", 'Historical Orders'!$C184, "B", 'Historical Orders'!$B184, "1")</f>
        <v>0</v>
      </c>
      <c r="S184" s="157">
        <f>SUMIFS('Historical Orders'!$G184, 'Historical Orders'!$D184, "2", 'Historical Orders'!$C184, "B", 'Historical Orders'!$B184, "1")</f>
        <v>0</v>
      </c>
      <c r="T184" s="159">
        <f>SUMIFS('Historical Orders'!$E184, 'Historical Orders'!$D184, "2", 'Historical Orders'!$C184, "A", 'Historical Orders'!$B184, "2")</f>
        <v>0</v>
      </c>
      <c r="U184" s="157">
        <f>SUMIFS('Historical Orders'!$G184, 'Historical Orders'!$D184, "2", 'Historical Orders'!$C184, "A", 'Historical Orders'!$B184, "2")</f>
        <v>0</v>
      </c>
      <c r="V184" s="159">
        <f>SUMIFS('Historical Orders'!$E184, 'Historical Orders'!$D184, "2", 'Historical Orders'!$C184, "B", 'Historical Orders'!$B184, "2")</f>
        <v>0</v>
      </c>
      <c r="W184" s="159">
        <f>SUMIFS('Historical Orders'!$G184, 'Historical Orders'!$D184, "2", 'Historical Orders'!$C184, "B", 'Historical Orders'!$B184, "2")</f>
        <v>0</v>
      </c>
      <c r="X184" s="159">
        <f>SUMIFS('Historical Orders'!$E184, 'Historical Orders'!$D184, "3", 'Historical Orders'!$C184, "A", 'Historical Orders'!$B184, "1")</f>
        <v>0</v>
      </c>
      <c r="Y184" s="159">
        <f>SUMIFS('Historical Orders'!$G184, 'Historical Orders'!$D184, "3", 'Historical Orders'!$C184, "A", 'Historical Orders'!$B184, "1")</f>
        <v>0</v>
      </c>
      <c r="Z184" s="159">
        <f>SUMIFS('Historical Orders'!$E184, 'Historical Orders'!$D184, "3", 'Historical Orders'!$C184, "B", 'Historical Orders'!$B184, "1")</f>
        <v>0</v>
      </c>
      <c r="AA184" s="159">
        <f>SUMIFS('Historical Orders'!$G184, 'Historical Orders'!$D184, "3", 'Historical Orders'!$C184, "B", 'Historical Orders'!$B184, "1")</f>
        <v>0</v>
      </c>
      <c r="AB184" s="159">
        <f>SUMIFS('Historical Orders'!$E184, 'Historical Orders'!$D184, "3", 'Historical Orders'!$C184, "A", 'Historical Orders'!$B184, "2")</f>
        <v>0</v>
      </c>
      <c r="AC184" s="159">
        <f>SUMIFS('Historical Orders'!$G184, 'Historical Orders'!$D184, "3", 'Historical Orders'!$C184, "A", 'Historical Orders'!$B184, "2")</f>
        <v>0</v>
      </c>
      <c r="AD184" s="159">
        <f>SUMIFS('Historical Orders'!$E184, 'Historical Orders'!$D184, "3", 'Historical Orders'!$C184, "B", 'Historical Orders'!$B184, "2")</f>
        <v>0</v>
      </c>
      <c r="AE184" s="157">
        <f>SUMIFS('Historical Orders'!$G184, 'Historical Orders'!$D184, "3", 'Historical Orders'!$C184, "B", 'Historical Orders'!$B184, "2")</f>
        <v>0</v>
      </c>
      <c r="AF184" s="157">
        <f>SUMIFS('Historical Orders'!$E184, 'Historical Orders'!$D184, "4", 'Historical Orders'!$C184, "A", 'Historical Orders'!$B184, "1")</f>
        <v>0</v>
      </c>
      <c r="AG184" s="157">
        <f>SUMIFS('Historical Orders'!$G184, 'Historical Orders'!$D184, "4", 'Historical Orders'!$C184, "A", 'Historical Orders'!$B184, "1")</f>
        <v>0</v>
      </c>
      <c r="AH184" s="157">
        <f>SUMIFS('Historical Orders'!$E184, 'Historical Orders'!$D184, "4", 'Historical Orders'!$C184, "B", 'Historical Orders'!$B184, "1")</f>
        <v>0</v>
      </c>
      <c r="AI184" s="157">
        <f>SUMIFS('Historical Orders'!$G184, 'Historical Orders'!$D184, "4", 'Historical Orders'!$C184, "B", 'Historical Orders'!$B184, "1")</f>
        <v>0</v>
      </c>
      <c r="AJ184" s="157">
        <f>SUMIFS('Historical Orders'!$E184, 'Historical Orders'!$D184, "4", 'Historical Orders'!$C184, "A", 'Historical Orders'!$B184, "2")</f>
        <v>0</v>
      </c>
      <c r="AK184" s="157">
        <f>SUMIFS('Historical Orders'!$G184, 'Historical Orders'!$D184, "4", 'Historical Orders'!$C184, "A", 'Historical Orders'!$B184, "2")</f>
        <v>0</v>
      </c>
      <c r="AL184" s="171">
        <f>SUMIFS('Historical Orders'!$E184, 'Historical Orders'!$D184, "4", 'Historical Orders'!$C184, "B", 'Historical Orders'!$B184, "2")</f>
        <v>0</v>
      </c>
      <c r="AM184" s="171">
        <f>SUMIFS('Historical Orders'!$G184, 'Historical Orders'!$D184, "4", 'Historical Orders'!$C184, "B", 'Historical Orders'!$B184, "2")</f>
        <v>0</v>
      </c>
      <c r="AN184" s="171">
        <f>SUMIFS('Historical Orders'!$G184, 'Historical Orders'!$C184, "A", 'Historical Orders'!$B184, "1")</f>
        <v>0</v>
      </c>
      <c r="AO184" s="171">
        <f>SUMIFS('Historical Orders'!$G184, 'Historical Orders'!$C184, "B", 'Historical Orders'!$B184, "1")</f>
        <v>0</v>
      </c>
      <c r="AP184" s="171">
        <f>SUMIFS('Historical Orders'!$G184, 'Historical Orders'!$C184, "A", 'Historical Orders'!$B184, "2")</f>
        <v>5693.6</v>
      </c>
      <c r="AQ184" s="171">
        <f>SUMIFS('Historical Orders'!$G184, 'Historical Orders'!$C184, "B", 'Historical Orders'!$B184, "2")</f>
        <v>0</v>
      </c>
      <c r="AR184" s="145"/>
      <c r="AS184" s="172"/>
      <c r="AT184" s="172"/>
      <c r="AU184" s="172"/>
      <c r="AV184" s="172"/>
      <c r="AW184" s="172"/>
      <c r="AX184" s="172"/>
      <c r="AY184" s="172"/>
      <c r="AZ184" s="172"/>
      <c r="BA184" s="172"/>
      <c r="BB184" s="172"/>
      <c r="BC184" s="172"/>
      <c r="BD184" s="172"/>
      <c r="BE184" s="172"/>
      <c r="BF184" s="172"/>
      <c r="BG184" s="172"/>
      <c r="BH184" s="172"/>
      <c r="BI184" s="172"/>
      <c r="BJ184" s="172"/>
      <c r="BK184" s="172"/>
      <c r="BL184" s="172"/>
      <c r="BM184" s="172"/>
      <c r="BN184" s="172"/>
      <c r="BO184" s="172"/>
      <c r="BP184" s="172"/>
      <c r="BQ184" s="172"/>
      <c r="BR184" s="172"/>
      <c r="BS184" s="172"/>
      <c r="BT184" s="172"/>
      <c r="BU184" s="172"/>
      <c r="BV184" s="179"/>
      <c r="BW184" s="179"/>
      <c r="BX184" s="179"/>
      <c r="BY184" s="179"/>
      <c r="BZ184" s="179"/>
      <c r="CA184" s="179"/>
      <c r="CB184" s="179"/>
      <c r="CC184" s="179"/>
      <c r="CD184" s="179"/>
      <c r="CE184" s="179"/>
    </row>
    <row r="185" ht="15.75" customHeight="1">
      <c r="A185" s="151">
        <v>42065.0</v>
      </c>
      <c r="B185" s="152">
        <v>2.0</v>
      </c>
      <c r="C185" s="152" t="s">
        <v>45</v>
      </c>
      <c r="D185" s="152">
        <v>2.0</v>
      </c>
      <c r="E185" s="153">
        <v>5406.0</v>
      </c>
      <c r="F185" s="154">
        <v>1.2</v>
      </c>
      <c r="G185" s="155">
        <v>6487.2</v>
      </c>
      <c r="H185" s="159">
        <f>SUMIFS('Historical Orders'!$E185, 'Historical Orders'!$D185, "1", 'Historical Orders'!$C185, "A", 'Historical Orders'!$B185, "1")</f>
        <v>0</v>
      </c>
      <c r="I185" s="157">
        <f>SUMIFS('Historical Orders'!$G185, 'Historical Orders'!$D185, "1", 'Historical Orders'!$C185, "A", 'Historical Orders'!$B185, "1")</f>
        <v>0</v>
      </c>
      <c r="J185" s="157">
        <f>SUMIFS('Historical Orders'!$E185, 'Historical Orders'!$D185, "1", 'Historical Orders'!$C185, "B", 'Historical Orders'!$B185, "1")</f>
        <v>0</v>
      </c>
      <c r="K185" s="157">
        <f>SUMIFS('Historical Orders'!$G185, 'Historical Orders'!$D185, "1", 'Historical Orders'!$C185, "B", 'Historical Orders'!$B185, "1")</f>
        <v>0</v>
      </c>
      <c r="L185" s="159">
        <f>SUMIFS('Historical Orders'!$E185, 'Historical Orders'!$D185, "1", 'Historical Orders'!$C185, "A", 'Historical Orders'!$B185, "2")</f>
        <v>0</v>
      </c>
      <c r="M185" s="157">
        <f>SUMIFS('Historical Orders'!$G185, 'Historical Orders'!$D185, "1", 'Historical Orders'!$C185, "A", 'Historical Orders'!$B185, "2")</f>
        <v>0</v>
      </c>
      <c r="N185" s="157">
        <f>SUMIFS('Historical Orders'!$E185, 'Historical Orders'!$D185, "1", 'Historical Orders'!$C185, "B", 'Historical Orders'!$B185, "2")</f>
        <v>0</v>
      </c>
      <c r="O185" s="157">
        <f>SUMIFS('Historical Orders'!$G185, 'Historical Orders'!$D185, "1", 'Historical Orders'!$C185, "B", 'Historical Orders'!$B185, "2")</f>
        <v>0</v>
      </c>
      <c r="P185" s="159">
        <f>SUMIFS('Historical Orders'!$E185, 'Historical Orders'!$D185, "2", 'Historical Orders'!$C185, "A", 'Historical Orders'!$B185, "1")</f>
        <v>0</v>
      </c>
      <c r="Q185" s="157">
        <f>SUMIFS('Historical Orders'!$G185, 'Historical Orders'!$D185, "2", 'Historical Orders'!$C185, "A", 'Historical Orders'!$B185, "1")</f>
        <v>0</v>
      </c>
      <c r="R185" s="159">
        <f>SUMIFS('Historical Orders'!$E185, 'Historical Orders'!$D185, "2", 'Historical Orders'!$C185, "B", 'Historical Orders'!$B185, "1")</f>
        <v>0</v>
      </c>
      <c r="S185" s="157">
        <f>SUMIFS('Historical Orders'!$G185, 'Historical Orders'!$D185, "2", 'Historical Orders'!$C185, "B", 'Historical Orders'!$B185, "1")</f>
        <v>0</v>
      </c>
      <c r="T185" s="159">
        <f>SUMIFS('Historical Orders'!$E185, 'Historical Orders'!$D185, "2", 'Historical Orders'!$C185, "A", 'Historical Orders'!$B185, "2")</f>
        <v>5406</v>
      </c>
      <c r="U185" s="157">
        <f>SUMIFS('Historical Orders'!$G185, 'Historical Orders'!$D185, "2", 'Historical Orders'!$C185, "A", 'Historical Orders'!$B185, "2")</f>
        <v>6487.2</v>
      </c>
      <c r="V185" s="159">
        <f>SUMIFS('Historical Orders'!$E185, 'Historical Orders'!$D185, "2", 'Historical Orders'!$C185, "B", 'Historical Orders'!$B185, "2")</f>
        <v>0</v>
      </c>
      <c r="W185" s="159">
        <f>SUMIFS('Historical Orders'!$G185, 'Historical Orders'!$D185, "2", 'Historical Orders'!$C185, "B", 'Historical Orders'!$B185, "2")</f>
        <v>0</v>
      </c>
      <c r="X185" s="159">
        <f>SUMIFS('Historical Orders'!$E185, 'Historical Orders'!$D185, "3", 'Historical Orders'!$C185, "A", 'Historical Orders'!$B185, "1")</f>
        <v>0</v>
      </c>
      <c r="Y185" s="159">
        <f>SUMIFS('Historical Orders'!$G185, 'Historical Orders'!$D185, "3", 'Historical Orders'!$C185, "A", 'Historical Orders'!$B185, "1")</f>
        <v>0</v>
      </c>
      <c r="Z185" s="159">
        <f>SUMIFS('Historical Orders'!$E185, 'Historical Orders'!$D185, "3", 'Historical Orders'!$C185, "B", 'Historical Orders'!$B185, "1")</f>
        <v>0</v>
      </c>
      <c r="AA185" s="159">
        <f>SUMIFS('Historical Orders'!$G185, 'Historical Orders'!$D185, "3", 'Historical Orders'!$C185, "B", 'Historical Orders'!$B185, "1")</f>
        <v>0</v>
      </c>
      <c r="AB185" s="159">
        <f>SUMIFS('Historical Orders'!$E185, 'Historical Orders'!$D185, "3", 'Historical Orders'!$C185, "A", 'Historical Orders'!$B185, "2")</f>
        <v>0</v>
      </c>
      <c r="AC185" s="159">
        <f>SUMIFS('Historical Orders'!$G185, 'Historical Orders'!$D185, "3", 'Historical Orders'!$C185, "A", 'Historical Orders'!$B185, "2")</f>
        <v>0</v>
      </c>
      <c r="AD185" s="159">
        <f>SUMIFS('Historical Orders'!$E185, 'Historical Orders'!$D185, "3", 'Historical Orders'!$C185, "B", 'Historical Orders'!$B185, "2")</f>
        <v>0</v>
      </c>
      <c r="AE185" s="157">
        <f>SUMIFS('Historical Orders'!$G185, 'Historical Orders'!$D185, "3", 'Historical Orders'!$C185, "B", 'Historical Orders'!$B185, "2")</f>
        <v>0</v>
      </c>
      <c r="AF185" s="157">
        <f>SUMIFS('Historical Orders'!$E185, 'Historical Orders'!$D185, "4", 'Historical Orders'!$C185, "A", 'Historical Orders'!$B185, "1")</f>
        <v>0</v>
      </c>
      <c r="AG185" s="157">
        <f>SUMIFS('Historical Orders'!$G185, 'Historical Orders'!$D185, "4", 'Historical Orders'!$C185, "A", 'Historical Orders'!$B185, "1")</f>
        <v>0</v>
      </c>
      <c r="AH185" s="157">
        <f>SUMIFS('Historical Orders'!$E185, 'Historical Orders'!$D185, "4", 'Historical Orders'!$C185, "B", 'Historical Orders'!$B185, "1")</f>
        <v>0</v>
      </c>
      <c r="AI185" s="157">
        <f>SUMIFS('Historical Orders'!$G185, 'Historical Orders'!$D185, "4", 'Historical Orders'!$C185, "B", 'Historical Orders'!$B185, "1")</f>
        <v>0</v>
      </c>
      <c r="AJ185" s="157">
        <f>SUMIFS('Historical Orders'!$E185, 'Historical Orders'!$D185, "4", 'Historical Orders'!$C185, "A", 'Historical Orders'!$B185, "2")</f>
        <v>0</v>
      </c>
      <c r="AK185" s="157">
        <f>SUMIFS('Historical Orders'!$G185, 'Historical Orders'!$D185, "4", 'Historical Orders'!$C185, "A", 'Historical Orders'!$B185, "2")</f>
        <v>0</v>
      </c>
      <c r="AL185" s="171">
        <f>SUMIFS('Historical Orders'!$E185, 'Historical Orders'!$D185, "4", 'Historical Orders'!$C185, "B", 'Historical Orders'!$B185, "2")</f>
        <v>0</v>
      </c>
      <c r="AM185" s="171">
        <f>SUMIFS('Historical Orders'!$G185, 'Historical Orders'!$D185, "4", 'Historical Orders'!$C185, "B", 'Historical Orders'!$B185, "2")</f>
        <v>0</v>
      </c>
      <c r="AN185" s="171">
        <f>SUMIFS('Historical Orders'!$G185, 'Historical Orders'!$C185, "A", 'Historical Orders'!$B185, "1")</f>
        <v>0</v>
      </c>
      <c r="AO185" s="171">
        <f>SUMIFS('Historical Orders'!$G185, 'Historical Orders'!$C185, "B", 'Historical Orders'!$B185, "1")</f>
        <v>0</v>
      </c>
      <c r="AP185" s="171">
        <f>SUMIFS('Historical Orders'!$G185, 'Historical Orders'!$C185, "A", 'Historical Orders'!$B185, "2")</f>
        <v>6487.2</v>
      </c>
      <c r="AQ185" s="171">
        <f>SUMIFS('Historical Orders'!$G185, 'Historical Orders'!$C185, "B", 'Historical Orders'!$B185, "2")</f>
        <v>0</v>
      </c>
      <c r="AR185" s="145"/>
      <c r="AS185" s="172"/>
      <c r="AT185" s="172"/>
      <c r="AU185" s="172"/>
      <c r="AV185" s="172"/>
      <c r="AW185" s="172"/>
      <c r="AX185" s="172"/>
      <c r="AY185" s="172"/>
      <c r="AZ185" s="172"/>
      <c r="BA185" s="172"/>
      <c r="BB185" s="172"/>
      <c r="BC185" s="172"/>
      <c r="BD185" s="172"/>
      <c r="BE185" s="172"/>
      <c r="BF185" s="172"/>
      <c r="BG185" s="172"/>
      <c r="BH185" s="172"/>
      <c r="BI185" s="172"/>
      <c r="BJ185" s="172"/>
      <c r="BK185" s="172"/>
      <c r="BL185" s="172"/>
      <c r="BM185" s="172"/>
      <c r="BN185" s="172"/>
      <c r="BO185" s="172"/>
      <c r="BP185" s="172"/>
      <c r="BQ185" s="172"/>
      <c r="BR185" s="172"/>
      <c r="BS185" s="172"/>
      <c r="BT185" s="172"/>
      <c r="BU185" s="172"/>
      <c r="BV185" s="179"/>
      <c r="BW185" s="179"/>
      <c r="BX185" s="179"/>
      <c r="BY185" s="179"/>
      <c r="BZ185" s="179"/>
      <c r="CA185" s="179"/>
      <c r="CB185" s="179"/>
      <c r="CC185" s="179"/>
      <c r="CD185" s="179"/>
      <c r="CE185" s="179"/>
    </row>
    <row r="186" ht="15.75" customHeight="1">
      <c r="A186" s="151">
        <v>42065.0</v>
      </c>
      <c r="B186" s="152">
        <v>1.0</v>
      </c>
      <c r="C186" s="152" t="s">
        <v>46</v>
      </c>
      <c r="D186" s="152">
        <v>3.0</v>
      </c>
      <c r="E186" s="153">
        <v>2281.0</v>
      </c>
      <c r="F186" s="154">
        <v>8.3</v>
      </c>
      <c r="G186" s="155">
        <v>18932.300000000003</v>
      </c>
      <c r="H186" s="159">
        <f>SUMIFS('Historical Orders'!$E186, 'Historical Orders'!$D186, "1", 'Historical Orders'!$C186, "A", 'Historical Orders'!$B186, "1")</f>
        <v>0</v>
      </c>
      <c r="I186" s="157">
        <f>SUMIFS('Historical Orders'!$G186, 'Historical Orders'!$D186, "1", 'Historical Orders'!$C186, "A", 'Historical Orders'!$B186, "1")</f>
        <v>0</v>
      </c>
      <c r="J186" s="157">
        <f>SUMIFS('Historical Orders'!$E186, 'Historical Orders'!$D186, "1", 'Historical Orders'!$C186, "B", 'Historical Orders'!$B186, "1")</f>
        <v>0</v>
      </c>
      <c r="K186" s="157">
        <f>SUMIFS('Historical Orders'!$G186, 'Historical Orders'!$D186, "1", 'Historical Orders'!$C186, "B", 'Historical Orders'!$B186, "1")</f>
        <v>0</v>
      </c>
      <c r="L186" s="159">
        <f>SUMIFS('Historical Orders'!$E186, 'Historical Orders'!$D186, "1", 'Historical Orders'!$C186, "A", 'Historical Orders'!$B186, "2")</f>
        <v>0</v>
      </c>
      <c r="M186" s="157">
        <f>SUMIFS('Historical Orders'!$G186, 'Historical Orders'!$D186, "1", 'Historical Orders'!$C186, "A", 'Historical Orders'!$B186, "2")</f>
        <v>0</v>
      </c>
      <c r="N186" s="157">
        <f>SUMIFS('Historical Orders'!$E186, 'Historical Orders'!$D186, "1", 'Historical Orders'!$C186, "B", 'Historical Orders'!$B186, "2")</f>
        <v>0</v>
      </c>
      <c r="O186" s="157">
        <f>SUMIFS('Historical Orders'!$G186, 'Historical Orders'!$D186, "1", 'Historical Orders'!$C186, "B", 'Historical Orders'!$B186, "2")</f>
        <v>0</v>
      </c>
      <c r="P186" s="159">
        <f>SUMIFS('Historical Orders'!$E186, 'Historical Orders'!$D186, "2", 'Historical Orders'!$C186, "A", 'Historical Orders'!$B186, "1")</f>
        <v>0</v>
      </c>
      <c r="Q186" s="157">
        <f>SUMIFS('Historical Orders'!$G186, 'Historical Orders'!$D186, "2", 'Historical Orders'!$C186, "A", 'Historical Orders'!$B186, "1")</f>
        <v>0</v>
      </c>
      <c r="R186" s="159">
        <f>SUMIFS('Historical Orders'!$E186, 'Historical Orders'!$D186, "2", 'Historical Orders'!$C186, "B", 'Historical Orders'!$B186, "1")</f>
        <v>0</v>
      </c>
      <c r="S186" s="157">
        <f>SUMIFS('Historical Orders'!$G186, 'Historical Orders'!$D186, "2", 'Historical Orders'!$C186, "B", 'Historical Orders'!$B186, "1")</f>
        <v>0</v>
      </c>
      <c r="T186" s="159">
        <f>SUMIFS('Historical Orders'!$E186, 'Historical Orders'!$D186, "2", 'Historical Orders'!$C186, "A", 'Historical Orders'!$B186, "2")</f>
        <v>0</v>
      </c>
      <c r="U186" s="157">
        <f>SUMIFS('Historical Orders'!$G186, 'Historical Orders'!$D186, "2", 'Historical Orders'!$C186, "A", 'Historical Orders'!$B186, "2")</f>
        <v>0</v>
      </c>
      <c r="V186" s="159">
        <f>SUMIFS('Historical Orders'!$E186, 'Historical Orders'!$D186, "2", 'Historical Orders'!$C186, "B", 'Historical Orders'!$B186, "2")</f>
        <v>0</v>
      </c>
      <c r="W186" s="159">
        <f>SUMIFS('Historical Orders'!$G186, 'Historical Orders'!$D186, "2", 'Historical Orders'!$C186, "B", 'Historical Orders'!$B186, "2")</f>
        <v>0</v>
      </c>
      <c r="X186" s="159">
        <f>SUMIFS('Historical Orders'!$E186, 'Historical Orders'!$D186, "3", 'Historical Orders'!$C186, "A", 'Historical Orders'!$B186, "1")</f>
        <v>0</v>
      </c>
      <c r="Y186" s="159">
        <f>SUMIFS('Historical Orders'!$G186, 'Historical Orders'!$D186, "3", 'Historical Orders'!$C186, "A", 'Historical Orders'!$B186, "1")</f>
        <v>0</v>
      </c>
      <c r="Z186" s="159">
        <f>SUMIFS('Historical Orders'!$E186, 'Historical Orders'!$D186, "3", 'Historical Orders'!$C186, "B", 'Historical Orders'!$B186, "1")</f>
        <v>2281</v>
      </c>
      <c r="AA186" s="159">
        <f>SUMIFS('Historical Orders'!$G186, 'Historical Orders'!$D186, "3", 'Historical Orders'!$C186, "B", 'Historical Orders'!$B186, "1")</f>
        <v>18932.3</v>
      </c>
      <c r="AB186" s="159">
        <f>SUMIFS('Historical Orders'!$E186, 'Historical Orders'!$D186, "3", 'Historical Orders'!$C186, "A", 'Historical Orders'!$B186, "2")</f>
        <v>0</v>
      </c>
      <c r="AC186" s="159">
        <f>SUMIFS('Historical Orders'!$G186, 'Historical Orders'!$D186, "3", 'Historical Orders'!$C186, "A", 'Historical Orders'!$B186, "2")</f>
        <v>0</v>
      </c>
      <c r="AD186" s="159">
        <f>SUMIFS('Historical Orders'!$E186, 'Historical Orders'!$D186, "3", 'Historical Orders'!$C186, "B", 'Historical Orders'!$B186, "2")</f>
        <v>0</v>
      </c>
      <c r="AE186" s="157">
        <f>SUMIFS('Historical Orders'!$G186, 'Historical Orders'!$D186, "3", 'Historical Orders'!$C186, "B", 'Historical Orders'!$B186, "2")</f>
        <v>0</v>
      </c>
      <c r="AF186" s="157">
        <f>SUMIFS('Historical Orders'!$E186, 'Historical Orders'!$D186, "4", 'Historical Orders'!$C186, "A", 'Historical Orders'!$B186, "1")</f>
        <v>0</v>
      </c>
      <c r="AG186" s="157">
        <f>SUMIFS('Historical Orders'!$G186, 'Historical Orders'!$D186, "4", 'Historical Orders'!$C186, "A", 'Historical Orders'!$B186, "1")</f>
        <v>0</v>
      </c>
      <c r="AH186" s="157">
        <f>SUMIFS('Historical Orders'!$E186, 'Historical Orders'!$D186, "4", 'Historical Orders'!$C186, "B", 'Historical Orders'!$B186, "1")</f>
        <v>0</v>
      </c>
      <c r="AI186" s="157">
        <f>SUMIFS('Historical Orders'!$G186, 'Historical Orders'!$D186, "4", 'Historical Orders'!$C186, "B", 'Historical Orders'!$B186, "1")</f>
        <v>0</v>
      </c>
      <c r="AJ186" s="157">
        <f>SUMIFS('Historical Orders'!$E186, 'Historical Orders'!$D186, "4", 'Historical Orders'!$C186, "A", 'Historical Orders'!$B186, "2")</f>
        <v>0</v>
      </c>
      <c r="AK186" s="157">
        <f>SUMIFS('Historical Orders'!$G186, 'Historical Orders'!$D186, "4", 'Historical Orders'!$C186, "A", 'Historical Orders'!$B186, "2")</f>
        <v>0</v>
      </c>
      <c r="AL186" s="171">
        <f>SUMIFS('Historical Orders'!$E186, 'Historical Orders'!$D186, "4", 'Historical Orders'!$C186, "B", 'Historical Orders'!$B186, "2")</f>
        <v>0</v>
      </c>
      <c r="AM186" s="171">
        <f>SUMIFS('Historical Orders'!$G186, 'Historical Orders'!$D186, "4", 'Historical Orders'!$C186, "B", 'Historical Orders'!$B186, "2")</f>
        <v>0</v>
      </c>
      <c r="AN186" s="171">
        <f>SUMIFS('Historical Orders'!$G186, 'Historical Orders'!$C186, "A", 'Historical Orders'!$B186, "1")</f>
        <v>0</v>
      </c>
      <c r="AO186" s="171">
        <f>SUMIFS('Historical Orders'!$G186, 'Historical Orders'!$C186, "B", 'Historical Orders'!$B186, "1")</f>
        <v>18932.3</v>
      </c>
      <c r="AP186" s="171">
        <f>SUMIFS('Historical Orders'!$G186, 'Historical Orders'!$C186, "A", 'Historical Orders'!$B186, "2")</f>
        <v>0</v>
      </c>
      <c r="AQ186" s="171">
        <f>SUMIFS('Historical Orders'!$G186, 'Historical Orders'!$C186, "B", 'Historical Orders'!$B186, "2")</f>
        <v>0</v>
      </c>
      <c r="AR186" s="145"/>
      <c r="AS186" s="172"/>
      <c r="AT186" s="172"/>
      <c r="AU186" s="172"/>
      <c r="AV186" s="172"/>
      <c r="AW186" s="172"/>
      <c r="AX186" s="172"/>
      <c r="AY186" s="172"/>
      <c r="AZ186" s="172"/>
      <c r="BA186" s="172"/>
      <c r="BB186" s="172"/>
      <c r="BC186" s="172"/>
      <c r="BD186" s="172"/>
      <c r="BE186" s="172"/>
      <c r="BF186" s="172"/>
      <c r="BG186" s="172"/>
      <c r="BH186" s="172"/>
      <c r="BI186" s="172"/>
      <c r="BJ186" s="172"/>
      <c r="BK186" s="172"/>
      <c r="BL186" s="172"/>
      <c r="BM186" s="172"/>
      <c r="BN186" s="172"/>
      <c r="BO186" s="172"/>
      <c r="BP186" s="172"/>
      <c r="BQ186" s="172"/>
      <c r="BR186" s="172"/>
      <c r="BS186" s="172"/>
      <c r="BT186" s="172"/>
      <c r="BU186" s="172"/>
      <c r="BV186" s="179"/>
      <c r="BW186" s="179"/>
      <c r="BX186" s="179"/>
      <c r="BY186" s="179"/>
      <c r="BZ186" s="179"/>
      <c r="CA186" s="179"/>
      <c r="CB186" s="179"/>
      <c r="CC186" s="179"/>
      <c r="CD186" s="179"/>
      <c r="CE186" s="179"/>
    </row>
    <row r="187" ht="15.75" customHeight="1">
      <c r="A187" s="151">
        <v>42065.0</v>
      </c>
      <c r="B187" s="152">
        <v>2.0</v>
      </c>
      <c r="C187" s="152" t="s">
        <v>46</v>
      </c>
      <c r="D187" s="152">
        <v>3.0</v>
      </c>
      <c r="E187" s="153">
        <v>3125.0</v>
      </c>
      <c r="F187" s="154">
        <v>8.3</v>
      </c>
      <c r="G187" s="155">
        <v>25937.500000000004</v>
      </c>
      <c r="H187" s="159">
        <f>SUMIFS('Historical Orders'!$E187, 'Historical Orders'!$D187, "1", 'Historical Orders'!$C187, "A", 'Historical Orders'!$B187, "1")</f>
        <v>0</v>
      </c>
      <c r="I187" s="157">
        <f>SUMIFS('Historical Orders'!$G187, 'Historical Orders'!$D187, "1", 'Historical Orders'!$C187, "A", 'Historical Orders'!$B187, "1")</f>
        <v>0</v>
      </c>
      <c r="J187" s="157">
        <f>SUMIFS('Historical Orders'!$E187, 'Historical Orders'!$D187, "1", 'Historical Orders'!$C187, "B", 'Historical Orders'!$B187, "1")</f>
        <v>0</v>
      </c>
      <c r="K187" s="157">
        <f>SUMIFS('Historical Orders'!$G187, 'Historical Orders'!$D187, "1", 'Historical Orders'!$C187, "B", 'Historical Orders'!$B187, "1")</f>
        <v>0</v>
      </c>
      <c r="L187" s="159">
        <f>SUMIFS('Historical Orders'!$E187, 'Historical Orders'!$D187, "1", 'Historical Orders'!$C187, "A", 'Historical Orders'!$B187, "2")</f>
        <v>0</v>
      </c>
      <c r="M187" s="157">
        <f>SUMIFS('Historical Orders'!$G187, 'Historical Orders'!$D187, "1", 'Historical Orders'!$C187, "A", 'Historical Orders'!$B187, "2")</f>
        <v>0</v>
      </c>
      <c r="N187" s="157">
        <f>SUMIFS('Historical Orders'!$E187, 'Historical Orders'!$D187, "1", 'Historical Orders'!$C187, "B", 'Historical Orders'!$B187, "2")</f>
        <v>0</v>
      </c>
      <c r="O187" s="157">
        <f>SUMIFS('Historical Orders'!$G187, 'Historical Orders'!$D187, "1", 'Historical Orders'!$C187, "B", 'Historical Orders'!$B187, "2")</f>
        <v>0</v>
      </c>
      <c r="P187" s="159">
        <f>SUMIFS('Historical Orders'!$E187, 'Historical Orders'!$D187, "2", 'Historical Orders'!$C187, "A", 'Historical Orders'!$B187, "1")</f>
        <v>0</v>
      </c>
      <c r="Q187" s="157">
        <f>SUMIFS('Historical Orders'!$G187, 'Historical Orders'!$D187, "2", 'Historical Orders'!$C187, "A", 'Historical Orders'!$B187, "1")</f>
        <v>0</v>
      </c>
      <c r="R187" s="159">
        <f>SUMIFS('Historical Orders'!$E187, 'Historical Orders'!$D187, "2", 'Historical Orders'!$C187, "B", 'Historical Orders'!$B187, "1")</f>
        <v>0</v>
      </c>
      <c r="S187" s="157">
        <f>SUMIFS('Historical Orders'!$G187, 'Historical Orders'!$D187, "2", 'Historical Orders'!$C187, "B", 'Historical Orders'!$B187, "1")</f>
        <v>0</v>
      </c>
      <c r="T187" s="159">
        <f>SUMIFS('Historical Orders'!$E187, 'Historical Orders'!$D187, "2", 'Historical Orders'!$C187, "A", 'Historical Orders'!$B187, "2")</f>
        <v>0</v>
      </c>
      <c r="U187" s="157">
        <f>SUMIFS('Historical Orders'!$G187, 'Historical Orders'!$D187, "2", 'Historical Orders'!$C187, "A", 'Historical Orders'!$B187, "2")</f>
        <v>0</v>
      </c>
      <c r="V187" s="159">
        <f>SUMIFS('Historical Orders'!$E187, 'Historical Orders'!$D187, "2", 'Historical Orders'!$C187, "B", 'Historical Orders'!$B187, "2")</f>
        <v>0</v>
      </c>
      <c r="W187" s="159">
        <f>SUMIFS('Historical Orders'!$G187, 'Historical Orders'!$D187, "2", 'Historical Orders'!$C187, "B", 'Historical Orders'!$B187, "2")</f>
        <v>0</v>
      </c>
      <c r="X187" s="159">
        <f>SUMIFS('Historical Orders'!$E187, 'Historical Orders'!$D187, "3", 'Historical Orders'!$C187, "A", 'Historical Orders'!$B187, "1")</f>
        <v>0</v>
      </c>
      <c r="Y187" s="159">
        <f>SUMIFS('Historical Orders'!$G187, 'Historical Orders'!$D187, "3", 'Historical Orders'!$C187, "A", 'Historical Orders'!$B187, "1")</f>
        <v>0</v>
      </c>
      <c r="Z187" s="159">
        <f>SUMIFS('Historical Orders'!$E187, 'Historical Orders'!$D187, "3", 'Historical Orders'!$C187, "B", 'Historical Orders'!$B187, "1")</f>
        <v>0</v>
      </c>
      <c r="AA187" s="159">
        <f>SUMIFS('Historical Orders'!$G187, 'Historical Orders'!$D187, "3", 'Historical Orders'!$C187, "B", 'Historical Orders'!$B187, "1")</f>
        <v>0</v>
      </c>
      <c r="AB187" s="159">
        <f>SUMIFS('Historical Orders'!$E187, 'Historical Orders'!$D187, "3", 'Historical Orders'!$C187, "A", 'Historical Orders'!$B187, "2")</f>
        <v>0</v>
      </c>
      <c r="AC187" s="159">
        <f>SUMIFS('Historical Orders'!$G187, 'Historical Orders'!$D187, "3", 'Historical Orders'!$C187, "A", 'Historical Orders'!$B187, "2")</f>
        <v>0</v>
      </c>
      <c r="AD187" s="159">
        <f>SUMIFS('Historical Orders'!$E187, 'Historical Orders'!$D187, "3", 'Historical Orders'!$C187, "B", 'Historical Orders'!$B187, "2")</f>
        <v>3125</v>
      </c>
      <c r="AE187" s="157">
        <f>SUMIFS('Historical Orders'!$G187, 'Historical Orders'!$D187, "3", 'Historical Orders'!$C187, "B", 'Historical Orders'!$B187, "2")</f>
        <v>25937.5</v>
      </c>
      <c r="AF187" s="157">
        <f>SUMIFS('Historical Orders'!$E187, 'Historical Orders'!$D187, "4", 'Historical Orders'!$C187, "A", 'Historical Orders'!$B187, "1")</f>
        <v>0</v>
      </c>
      <c r="AG187" s="157">
        <f>SUMIFS('Historical Orders'!$G187, 'Historical Orders'!$D187, "4", 'Historical Orders'!$C187, "A", 'Historical Orders'!$B187, "1")</f>
        <v>0</v>
      </c>
      <c r="AH187" s="157">
        <f>SUMIFS('Historical Orders'!$E187, 'Historical Orders'!$D187, "4", 'Historical Orders'!$C187, "B", 'Historical Orders'!$B187, "1")</f>
        <v>0</v>
      </c>
      <c r="AI187" s="157">
        <f>SUMIFS('Historical Orders'!$G187, 'Historical Orders'!$D187, "4", 'Historical Orders'!$C187, "B", 'Historical Orders'!$B187, "1")</f>
        <v>0</v>
      </c>
      <c r="AJ187" s="157">
        <f>SUMIFS('Historical Orders'!$E187, 'Historical Orders'!$D187, "4", 'Historical Orders'!$C187, "A", 'Historical Orders'!$B187, "2")</f>
        <v>0</v>
      </c>
      <c r="AK187" s="157">
        <f>SUMIFS('Historical Orders'!$G187, 'Historical Orders'!$D187, "4", 'Historical Orders'!$C187, "A", 'Historical Orders'!$B187, "2")</f>
        <v>0</v>
      </c>
      <c r="AL187" s="171">
        <f>SUMIFS('Historical Orders'!$E187, 'Historical Orders'!$D187, "4", 'Historical Orders'!$C187, "B", 'Historical Orders'!$B187, "2")</f>
        <v>0</v>
      </c>
      <c r="AM187" s="171">
        <f>SUMIFS('Historical Orders'!$G187, 'Historical Orders'!$D187, "4", 'Historical Orders'!$C187, "B", 'Historical Orders'!$B187, "2")</f>
        <v>0</v>
      </c>
      <c r="AN187" s="171">
        <f>SUMIFS('Historical Orders'!$G187, 'Historical Orders'!$C187, "A", 'Historical Orders'!$B187, "1")</f>
        <v>0</v>
      </c>
      <c r="AO187" s="171">
        <f>SUMIFS('Historical Orders'!$G187, 'Historical Orders'!$C187, "B", 'Historical Orders'!$B187, "1")</f>
        <v>0</v>
      </c>
      <c r="AP187" s="171">
        <f>SUMIFS('Historical Orders'!$G187, 'Historical Orders'!$C187, "A", 'Historical Orders'!$B187, "2")</f>
        <v>0</v>
      </c>
      <c r="AQ187" s="171">
        <f>SUMIFS('Historical Orders'!$G187, 'Historical Orders'!$C187, "B", 'Historical Orders'!$B187, "2")</f>
        <v>25937.5</v>
      </c>
      <c r="AR187" s="145"/>
      <c r="AS187" s="172"/>
      <c r="AT187" s="172"/>
      <c r="AU187" s="172"/>
      <c r="AV187" s="172"/>
      <c r="AW187" s="172"/>
      <c r="AX187" s="172"/>
      <c r="AY187" s="172"/>
      <c r="AZ187" s="172"/>
      <c r="BA187" s="172"/>
      <c r="BB187" s="172"/>
      <c r="BC187" s="172"/>
      <c r="BD187" s="172"/>
      <c r="BE187" s="172"/>
      <c r="BF187" s="172"/>
      <c r="BG187" s="172"/>
      <c r="BH187" s="172"/>
      <c r="BI187" s="172"/>
      <c r="BJ187" s="172"/>
      <c r="BK187" s="172"/>
      <c r="BL187" s="172"/>
      <c r="BM187" s="172"/>
      <c r="BN187" s="172"/>
      <c r="BO187" s="172"/>
      <c r="BP187" s="172"/>
      <c r="BQ187" s="172"/>
      <c r="BR187" s="172"/>
      <c r="BS187" s="172"/>
      <c r="BT187" s="172"/>
      <c r="BU187" s="172"/>
      <c r="BV187" s="179"/>
      <c r="BW187" s="179"/>
      <c r="BX187" s="179"/>
      <c r="BY187" s="179"/>
      <c r="BZ187" s="179"/>
      <c r="CA187" s="179"/>
      <c r="CB187" s="179"/>
      <c r="CC187" s="179"/>
      <c r="CD187" s="179"/>
      <c r="CE187" s="179"/>
    </row>
    <row r="188" ht="15.75" customHeight="1">
      <c r="A188" s="151">
        <v>42072.0</v>
      </c>
      <c r="B188" s="152">
        <v>1.0</v>
      </c>
      <c r="C188" s="152" t="s">
        <v>45</v>
      </c>
      <c r="D188" s="152">
        <v>1.0</v>
      </c>
      <c r="E188" s="153">
        <v>6055.0</v>
      </c>
      <c r="F188" s="154">
        <v>2.2</v>
      </c>
      <c r="G188" s="155">
        <v>13321.000000000002</v>
      </c>
      <c r="H188" s="159">
        <f>SUMIFS('Historical Orders'!$E188, 'Historical Orders'!$D188, "1", 'Historical Orders'!$C188, "A", 'Historical Orders'!$B188, "1")</f>
        <v>6055</v>
      </c>
      <c r="I188" s="157">
        <f>SUMIFS('Historical Orders'!$G188, 'Historical Orders'!$D188, "1", 'Historical Orders'!$C188, "A", 'Historical Orders'!$B188, "1")</f>
        <v>13321</v>
      </c>
      <c r="J188" s="157">
        <f>SUMIFS('Historical Orders'!$E188, 'Historical Orders'!$D188, "1", 'Historical Orders'!$C188, "B", 'Historical Orders'!$B188, "1")</f>
        <v>0</v>
      </c>
      <c r="K188" s="157">
        <f>SUMIFS('Historical Orders'!$G188, 'Historical Orders'!$D188, "1", 'Historical Orders'!$C188, "B", 'Historical Orders'!$B188, "1")</f>
        <v>0</v>
      </c>
      <c r="L188" s="159">
        <f>SUMIFS('Historical Orders'!$E188, 'Historical Orders'!$D188, "1", 'Historical Orders'!$C188, "A", 'Historical Orders'!$B188, "2")</f>
        <v>0</v>
      </c>
      <c r="M188" s="157">
        <f>SUMIFS('Historical Orders'!$G188, 'Historical Orders'!$D188, "1", 'Historical Orders'!$C188, "A", 'Historical Orders'!$B188, "2")</f>
        <v>0</v>
      </c>
      <c r="N188" s="157">
        <f>SUMIFS('Historical Orders'!$E188, 'Historical Orders'!$D188, "1", 'Historical Orders'!$C188, "B", 'Historical Orders'!$B188, "2")</f>
        <v>0</v>
      </c>
      <c r="O188" s="157">
        <f>SUMIFS('Historical Orders'!$G188, 'Historical Orders'!$D188, "1", 'Historical Orders'!$C188, "B", 'Historical Orders'!$B188, "2")</f>
        <v>0</v>
      </c>
      <c r="P188" s="159">
        <f>SUMIFS('Historical Orders'!$E188, 'Historical Orders'!$D188, "2", 'Historical Orders'!$C188, "A", 'Historical Orders'!$B188, "1")</f>
        <v>0</v>
      </c>
      <c r="Q188" s="157">
        <f>SUMIFS('Historical Orders'!$G188, 'Historical Orders'!$D188, "2", 'Historical Orders'!$C188, "A", 'Historical Orders'!$B188, "1")</f>
        <v>0</v>
      </c>
      <c r="R188" s="159">
        <f>SUMIFS('Historical Orders'!$E188, 'Historical Orders'!$D188, "2", 'Historical Orders'!$C188, "B", 'Historical Orders'!$B188, "1")</f>
        <v>0</v>
      </c>
      <c r="S188" s="157">
        <f>SUMIFS('Historical Orders'!$G188, 'Historical Orders'!$D188, "2", 'Historical Orders'!$C188, "B", 'Historical Orders'!$B188, "1")</f>
        <v>0</v>
      </c>
      <c r="T188" s="159">
        <f>SUMIFS('Historical Orders'!$E188, 'Historical Orders'!$D188, "2", 'Historical Orders'!$C188, "A", 'Historical Orders'!$B188, "2")</f>
        <v>0</v>
      </c>
      <c r="U188" s="157">
        <f>SUMIFS('Historical Orders'!$G188, 'Historical Orders'!$D188, "2", 'Historical Orders'!$C188, "A", 'Historical Orders'!$B188, "2")</f>
        <v>0</v>
      </c>
      <c r="V188" s="159">
        <f>SUMIFS('Historical Orders'!$E188, 'Historical Orders'!$D188, "2", 'Historical Orders'!$C188, "B", 'Historical Orders'!$B188, "2")</f>
        <v>0</v>
      </c>
      <c r="W188" s="159">
        <f>SUMIFS('Historical Orders'!$G188, 'Historical Orders'!$D188, "2", 'Historical Orders'!$C188, "B", 'Historical Orders'!$B188, "2")</f>
        <v>0</v>
      </c>
      <c r="X188" s="159">
        <f>SUMIFS('Historical Orders'!$E188, 'Historical Orders'!$D188, "3", 'Historical Orders'!$C188, "A", 'Historical Orders'!$B188, "1")</f>
        <v>0</v>
      </c>
      <c r="Y188" s="159">
        <f>SUMIFS('Historical Orders'!$G188, 'Historical Orders'!$D188, "3", 'Historical Orders'!$C188, "A", 'Historical Orders'!$B188, "1")</f>
        <v>0</v>
      </c>
      <c r="Z188" s="159">
        <f>SUMIFS('Historical Orders'!$E188, 'Historical Orders'!$D188, "3", 'Historical Orders'!$C188, "B", 'Historical Orders'!$B188, "1")</f>
        <v>0</v>
      </c>
      <c r="AA188" s="159">
        <f>SUMIFS('Historical Orders'!$G188, 'Historical Orders'!$D188, "3", 'Historical Orders'!$C188, "B", 'Historical Orders'!$B188, "1")</f>
        <v>0</v>
      </c>
      <c r="AB188" s="159">
        <f>SUMIFS('Historical Orders'!$E188, 'Historical Orders'!$D188, "3", 'Historical Orders'!$C188, "A", 'Historical Orders'!$B188, "2")</f>
        <v>0</v>
      </c>
      <c r="AC188" s="159">
        <f>SUMIFS('Historical Orders'!$G188, 'Historical Orders'!$D188, "3", 'Historical Orders'!$C188, "A", 'Historical Orders'!$B188, "2")</f>
        <v>0</v>
      </c>
      <c r="AD188" s="159">
        <f>SUMIFS('Historical Orders'!$E188, 'Historical Orders'!$D188, "3", 'Historical Orders'!$C188, "B", 'Historical Orders'!$B188, "2")</f>
        <v>0</v>
      </c>
      <c r="AE188" s="157">
        <f>SUMIFS('Historical Orders'!$G188, 'Historical Orders'!$D188, "3", 'Historical Orders'!$C188, "B", 'Historical Orders'!$B188, "2")</f>
        <v>0</v>
      </c>
      <c r="AF188" s="157">
        <f>SUMIFS('Historical Orders'!$E188, 'Historical Orders'!$D188, "4", 'Historical Orders'!$C188, "A", 'Historical Orders'!$B188, "1")</f>
        <v>0</v>
      </c>
      <c r="AG188" s="157">
        <f>SUMIFS('Historical Orders'!$G188, 'Historical Orders'!$D188, "4", 'Historical Orders'!$C188, "A", 'Historical Orders'!$B188, "1")</f>
        <v>0</v>
      </c>
      <c r="AH188" s="157">
        <f>SUMIFS('Historical Orders'!$E188, 'Historical Orders'!$D188, "4", 'Historical Orders'!$C188, "B", 'Historical Orders'!$B188, "1")</f>
        <v>0</v>
      </c>
      <c r="AI188" s="157">
        <f>SUMIFS('Historical Orders'!$G188, 'Historical Orders'!$D188, "4", 'Historical Orders'!$C188, "B", 'Historical Orders'!$B188, "1")</f>
        <v>0</v>
      </c>
      <c r="AJ188" s="157">
        <f>SUMIFS('Historical Orders'!$E188, 'Historical Orders'!$D188, "4", 'Historical Orders'!$C188, "A", 'Historical Orders'!$B188, "2")</f>
        <v>0</v>
      </c>
      <c r="AK188" s="157">
        <f>SUMIFS('Historical Orders'!$G188, 'Historical Orders'!$D188, "4", 'Historical Orders'!$C188, "A", 'Historical Orders'!$B188, "2")</f>
        <v>0</v>
      </c>
      <c r="AL188" s="171">
        <f>SUMIFS('Historical Orders'!$E188, 'Historical Orders'!$D188, "4", 'Historical Orders'!$C188, "B", 'Historical Orders'!$B188, "2")</f>
        <v>0</v>
      </c>
      <c r="AM188" s="171">
        <f>SUMIFS('Historical Orders'!$G188, 'Historical Orders'!$D188, "4", 'Historical Orders'!$C188, "B", 'Historical Orders'!$B188, "2")</f>
        <v>0</v>
      </c>
      <c r="AN188" s="171">
        <f>SUMIFS('Historical Orders'!$G188, 'Historical Orders'!$C188, "A", 'Historical Orders'!$B188, "1")</f>
        <v>13321</v>
      </c>
      <c r="AO188" s="171">
        <f>SUMIFS('Historical Orders'!$G188, 'Historical Orders'!$C188, "B", 'Historical Orders'!$B188, "1")</f>
        <v>0</v>
      </c>
      <c r="AP188" s="171">
        <f>SUMIFS('Historical Orders'!$G188, 'Historical Orders'!$C188, "A", 'Historical Orders'!$B188, "2")</f>
        <v>0</v>
      </c>
      <c r="AQ188" s="171">
        <f>SUMIFS('Historical Orders'!$G188, 'Historical Orders'!$C188, "B", 'Historical Orders'!$B188, "2")</f>
        <v>0</v>
      </c>
      <c r="AR188" s="145"/>
      <c r="AS188" s="172"/>
      <c r="AT188" s="172"/>
      <c r="AU188" s="172"/>
      <c r="AV188" s="172"/>
      <c r="AW188" s="172"/>
      <c r="AX188" s="172"/>
      <c r="AY188" s="172"/>
      <c r="AZ188" s="172"/>
      <c r="BA188" s="172"/>
      <c r="BB188" s="172"/>
      <c r="BC188" s="172"/>
      <c r="BD188" s="172"/>
      <c r="BE188" s="172"/>
      <c r="BF188" s="172"/>
      <c r="BG188" s="172"/>
      <c r="BH188" s="172"/>
      <c r="BI188" s="172"/>
      <c r="BJ188" s="172"/>
      <c r="BK188" s="172"/>
      <c r="BL188" s="172"/>
      <c r="BM188" s="172"/>
      <c r="BN188" s="172"/>
      <c r="BO188" s="172"/>
      <c r="BP188" s="172"/>
      <c r="BQ188" s="172"/>
      <c r="BR188" s="172"/>
      <c r="BS188" s="172"/>
      <c r="BT188" s="172"/>
      <c r="BU188" s="172"/>
      <c r="BV188" s="179"/>
      <c r="BW188" s="179"/>
      <c r="BX188" s="179"/>
      <c r="BY188" s="179"/>
      <c r="BZ188" s="179"/>
      <c r="CA188" s="179"/>
      <c r="CB188" s="179"/>
      <c r="CC188" s="179"/>
      <c r="CD188" s="179"/>
      <c r="CE188" s="179"/>
    </row>
    <row r="189" ht="15.75" customHeight="1">
      <c r="A189" s="151">
        <v>42072.0</v>
      </c>
      <c r="B189" s="152">
        <v>1.0</v>
      </c>
      <c r="C189" s="152" t="s">
        <v>45</v>
      </c>
      <c r="D189" s="152">
        <v>2.0</v>
      </c>
      <c r="E189" s="153">
        <v>6192.0</v>
      </c>
      <c r="F189" s="154">
        <v>1.2</v>
      </c>
      <c r="G189" s="155">
        <v>7430.4</v>
      </c>
      <c r="H189" s="159">
        <f>SUMIFS('Historical Orders'!$E189, 'Historical Orders'!$D189, "1", 'Historical Orders'!$C189, "A", 'Historical Orders'!$B189, "1")</f>
        <v>0</v>
      </c>
      <c r="I189" s="157">
        <f>SUMIFS('Historical Orders'!$G189, 'Historical Orders'!$D189, "1", 'Historical Orders'!$C189, "A", 'Historical Orders'!$B189, "1")</f>
        <v>0</v>
      </c>
      <c r="J189" s="157">
        <f>SUMIFS('Historical Orders'!$E189, 'Historical Orders'!$D189, "1", 'Historical Orders'!$C189, "B", 'Historical Orders'!$B189, "1")</f>
        <v>0</v>
      </c>
      <c r="K189" s="157">
        <f>SUMIFS('Historical Orders'!$G189, 'Historical Orders'!$D189, "1", 'Historical Orders'!$C189, "B", 'Historical Orders'!$B189, "1")</f>
        <v>0</v>
      </c>
      <c r="L189" s="159">
        <f>SUMIFS('Historical Orders'!$E189, 'Historical Orders'!$D189, "1", 'Historical Orders'!$C189, "A", 'Historical Orders'!$B189, "2")</f>
        <v>0</v>
      </c>
      <c r="M189" s="157">
        <f>SUMIFS('Historical Orders'!$G189, 'Historical Orders'!$D189, "1", 'Historical Orders'!$C189, "A", 'Historical Orders'!$B189, "2")</f>
        <v>0</v>
      </c>
      <c r="N189" s="157">
        <f>SUMIFS('Historical Orders'!$E189, 'Historical Orders'!$D189, "1", 'Historical Orders'!$C189, "B", 'Historical Orders'!$B189, "2")</f>
        <v>0</v>
      </c>
      <c r="O189" s="157">
        <f>SUMIFS('Historical Orders'!$G189, 'Historical Orders'!$D189, "1", 'Historical Orders'!$C189, "B", 'Historical Orders'!$B189, "2")</f>
        <v>0</v>
      </c>
      <c r="P189" s="159">
        <f>SUMIFS('Historical Orders'!$E189, 'Historical Orders'!$D189, "2", 'Historical Orders'!$C189, "A", 'Historical Orders'!$B189, "1")</f>
        <v>6192</v>
      </c>
      <c r="Q189" s="157">
        <f>SUMIFS('Historical Orders'!$G189, 'Historical Orders'!$D189, "2", 'Historical Orders'!$C189, "A", 'Historical Orders'!$B189, "1")</f>
        <v>7430.4</v>
      </c>
      <c r="R189" s="159">
        <f>SUMIFS('Historical Orders'!$E189, 'Historical Orders'!$D189, "2", 'Historical Orders'!$C189, "B", 'Historical Orders'!$B189, "1")</f>
        <v>0</v>
      </c>
      <c r="S189" s="157">
        <f>SUMIFS('Historical Orders'!$G189, 'Historical Orders'!$D189, "2", 'Historical Orders'!$C189, "B", 'Historical Orders'!$B189, "1")</f>
        <v>0</v>
      </c>
      <c r="T189" s="159">
        <f>SUMIFS('Historical Orders'!$E189, 'Historical Orders'!$D189, "2", 'Historical Orders'!$C189, "A", 'Historical Orders'!$B189, "2")</f>
        <v>0</v>
      </c>
      <c r="U189" s="157">
        <f>SUMIFS('Historical Orders'!$G189, 'Historical Orders'!$D189, "2", 'Historical Orders'!$C189, "A", 'Historical Orders'!$B189, "2")</f>
        <v>0</v>
      </c>
      <c r="V189" s="159">
        <f>SUMIFS('Historical Orders'!$E189, 'Historical Orders'!$D189, "2", 'Historical Orders'!$C189, "B", 'Historical Orders'!$B189, "2")</f>
        <v>0</v>
      </c>
      <c r="W189" s="159">
        <f>SUMIFS('Historical Orders'!$G189, 'Historical Orders'!$D189, "2", 'Historical Orders'!$C189, "B", 'Historical Orders'!$B189, "2")</f>
        <v>0</v>
      </c>
      <c r="X189" s="159">
        <f>SUMIFS('Historical Orders'!$E189, 'Historical Orders'!$D189, "3", 'Historical Orders'!$C189, "A", 'Historical Orders'!$B189, "1")</f>
        <v>0</v>
      </c>
      <c r="Y189" s="159">
        <f>SUMIFS('Historical Orders'!$G189, 'Historical Orders'!$D189, "3", 'Historical Orders'!$C189, "A", 'Historical Orders'!$B189, "1")</f>
        <v>0</v>
      </c>
      <c r="Z189" s="159">
        <f>SUMIFS('Historical Orders'!$E189, 'Historical Orders'!$D189, "3", 'Historical Orders'!$C189, "B", 'Historical Orders'!$B189, "1")</f>
        <v>0</v>
      </c>
      <c r="AA189" s="159">
        <f>SUMIFS('Historical Orders'!$G189, 'Historical Orders'!$D189, "3", 'Historical Orders'!$C189, "B", 'Historical Orders'!$B189, "1")</f>
        <v>0</v>
      </c>
      <c r="AB189" s="159">
        <f>SUMIFS('Historical Orders'!$E189, 'Historical Orders'!$D189, "3", 'Historical Orders'!$C189, "A", 'Historical Orders'!$B189, "2")</f>
        <v>0</v>
      </c>
      <c r="AC189" s="159">
        <f>SUMIFS('Historical Orders'!$G189, 'Historical Orders'!$D189, "3", 'Historical Orders'!$C189, "A", 'Historical Orders'!$B189, "2")</f>
        <v>0</v>
      </c>
      <c r="AD189" s="159">
        <f>SUMIFS('Historical Orders'!$E189, 'Historical Orders'!$D189, "3", 'Historical Orders'!$C189, "B", 'Historical Orders'!$B189, "2")</f>
        <v>0</v>
      </c>
      <c r="AE189" s="157">
        <f>SUMIFS('Historical Orders'!$G189, 'Historical Orders'!$D189, "3", 'Historical Orders'!$C189, "B", 'Historical Orders'!$B189, "2")</f>
        <v>0</v>
      </c>
      <c r="AF189" s="157">
        <f>SUMIFS('Historical Orders'!$E189, 'Historical Orders'!$D189, "4", 'Historical Orders'!$C189, "A", 'Historical Orders'!$B189, "1")</f>
        <v>0</v>
      </c>
      <c r="AG189" s="157">
        <f>SUMIFS('Historical Orders'!$G189, 'Historical Orders'!$D189, "4", 'Historical Orders'!$C189, "A", 'Historical Orders'!$B189, "1")</f>
        <v>0</v>
      </c>
      <c r="AH189" s="157">
        <f>SUMIFS('Historical Orders'!$E189, 'Historical Orders'!$D189, "4", 'Historical Orders'!$C189, "B", 'Historical Orders'!$B189, "1")</f>
        <v>0</v>
      </c>
      <c r="AI189" s="157">
        <f>SUMIFS('Historical Orders'!$G189, 'Historical Orders'!$D189, "4", 'Historical Orders'!$C189, "B", 'Historical Orders'!$B189, "1")</f>
        <v>0</v>
      </c>
      <c r="AJ189" s="157">
        <f>SUMIFS('Historical Orders'!$E189, 'Historical Orders'!$D189, "4", 'Historical Orders'!$C189, "A", 'Historical Orders'!$B189, "2")</f>
        <v>0</v>
      </c>
      <c r="AK189" s="157">
        <f>SUMIFS('Historical Orders'!$G189, 'Historical Orders'!$D189, "4", 'Historical Orders'!$C189, "A", 'Historical Orders'!$B189, "2")</f>
        <v>0</v>
      </c>
      <c r="AL189" s="171">
        <f>SUMIFS('Historical Orders'!$E189, 'Historical Orders'!$D189, "4", 'Historical Orders'!$C189, "B", 'Historical Orders'!$B189, "2")</f>
        <v>0</v>
      </c>
      <c r="AM189" s="171">
        <f>SUMIFS('Historical Orders'!$G189, 'Historical Orders'!$D189, "4", 'Historical Orders'!$C189, "B", 'Historical Orders'!$B189, "2")</f>
        <v>0</v>
      </c>
      <c r="AN189" s="171">
        <f>SUMIFS('Historical Orders'!$G189, 'Historical Orders'!$C189, "A", 'Historical Orders'!$B189, "1")</f>
        <v>7430.4</v>
      </c>
      <c r="AO189" s="171">
        <f>SUMIFS('Historical Orders'!$G189, 'Historical Orders'!$C189, "B", 'Historical Orders'!$B189, "1")</f>
        <v>0</v>
      </c>
      <c r="AP189" s="171">
        <f>SUMIFS('Historical Orders'!$G189, 'Historical Orders'!$C189, "A", 'Historical Orders'!$B189, "2")</f>
        <v>0</v>
      </c>
      <c r="AQ189" s="171">
        <f>SUMIFS('Historical Orders'!$G189, 'Historical Orders'!$C189, "B", 'Historical Orders'!$B189, "2")</f>
        <v>0</v>
      </c>
      <c r="AR189" s="145"/>
      <c r="AS189" s="172"/>
      <c r="AT189" s="172"/>
      <c r="AU189" s="172"/>
      <c r="AV189" s="172"/>
      <c r="AW189" s="172"/>
      <c r="AX189" s="172"/>
      <c r="AY189" s="172"/>
      <c r="AZ189" s="172"/>
      <c r="BA189" s="172"/>
      <c r="BB189" s="172"/>
      <c r="BC189" s="172"/>
      <c r="BD189" s="172"/>
      <c r="BE189" s="172"/>
      <c r="BF189" s="172"/>
      <c r="BG189" s="172"/>
      <c r="BH189" s="172"/>
      <c r="BI189" s="172"/>
      <c r="BJ189" s="172"/>
      <c r="BK189" s="172"/>
      <c r="BL189" s="172"/>
      <c r="BM189" s="172"/>
      <c r="BN189" s="172"/>
      <c r="BO189" s="172"/>
      <c r="BP189" s="172"/>
      <c r="BQ189" s="172"/>
      <c r="BR189" s="172"/>
      <c r="BS189" s="172"/>
      <c r="BT189" s="172"/>
      <c r="BU189" s="172"/>
      <c r="BV189" s="179"/>
      <c r="BW189" s="179"/>
      <c r="BX189" s="179"/>
      <c r="BY189" s="179"/>
      <c r="BZ189" s="179"/>
      <c r="CA189" s="179"/>
      <c r="CB189" s="179"/>
      <c r="CC189" s="179"/>
      <c r="CD189" s="179"/>
      <c r="CE189" s="179"/>
    </row>
    <row r="190" ht="15.75" customHeight="1">
      <c r="A190" s="151">
        <v>42072.0</v>
      </c>
      <c r="B190" s="152">
        <v>2.0</v>
      </c>
      <c r="C190" s="152" t="s">
        <v>45</v>
      </c>
      <c r="D190" s="152">
        <v>1.0</v>
      </c>
      <c r="E190" s="153">
        <v>5147.0</v>
      </c>
      <c r="F190" s="154">
        <v>2.2</v>
      </c>
      <c r="G190" s="155">
        <v>11323.400000000001</v>
      </c>
      <c r="H190" s="159">
        <f>SUMIFS('Historical Orders'!$E190, 'Historical Orders'!$D190, "1", 'Historical Orders'!$C190, "A", 'Historical Orders'!$B190, "1")</f>
        <v>0</v>
      </c>
      <c r="I190" s="157">
        <f>SUMIFS('Historical Orders'!$G190, 'Historical Orders'!$D190, "1", 'Historical Orders'!$C190, "A", 'Historical Orders'!$B190, "1")</f>
        <v>0</v>
      </c>
      <c r="J190" s="157">
        <f>SUMIFS('Historical Orders'!$E190, 'Historical Orders'!$D190, "1", 'Historical Orders'!$C190, "B", 'Historical Orders'!$B190, "1")</f>
        <v>0</v>
      </c>
      <c r="K190" s="157">
        <f>SUMIFS('Historical Orders'!$G190, 'Historical Orders'!$D190, "1", 'Historical Orders'!$C190, "B", 'Historical Orders'!$B190, "1")</f>
        <v>0</v>
      </c>
      <c r="L190" s="159">
        <f>SUMIFS('Historical Orders'!$E190, 'Historical Orders'!$D190, "1", 'Historical Orders'!$C190, "A", 'Historical Orders'!$B190, "2")</f>
        <v>5147</v>
      </c>
      <c r="M190" s="157">
        <f>SUMIFS('Historical Orders'!$G190, 'Historical Orders'!$D190, "1", 'Historical Orders'!$C190, "A", 'Historical Orders'!$B190, "2")</f>
        <v>11323.4</v>
      </c>
      <c r="N190" s="157">
        <f>SUMIFS('Historical Orders'!$E190, 'Historical Orders'!$D190, "1", 'Historical Orders'!$C190, "B", 'Historical Orders'!$B190, "2")</f>
        <v>0</v>
      </c>
      <c r="O190" s="157">
        <f>SUMIFS('Historical Orders'!$G190, 'Historical Orders'!$D190, "1", 'Historical Orders'!$C190, "B", 'Historical Orders'!$B190, "2")</f>
        <v>0</v>
      </c>
      <c r="P190" s="159">
        <f>SUMIFS('Historical Orders'!$E190, 'Historical Orders'!$D190, "2", 'Historical Orders'!$C190, "A", 'Historical Orders'!$B190, "1")</f>
        <v>0</v>
      </c>
      <c r="Q190" s="157">
        <f>SUMIFS('Historical Orders'!$G190, 'Historical Orders'!$D190, "2", 'Historical Orders'!$C190, "A", 'Historical Orders'!$B190, "1")</f>
        <v>0</v>
      </c>
      <c r="R190" s="159">
        <f>SUMIFS('Historical Orders'!$E190, 'Historical Orders'!$D190, "2", 'Historical Orders'!$C190, "B", 'Historical Orders'!$B190, "1")</f>
        <v>0</v>
      </c>
      <c r="S190" s="157">
        <f>SUMIFS('Historical Orders'!$G190, 'Historical Orders'!$D190, "2", 'Historical Orders'!$C190, "B", 'Historical Orders'!$B190, "1")</f>
        <v>0</v>
      </c>
      <c r="T190" s="159">
        <f>SUMIFS('Historical Orders'!$E190, 'Historical Orders'!$D190, "2", 'Historical Orders'!$C190, "A", 'Historical Orders'!$B190, "2")</f>
        <v>0</v>
      </c>
      <c r="U190" s="157">
        <f>SUMIFS('Historical Orders'!$G190, 'Historical Orders'!$D190, "2", 'Historical Orders'!$C190, "A", 'Historical Orders'!$B190, "2")</f>
        <v>0</v>
      </c>
      <c r="V190" s="159">
        <f>SUMIFS('Historical Orders'!$E190, 'Historical Orders'!$D190, "2", 'Historical Orders'!$C190, "B", 'Historical Orders'!$B190, "2")</f>
        <v>0</v>
      </c>
      <c r="W190" s="159">
        <f>SUMIFS('Historical Orders'!$G190, 'Historical Orders'!$D190, "2", 'Historical Orders'!$C190, "B", 'Historical Orders'!$B190, "2")</f>
        <v>0</v>
      </c>
      <c r="X190" s="159">
        <f>SUMIFS('Historical Orders'!$E190, 'Historical Orders'!$D190, "3", 'Historical Orders'!$C190, "A", 'Historical Orders'!$B190, "1")</f>
        <v>0</v>
      </c>
      <c r="Y190" s="159">
        <f>SUMIFS('Historical Orders'!$G190, 'Historical Orders'!$D190, "3", 'Historical Orders'!$C190, "A", 'Historical Orders'!$B190, "1")</f>
        <v>0</v>
      </c>
      <c r="Z190" s="159">
        <f>SUMIFS('Historical Orders'!$E190, 'Historical Orders'!$D190, "3", 'Historical Orders'!$C190, "B", 'Historical Orders'!$B190, "1")</f>
        <v>0</v>
      </c>
      <c r="AA190" s="159">
        <f>SUMIFS('Historical Orders'!$G190, 'Historical Orders'!$D190, "3", 'Historical Orders'!$C190, "B", 'Historical Orders'!$B190, "1")</f>
        <v>0</v>
      </c>
      <c r="AB190" s="159">
        <f>SUMIFS('Historical Orders'!$E190, 'Historical Orders'!$D190, "3", 'Historical Orders'!$C190, "A", 'Historical Orders'!$B190, "2")</f>
        <v>0</v>
      </c>
      <c r="AC190" s="159">
        <f>SUMIFS('Historical Orders'!$G190, 'Historical Orders'!$D190, "3", 'Historical Orders'!$C190, "A", 'Historical Orders'!$B190, "2")</f>
        <v>0</v>
      </c>
      <c r="AD190" s="159">
        <f>SUMIFS('Historical Orders'!$E190, 'Historical Orders'!$D190, "3", 'Historical Orders'!$C190, "B", 'Historical Orders'!$B190, "2")</f>
        <v>0</v>
      </c>
      <c r="AE190" s="157">
        <f>SUMIFS('Historical Orders'!$G190, 'Historical Orders'!$D190, "3", 'Historical Orders'!$C190, "B", 'Historical Orders'!$B190, "2")</f>
        <v>0</v>
      </c>
      <c r="AF190" s="157">
        <f>SUMIFS('Historical Orders'!$E190, 'Historical Orders'!$D190, "4", 'Historical Orders'!$C190, "A", 'Historical Orders'!$B190, "1")</f>
        <v>0</v>
      </c>
      <c r="AG190" s="157">
        <f>SUMIFS('Historical Orders'!$G190, 'Historical Orders'!$D190, "4", 'Historical Orders'!$C190, "A", 'Historical Orders'!$B190, "1")</f>
        <v>0</v>
      </c>
      <c r="AH190" s="157">
        <f>SUMIFS('Historical Orders'!$E190, 'Historical Orders'!$D190, "4", 'Historical Orders'!$C190, "B", 'Historical Orders'!$B190, "1")</f>
        <v>0</v>
      </c>
      <c r="AI190" s="157">
        <f>SUMIFS('Historical Orders'!$G190, 'Historical Orders'!$D190, "4", 'Historical Orders'!$C190, "B", 'Historical Orders'!$B190, "1")</f>
        <v>0</v>
      </c>
      <c r="AJ190" s="157">
        <f>SUMIFS('Historical Orders'!$E190, 'Historical Orders'!$D190, "4", 'Historical Orders'!$C190, "A", 'Historical Orders'!$B190, "2")</f>
        <v>0</v>
      </c>
      <c r="AK190" s="157">
        <f>SUMIFS('Historical Orders'!$G190, 'Historical Orders'!$D190, "4", 'Historical Orders'!$C190, "A", 'Historical Orders'!$B190, "2")</f>
        <v>0</v>
      </c>
      <c r="AL190" s="171">
        <f>SUMIFS('Historical Orders'!$E190, 'Historical Orders'!$D190, "4", 'Historical Orders'!$C190, "B", 'Historical Orders'!$B190, "2")</f>
        <v>0</v>
      </c>
      <c r="AM190" s="171">
        <f>SUMIFS('Historical Orders'!$G190, 'Historical Orders'!$D190, "4", 'Historical Orders'!$C190, "B", 'Historical Orders'!$B190, "2")</f>
        <v>0</v>
      </c>
      <c r="AN190" s="171">
        <f>SUMIFS('Historical Orders'!$G190, 'Historical Orders'!$C190, "A", 'Historical Orders'!$B190, "1")</f>
        <v>0</v>
      </c>
      <c r="AO190" s="171">
        <f>SUMIFS('Historical Orders'!$G190, 'Historical Orders'!$C190, "B", 'Historical Orders'!$B190, "1")</f>
        <v>0</v>
      </c>
      <c r="AP190" s="171">
        <f>SUMIFS('Historical Orders'!$G190, 'Historical Orders'!$C190, "A", 'Historical Orders'!$B190, "2")</f>
        <v>11323.4</v>
      </c>
      <c r="AQ190" s="171">
        <f>SUMIFS('Historical Orders'!$G190, 'Historical Orders'!$C190, "B", 'Historical Orders'!$B190, "2")</f>
        <v>0</v>
      </c>
      <c r="AR190" s="145"/>
      <c r="AS190" s="172"/>
      <c r="AT190" s="172"/>
      <c r="AU190" s="172"/>
      <c r="AV190" s="172"/>
      <c r="AW190" s="172"/>
      <c r="AX190" s="172"/>
      <c r="AY190" s="172"/>
      <c r="AZ190" s="172"/>
      <c r="BA190" s="172"/>
      <c r="BB190" s="172"/>
      <c r="BC190" s="172"/>
      <c r="BD190" s="172"/>
      <c r="BE190" s="172"/>
      <c r="BF190" s="172"/>
      <c r="BG190" s="172"/>
      <c r="BH190" s="172"/>
      <c r="BI190" s="172"/>
      <c r="BJ190" s="172"/>
      <c r="BK190" s="172"/>
      <c r="BL190" s="172"/>
      <c r="BM190" s="172"/>
      <c r="BN190" s="172"/>
      <c r="BO190" s="172"/>
      <c r="BP190" s="172"/>
      <c r="BQ190" s="172"/>
      <c r="BR190" s="172"/>
      <c r="BS190" s="172"/>
      <c r="BT190" s="172"/>
      <c r="BU190" s="172"/>
      <c r="BV190" s="179"/>
      <c r="BW190" s="179"/>
      <c r="BX190" s="179"/>
      <c r="BY190" s="179"/>
      <c r="BZ190" s="179"/>
      <c r="CA190" s="179"/>
      <c r="CB190" s="179"/>
      <c r="CC190" s="179"/>
      <c r="CD190" s="179"/>
      <c r="CE190" s="179"/>
    </row>
    <row r="191" ht="15.75" customHeight="1">
      <c r="A191" s="151">
        <v>42072.0</v>
      </c>
      <c r="B191" s="152">
        <v>2.0</v>
      </c>
      <c r="C191" s="152" t="s">
        <v>45</v>
      </c>
      <c r="D191" s="152">
        <v>2.0</v>
      </c>
      <c r="E191" s="153">
        <v>6004.0</v>
      </c>
      <c r="F191" s="154">
        <v>1.2</v>
      </c>
      <c r="G191" s="155">
        <v>7204.8</v>
      </c>
      <c r="H191" s="159">
        <f>SUMIFS('Historical Orders'!$E191, 'Historical Orders'!$D191, "1", 'Historical Orders'!$C191, "A", 'Historical Orders'!$B191, "1")</f>
        <v>0</v>
      </c>
      <c r="I191" s="157">
        <f>SUMIFS('Historical Orders'!$G191, 'Historical Orders'!$D191, "1", 'Historical Orders'!$C191, "A", 'Historical Orders'!$B191, "1")</f>
        <v>0</v>
      </c>
      <c r="J191" s="157">
        <f>SUMIFS('Historical Orders'!$E191, 'Historical Orders'!$D191, "1", 'Historical Orders'!$C191, "B", 'Historical Orders'!$B191, "1")</f>
        <v>0</v>
      </c>
      <c r="K191" s="157">
        <f>SUMIFS('Historical Orders'!$G191, 'Historical Orders'!$D191, "1", 'Historical Orders'!$C191, "B", 'Historical Orders'!$B191, "1")</f>
        <v>0</v>
      </c>
      <c r="L191" s="159">
        <f>SUMIFS('Historical Orders'!$E191, 'Historical Orders'!$D191, "1", 'Historical Orders'!$C191, "A", 'Historical Orders'!$B191, "2")</f>
        <v>0</v>
      </c>
      <c r="M191" s="157">
        <f>SUMIFS('Historical Orders'!$G191, 'Historical Orders'!$D191, "1", 'Historical Orders'!$C191, "A", 'Historical Orders'!$B191, "2")</f>
        <v>0</v>
      </c>
      <c r="N191" s="157">
        <f>SUMIFS('Historical Orders'!$E191, 'Historical Orders'!$D191, "1", 'Historical Orders'!$C191, "B", 'Historical Orders'!$B191, "2")</f>
        <v>0</v>
      </c>
      <c r="O191" s="157">
        <f>SUMIFS('Historical Orders'!$G191, 'Historical Orders'!$D191, "1", 'Historical Orders'!$C191, "B", 'Historical Orders'!$B191, "2")</f>
        <v>0</v>
      </c>
      <c r="P191" s="159">
        <f>SUMIFS('Historical Orders'!$E191, 'Historical Orders'!$D191, "2", 'Historical Orders'!$C191, "A", 'Historical Orders'!$B191, "1")</f>
        <v>0</v>
      </c>
      <c r="Q191" s="157">
        <f>SUMIFS('Historical Orders'!$G191, 'Historical Orders'!$D191, "2", 'Historical Orders'!$C191, "A", 'Historical Orders'!$B191, "1")</f>
        <v>0</v>
      </c>
      <c r="R191" s="159">
        <f>SUMIFS('Historical Orders'!$E191, 'Historical Orders'!$D191, "2", 'Historical Orders'!$C191, "B", 'Historical Orders'!$B191, "1")</f>
        <v>0</v>
      </c>
      <c r="S191" s="157">
        <f>SUMIFS('Historical Orders'!$G191, 'Historical Orders'!$D191, "2", 'Historical Orders'!$C191, "B", 'Historical Orders'!$B191, "1")</f>
        <v>0</v>
      </c>
      <c r="T191" s="159">
        <f>SUMIFS('Historical Orders'!$E191, 'Historical Orders'!$D191, "2", 'Historical Orders'!$C191, "A", 'Historical Orders'!$B191, "2")</f>
        <v>6004</v>
      </c>
      <c r="U191" s="157">
        <f>SUMIFS('Historical Orders'!$G191, 'Historical Orders'!$D191, "2", 'Historical Orders'!$C191, "A", 'Historical Orders'!$B191, "2")</f>
        <v>7204.8</v>
      </c>
      <c r="V191" s="159">
        <f>SUMIFS('Historical Orders'!$E191, 'Historical Orders'!$D191, "2", 'Historical Orders'!$C191, "B", 'Historical Orders'!$B191, "2")</f>
        <v>0</v>
      </c>
      <c r="W191" s="159">
        <f>SUMIFS('Historical Orders'!$G191, 'Historical Orders'!$D191, "2", 'Historical Orders'!$C191, "B", 'Historical Orders'!$B191, "2")</f>
        <v>0</v>
      </c>
      <c r="X191" s="159">
        <f>SUMIFS('Historical Orders'!$E191, 'Historical Orders'!$D191, "3", 'Historical Orders'!$C191, "A", 'Historical Orders'!$B191, "1")</f>
        <v>0</v>
      </c>
      <c r="Y191" s="159">
        <f>SUMIFS('Historical Orders'!$G191, 'Historical Orders'!$D191, "3", 'Historical Orders'!$C191, "A", 'Historical Orders'!$B191, "1")</f>
        <v>0</v>
      </c>
      <c r="Z191" s="159">
        <f>SUMIFS('Historical Orders'!$E191, 'Historical Orders'!$D191, "3", 'Historical Orders'!$C191, "B", 'Historical Orders'!$B191, "1")</f>
        <v>0</v>
      </c>
      <c r="AA191" s="159">
        <f>SUMIFS('Historical Orders'!$G191, 'Historical Orders'!$D191, "3", 'Historical Orders'!$C191, "B", 'Historical Orders'!$B191, "1")</f>
        <v>0</v>
      </c>
      <c r="AB191" s="159">
        <f>SUMIFS('Historical Orders'!$E191, 'Historical Orders'!$D191, "3", 'Historical Orders'!$C191, "A", 'Historical Orders'!$B191, "2")</f>
        <v>0</v>
      </c>
      <c r="AC191" s="159">
        <f>SUMIFS('Historical Orders'!$G191, 'Historical Orders'!$D191, "3", 'Historical Orders'!$C191, "A", 'Historical Orders'!$B191, "2")</f>
        <v>0</v>
      </c>
      <c r="AD191" s="159">
        <f>SUMIFS('Historical Orders'!$E191, 'Historical Orders'!$D191, "3", 'Historical Orders'!$C191, "B", 'Historical Orders'!$B191, "2")</f>
        <v>0</v>
      </c>
      <c r="AE191" s="157">
        <f>SUMIFS('Historical Orders'!$G191, 'Historical Orders'!$D191, "3", 'Historical Orders'!$C191, "B", 'Historical Orders'!$B191, "2")</f>
        <v>0</v>
      </c>
      <c r="AF191" s="157">
        <f>SUMIFS('Historical Orders'!$E191, 'Historical Orders'!$D191, "4", 'Historical Orders'!$C191, "A", 'Historical Orders'!$B191, "1")</f>
        <v>0</v>
      </c>
      <c r="AG191" s="157">
        <f>SUMIFS('Historical Orders'!$G191, 'Historical Orders'!$D191, "4", 'Historical Orders'!$C191, "A", 'Historical Orders'!$B191, "1")</f>
        <v>0</v>
      </c>
      <c r="AH191" s="157">
        <f>SUMIFS('Historical Orders'!$E191, 'Historical Orders'!$D191, "4", 'Historical Orders'!$C191, "B", 'Historical Orders'!$B191, "1")</f>
        <v>0</v>
      </c>
      <c r="AI191" s="157">
        <f>SUMIFS('Historical Orders'!$G191, 'Historical Orders'!$D191, "4", 'Historical Orders'!$C191, "B", 'Historical Orders'!$B191, "1")</f>
        <v>0</v>
      </c>
      <c r="AJ191" s="157">
        <f>SUMIFS('Historical Orders'!$E191, 'Historical Orders'!$D191, "4", 'Historical Orders'!$C191, "A", 'Historical Orders'!$B191, "2")</f>
        <v>0</v>
      </c>
      <c r="AK191" s="157">
        <f>SUMIFS('Historical Orders'!$G191, 'Historical Orders'!$D191, "4", 'Historical Orders'!$C191, "A", 'Historical Orders'!$B191, "2")</f>
        <v>0</v>
      </c>
      <c r="AL191" s="171">
        <f>SUMIFS('Historical Orders'!$E191, 'Historical Orders'!$D191, "4", 'Historical Orders'!$C191, "B", 'Historical Orders'!$B191, "2")</f>
        <v>0</v>
      </c>
      <c r="AM191" s="171">
        <f>SUMIFS('Historical Orders'!$G191, 'Historical Orders'!$D191, "4", 'Historical Orders'!$C191, "B", 'Historical Orders'!$B191, "2")</f>
        <v>0</v>
      </c>
      <c r="AN191" s="171">
        <f>SUMIFS('Historical Orders'!$G191, 'Historical Orders'!$C191, "A", 'Historical Orders'!$B191, "1")</f>
        <v>0</v>
      </c>
      <c r="AO191" s="171">
        <f>SUMIFS('Historical Orders'!$G191, 'Historical Orders'!$C191, "B", 'Historical Orders'!$B191, "1")</f>
        <v>0</v>
      </c>
      <c r="AP191" s="171">
        <f>SUMIFS('Historical Orders'!$G191, 'Historical Orders'!$C191, "A", 'Historical Orders'!$B191, "2")</f>
        <v>7204.8</v>
      </c>
      <c r="AQ191" s="171">
        <f>SUMIFS('Historical Orders'!$G191, 'Historical Orders'!$C191, "B", 'Historical Orders'!$B191, "2")</f>
        <v>0</v>
      </c>
      <c r="AR191" s="145"/>
      <c r="AS191" s="172"/>
      <c r="AT191" s="172"/>
      <c r="AU191" s="172"/>
      <c r="AV191" s="172"/>
      <c r="AW191" s="172"/>
      <c r="AX191" s="172"/>
      <c r="AY191" s="172"/>
      <c r="AZ191" s="172"/>
      <c r="BA191" s="172"/>
      <c r="BB191" s="172"/>
      <c r="BC191" s="172"/>
      <c r="BD191" s="172"/>
      <c r="BE191" s="172"/>
      <c r="BF191" s="172"/>
      <c r="BG191" s="172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  <c r="BT191" s="172"/>
      <c r="BU191" s="172"/>
      <c r="BV191" s="179"/>
      <c r="BW191" s="179"/>
      <c r="BX191" s="179"/>
      <c r="BY191" s="179"/>
      <c r="BZ191" s="179"/>
      <c r="CA191" s="179"/>
      <c r="CB191" s="179"/>
      <c r="CC191" s="179"/>
      <c r="CD191" s="179"/>
      <c r="CE191" s="179"/>
    </row>
    <row r="192" ht="15.75" customHeight="1">
      <c r="A192" s="151">
        <v>42072.0</v>
      </c>
      <c r="B192" s="152">
        <v>1.0</v>
      </c>
      <c r="C192" s="152" t="s">
        <v>46</v>
      </c>
      <c r="D192" s="152">
        <v>3.0</v>
      </c>
      <c r="E192" s="153">
        <v>1816.0</v>
      </c>
      <c r="F192" s="154">
        <v>8.3</v>
      </c>
      <c r="G192" s="155">
        <v>15072.800000000001</v>
      </c>
      <c r="H192" s="159">
        <f>SUMIFS('Historical Orders'!$E192, 'Historical Orders'!$D192, "1", 'Historical Orders'!$C192, "A", 'Historical Orders'!$B192, "1")</f>
        <v>0</v>
      </c>
      <c r="I192" s="157">
        <f>SUMIFS('Historical Orders'!$G192, 'Historical Orders'!$D192, "1", 'Historical Orders'!$C192, "A", 'Historical Orders'!$B192, "1")</f>
        <v>0</v>
      </c>
      <c r="J192" s="157">
        <f>SUMIFS('Historical Orders'!$E192, 'Historical Orders'!$D192, "1", 'Historical Orders'!$C192, "B", 'Historical Orders'!$B192, "1")</f>
        <v>0</v>
      </c>
      <c r="K192" s="157">
        <f>SUMIFS('Historical Orders'!$G192, 'Historical Orders'!$D192, "1", 'Historical Orders'!$C192, "B", 'Historical Orders'!$B192, "1")</f>
        <v>0</v>
      </c>
      <c r="L192" s="159">
        <f>SUMIFS('Historical Orders'!$E192, 'Historical Orders'!$D192, "1", 'Historical Orders'!$C192, "A", 'Historical Orders'!$B192, "2")</f>
        <v>0</v>
      </c>
      <c r="M192" s="157">
        <f>SUMIFS('Historical Orders'!$G192, 'Historical Orders'!$D192, "1", 'Historical Orders'!$C192, "A", 'Historical Orders'!$B192, "2")</f>
        <v>0</v>
      </c>
      <c r="N192" s="157">
        <f>SUMIFS('Historical Orders'!$E192, 'Historical Orders'!$D192, "1", 'Historical Orders'!$C192, "B", 'Historical Orders'!$B192, "2")</f>
        <v>0</v>
      </c>
      <c r="O192" s="157">
        <f>SUMIFS('Historical Orders'!$G192, 'Historical Orders'!$D192, "1", 'Historical Orders'!$C192, "B", 'Historical Orders'!$B192, "2")</f>
        <v>0</v>
      </c>
      <c r="P192" s="159">
        <f>SUMIFS('Historical Orders'!$E192, 'Historical Orders'!$D192, "2", 'Historical Orders'!$C192, "A", 'Historical Orders'!$B192, "1")</f>
        <v>0</v>
      </c>
      <c r="Q192" s="157">
        <f>SUMIFS('Historical Orders'!$G192, 'Historical Orders'!$D192, "2", 'Historical Orders'!$C192, "A", 'Historical Orders'!$B192, "1")</f>
        <v>0</v>
      </c>
      <c r="R192" s="159">
        <f>SUMIFS('Historical Orders'!$E192, 'Historical Orders'!$D192, "2", 'Historical Orders'!$C192, "B", 'Historical Orders'!$B192, "1")</f>
        <v>0</v>
      </c>
      <c r="S192" s="157">
        <f>SUMIFS('Historical Orders'!$G192, 'Historical Orders'!$D192, "2", 'Historical Orders'!$C192, "B", 'Historical Orders'!$B192, "1")</f>
        <v>0</v>
      </c>
      <c r="T192" s="159">
        <f>SUMIFS('Historical Orders'!$E192, 'Historical Orders'!$D192, "2", 'Historical Orders'!$C192, "A", 'Historical Orders'!$B192, "2")</f>
        <v>0</v>
      </c>
      <c r="U192" s="157">
        <f>SUMIFS('Historical Orders'!$G192, 'Historical Orders'!$D192, "2", 'Historical Orders'!$C192, "A", 'Historical Orders'!$B192, "2")</f>
        <v>0</v>
      </c>
      <c r="V192" s="159">
        <f>SUMIFS('Historical Orders'!$E192, 'Historical Orders'!$D192, "2", 'Historical Orders'!$C192, "B", 'Historical Orders'!$B192, "2")</f>
        <v>0</v>
      </c>
      <c r="W192" s="159">
        <f>SUMIFS('Historical Orders'!$G192, 'Historical Orders'!$D192, "2", 'Historical Orders'!$C192, "B", 'Historical Orders'!$B192, "2")</f>
        <v>0</v>
      </c>
      <c r="X192" s="159">
        <f>SUMIFS('Historical Orders'!$E192, 'Historical Orders'!$D192, "3", 'Historical Orders'!$C192, "A", 'Historical Orders'!$B192, "1")</f>
        <v>0</v>
      </c>
      <c r="Y192" s="159">
        <f>SUMIFS('Historical Orders'!$G192, 'Historical Orders'!$D192, "3", 'Historical Orders'!$C192, "A", 'Historical Orders'!$B192, "1")</f>
        <v>0</v>
      </c>
      <c r="Z192" s="159">
        <f>SUMIFS('Historical Orders'!$E192, 'Historical Orders'!$D192, "3", 'Historical Orders'!$C192, "B", 'Historical Orders'!$B192, "1")</f>
        <v>1816</v>
      </c>
      <c r="AA192" s="159">
        <f>SUMIFS('Historical Orders'!$G192, 'Historical Orders'!$D192, "3", 'Historical Orders'!$C192, "B", 'Historical Orders'!$B192, "1")</f>
        <v>15072.8</v>
      </c>
      <c r="AB192" s="159">
        <f>SUMIFS('Historical Orders'!$E192, 'Historical Orders'!$D192, "3", 'Historical Orders'!$C192, "A", 'Historical Orders'!$B192, "2")</f>
        <v>0</v>
      </c>
      <c r="AC192" s="159">
        <f>SUMIFS('Historical Orders'!$G192, 'Historical Orders'!$D192, "3", 'Historical Orders'!$C192, "A", 'Historical Orders'!$B192, "2")</f>
        <v>0</v>
      </c>
      <c r="AD192" s="159">
        <f>SUMIFS('Historical Orders'!$E192, 'Historical Orders'!$D192, "3", 'Historical Orders'!$C192, "B", 'Historical Orders'!$B192, "2")</f>
        <v>0</v>
      </c>
      <c r="AE192" s="157">
        <f>SUMIFS('Historical Orders'!$G192, 'Historical Orders'!$D192, "3", 'Historical Orders'!$C192, "B", 'Historical Orders'!$B192, "2")</f>
        <v>0</v>
      </c>
      <c r="AF192" s="157">
        <f>SUMIFS('Historical Orders'!$E192, 'Historical Orders'!$D192, "4", 'Historical Orders'!$C192, "A", 'Historical Orders'!$B192, "1")</f>
        <v>0</v>
      </c>
      <c r="AG192" s="157">
        <f>SUMIFS('Historical Orders'!$G192, 'Historical Orders'!$D192, "4", 'Historical Orders'!$C192, "A", 'Historical Orders'!$B192, "1")</f>
        <v>0</v>
      </c>
      <c r="AH192" s="157">
        <f>SUMIFS('Historical Orders'!$E192, 'Historical Orders'!$D192, "4", 'Historical Orders'!$C192, "B", 'Historical Orders'!$B192, "1")</f>
        <v>0</v>
      </c>
      <c r="AI192" s="157">
        <f>SUMIFS('Historical Orders'!$G192, 'Historical Orders'!$D192, "4", 'Historical Orders'!$C192, "B", 'Historical Orders'!$B192, "1")</f>
        <v>0</v>
      </c>
      <c r="AJ192" s="157">
        <f>SUMIFS('Historical Orders'!$E192, 'Historical Orders'!$D192, "4", 'Historical Orders'!$C192, "A", 'Historical Orders'!$B192, "2")</f>
        <v>0</v>
      </c>
      <c r="AK192" s="157">
        <f>SUMIFS('Historical Orders'!$G192, 'Historical Orders'!$D192, "4", 'Historical Orders'!$C192, "A", 'Historical Orders'!$B192, "2")</f>
        <v>0</v>
      </c>
      <c r="AL192" s="171">
        <f>SUMIFS('Historical Orders'!$E192, 'Historical Orders'!$D192, "4", 'Historical Orders'!$C192, "B", 'Historical Orders'!$B192, "2")</f>
        <v>0</v>
      </c>
      <c r="AM192" s="171">
        <f>SUMIFS('Historical Orders'!$G192, 'Historical Orders'!$D192, "4", 'Historical Orders'!$C192, "B", 'Historical Orders'!$B192, "2")</f>
        <v>0</v>
      </c>
      <c r="AN192" s="171">
        <f>SUMIFS('Historical Orders'!$G192, 'Historical Orders'!$C192, "A", 'Historical Orders'!$B192, "1")</f>
        <v>0</v>
      </c>
      <c r="AO192" s="171">
        <f>SUMIFS('Historical Orders'!$G192, 'Historical Orders'!$C192, "B", 'Historical Orders'!$B192, "1")</f>
        <v>15072.8</v>
      </c>
      <c r="AP192" s="171">
        <f>SUMIFS('Historical Orders'!$G192, 'Historical Orders'!$C192, "A", 'Historical Orders'!$B192, "2")</f>
        <v>0</v>
      </c>
      <c r="AQ192" s="171">
        <f>SUMIFS('Historical Orders'!$G192, 'Historical Orders'!$C192, "B", 'Historical Orders'!$B192, "2")</f>
        <v>0</v>
      </c>
      <c r="AR192" s="145"/>
      <c r="AS192" s="172"/>
      <c r="AT192" s="172"/>
      <c r="AU192" s="172"/>
      <c r="AV192" s="172"/>
      <c r="AW192" s="172"/>
      <c r="AX192" s="172"/>
      <c r="AY192" s="172"/>
      <c r="AZ192" s="172"/>
      <c r="BA192" s="172"/>
      <c r="BB192" s="172"/>
      <c r="BC192" s="172"/>
      <c r="BD192" s="172"/>
      <c r="BE192" s="172"/>
      <c r="BF192" s="172"/>
      <c r="BG192" s="172"/>
      <c r="BH192" s="172"/>
      <c r="BI192" s="172"/>
      <c r="BJ192" s="172"/>
      <c r="BK192" s="172"/>
      <c r="BL192" s="172"/>
      <c r="BM192" s="172"/>
      <c r="BN192" s="172"/>
      <c r="BO192" s="172"/>
      <c r="BP192" s="172"/>
      <c r="BQ192" s="172"/>
      <c r="BR192" s="172"/>
      <c r="BS192" s="172"/>
      <c r="BT192" s="172"/>
      <c r="BU192" s="172"/>
      <c r="BV192" s="179"/>
      <c r="BW192" s="179"/>
      <c r="BX192" s="179"/>
      <c r="BY192" s="179"/>
      <c r="BZ192" s="179"/>
      <c r="CA192" s="179"/>
      <c r="CB192" s="179"/>
      <c r="CC192" s="179"/>
      <c r="CD192" s="179"/>
      <c r="CE192" s="179"/>
    </row>
    <row r="193" ht="15.75" customHeight="1">
      <c r="A193" s="151">
        <v>42072.0</v>
      </c>
      <c r="B193" s="152">
        <v>2.0</v>
      </c>
      <c r="C193" s="152" t="s">
        <v>46</v>
      </c>
      <c r="D193" s="152">
        <v>3.0</v>
      </c>
      <c r="E193" s="153">
        <v>2126.0</v>
      </c>
      <c r="F193" s="154">
        <v>8.3</v>
      </c>
      <c r="G193" s="155">
        <v>17645.800000000003</v>
      </c>
      <c r="H193" s="159">
        <f>SUMIFS('Historical Orders'!$E193, 'Historical Orders'!$D193, "1", 'Historical Orders'!$C193, "A", 'Historical Orders'!$B193, "1")</f>
        <v>0</v>
      </c>
      <c r="I193" s="157">
        <f>SUMIFS('Historical Orders'!$G193, 'Historical Orders'!$D193, "1", 'Historical Orders'!$C193, "A", 'Historical Orders'!$B193, "1")</f>
        <v>0</v>
      </c>
      <c r="J193" s="157">
        <f>SUMIFS('Historical Orders'!$E193, 'Historical Orders'!$D193, "1", 'Historical Orders'!$C193, "B", 'Historical Orders'!$B193, "1")</f>
        <v>0</v>
      </c>
      <c r="K193" s="157">
        <f>SUMIFS('Historical Orders'!$G193, 'Historical Orders'!$D193, "1", 'Historical Orders'!$C193, "B", 'Historical Orders'!$B193, "1")</f>
        <v>0</v>
      </c>
      <c r="L193" s="159">
        <f>SUMIFS('Historical Orders'!$E193, 'Historical Orders'!$D193, "1", 'Historical Orders'!$C193, "A", 'Historical Orders'!$B193, "2")</f>
        <v>0</v>
      </c>
      <c r="M193" s="157">
        <f>SUMIFS('Historical Orders'!$G193, 'Historical Orders'!$D193, "1", 'Historical Orders'!$C193, "A", 'Historical Orders'!$B193, "2")</f>
        <v>0</v>
      </c>
      <c r="N193" s="157">
        <f>SUMIFS('Historical Orders'!$E193, 'Historical Orders'!$D193, "1", 'Historical Orders'!$C193, "B", 'Historical Orders'!$B193, "2")</f>
        <v>0</v>
      </c>
      <c r="O193" s="157">
        <f>SUMIFS('Historical Orders'!$G193, 'Historical Orders'!$D193, "1", 'Historical Orders'!$C193, "B", 'Historical Orders'!$B193, "2")</f>
        <v>0</v>
      </c>
      <c r="P193" s="159">
        <f>SUMIFS('Historical Orders'!$E193, 'Historical Orders'!$D193, "2", 'Historical Orders'!$C193, "A", 'Historical Orders'!$B193, "1")</f>
        <v>0</v>
      </c>
      <c r="Q193" s="157">
        <f>SUMIFS('Historical Orders'!$G193, 'Historical Orders'!$D193, "2", 'Historical Orders'!$C193, "A", 'Historical Orders'!$B193, "1")</f>
        <v>0</v>
      </c>
      <c r="R193" s="159">
        <f>SUMIFS('Historical Orders'!$E193, 'Historical Orders'!$D193, "2", 'Historical Orders'!$C193, "B", 'Historical Orders'!$B193, "1")</f>
        <v>0</v>
      </c>
      <c r="S193" s="157">
        <f>SUMIFS('Historical Orders'!$G193, 'Historical Orders'!$D193, "2", 'Historical Orders'!$C193, "B", 'Historical Orders'!$B193, "1")</f>
        <v>0</v>
      </c>
      <c r="T193" s="159">
        <f>SUMIFS('Historical Orders'!$E193, 'Historical Orders'!$D193, "2", 'Historical Orders'!$C193, "A", 'Historical Orders'!$B193, "2")</f>
        <v>0</v>
      </c>
      <c r="U193" s="157">
        <f>SUMIFS('Historical Orders'!$G193, 'Historical Orders'!$D193, "2", 'Historical Orders'!$C193, "A", 'Historical Orders'!$B193, "2")</f>
        <v>0</v>
      </c>
      <c r="V193" s="159">
        <f>SUMIFS('Historical Orders'!$E193, 'Historical Orders'!$D193, "2", 'Historical Orders'!$C193, "B", 'Historical Orders'!$B193, "2")</f>
        <v>0</v>
      </c>
      <c r="W193" s="159">
        <f>SUMIFS('Historical Orders'!$G193, 'Historical Orders'!$D193, "2", 'Historical Orders'!$C193, "B", 'Historical Orders'!$B193, "2")</f>
        <v>0</v>
      </c>
      <c r="X193" s="159">
        <f>SUMIFS('Historical Orders'!$E193, 'Historical Orders'!$D193, "3", 'Historical Orders'!$C193, "A", 'Historical Orders'!$B193, "1")</f>
        <v>0</v>
      </c>
      <c r="Y193" s="159">
        <f>SUMIFS('Historical Orders'!$G193, 'Historical Orders'!$D193, "3", 'Historical Orders'!$C193, "A", 'Historical Orders'!$B193, "1")</f>
        <v>0</v>
      </c>
      <c r="Z193" s="159">
        <f>SUMIFS('Historical Orders'!$E193, 'Historical Orders'!$D193, "3", 'Historical Orders'!$C193, "B", 'Historical Orders'!$B193, "1")</f>
        <v>0</v>
      </c>
      <c r="AA193" s="159">
        <f>SUMIFS('Historical Orders'!$G193, 'Historical Orders'!$D193, "3", 'Historical Orders'!$C193, "B", 'Historical Orders'!$B193, "1")</f>
        <v>0</v>
      </c>
      <c r="AB193" s="159">
        <f>SUMIFS('Historical Orders'!$E193, 'Historical Orders'!$D193, "3", 'Historical Orders'!$C193, "A", 'Historical Orders'!$B193, "2")</f>
        <v>0</v>
      </c>
      <c r="AC193" s="159">
        <f>SUMIFS('Historical Orders'!$G193, 'Historical Orders'!$D193, "3", 'Historical Orders'!$C193, "A", 'Historical Orders'!$B193, "2")</f>
        <v>0</v>
      </c>
      <c r="AD193" s="159">
        <f>SUMIFS('Historical Orders'!$E193, 'Historical Orders'!$D193, "3", 'Historical Orders'!$C193, "B", 'Historical Orders'!$B193, "2")</f>
        <v>2126</v>
      </c>
      <c r="AE193" s="157">
        <f>SUMIFS('Historical Orders'!$G193, 'Historical Orders'!$D193, "3", 'Historical Orders'!$C193, "B", 'Historical Orders'!$B193, "2")</f>
        <v>17645.8</v>
      </c>
      <c r="AF193" s="157">
        <f>SUMIFS('Historical Orders'!$E193, 'Historical Orders'!$D193, "4", 'Historical Orders'!$C193, "A", 'Historical Orders'!$B193, "1")</f>
        <v>0</v>
      </c>
      <c r="AG193" s="157">
        <f>SUMIFS('Historical Orders'!$G193, 'Historical Orders'!$D193, "4", 'Historical Orders'!$C193, "A", 'Historical Orders'!$B193, "1")</f>
        <v>0</v>
      </c>
      <c r="AH193" s="157">
        <f>SUMIFS('Historical Orders'!$E193, 'Historical Orders'!$D193, "4", 'Historical Orders'!$C193, "B", 'Historical Orders'!$B193, "1")</f>
        <v>0</v>
      </c>
      <c r="AI193" s="157">
        <f>SUMIFS('Historical Orders'!$G193, 'Historical Orders'!$D193, "4", 'Historical Orders'!$C193, "B", 'Historical Orders'!$B193, "1")</f>
        <v>0</v>
      </c>
      <c r="AJ193" s="157">
        <f>SUMIFS('Historical Orders'!$E193, 'Historical Orders'!$D193, "4", 'Historical Orders'!$C193, "A", 'Historical Orders'!$B193, "2")</f>
        <v>0</v>
      </c>
      <c r="AK193" s="157">
        <f>SUMIFS('Historical Orders'!$G193, 'Historical Orders'!$D193, "4", 'Historical Orders'!$C193, "A", 'Historical Orders'!$B193, "2")</f>
        <v>0</v>
      </c>
      <c r="AL193" s="171">
        <f>SUMIFS('Historical Orders'!$E193, 'Historical Orders'!$D193, "4", 'Historical Orders'!$C193, "B", 'Historical Orders'!$B193, "2")</f>
        <v>0</v>
      </c>
      <c r="AM193" s="171">
        <f>SUMIFS('Historical Orders'!$G193, 'Historical Orders'!$D193, "4", 'Historical Orders'!$C193, "B", 'Historical Orders'!$B193, "2")</f>
        <v>0</v>
      </c>
      <c r="AN193" s="171">
        <f>SUMIFS('Historical Orders'!$G193, 'Historical Orders'!$C193, "A", 'Historical Orders'!$B193, "1")</f>
        <v>0</v>
      </c>
      <c r="AO193" s="171">
        <f>SUMIFS('Historical Orders'!$G193, 'Historical Orders'!$C193, "B", 'Historical Orders'!$B193, "1")</f>
        <v>0</v>
      </c>
      <c r="AP193" s="171">
        <f>SUMIFS('Historical Orders'!$G193, 'Historical Orders'!$C193, "A", 'Historical Orders'!$B193, "2")</f>
        <v>0</v>
      </c>
      <c r="AQ193" s="171">
        <f>SUMIFS('Historical Orders'!$G193, 'Historical Orders'!$C193, "B", 'Historical Orders'!$B193, "2")</f>
        <v>17645.8</v>
      </c>
      <c r="AR193" s="145"/>
      <c r="AS193" s="172"/>
      <c r="AT193" s="172"/>
      <c r="AU193" s="172"/>
      <c r="AV193" s="172"/>
      <c r="AW193" s="172"/>
      <c r="AX193" s="172"/>
      <c r="AY193" s="172"/>
      <c r="AZ193" s="172"/>
      <c r="BA193" s="172"/>
      <c r="BB193" s="172"/>
      <c r="BC193" s="172"/>
      <c r="BD193" s="172"/>
      <c r="BE193" s="172"/>
      <c r="BF193" s="172"/>
      <c r="BG193" s="172"/>
      <c r="BH193" s="172"/>
      <c r="BI193" s="172"/>
      <c r="BJ193" s="172"/>
      <c r="BK193" s="172"/>
      <c r="BL193" s="172"/>
      <c r="BM193" s="172"/>
      <c r="BN193" s="172"/>
      <c r="BO193" s="172"/>
      <c r="BP193" s="172"/>
      <c r="BQ193" s="172"/>
      <c r="BR193" s="172"/>
      <c r="BS193" s="172"/>
      <c r="BT193" s="172"/>
      <c r="BU193" s="172"/>
      <c r="BV193" s="179"/>
      <c r="BW193" s="179"/>
      <c r="BX193" s="179"/>
      <c r="BY193" s="179"/>
      <c r="BZ193" s="179"/>
      <c r="CA193" s="179"/>
      <c r="CB193" s="179"/>
      <c r="CC193" s="179"/>
      <c r="CD193" s="179"/>
      <c r="CE193" s="179"/>
    </row>
    <row r="194" ht="15.75" customHeight="1">
      <c r="A194" s="151">
        <v>42079.0</v>
      </c>
      <c r="B194" s="152">
        <v>1.0</v>
      </c>
      <c r="C194" s="152" t="s">
        <v>45</v>
      </c>
      <c r="D194" s="152">
        <v>1.0</v>
      </c>
      <c r="E194" s="153">
        <v>5042.0</v>
      </c>
      <c r="F194" s="154">
        <v>2.2</v>
      </c>
      <c r="G194" s="155">
        <v>11092.400000000001</v>
      </c>
      <c r="H194" s="159">
        <f>SUMIFS('Historical Orders'!$E194, 'Historical Orders'!$D194, "1", 'Historical Orders'!$C194, "A", 'Historical Orders'!$B194, "1")</f>
        <v>5042</v>
      </c>
      <c r="I194" s="157">
        <f>SUMIFS('Historical Orders'!$G194, 'Historical Orders'!$D194, "1", 'Historical Orders'!$C194, "A", 'Historical Orders'!$B194, "1")</f>
        <v>11092.4</v>
      </c>
      <c r="J194" s="157">
        <f>SUMIFS('Historical Orders'!$E194, 'Historical Orders'!$D194, "1", 'Historical Orders'!$C194, "B", 'Historical Orders'!$B194, "1")</f>
        <v>0</v>
      </c>
      <c r="K194" s="157">
        <f>SUMIFS('Historical Orders'!$G194, 'Historical Orders'!$D194, "1", 'Historical Orders'!$C194, "B", 'Historical Orders'!$B194, "1")</f>
        <v>0</v>
      </c>
      <c r="L194" s="159">
        <f>SUMIFS('Historical Orders'!$E194, 'Historical Orders'!$D194, "1", 'Historical Orders'!$C194, "A", 'Historical Orders'!$B194, "2")</f>
        <v>0</v>
      </c>
      <c r="M194" s="157">
        <f>SUMIFS('Historical Orders'!$G194, 'Historical Orders'!$D194, "1", 'Historical Orders'!$C194, "A", 'Historical Orders'!$B194, "2")</f>
        <v>0</v>
      </c>
      <c r="N194" s="157">
        <f>SUMIFS('Historical Orders'!$E194, 'Historical Orders'!$D194, "1", 'Historical Orders'!$C194, "B", 'Historical Orders'!$B194, "2")</f>
        <v>0</v>
      </c>
      <c r="O194" s="157">
        <f>SUMIFS('Historical Orders'!$G194, 'Historical Orders'!$D194, "1", 'Historical Orders'!$C194, "B", 'Historical Orders'!$B194, "2")</f>
        <v>0</v>
      </c>
      <c r="P194" s="159">
        <f>SUMIFS('Historical Orders'!$E194, 'Historical Orders'!$D194, "2", 'Historical Orders'!$C194, "A", 'Historical Orders'!$B194, "1")</f>
        <v>0</v>
      </c>
      <c r="Q194" s="157">
        <f>SUMIFS('Historical Orders'!$G194, 'Historical Orders'!$D194, "2", 'Historical Orders'!$C194, "A", 'Historical Orders'!$B194, "1")</f>
        <v>0</v>
      </c>
      <c r="R194" s="159">
        <f>SUMIFS('Historical Orders'!$E194, 'Historical Orders'!$D194, "2", 'Historical Orders'!$C194, "B", 'Historical Orders'!$B194, "1")</f>
        <v>0</v>
      </c>
      <c r="S194" s="157">
        <f>SUMIFS('Historical Orders'!$G194, 'Historical Orders'!$D194, "2", 'Historical Orders'!$C194, "B", 'Historical Orders'!$B194, "1")</f>
        <v>0</v>
      </c>
      <c r="T194" s="159">
        <f>SUMIFS('Historical Orders'!$E194, 'Historical Orders'!$D194, "2", 'Historical Orders'!$C194, "A", 'Historical Orders'!$B194, "2")</f>
        <v>0</v>
      </c>
      <c r="U194" s="157">
        <f>SUMIFS('Historical Orders'!$G194, 'Historical Orders'!$D194, "2", 'Historical Orders'!$C194, "A", 'Historical Orders'!$B194, "2")</f>
        <v>0</v>
      </c>
      <c r="V194" s="159">
        <f>SUMIFS('Historical Orders'!$E194, 'Historical Orders'!$D194, "2", 'Historical Orders'!$C194, "B", 'Historical Orders'!$B194, "2")</f>
        <v>0</v>
      </c>
      <c r="W194" s="159">
        <f>SUMIFS('Historical Orders'!$G194, 'Historical Orders'!$D194, "2", 'Historical Orders'!$C194, "B", 'Historical Orders'!$B194, "2")</f>
        <v>0</v>
      </c>
      <c r="X194" s="159">
        <f>SUMIFS('Historical Orders'!$E194, 'Historical Orders'!$D194, "3", 'Historical Orders'!$C194, "A", 'Historical Orders'!$B194, "1")</f>
        <v>0</v>
      </c>
      <c r="Y194" s="159">
        <f>SUMIFS('Historical Orders'!$G194, 'Historical Orders'!$D194, "3", 'Historical Orders'!$C194, "A", 'Historical Orders'!$B194, "1")</f>
        <v>0</v>
      </c>
      <c r="Z194" s="159">
        <f>SUMIFS('Historical Orders'!$E194, 'Historical Orders'!$D194, "3", 'Historical Orders'!$C194, "B", 'Historical Orders'!$B194, "1")</f>
        <v>0</v>
      </c>
      <c r="AA194" s="159">
        <f>SUMIFS('Historical Orders'!$G194, 'Historical Orders'!$D194, "3", 'Historical Orders'!$C194, "B", 'Historical Orders'!$B194, "1")</f>
        <v>0</v>
      </c>
      <c r="AB194" s="159">
        <f>SUMIFS('Historical Orders'!$E194, 'Historical Orders'!$D194, "3", 'Historical Orders'!$C194, "A", 'Historical Orders'!$B194, "2")</f>
        <v>0</v>
      </c>
      <c r="AC194" s="159">
        <f>SUMIFS('Historical Orders'!$G194, 'Historical Orders'!$D194, "3", 'Historical Orders'!$C194, "A", 'Historical Orders'!$B194, "2")</f>
        <v>0</v>
      </c>
      <c r="AD194" s="159">
        <f>SUMIFS('Historical Orders'!$E194, 'Historical Orders'!$D194, "3", 'Historical Orders'!$C194, "B", 'Historical Orders'!$B194, "2")</f>
        <v>0</v>
      </c>
      <c r="AE194" s="157">
        <f>SUMIFS('Historical Orders'!$G194, 'Historical Orders'!$D194, "3", 'Historical Orders'!$C194, "B", 'Historical Orders'!$B194, "2")</f>
        <v>0</v>
      </c>
      <c r="AF194" s="157">
        <f>SUMIFS('Historical Orders'!$E194, 'Historical Orders'!$D194, "4", 'Historical Orders'!$C194, "A", 'Historical Orders'!$B194, "1")</f>
        <v>0</v>
      </c>
      <c r="AG194" s="157">
        <f>SUMIFS('Historical Orders'!$G194, 'Historical Orders'!$D194, "4", 'Historical Orders'!$C194, "A", 'Historical Orders'!$B194, "1")</f>
        <v>0</v>
      </c>
      <c r="AH194" s="157">
        <f>SUMIFS('Historical Orders'!$E194, 'Historical Orders'!$D194, "4", 'Historical Orders'!$C194, "B", 'Historical Orders'!$B194, "1")</f>
        <v>0</v>
      </c>
      <c r="AI194" s="157">
        <f>SUMIFS('Historical Orders'!$G194, 'Historical Orders'!$D194, "4", 'Historical Orders'!$C194, "B", 'Historical Orders'!$B194, "1")</f>
        <v>0</v>
      </c>
      <c r="AJ194" s="157">
        <f>SUMIFS('Historical Orders'!$E194, 'Historical Orders'!$D194, "4", 'Historical Orders'!$C194, "A", 'Historical Orders'!$B194, "2")</f>
        <v>0</v>
      </c>
      <c r="AK194" s="157">
        <f>SUMIFS('Historical Orders'!$G194, 'Historical Orders'!$D194, "4", 'Historical Orders'!$C194, "A", 'Historical Orders'!$B194, "2")</f>
        <v>0</v>
      </c>
      <c r="AL194" s="171">
        <f>SUMIFS('Historical Orders'!$E194, 'Historical Orders'!$D194, "4", 'Historical Orders'!$C194, "B", 'Historical Orders'!$B194, "2")</f>
        <v>0</v>
      </c>
      <c r="AM194" s="171">
        <f>SUMIFS('Historical Orders'!$G194, 'Historical Orders'!$D194, "4", 'Historical Orders'!$C194, "B", 'Historical Orders'!$B194, "2")</f>
        <v>0</v>
      </c>
      <c r="AN194" s="171">
        <f>SUMIFS('Historical Orders'!$G194, 'Historical Orders'!$C194, "A", 'Historical Orders'!$B194, "1")</f>
        <v>11092.4</v>
      </c>
      <c r="AO194" s="171">
        <f>SUMIFS('Historical Orders'!$G194, 'Historical Orders'!$C194, "B", 'Historical Orders'!$B194, "1")</f>
        <v>0</v>
      </c>
      <c r="AP194" s="171">
        <f>SUMIFS('Historical Orders'!$G194, 'Historical Orders'!$C194, "A", 'Historical Orders'!$B194, "2")</f>
        <v>0</v>
      </c>
      <c r="AQ194" s="171">
        <f>SUMIFS('Historical Orders'!$G194, 'Historical Orders'!$C194, "B", 'Historical Orders'!$B194, "2")</f>
        <v>0</v>
      </c>
      <c r="AR194" s="145"/>
      <c r="AS194" s="172"/>
      <c r="AT194" s="172"/>
      <c r="AU194" s="172"/>
      <c r="AV194" s="172"/>
      <c r="AW194" s="172"/>
      <c r="AX194" s="172"/>
      <c r="AY194" s="172"/>
      <c r="AZ194" s="172"/>
      <c r="BA194" s="172"/>
      <c r="BB194" s="172"/>
      <c r="BC194" s="172"/>
      <c r="BD194" s="172"/>
      <c r="BE194" s="172"/>
      <c r="BF194" s="172"/>
      <c r="BG194" s="172"/>
      <c r="BH194" s="172"/>
      <c r="BI194" s="172"/>
      <c r="BJ194" s="172"/>
      <c r="BK194" s="172"/>
      <c r="BL194" s="172"/>
      <c r="BM194" s="172"/>
      <c r="BN194" s="172"/>
      <c r="BO194" s="172"/>
      <c r="BP194" s="172"/>
      <c r="BQ194" s="172"/>
      <c r="BR194" s="172"/>
      <c r="BS194" s="172"/>
      <c r="BT194" s="172"/>
      <c r="BU194" s="172"/>
      <c r="BV194" s="179"/>
      <c r="BW194" s="179"/>
      <c r="BX194" s="179"/>
      <c r="BY194" s="179"/>
      <c r="BZ194" s="179"/>
      <c r="CA194" s="179"/>
      <c r="CB194" s="179"/>
      <c r="CC194" s="179"/>
      <c r="CD194" s="179"/>
      <c r="CE194" s="179"/>
    </row>
    <row r="195" ht="15.75" customHeight="1">
      <c r="A195" s="151">
        <v>42079.0</v>
      </c>
      <c r="B195" s="152">
        <v>1.0</v>
      </c>
      <c r="C195" s="152" t="s">
        <v>45</v>
      </c>
      <c r="D195" s="152">
        <v>2.0</v>
      </c>
      <c r="E195" s="153">
        <v>4854.0</v>
      </c>
      <c r="F195" s="154">
        <v>1.2</v>
      </c>
      <c r="G195" s="155">
        <v>5824.8</v>
      </c>
      <c r="H195" s="159">
        <f>SUMIFS('Historical Orders'!$E195, 'Historical Orders'!$D195, "1", 'Historical Orders'!$C195, "A", 'Historical Orders'!$B195, "1")</f>
        <v>0</v>
      </c>
      <c r="I195" s="157">
        <f>SUMIFS('Historical Orders'!$G195, 'Historical Orders'!$D195, "1", 'Historical Orders'!$C195, "A", 'Historical Orders'!$B195, "1")</f>
        <v>0</v>
      </c>
      <c r="J195" s="157">
        <f>SUMIFS('Historical Orders'!$E195, 'Historical Orders'!$D195, "1", 'Historical Orders'!$C195, "B", 'Historical Orders'!$B195, "1")</f>
        <v>0</v>
      </c>
      <c r="K195" s="157">
        <f>SUMIFS('Historical Orders'!$G195, 'Historical Orders'!$D195, "1", 'Historical Orders'!$C195, "B", 'Historical Orders'!$B195, "1")</f>
        <v>0</v>
      </c>
      <c r="L195" s="159">
        <f>SUMIFS('Historical Orders'!$E195, 'Historical Orders'!$D195, "1", 'Historical Orders'!$C195, "A", 'Historical Orders'!$B195, "2")</f>
        <v>0</v>
      </c>
      <c r="M195" s="157">
        <f>SUMIFS('Historical Orders'!$G195, 'Historical Orders'!$D195, "1", 'Historical Orders'!$C195, "A", 'Historical Orders'!$B195, "2")</f>
        <v>0</v>
      </c>
      <c r="N195" s="157">
        <f>SUMIFS('Historical Orders'!$E195, 'Historical Orders'!$D195, "1", 'Historical Orders'!$C195, "B", 'Historical Orders'!$B195, "2")</f>
        <v>0</v>
      </c>
      <c r="O195" s="157">
        <f>SUMIFS('Historical Orders'!$G195, 'Historical Orders'!$D195, "1", 'Historical Orders'!$C195, "B", 'Historical Orders'!$B195, "2")</f>
        <v>0</v>
      </c>
      <c r="P195" s="159">
        <f>SUMIFS('Historical Orders'!$E195, 'Historical Orders'!$D195, "2", 'Historical Orders'!$C195, "A", 'Historical Orders'!$B195, "1")</f>
        <v>4854</v>
      </c>
      <c r="Q195" s="157">
        <f>SUMIFS('Historical Orders'!$G195, 'Historical Orders'!$D195, "2", 'Historical Orders'!$C195, "A", 'Historical Orders'!$B195, "1")</f>
        <v>5824.8</v>
      </c>
      <c r="R195" s="159">
        <f>SUMIFS('Historical Orders'!$E195, 'Historical Orders'!$D195, "2", 'Historical Orders'!$C195, "B", 'Historical Orders'!$B195, "1")</f>
        <v>0</v>
      </c>
      <c r="S195" s="157">
        <f>SUMIFS('Historical Orders'!$G195, 'Historical Orders'!$D195, "2", 'Historical Orders'!$C195, "B", 'Historical Orders'!$B195, "1")</f>
        <v>0</v>
      </c>
      <c r="T195" s="159">
        <f>SUMIFS('Historical Orders'!$E195, 'Historical Orders'!$D195, "2", 'Historical Orders'!$C195, "A", 'Historical Orders'!$B195, "2")</f>
        <v>0</v>
      </c>
      <c r="U195" s="157">
        <f>SUMIFS('Historical Orders'!$G195, 'Historical Orders'!$D195, "2", 'Historical Orders'!$C195, "A", 'Historical Orders'!$B195, "2")</f>
        <v>0</v>
      </c>
      <c r="V195" s="159">
        <f>SUMIFS('Historical Orders'!$E195, 'Historical Orders'!$D195, "2", 'Historical Orders'!$C195, "B", 'Historical Orders'!$B195, "2")</f>
        <v>0</v>
      </c>
      <c r="W195" s="159">
        <f>SUMIFS('Historical Orders'!$G195, 'Historical Orders'!$D195, "2", 'Historical Orders'!$C195, "B", 'Historical Orders'!$B195, "2")</f>
        <v>0</v>
      </c>
      <c r="X195" s="159">
        <f>SUMIFS('Historical Orders'!$E195, 'Historical Orders'!$D195, "3", 'Historical Orders'!$C195, "A", 'Historical Orders'!$B195, "1")</f>
        <v>0</v>
      </c>
      <c r="Y195" s="159">
        <f>SUMIFS('Historical Orders'!$G195, 'Historical Orders'!$D195, "3", 'Historical Orders'!$C195, "A", 'Historical Orders'!$B195, "1")</f>
        <v>0</v>
      </c>
      <c r="Z195" s="159">
        <f>SUMIFS('Historical Orders'!$E195, 'Historical Orders'!$D195, "3", 'Historical Orders'!$C195, "B", 'Historical Orders'!$B195, "1")</f>
        <v>0</v>
      </c>
      <c r="AA195" s="159">
        <f>SUMIFS('Historical Orders'!$G195, 'Historical Orders'!$D195, "3", 'Historical Orders'!$C195, "B", 'Historical Orders'!$B195, "1")</f>
        <v>0</v>
      </c>
      <c r="AB195" s="159">
        <f>SUMIFS('Historical Orders'!$E195, 'Historical Orders'!$D195, "3", 'Historical Orders'!$C195, "A", 'Historical Orders'!$B195, "2")</f>
        <v>0</v>
      </c>
      <c r="AC195" s="159">
        <f>SUMIFS('Historical Orders'!$G195, 'Historical Orders'!$D195, "3", 'Historical Orders'!$C195, "A", 'Historical Orders'!$B195, "2")</f>
        <v>0</v>
      </c>
      <c r="AD195" s="159">
        <f>SUMIFS('Historical Orders'!$E195, 'Historical Orders'!$D195, "3", 'Historical Orders'!$C195, "B", 'Historical Orders'!$B195, "2")</f>
        <v>0</v>
      </c>
      <c r="AE195" s="157">
        <f>SUMIFS('Historical Orders'!$G195, 'Historical Orders'!$D195, "3", 'Historical Orders'!$C195, "B", 'Historical Orders'!$B195, "2")</f>
        <v>0</v>
      </c>
      <c r="AF195" s="157">
        <f>SUMIFS('Historical Orders'!$E195, 'Historical Orders'!$D195, "4", 'Historical Orders'!$C195, "A", 'Historical Orders'!$B195, "1")</f>
        <v>0</v>
      </c>
      <c r="AG195" s="157">
        <f>SUMIFS('Historical Orders'!$G195, 'Historical Orders'!$D195, "4", 'Historical Orders'!$C195, "A", 'Historical Orders'!$B195, "1")</f>
        <v>0</v>
      </c>
      <c r="AH195" s="157">
        <f>SUMIFS('Historical Orders'!$E195, 'Historical Orders'!$D195, "4", 'Historical Orders'!$C195, "B", 'Historical Orders'!$B195, "1")</f>
        <v>0</v>
      </c>
      <c r="AI195" s="157">
        <f>SUMIFS('Historical Orders'!$G195, 'Historical Orders'!$D195, "4", 'Historical Orders'!$C195, "B", 'Historical Orders'!$B195, "1")</f>
        <v>0</v>
      </c>
      <c r="AJ195" s="157">
        <f>SUMIFS('Historical Orders'!$E195, 'Historical Orders'!$D195, "4", 'Historical Orders'!$C195, "A", 'Historical Orders'!$B195, "2")</f>
        <v>0</v>
      </c>
      <c r="AK195" s="157">
        <f>SUMIFS('Historical Orders'!$G195, 'Historical Orders'!$D195, "4", 'Historical Orders'!$C195, "A", 'Historical Orders'!$B195, "2")</f>
        <v>0</v>
      </c>
      <c r="AL195" s="171">
        <f>SUMIFS('Historical Orders'!$E195, 'Historical Orders'!$D195, "4", 'Historical Orders'!$C195, "B", 'Historical Orders'!$B195, "2")</f>
        <v>0</v>
      </c>
      <c r="AM195" s="171">
        <f>SUMIFS('Historical Orders'!$G195, 'Historical Orders'!$D195, "4", 'Historical Orders'!$C195, "B", 'Historical Orders'!$B195, "2")</f>
        <v>0</v>
      </c>
      <c r="AN195" s="171">
        <f>SUMIFS('Historical Orders'!$G195, 'Historical Orders'!$C195, "A", 'Historical Orders'!$B195, "1")</f>
        <v>5824.8</v>
      </c>
      <c r="AO195" s="171">
        <f>SUMIFS('Historical Orders'!$G195, 'Historical Orders'!$C195, "B", 'Historical Orders'!$B195, "1")</f>
        <v>0</v>
      </c>
      <c r="AP195" s="171">
        <f>SUMIFS('Historical Orders'!$G195, 'Historical Orders'!$C195, "A", 'Historical Orders'!$B195, "2")</f>
        <v>0</v>
      </c>
      <c r="AQ195" s="171">
        <f>SUMIFS('Historical Orders'!$G195, 'Historical Orders'!$C195, "B", 'Historical Orders'!$B195, "2")</f>
        <v>0</v>
      </c>
      <c r="AR195" s="145"/>
      <c r="AS195" s="172"/>
      <c r="AT195" s="172"/>
      <c r="AU195" s="172"/>
      <c r="AV195" s="172"/>
      <c r="AW195" s="172"/>
      <c r="AX195" s="172"/>
      <c r="AY195" s="172"/>
      <c r="AZ195" s="172"/>
      <c r="BA195" s="172"/>
      <c r="BB195" s="172"/>
      <c r="BC195" s="172"/>
      <c r="BD195" s="172"/>
      <c r="BE195" s="172"/>
      <c r="BF195" s="172"/>
      <c r="BG195" s="172"/>
      <c r="BH195" s="172"/>
      <c r="BI195" s="172"/>
      <c r="BJ195" s="172"/>
      <c r="BK195" s="172"/>
      <c r="BL195" s="172"/>
      <c r="BM195" s="172"/>
      <c r="BN195" s="172"/>
      <c r="BO195" s="172"/>
      <c r="BP195" s="172"/>
      <c r="BQ195" s="172"/>
      <c r="BR195" s="172"/>
      <c r="BS195" s="172"/>
      <c r="BT195" s="172"/>
      <c r="BU195" s="172"/>
      <c r="BV195" s="179"/>
      <c r="BW195" s="179"/>
      <c r="BX195" s="179"/>
      <c r="BY195" s="179"/>
      <c r="BZ195" s="179"/>
      <c r="CA195" s="179"/>
      <c r="CB195" s="179"/>
      <c r="CC195" s="179"/>
      <c r="CD195" s="179"/>
      <c r="CE195" s="179"/>
    </row>
    <row r="196" ht="15.75" customHeight="1">
      <c r="A196" s="151">
        <v>42079.0</v>
      </c>
      <c r="B196" s="152">
        <v>2.0</v>
      </c>
      <c r="C196" s="152" t="s">
        <v>45</v>
      </c>
      <c r="D196" s="152">
        <v>1.0</v>
      </c>
      <c r="E196" s="153">
        <v>4232.0</v>
      </c>
      <c r="F196" s="154">
        <v>2.2</v>
      </c>
      <c r="G196" s="155">
        <v>9310.400000000001</v>
      </c>
      <c r="H196" s="159">
        <f>SUMIFS('Historical Orders'!$E196, 'Historical Orders'!$D196, "1", 'Historical Orders'!$C196, "A", 'Historical Orders'!$B196, "1")</f>
        <v>0</v>
      </c>
      <c r="I196" s="157">
        <f>SUMIFS('Historical Orders'!$G196, 'Historical Orders'!$D196, "1", 'Historical Orders'!$C196, "A", 'Historical Orders'!$B196, "1")</f>
        <v>0</v>
      </c>
      <c r="J196" s="157">
        <f>SUMIFS('Historical Orders'!$E196, 'Historical Orders'!$D196, "1", 'Historical Orders'!$C196, "B", 'Historical Orders'!$B196, "1")</f>
        <v>0</v>
      </c>
      <c r="K196" s="157">
        <f>SUMIFS('Historical Orders'!$G196, 'Historical Orders'!$D196, "1", 'Historical Orders'!$C196, "B", 'Historical Orders'!$B196, "1")</f>
        <v>0</v>
      </c>
      <c r="L196" s="159">
        <f>SUMIFS('Historical Orders'!$E196, 'Historical Orders'!$D196, "1", 'Historical Orders'!$C196, "A", 'Historical Orders'!$B196, "2")</f>
        <v>4232</v>
      </c>
      <c r="M196" s="157">
        <f>SUMIFS('Historical Orders'!$G196, 'Historical Orders'!$D196, "1", 'Historical Orders'!$C196, "A", 'Historical Orders'!$B196, "2")</f>
        <v>9310.4</v>
      </c>
      <c r="N196" s="157">
        <f>SUMIFS('Historical Orders'!$E196, 'Historical Orders'!$D196, "1", 'Historical Orders'!$C196, "B", 'Historical Orders'!$B196, "2")</f>
        <v>0</v>
      </c>
      <c r="O196" s="157">
        <f>SUMIFS('Historical Orders'!$G196, 'Historical Orders'!$D196, "1", 'Historical Orders'!$C196, "B", 'Historical Orders'!$B196, "2")</f>
        <v>0</v>
      </c>
      <c r="P196" s="159">
        <f>SUMIFS('Historical Orders'!$E196, 'Historical Orders'!$D196, "2", 'Historical Orders'!$C196, "A", 'Historical Orders'!$B196, "1")</f>
        <v>0</v>
      </c>
      <c r="Q196" s="157">
        <f>SUMIFS('Historical Orders'!$G196, 'Historical Orders'!$D196, "2", 'Historical Orders'!$C196, "A", 'Historical Orders'!$B196, "1")</f>
        <v>0</v>
      </c>
      <c r="R196" s="159">
        <f>SUMIFS('Historical Orders'!$E196, 'Historical Orders'!$D196, "2", 'Historical Orders'!$C196, "B", 'Historical Orders'!$B196, "1")</f>
        <v>0</v>
      </c>
      <c r="S196" s="157">
        <f>SUMIFS('Historical Orders'!$G196, 'Historical Orders'!$D196, "2", 'Historical Orders'!$C196, "B", 'Historical Orders'!$B196, "1")</f>
        <v>0</v>
      </c>
      <c r="T196" s="159">
        <f>SUMIFS('Historical Orders'!$E196, 'Historical Orders'!$D196, "2", 'Historical Orders'!$C196, "A", 'Historical Orders'!$B196, "2")</f>
        <v>0</v>
      </c>
      <c r="U196" s="157">
        <f>SUMIFS('Historical Orders'!$G196, 'Historical Orders'!$D196, "2", 'Historical Orders'!$C196, "A", 'Historical Orders'!$B196, "2")</f>
        <v>0</v>
      </c>
      <c r="V196" s="159">
        <f>SUMIFS('Historical Orders'!$E196, 'Historical Orders'!$D196, "2", 'Historical Orders'!$C196, "B", 'Historical Orders'!$B196, "2")</f>
        <v>0</v>
      </c>
      <c r="W196" s="159">
        <f>SUMIFS('Historical Orders'!$G196, 'Historical Orders'!$D196, "2", 'Historical Orders'!$C196, "B", 'Historical Orders'!$B196, "2")</f>
        <v>0</v>
      </c>
      <c r="X196" s="159">
        <f>SUMIFS('Historical Orders'!$E196, 'Historical Orders'!$D196, "3", 'Historical Orders'!$C196, "A", 'Historical Orders'!$B196, "1")</f>
        <v>0</v>
      </c>
      <c r="Y196" s="159">
        <f>SUMIFS('Historical Orders'!$G196, 'Historical Orders'!$D196, "3", 'Historical Orders'!$C196, "A", 'Historical Orders'!$B196, "1")</f>
        <v>0</v>
      </c>
      <c r="Z196" s="159">
        <f>SUMIFS('Historical Orders'!$E196, 'Historical Orders'!$D196, "3", 'Historical Orders'!$C196, "B", 'Historical Orders'!$B196, "1")</f>
        <v>0</v>
      </c>
      <c r="AA196" s="159">
        <f>SUMIFS('Historical Orders'!$G196, 'Historical Orders'!$D196, "3", 'Historical Orders'!$C196, "B", 'Historical Orders'!$B196, "1")</f>
        <v>0</v>
      </c>
      <c r="AB196" s="159">
        <f>SUMIFS('Historical Orders'!$E196, 'Historical Orders'!$D196, "3", 'Historical Orders'!$C196, "A", 'Historical Orders'!$B196, "2")</f>
        <v>0</v>
      </c>
      <c r="AC196" s="159">
        <f>SUMIFS('Historical Orders'!$G196, 'Historical Orders'!$D196, "3", 'Historical Orders'!$C196, "A", 'Historical Orders'!$B196, "2")</f>
        <v>0</v>
      </c>
      <c r="AD196" s="159">
        <f>SUMIFS('Historical Orders'!$E196, 'Historical Orders'!$D196, "3", 'Historical Orders'!$C196, "B", 'Historical Orders'!$B196, "2")</f>
        <v>0</v>
      </c>
      <c r="AE196" s="157">
        <f>SUMIFS('Historical Orders'!$G196, 'Historical Orders'!$D196, "3", 'Historical Orders'!$C196, "B", 'Historical Orders'!$B196, "2")</f>
        <v>0</v>
      </c>
      <c r="AF196" s="157">
        <f>SUMIFS('Historical Orders'!$E196, 'Historical Orders'!$D196, "4", 'Historical Orders'!$C196, "A", 'Historical Orders'!$B196, "1")</f>
        <v>0</v>
      </c>
      <c r="AG196" s="157">
        <f>SUMIFS('Historical Orders'!$G196, 'Historical Orders'!$D196, "4", 'Historical Orders'!$C196, "A", 'Historical Orders'!$B196, "1")</f>
        <v>0</v>
      </c>
      <c r="AH196" s="157">
        <f>SUMIFS('Historical Orders'!$E196, 'Historical Orders'!$D196, "4", 'Historical Orders'!$C196, "B", 'Historical Orders'!$B196, "1")</f>
        <v>0</v>
      </c>
      <c r="AI196" s="157">
        <f>SUMIFS('Historical Orders'!$G196, 'Historical Orders'!$D196, "4", 'Historical Orders'!$C196, "B", 'Historical Orders'!$B196, "1")</f>
        <v>0</v>
      </c>
      <c r="AJ196" s="157">
        <f>SUMIFS('Historical Orders'!$E196, 'Historical Orders'!$D196, "4", 'Historical Orders'!$C196, "A", 'Historical Orders'!$B196, "2")</f>
        <v>0</v>
      </c>
      <c r="AK196" s="157">
        <f>SUMIFS('Historical Orders'!$G196, 'Historical Orders'!$D196, "4", 'Historical Orders'!$C196, "A", 'Historical Orders'!$B196, "2")</f>
        <v>0</v>
      </c>
      <c r="AL196" s="171">
        <f>SUMIFS('Historical Orders'!$E196, 'Historical Orders'!$D196, "4", 'Historical Orders'!$C196, "B", 'Historical Orders'!$B196, "2")</f>
        <v>0</v>
      </c>
      <c r="AM196" s="171">
        <f>SUMIFS('Historical Orders'!$G196, 'Historical Orders'!$D196, "4", 'Historical Orders'!$C196, "B", 'Historical Orders'!$B196, "2")</f>
        <v>0</v>
      </c>
      <c r="AN196" s="171">
        <f>SUMIFS('Historical Orders'!$G196, 'Historical Orders'!$C196, "A", 'Historical Orders'!$B196, "1")</f>
        <v>0</v>
      </c>
      <c r="AO196" s="171">
        <f>SUMIFS('Historical Orders'!$G196, 'Historical Orders'!$C196, "B", 'Historical Orders'!$B196, "1")</f>
        <v>0</v>
      </c>
      <c r="AP196" s="171">
        <f>SUMIFS('Historical Orders'!$G196, 'Historical Orders'!$C196, "A", 'Historical Orders'!$B196, "2")</f>
        <v>9310.4</v>
      </c>
      <c r="AQ196" s="171">
        <f>SUMIFS('Historical Orders'!$G196, 'Historical Orders'!$C196, "B", 'Historical Orders'!$B196, "2")</f>
        <v>0</v>
      </c>
      <c r="AR196" s="145"/>
      <c r="AS196" s="172"/>
      <c r="AT196" s="172"/>
      <c r="AU196" s="172"/>
      <c r="AV196" s="172"/>
      <c r="AW196" s="172"/>
      <c r="AX196" s="172"/>
      <c r="AY196" s="172"/>
      <c r="AZ196" s="172"/>
      <c r="BA196" s="172"/>
      <c r="BB196" s="172"/>
      <c r="BC196" s="172"/>
      <c r="BD196" s="172"/>
      <c r="BE196" s="172"/>
      <c r="BF196" s="172"/>
      <c r="BG196" s="172"/>
      <c r="BH196" s="172"/>
      <c r="BI196" s="172"/>
      <c r="BJ196" s="172"/>
      <c r="BK196" s="172"/>
      <c r="BL196" s="172"/>
      <c r="BM196" s="172"/>
      <c r="BN196" s="172"/>
      <c r="BO196" s="172"/>
      <c r="BP196" s="172"/>
      <c r="BQ196" s="172"/>
      <c r="BR196" s="172"/>
      <c r="BS196" s="172"/>
      <c r="BT196" s="172"/>
      <c r="BU196" s="172"/>
      <c r="BV196" s="179"/>
      <c r="BW196" s="179"/>
      <c r="BX196" s="179"/>
      <c r="BY196" s="179"/>
      <c r="BZ196" s="179"/>
      <c r="CA196" s="179"/>
      <c r="CB196" s="179"/>
      <c r="CC196" s="179"/>
      <c r="CD196" s="179"/>
      <c r="CE196" s="179"/>
    </row>
    <row r="197" ht="15.75" customHeight="1">
      <c r="A197" s="151">
        <v>42079.0</v>
      </c>
      <c r="B197" s="152">
        <v>2.0</v>
      </c>
      <c r="C197" s="152" t="s">
        <v>45</v>
      </c>
      <c r="D197" s="152">
        <v>2.0</v>
      </c>
      <c r="E197" s="153">
        <v>4936.0</v>
      </c>
      <c r="F197" s="154">
        <v>1.2</v>
      </c>
      <c r="G197" s="155">
        <v>5923.2</v>
      </c>
      <c r="H197" s="159">
        <f>SUMIFS('Historical Orders'!$E197, 'Historical Orders'!$D197, "1", 'Historical Orders'!$C197, "A", 'Historical Orders'!$B197, "1")</f>
        <v>0</v>
      </c>
      <c r="I197" s="157">
        <f>SUMIFS('Historical Orders'!$G197, 'Historical Orders'!$D197, "1", 'Historical Orders'!$C197, "A", 'Historical Orders'!$B197, "1")</f>
        <v>0</v>
      </c>
      <c r="J197" s="157">
        <f>SUMIFS('Historical Orders'!$E197, 'Historical Orders'!$D197, "1", 'Historical Orders'!$C197, "B", 'Historical Orders'!$B197, "1")</f>
        <v>0</v>
      </c>
      <c r="K197" s="157">
        <f>SUMIFS('Historical Orders'!$G197, 'Historical Orders'!$D197, "1", 'Historical Orders'!$C197, "B", 'Historical Orders'!$B197, "1")</f>
        <v>0</v>
      </c>
      <c r="L197" s="159">
        <f>SUMIFS('Historical Orders'!$E197, 'Historical Orders'!$D197, "1", 'Historical Orders'!$C197, "A", 'Historical Orders'!$B197, "2")</f>
        <v>0</v>
      </c>
      <c r="M197" s="157">
        <f>SUMIFS('Historical Orders'!$G197, 'Historical Orders'!$D197, "1", 'Historical Orders'!$C197, "A", 'Historical Orders'!$B197, "2")</f>
        <v>0</v>
      </c>
      <c r="N197" s="157">
        <f>SUMIFS('Historical Orders'!$E197, 'Historical Orders'!$D197, "1", 'Historical Orders'!$C197, "B", 'Historical Orders'!$B197, "2")</f>
        <v>0</v>
      </c>
      <c r="O197" s="157">
        <f>SUMIFS('Historical Orders'!$G197, 'Historical Orders'!$D197, "1", 'Historical Orders'!$C197, "B", 'Historical Orders'!$B197, "2")</f>
        <v>0</v>
      </c>
      <c r="P197" s="159">
        <f>SUMIFS('Historical Orders'!$E197, 'Historical Orders'!$D197, "2", 'Historical Orders'!$C197, "A", 'Historical Orders'!$B197, "1")</f>
        <v>0</v>
      </c>
      <c r="Q197" s="157">
        <f>SUMIFS('Historical Orders'!$G197, 'Historical Orders'!$D197, "2", 'Historical Orders'!$C197, "A", 'Historical Orders'!$B197, "1")</f>
        <v>0</v>
      </c>
      <c r="R197" s="159">
        <f>SUMIFS('Historical Orders'!$E197, 'Historical Orders'!$D197, "2", 'Historical Orders'!$C197, "B", 'Historical Orders'!$B197, "1")</f>
        <v>0</v>
      </c>
      <c r="S197" s="157">
        <f>SUMIFS('Historical Orders'!$G197, 'Historical Orders'!$D197, "2", 'Historical Orders'!$C197, "B", 'Historical Orders'!$B197, "1")</f>
        <v>0</v>
      </c>
      <c r="T197" s="159">
        <f>SUMIFS('Historical Orders'!$E197, 'Historical Orders'!$D197, "2", 'Historical Orders'!$C197, "A", 'Historical Orders'!$B197, "2")</f>
        <v>4936</v>
      </c>
      <c r="U197" s="157">
        <f>SUMIFS('Historical Orders'!$G197, 'Historical Orders'!$D197, "2", 'Historical Orders'!$C197, "A", 'Historical Orders'!$B197, "2")</f>
        <v>5923.2</v>
      </c>
      <c r="V197" s="159">
        <f>SUMIFS('Historical Orders'!$E197, 'Historical Orders'!$D197, "2", 'Historical Orders'!$C197, "B", 'Historical Orders'!$B197, "2")</f>
        <v>0</v>
      </c>
      <c r="W197" s="159">
        <f>SUMIFS('Historical Orders'!$G197, 'Historical Orders'!$D197, "2", 'Historical Orders'!$C197, "B", 'Historical Orders'!$B197, "2")</f>
        <v>0</v>
      </c>
      <c r="X197" s="159">
        <f>SUMIFS('Historical Orders'!$E197, 'Historical Orders'!$D197, "3", 'Historical Orders'!$C197, "A", 'Historical Orders'!$B197, "1")</f>
        <v>0</v>
      </c>
      <c r="Y197" s="159">
        <f>SUMIFS('Historical Orders'!$G197, 'Historical Orders'!$D197, "3", 'Historical Orders'!$C197, "A", 'Historical Orders'!$B197, "1")</f>
        <v>0</v>
      </c>
      <c r="Z197" s="159">
        <f>SUMIFS('Historical Orders'!$E197, 'Historical Orders'!$D197, "3", 'Historical Orders'!$C197, "B", 'Historical Orders'!$B197, "1")</f>
        <v>0</v>
      </c>
      <c r="AA197" s="159">
        <f>SUMIFS('Historical Orders'!$G197, 'Historical Orders'!$D197, "3", 'Historical Orders'!$C197, "B", 'Historical Orders'!$B197, "1")</f>
        <v>0</v>
      </c>
      <c r="AB197" s="159">
        <f>SUMIFS('Historical Orders'!$E197, 'Historical Orders'!$D197, "3", 'Historical Orders'!$C197, "A", 'Historical Orders'!$B197, "2")</f>
        <v>0</v>
      </c>
      <c r="AC197" s="159">
        <f>SUMIFS('Historical Orders'!$G197, 'Historical Orders'!$D197, "3", 'Historical Orders'!$C197, "A", 'Historical Orders'!$B197, "2")</f>
        <v>0</v>
      </c>
      <c r="AD197" s="159">
        <f>SUMIFS('Historical Orders'!$E197, 'Historical Orders'!$D197, "3", 'Historical Orders'!$C197, "B", 'Historical Orders'!$B197, "2")</f>
        <v>0</v>
      </c>
      <c r="AE197" s="157">
        <f>SUMIFS('Historical Orders'!$G197, 'Historical Orders'!$D197, "3", 'Historical Orders'!$C197, "B", 'Historical Orders'!$B197, "2")</f>
        <v>0</v>
      </c>
      <c r="AF197" s="157">
        <f>SUMIFS('Historical Orders'!$E197, 'Historical Orders'!$D197, "4", 'Historical Orders'!$C197, "A", 'Historical Orders'!$B197, "1")</f>
        <v>0</v>
      </c>
      <c r="AG197" s="157">
        <f>SUMIFS('Historical Orders'!$G197, 'Historical Orders'!$D197, "4", 'Historical Orders'!$C197, "A", 'Historical Orders'!$B197, "1")</f>
        <v>0</v>
      </c>
      <c r="AH197" s="157">
        <f>SUMIFS('Historical Orders'!$E197, 'Historical Orders'!$D197, "4", 'Historical Orders'!$C197, "B", 'Historical Orders'!$B197, "1")</f>
        <v>0</v>
      </c>
      <c r="AI197" s="157">
        <f>SUMIFS('Historical Orders'!$G197, 'Historical Orders'!$D197, "4", 'Historical Orders'!$C197, "B", 'Historical Orders'!$B197, "1")</f>
        <v>0</v>
      </c>
      <c r="AJ197" s="157">
        <f>SUMIFS('Historical Orders'!$E197, 'Historical Orders'!$D197, "4", 'Historical Orders'!$C197, "A", 'Historical Orders'!$B197, "2")</f>
        <v>0</v>
      </c>
      <c r="AK197" s="157">
        <f>SUMIFS('Historical Orders'!$G197, 'Historical Orders'!$D197, "4", 'Historical Orders'!$C197, "A", 'Historical Orders'!$B197, "2")</f>
        <v>0</v>
      </c>
      <c r="AL197" s="171">
        <f>SUMIFS('Historical Orders'!$E197, 'Historical Orders'!$D197, "4", 'Historical Orders'!$C197, "B", 'Historical Orders'!$B197, "2")</f>
        <v>0</v>
      </c>
      <c r="AM197" s="171">
        <f>SUMIFS('Historical Orders'!$G197, 'Historical Orders'!$D197, "4", 'Historical Orders'!$C197, "B", 'Historical Orders'!$B197, "2")</f>
        <v>0</v>
      </c>
      <c r="AN197" s="171">
        <f>SUMIFS('Historical Orders'!$G197, 'Historical Orders'!$C197, "A", 'Historical Orders'!$B197, "1")</f>
        <v>0</v>
      </c>
      <c r="AO197" s="171">
        <f>SUMIFS('Historical Orders'!$G197, 'Historical Orders'!$C197, "B", 'Historical Orders'!$B197, "1")</f>
        <v>0</v>
      </c>
      <c r="AP197" s="171">
        <f>SUMIFS('Historical Orders'!$G197, 'Historical Orders'!$C197, "A", 'Historical Orders'!$B197, "2")</f>
        <v>5923.2</v>
      </c>
      <c r="AQ197" s="171">
        <f>SUMIFS('Historical Orders'!$G197, 'Historical Orders'!$C197, "B", 'Historical Orders'!$B197, "2")</f>
        <v>0</v>
      </c>
      <c r="AR197" s="145"/>
      <c r="AS197" s="172"/>
      <c r="AT197" s="172"/>
      <c r="AU197" s="172"/>
      <c r="AV197" s="172"/>
      <c r="AW197" s="172"/>
      <c r="AX197" s="172"/>
      <c r="AY197" s="172"/>
      <c r="AZ197" s="172"/>
      <c r="BA197" s="172"/>
      <c r="BB197" s="172"/>
      <c r="BC197" s="172"/>
      <c r="BD197" s="172"/>
      <c r="BE197" s="172"/>
      <c r="BF197" s="172"/>
      <c r="BG197" s="172"/>
      <c r="BH197" s="172"/>
      <c r="BI197" s="172"/>
      <c r="BJ197" s="172"/>
      <c r="BK197" s="172"/>
      <c r="BL197" s="172"/>
      <c r="BM197" s="172"/>
      <c r="BN197" s="172"/>
      <c r="BO197" s="172"/>
      <c r="BP197" s="172"/>
      <c r="BQ197" s="172"/>
      <c r="BR197" s="172"/>
      <c r="BS197" s="172"/>
      <c r="BT197" s="172"/>
      <c r="BU197" s="172"/>
      <c r="BV197" s="179"/>
      <c r="BW197" s="179"/>
      <c r="BX197" s="179"/>
      <c r="BY197" s="179"/>
      <c r="BZ197" s="179"/>
      <c r="CA197" s="179"/>
      <c r="CB197" s="179"/>
      <c r="CC197" s="179"/>
      <c r="CD197" s="179"/>
      <c r="CE197" s="179"/>
    </row>
    <row r="198" ht="15.75" customHeight="1">
      <c r="A198" s="151">
        <v>42079.0</v>
      </c>
      <c r="B198" s="152">
        <v>1.0</v>
      </c>
      <c r="C198" s="152" t="s">
        <v>46</v>
      </c>
      <c r="D198" s="152">
        <v>3.0</v>
      </c>
      <c r="E198" s="153">
        <v>2028.0</v>
      </c>
      <c r="F198" s="154">
        <v>8.3</v>
      </c>
      <c r="G198" s="155">
        <v>16832.4</v>
      </c>
      <c r="H198" s="159">
        <f>SUMIFS('Historical Orders'!$E198, 'Historical Orders'!$D198, "1", 'Historical Orders'!$C198, "A", 'Historical Orders'!$B198, "1")</f>
        <v>0</v>
      </c>
      <c r="I198" s="157">
        <f>SUMIFS('Historical Orders'!$G198, 'Historical Orders'!$D198, "1", 'Historical Orders'!$C198, "A", 'Historical Orders'!$B198, "1")</f>
        <v>0</v>
      </c>
      <c r="J198" s="157">
        <f>SUMIFS('Historical Orders'!$E198, 'Historical Orders'!$D198, "1", 'Historical Orders'!$C198, "B", 'Historical Orders'!$B198, "1")</f>
        <v>0</v>
      </c>
      <c r="K198" s="157">
        <f>SUMIFS('Historical Orders'!$G198, 'Historical Orders'!$D198, "1", 'Historical Orders'!$C198, "B", 'Historical Orders'!$B198, "1")</f>
        <v>0</v>
      </c>
      <c r="L198" s="159">
        <f>SUMIFS('Historical Orders'!$E198, 'Historical Orders'!$D198, "1", 'Historical Orders'!$C198, "A", 'Historical Orders'!$B198, "2")</f>
        <v>0</v>
      </c>
      <c r="M198" s="157">
        <f>SUMIFS('Historical Orders'!$G198, 'Historical Orders'!$D198, "1", 'Historical Orders'!$C198, "A", 'Historical Orders'!$B198, "2")</f>
        <v>0</v>
      </c>
      <c r="N198" s="157">
        <f>SUMIFS('Historical Orders'!$E198, 'Historical Orders'!$D198, "1", 'Historical Orders'!$C198, "B", 'Historical Orders'!$B198, "2")</f>
        <v>0</v>
      </c>
      <c r="O198" s="157">
        <f>SUMIFS('Historical Orders'!$G198, 'Historical Orders'!$D198, "1", 'Historical Orders'!$C198, "B", 'Historical Orders'!$B198, "2")</f>
        <v>0</v>
      </c>
      <c r="P198" s="159">
        <f>SUMIFS('Historical Orders'!$E198, 'Historical Orders'!$D198, "2", 'Historical Orders'!$C198, "A", 'Historical Orders'!$B198, "1")</f>
        <v>0</v>
      </c>
      <c r="Q198" s="157">
        <f>SUMIFS('Historical Orders'!$G198, 'Historical Orders'!$D198, "2", 'Historical Orders'!$C198, "A", 'Historical Orders'!$B198, "1")</f>
        <v>0</v>
      </c>
      <c r="R198" s="159">
        <f>SUMIFS('Historical Orders'!$E198, 'Historical Orders'!$D198, "2", 'Historical Orders'!$C198, "B", 'Historical Orders'!$B198, "1")</f>
        <v>0</v>
      </c>
      <c r="S198" s="157">
        <f>SUMIFS('Historical Orders'!$G198, 'Historical Orders'!$D198, "2", 'Historical Orders'!$C198, "B", 'Historical Orders'!$B198, "1")</f>
        <v>0</v>
      </c>
      <c r="T198" s="159">
        <f>SUMIFS('Historical Orders'!$E198, 'Historical Orders'!$D198, "2", 'Historical Orders'!$C198, "A", 'Historical Orders'!$B198, "2")</f>
        <v>0</v>
      </c>
      <c r="U198" s="157">
        <f>SUMIFS('Historical Orders'!$G198, 'Historical Orders'!$D198, "2", 'Historical Orders'!$C198, "A", 'Historical Orders'!$B198, "2")</f>
        <v>0</v>
      </c>
      <c r="V198" s="159">
        <f>SUMIFS('Historical Orders'!$E198, 'Historical Orders'!$D198, "2", 'Historical Orders'!$C198, "B", 'Historical Orders'!$B198, "2")</f>
        <v>0</v>
      </c>
      <c r="W198" s="159">
        <f>SUMIFS('Historical Orders'!$G198, 'Historical Orders'!$D198, "2", 'Historical Orders'!$C198, "B", 'Historical Orders'!$B198, "2")</f>
        <v>0</v>
      </c>
      <c r="X198" s="159">
        <f>SUMIFS('Historical Orders'!$E198, 'Historical Orders'!$D198, "3", 'Historical Orders'!$C198, "A", 'Historical Orders'!$B198, "1")</f>
        <v>0</v>
      </c>
      <c r="Y198" s="159">
        <f>SUMIFS('Historical Orders'!$G198, 'Historical Orders'!$D198, "3", 'Historical Orders'!$C198, "A", 'Historical Orders'!$B198, "1")</f>
        <v>0</v>
      </c>
      <c r="Z198" s="159">
        <f>SUMIFS('Historical Orders'!$E198, 'Historical Orders'!$D198, "3", 'Historical Orders'!$C198, "B", 'Historical Orders'!$B198, "1")</f>
        <v>2028</v>
      </c>
      <c r="AA198" s="159">
        <f>SUMIFS('Historical Orders'!$G198, 'Historical Orders'!$D198, "3", 'Historical Orders'!$C198, "B", 'Historical Orders'!$B198, "1")</f>
        <v>16832.4</v>
      </c>
      <c r="AB198" s="159">
        <f>SUMIFS('Historical Orders'!$E198, 'Historical Orders'!$D198, "3", 'Historical Orders'!$C198, "A", 'Historical Orders'!$B198, "2")</f>
        <v>0</v>
      </c>
      <c r="AC198" s="159">
        <f>SUMIFS('Historical Orders'!$G198, 'Historical Orders'!$D198, "3", 'Historical Orders'!$C198, "A", 'Historical Orders'!$B198, "2")</f>
        <v>0</v>
      </c>
      <c r="AD198" s="159">
        <f>SUMIFS('Historical Orders'!$E198, 'Historical Orders'!$D198, "3", 'Historical Orders'!$C198, "B", 'Historical Orders'!$B198, "2")</f>
        <v>0</v>
      </c>
      <c r="AE198" s="157">
        <f>SUMIFS('Historical Orders'!$G198, 'Historical Orders'!$D198, "3", 'Historical Orders'!$C198, "B", 'Historical Orders'!$B198, "2")</f>
        <v>0</v>
      </c>
      <c r="AF198" s="157">
        <f>SUMIFS('Historical Orders'!$E198, 'Historical Orders'!$D198, "4", 'Historical Orders'!$C198, "A", 'Historical Orders'!$B198, "1")</f>
        <v>0</v>
      </c>
      <c r="AG198" s="157">
        <f>SUMIFS('Historical Orders'!$G198, 'Historical Orders'!$D198, "4", 'Historical Orders'!$C198, "A", 'Historical Orders'!$B198, "1")</f>
        <v>0</v>
      </c>
      <c r="AH198" s="157">
        <f>SUMIFS('Historical Orders'!$E198, 'Historical Orders'!$D198, "4", 'Historical Orders'!$C198, "B", 'Historical Orders'!$B198, "1")</f>
        <v>0</v>
      </c>
      <c r="AI198" s="157">
        <f>SUMIFS('Historical Orders'!$G198, 'Historical Orders'!$D198, "4", 'Historical Orders'!$C198, "B", 'Historical Orders'!$B198, "1")</f>
        <v>0</v>
      </c>
      <c r="AJ198" s="157">
        <f>SUMIFS('Historical Orders'!$E198, 'Historical Orders'!$D198, "4", 'Historical Orders'!$C198, "A", 'Historical Orders'!$B198, "2")</f>
        <v>0</v>
      </c>
      <c r="AK198" s="157">
        <f>SUMIFS('Historical Orders'!$G198, 'Historical Orders'!$D198, "4", 'Historical Orders'!$C198, "A", 'Historical Orders'!$B198, "2")</f>
        <v>0</v>
      </c>
      <c r="AL198" s="171">
        <f>SUMIFS('Historical Orders'!$E198, 'Historical Orders'!$D198, "4", 'Historical Orders'!$C198, "B", 'Historical Orders'!$B198, "2")</f>
        <v>0</v>
      </c>
      <c r="AM198" s="171">
        <f>SUMIFS('Historical Orders'!$G198, 'Historical Orders'!$D198, "4", 'Historical Orders'!$C198, "B", 'Historical Orders'!$B198, "2")</f>
        <v>0</v>
      </c>
      <c r="AN198" s="171">
        <f>SUMIFS('Historical Orders'!$G198, 'Historical Orders'!$C198, "A", 'Historical Orders'!$B198, "1")</f>
        <v>0</v>
      </c>
      <c r="AO198" s="171">
        <f>SUMIFS('Historical Orders'!$G198, 'Historical Orders'!$C198, "B", 'Historical Orders'!$B198, "1")</f>
        <v>16832.4</v>
      </c>
      <c r="AP198" s="171">
        <f>SUMIFS('Historical Orders'!$G198, 'Historical Orders'!$C198, "A", 'Historical Orders'!$B198, "2")</f>
        <v>0</v>
      </c>
      <c r="AQ198" s="171">
        <f>SUMIFS('Historical Orders'!$G198, 'Historical Orders'!$C198, "B", 'Historical Orders'!$B198, "2")</f>
        <v>0</v>
      </c>
      <c r="AR198" s="145"/>
      <c r="AS198" s="172"/>
      <c r="AT198" s="172"/>
      <c r="AU198" s="172"/>
      <c r="AV198" s="172"/>
      <c r="AW198" s="172"/>
      <c r="AX198" s="172"/>
      <c r="AY198" s="172"/>
      <c r="AZ198" s="172"/>
      <c r="BA198" s="172"/>
      <c r="BB198" s="172"/>
      <c r="BC198" s="172"/>
      <c r="BD198" s="172"/>
      <c r="BE198" s="172"/>
      <c r="BF198" s="172"/>
      <c r="BG198" s="172"/>
      <c r="BH198" s="172"/>
      <c r="BI198" s="172"/>
      <c r="BJ198" s="172"/>
      <c r="BK198" s="172"/>
      <c r="BL198" s="172"/>
      <c r="BM198" s="172"/>
      <c r="BN198" s="172"/>
      <c r="BO198" s="172"/>
      <c r="BP198" s="172"/>
      <c r="BQ198" s="172"/>
      <c r="BR198" s="172"/>
      <c r="BS198" s="172"/>
      <c r="BT198" s="172"/>
      <c r="BU198" s="172"/>
      <c r="BV198" s="179"/>
      <c r="BW198" s="179"/>
      <c r="BX198" s="179"/>
      <c r="BY198" s="179"/>
      <c r="BZ198" s="179"/>
      <c r="CA198" s="179"/>
      <c r="CB198" s="179"/>
      <c r="CC198" s="179"/>
      <c r="CD198" s="179"/>
      <c r="CE198" s="179"/>
    </row>
    <row r="199" ht="15.75" customHeight="1">
      <c r="A199" s="151">
        <v>42079.0</v>
      </c>
      <c r="B199" s="152">
        <v>2.0</v>
      </c>
      <c r="C199" s="152" t="s">
        <v>46</v>
      </c>
      <c r="D199" s="152">
        <v>3.0</v>
      </c>
      <c r="E199" s="153">
        <v>2742.0</v>
      </c>
      <c r="F199" s="154">
        <v>8.3</v>
      </c>
      <c r="G199" s="155">
        <v>22758.600000000002</v>
      </c>
      <c r="H199" s="159">
        <f>SUMIFS('Historical Orders'!$E199, 'Historical Orders'!$D199, "1", 'Historical Orders'!$C199, "A", 'Historical Orders'!$B199, "1")</f>
        <v>0</v>
      </c>
      <c r="I199" s="157">
        <f>SUMIFS('Historical Orders'!$G199, 'Historical Orders'!$D199, "1", 'Historical Orders'!$C199, "A", 'Historical Orders'!$B199, "1")</f>
        <v>0</v>
      </c>
      <c r="J199" s="157">
        <f>SUMIFS('Historical Orders'!$E199, 'Historical Orders'!$D199, "1", 'Historical Orders'!$C199, "B", 'Historical Orders'!$B199, "1")</f>
        <v>0</v>
      </c>
      <c r="K199" s="157">
        <f>SUMIFS('Historical Orders'!$G199, 'Historical Orders'!$D199, "1", 'Historical Orders'!$C199, "B", 'Historical Orders'!$B199, "1")</f>
        <v>0</v>
      </c>
      <c r="L199" s="159">
        <f>SUMIFS('Historical Orders'!$E199, 'Historical Orders'!$D199, "1", 'Historical Orders'!$C199, "A", 'Historical Orders'!$B199, "2")</f>
        <v>0</v>
      </c>
      <c r="M199" s="157">
        <f>SUMIFS('Historical Orders'!$G199, 'Historical Orders'!$D199, "1", 'Historical Orders'!$C199, "A", 'Historical Orders'!$B199, "2")</f>
        <v>0</v>
      </c>
      <c r="N199" s="157">
        <f>SUMIFS('Historical Orders'!$E199, 'Historical Orders'!$D199, "1", 'Historical Orders'!$C199, "B", 'Historical Orders'!$B199, "2")</f>
        <v>0</v>
      </c>
      <c r="O199" s="157">
        <f>SUMIFS('Historical Orders'!$G199, 'Historical Orders'!$D199, "1", 'Historical Orders'!$C199, "B", 'Historical Orders'!$B199, "2")</f>
        <v>0</v>
      </c>
      <c r="P199" s="159">
        <f>SUMIFS('Historical Orders'!$E199, 'Historical Orders'!$D199, "2", 'Historical Orders'!$C199, "A", 'Historical Orders'!$B199, "1")</f>
        <v>0</v>
      </c>
      <c r="Q199" s="157">
        <f>SUMIFS('Historical Orders'!$G199, 'Historical Orders'!$D199, "2", 'Historical Orders'!$C199, "A", 'Historical Orders'!$B199, "1")</f>
        <v>0</v>
      </c>
      <c r="R199" s="159">
        <f>SUMIFS('Historical Orders'!$E199, 'Historical Orders'!$D199, "2", 'Historical Orders'!$C199, "B", 'Historical Orders'!$B199, "1")</f>
        <v>0</v>
      </c>
      <c r="S199" s="157">
        <f>SUMIFS('Historical Orders'!$G199, 'Historical Orders'!$D199, "2", 'Historical Orders'!$C199, "B", 'Historical Orders'!$B199, "1")</f>
        <v>0</v>
      </c>
      <c r="T199" s="159">
        <f>SUMIFS('Historical Orders'!$E199, 'Historical Orders'!$D199, "2", 'Historical Orders'!$C199, "A", 'Historical Orders'!$B199, "2")</f>
        <v>0</v>
      </c>
      <c r="U199" s="157">
        <f>SUMIFS('Historical Orders'!$G199, 'Historical Orders'!$D199, "2", 'Historical Orders'!$C199, "A", 'Historical Orders'!$B199, "2")</f>
        <v>0</v>
      </c>
      <c r="V199" s="159">
        <f>SUMIFS('Historical Orders'!$E199, 'Historical Orders'!$D199, "2", 'Historical Orders'!$C199, "B", 'Historical Orders'!$B199, "2")</f>
        <v>0</v>
      </c>
      <c r="W199" s="159">
        <f>SUMIFS('Historical Orders'!$G199, 'Historical Orders'!$D199, "2", 'Historical Orders'!$C199, "B", 'Historical Orders'!$B199, "2")</f>
        <v>0</v>
      </c>
      <c r="X199" s="159">
        <f>SUMIFS('Historical Orders'!$E199, 'Historical Orders'!$D199, "3", 'Historical Orders'!$C199, "A", 'Historical Orders'!$B199, "1")</f>
        <v>0</v>
      </c>
      <c r="Y199" s="159">
        <f>SUMIFS('Historical Orders'!$G199, 'Historical Orders'!$D199, "3", 'Historical Orders'!$C199, "A", 'Historical Orders'!$B199, "1")</f>
        <v>0</v>
      </c>
      <c r="Z199" s="159">
        <f>SUMIFS('Historical Orders'!$E199, 'Historical Orders'!$D199, "3", 'Historical Orders'!$C199, "B", 'Historical Orders'!$B199, "1")</f>
        <v>0</v>
      </c>
      <c r="AA199" s="159">
        <f>SUMIFS('Historical Orders'!$G199, 'Historical Orders'!$D199, "3", 'Historical Orders'!$C199, "B", 'Historical Orders'!$B199, "1")</f>
        <v>0</v>
      </c>
      <c r="AB199" s="159">
        <f>SUMIFS('Historical Orders'!$E199, 'Historical Orders'!$D199, "3", 'Historical Orders'!$C199, "A", 'Historical Orders'!$B199, "2")</f>
        <v>0</v>
      </c>
      <c r="AC199" s="159">
        <f>SUMIFS('Historical Orders'!$G199, 'Historical Orders'!$D199, "3", 'Historical Orders'!$C199, "A", 'Historical Orders'!$B199, "2")</f>
        <v>0</v>
      </c>
      <c r="AD199" s="159">
        <f>SUMIFS('Historical Orders'!$E199, 'Historical Orders'!$D199, "3", 'Historical Orders'!$C199, "B", 'Historical Orders'!$B199, "2")</f>
        <v>2742</v>
      </c>
      <c r="AE199" s="157">
        <f>SUMIFS('Historical Orders'!$G199, 'Historical Orders'!$D199, "3", 'Historical Orders'!$C199, "B", 'Historical Orders'!$B199, "2")</f>
        <v>22758.6</v>
      </c>
      <c r="AF199" s="157">
        <f>SUMIFS('Historical Orders'!$E199, 'Historical Orders'!$D199, "4", 'Historical Orders'!$C199, "A", 'Historical Orders'!$B199, "1")</f>
        <v>0</v>
      </c>
      <c r="AG199" s="157">
        <f>SUMIFS('Historical Orders'!$G199, 'Historical Orders'!$D199, "4", 'Historical Orders'!$C199, "A", 'Historical Orders'!$B199, "1")</f>
        <v>0</v>
      </c>
      <c r="AH199" s="157">
        <f>SUMIFS('Historical Orders'!$E199, 'Historical Orders'!$D199, "4", 'Historical Orders'!$C199, "B", 'Historical Orders'!$B199, "1")</f>
        <v>0</v>
      </c>
      <c r="AI199" s="157">
        <f>SUMIFS('Historical Orders'!$G199, 'Historical Orders'!$D199, "4", 'Historical Orders'!$C199, "B", 'Historical Orders'!$B199, "1")</f>
        <v>0</v>
      </c>
      <c r="AJ199" s="157">
        <f>SUMIFS('Historical Orders'!$E199, 'Historical Orders'!$D199, "4", 'Historical Orders'!$C199, "A", 'Historical Orders'!$B199, "2")</f>
        <v>0</v>
      </c>
      <c r="AK199" s="157">
        <f>SUMIFS('Historical Orders'!$G199, 'Historical Orders'!$D199, "4", 'Historical Orders'!$C199, "A", 'Historical Orders'!$B199, "2")</f>
        <v>0</v>
      </c>
      <c r="AL199" s="171">
        <f>SUMIFS('Historical Orders'!$E199, 'Historical Orders'!$D199, "4", 'Historical Orders'!$C199, "B", 'Historical Orders'!$B199, "2")</f>
        <v>0</v>
      </c>
      <c r="AM199" s="171">
        <f>SUMIFS('Historical Orders'!$G199, 'Historical Orders'!$D199, "4", 'Historical Orders'!$C199, "B", 'Historical Orders'!$B199, "2")</f>
        <v>0</v>
      </c>
      <c r="AN199" s="171">
        <f>SUMIFS('Historical Orders'!$G199, 'Historical Orders'!$C199, "A", 'Historical Orders'!$B199, "1")</f>
        <v>0</v>
      </c>
      <c r="AO199" s="171">
        <f>SUMIFS('Historical Orders'!$G199, 'Historical Orders'!$C199, "B", 'Historical Orders'!$B199, "1")</f>
        <v>0</v>
      </c>
      <c r="AP199" s="171">
        <f>SUMIFS('Historical Orders'!$G199, 'Historical Orders'!$C199, "A", 'Historical Orders'!$B199, "2")</f>
        <v>0</v>
      </c>
      <c r="AQ199" s="171">
        <f>SUMIFS('Historical Orders'!$G199, 'Historical Orders'!$C199, "B", 'Historical Orders'!$B199, "2")</f>
        <v>22758.6</v>
      </c>
      <c r="AR199" s="145"/>
      <c r="AS199" s="172"/>
      <c r="AT199" s="172"/>
      <c r="AU199" s="172"/>
      <c r="AV199" s="172"/>
      <c r="AW199" s="172"/>
      <c r="AX199" s="172"/>
      <c r="AY199" s="172"/>
      <c r="AZ199" s="172"/>
      <c r="BA199" s="172"/>
      <c r="BB199" s="172"/>
      <c r="BC199" s="172"/>
      <c r="BD199" s="172"/>
      <c r="BE199" s="172"/>
      <c r="BF199" s="172"/>
      <c r="BG199" s="172"/>
      <c r="BH199" s="172"/>
      <c r="BI199" s="172"/>
      <c r="BJ199" s="172"/>
      <c r="BK199" s="172"/>
      <c r="BL199" s="172"/>
      <c r="BM199" s="172"/>
      <c r="BN199" s="172"/>
      <c r="BO199" s="172"/>
      <c r="BP199" s="172"/>
      <c r="BQ199" s="172"/>
      <c r="BR199" s="172"/>
      <c r="BS199" s="172"/>
      <c r="BT199" s="172"/>
      <c r="BU199" s="172"/>
      <c r="BV199" s="179"/>
      <c r="BW199" s="179"/>
      <c r="BX199" s="179"/>
      <c r="BY199" s="179"/>
      <c r="BZ199" s="179"/>
      <c r="CA199" s="179"/>
      <c r="CB199" s="179"/>
      <c r="CC199" s="179"/>
      <c r="CD199" s="179"/>
      <c r="CE199" s="179"/>
    </row>
    <row r="200" ht="15.75" customHeight="1">
      <c r="A200" s="151">
        <v>42086.0</v>
      </c>
      <c r="B200" s="152">
        <v>1.0</v>
      </c>
      <c r="C200" s="152" t="s">
        <v>45</v>
      </c>
      <c r="D200" s="152">
        <v>1.0</v>
      </c>
      <c r="E200" s="153">
        <v>3806.0</v>
      </c>
      <c r="F200" s="154">
        <v>2.2</v>
      </c>
      <c r="G200" s="155">
        <v>8373.2</v>
      </c>
      <c r="H200" s="159">
        <f>SUMIFS('Historical Orders'!$E200, 'Historical Orders'!$D200, "1", 'Historical Orders'!$C200, "A", 'Historical Orders'!$B200, "1")</f>
        <v>3806</v>
      </c>
      <c r="I200" s="157">
        <f>SUMIFS('Historical Orders'!$G200, 'Historical Orders'!$D200, "1", 'Historical Orders'!$C200, "A", 'Historical Orders'!$B200, "1")</f>
        <v>8373.2</v>
      </c>
      <c r="J200" s="157">
        <f>SUMIFS('Historical Orders'!$E200, 'Historical Orders'!$D200, "1", 'Historical Orders'!$C200, "B", 'Historical Orders'!$B200, "1")</f>
        <v>0</v>
      </c>
      <c r="K200" s="157">
        <f>SUMIFS('Historical Orders'!$G200, 'Historical Orders'!$D200, "1", 'Historical Orders'!$C200, "B", 'Historical Orders'!$B200, "1")</f>
        <v>0</v>
      </c>
      <c r="L200" s="159">
        <f>SUMIFS('Historical Orders'!$E200, 'Historical Orders'!$D200, "1", 'Historical Orders'!$C200, "A", 'Historical Orders'!$B200, "2")</f>
        <v>0</v>
      </c>
      <c r="M200" s="157">
        <f>SUMIFS('Historical Orders'!$G200, 'Historical Orders'!$D200, "1", 'Historical Orders'!$C200, "A", 'Historical Orders'!$B200, "2")</f>
        <v>0</v>
      </c>
      <c r="N200" s="157">
        <f>SUMIFS('Historical Orders'!$E200, 'Historical Orders'!$D200, "1", 'Historical Orders'!$C200, "B", 'Historical Orders'!$B200, "2")</f>
        <v>0</v>
      </c>
      <c r="O200" s="157">
        <f>SUMIFS('Historical Orders'!$G200, 'Historical Orders'!$D200, "1", 'Historical Orders'!$C200, "B", 'Historical Orders'!$B200, "2")</f>
        <v>0</v>
      </c>
      <c r="P200" s="159">
        <f>SUMIFS('Historical Orders'!$E200, 'Historical Orders'!$D200, "2", 'Historical Orders'!$C200, "A", 'Historical Orders'!$B200, "1")</f>
        <v>0</v>
      </c>
      <c r="Q200" s="157">
        <f>SUMIFS('Historical Orders'!$G200, 'Historical Orders'!$D200, "2", 'Historical Orders'!$C200, "A", 'Historical Orders'!$B200, "1")</f>
        <v>0</v>
      </c>
      <c r="R200" s="159">
        <f>SUMIFS('Historical Orders'!$E200, 'Historical Orders'!$D200, "2", 'Historical Orders'!$C200, "B", 'Historical Orders'!$B200, "1")</f>
        <v>0</v>
      </c>
      <c r="S200" s="157">
        <f>SUMIFS('Historical Orders'!$G200, 'Historical Orders'!$D200, "2", 'Historical Orders'!$C200, "B", 'Historical Orders'!$B200, "1")</f>
        <v>0</v>
      </c>
      <c r="T200" s="159">
        <f>SUMIFS('Historical Orders'!$E200, 'Historical Orders'!$D200, "2", 'Historical Orders'!$C200, "A", 'Historical Orders'!$B200, "2")</f>
        <v>0</v>
      </c>
      <c r="U200" s="157">
        <f>SUMIFS('Historical Orders'!$G200, 'Historical Orders'!$D200, "2", 'Historical Orders'!$C200, "A", 'Historical Orders'!$B200, "2")</f>
        <v>0</v>
      </c>
      <c r="V200" s="159">
        <f>SUMIFS('Historical Orders'!$E200, 'Historical Orders'!$D200, "2", 'Historical Orders'!$C200, "B", 'Historical Orders'!$B200, "2")</f>
        <v>0</v>
      </c>
      <c r="W200" s="159">
        <f>SUMIFS('Historical Orders'!$G200, 'Historical Orders'!$D200, "2", 'Historical Orders'!$C200, "B", 'Historical Orders'!$B200, "2")</f>
        <v>0</v>
      </c>
      <c r="X200" s="159">
        <f>SUMIFS('Historical Orders'!$E200, 'Historical Orders'!$D200, "3", 'Historical Orders'!$C200, "A", 'Historical Orders'!$B200, "1")</f>
        <v>0</v>
      </c>
      <c r="Y200" s="159">
        <f>SUMIFS('Historical Orders'!$G200, 'Historical Orders'!$D200, "3", 'Historical Orders'!$C200, "A", 'Historical Orders'!$B200, "1")</f>
        <v>0</v>
      </c>
      <c r="Z200" s="159">
        <f>SUMIFS('Historical Orders'!$E200, 'Historical Orders'!$D200, "3", 'Historical Orders'!$C200, "B", 'Historical Orders'!$B200, "1")</f>
        <v>0</v>
      </c>
      <c r="AA200" s="159">
        <f>SUMIFS('Historical Orders'!$G200, 'Historical Orders'!$D200, "3", 'Historical Orders'!$C200, "B", 'Historical Orders'!$B200, "1")</f>
        <v>0</v>
      </c>
      <c r="AB200" s="159">
        <f>SUMIFS('Historical Orders'!$E200, 'Historical Orders'!$D200, "3", 'Historical Orders'!$C200, "A", 'Historical Orders'!$B200, "2")</f>
        <v>0</v>
      </c>
      <c r="AC200" s="159">
        <f>SUMIFS('Historical Orders'!$G200, 'Historical Orders'!$D200, "3", 'Historical Orders'!$C200, "A", 'Historical Orders'!$B200, "2")</f>
        <v>0</v>
      </c>
      <c r="AD200" s="159">
        <f>SUMIFS('Historical Orders'!$E200, 'Historical Orders'!$D200, "3", 'Historical Orders'!$C200, "B", 'Historical Orders'!$B200, "2")</f>
        <v>0</v>
      </c>
      <c r="AE200" s="157">
        <f>SUMIFS('Historical Orders'!$G200, 'Historical Orders'!$D200, "3", 'Historical Orders'!$C200, "B", 'Historical Orders'!$B200, "2")</f>
        <v>0</v>
      </c>
      <c r="AF200" s="157">
        <f>SUMIFS('Historical Orders'!$E200, 'Historical Orders'!$D200, "4", 'Historical Orders'!$C200, "A", 'Historical Orders'!$B200, "1")</f>
        <v>0</v>
      </c>
      <c r="AG200" s="157">
        <f>SUMIFS('Historical Orders'!$G200, 'Historical Orders'!$D200, "4", 'Historical Orders'!$C200, "A", 'Historical Orders'!$B200, "1")</f>
        <v>0</v>
      </c>
      <c r="AH200" s="157">
        <f>SUMIFS('Historical Orders'!$E200, 'Historical Orders'!$D200, "4", 'Historical Orders'!$C200, "B", 'Historical Orders'!$B200, "1")</f>
        <v>0</v>
      </c>
      <c r="AI200" s="157">
        <f>SUMIFS('Historical Orders'!$G200, 'Historical Orders'!$D200, "4", 'Historical Orders'!$C200, "B", 'Historical Orders'!$B200, "1")</f>
        <v>0</v>
      </c>
      <c r="AJ200" s="157">
        <f>SUMIFS('Historical Orders'!$E200, 'Historical Orders'!$D200, "4", 'Historical Orders'!$C200, "A", 'Historical Orders'!$B200, "2")</f>
        <v>0</v>
      </c>
      <c r="AK200" s="157">
        <f>SUMIFS('Historical Orders'!$G200, 'Historical Orders'!$D200, "4", 'Historical Orders'!$C200, "A", 'Historical Orders'!$B200, "2")</f>
        <v>0</v>
      </c>
      <c r="AL200" s="171">
        <f>SUMIFS('Historical Orders'!$E200, 'Historical Orders'!$D200, "4", 'Historical Orders'!$C200, "B", 'Historical Orders'!$B200, "2")</f>
        <v>0</v>
      </c>
      <c r="AM200" s="171">
        <f>SUMIFS('Historical Orders'!$G200, 'Historical Orders'!$D200, "4", 'Historical Orders'!$C200, "B", 'Historical Orders'!$B200, "2")</f>
        <v>0</v>
      </c>
      <c r="AN200" s="171">
        <f>SUMIFS('Historical Orders'!$G200, 'Historical Orders'!$C200, "A", 'Historical Orders'!$B200, "1")</f>
        <v>8373.2</v>
      </c>
      <c r="AO200" s="171">
        <f>SUMIFS('Historical Orders'!$G200, 'Historical Orders'!$C200, "B", 'Historical Orders'!$B200, "1")</f>
        <v>0</v>
      </c>
      <c r="AP200" s="171">
        <f>SUMIFS('Historical Orders'!$G200, 'Historical Orders'!$C200, "A", 'Historical Orders'!$B200, "2")</f>
        <v>0</v>
      </c>
      <c r="AQ200" s="171">
        <f>SUMIFS('Historical Orders'!$G200, 'Historical Orders'!$C200, "B", 'Historical Orders'!$B200, "2")</f>
        <v>0</v>
      </c>
      <c r="AR200" s="145"/>
      <c r="AS200" s="172"/>
      <c r="AT200" s="172"/>
      <c r="AU200" s="172"/>
      <c r="AV200" s="172"/>
      <c r="AW200" s="172"/>
      <c r="AX200" s="172"/>
      <c r="AY200" s="172"/>
      <c r="AZ200" s="172"/>
      <c r="BA200" s="172"/>
      <c r="BB200" s="172"/>
      <c r="BC200" s="172"/>
      <c r="BD200" s="172"/>
      <c r="BE200" s="172"/>
      <c r="BF200" s="172"/>
      <c r="BG200" s="172"/>
      <c r="BH200" s="172"/>
      <c r="BI200" s="172"/>
      <c r="BJ200" s="172"/>
      <c r="BK200" s="172"/>
      <c r="BL200" s="172"/>
      <c r="BM200" s="172"/>
      <c r="BN200" s="172"/>
      <c r="BO200" s="172"/>
      <c r="BP200" s="172"/>
      <c r="BQ200" s="172"/>
      <c r="BR200" s="172"/>
      <c r="BS200" s="172"/>
      <c r="BT200" s="172"/>
      <c r="BU200" s="172"/>
      <c r="BV200" s="179"/>
      <c r="BW200" s="179"/>
      <c r="BX200" s="179"/>
      <c r="BY200" s="179"/>
      <c r="BZ200" s="179"/>
      <c r="CA200" s="179"/>
      <c r="CB200" s="179"/>
      <c r="CC200" s="179"/>
      <c r="CD200" s="179"/>
      <c r="CE200" s="179"/>
    </row>
    <row r="201" ht="15.75" customHeight="1">
      <c r="A201" s="151">
        <v>42086.0</v>
      </c>
      <c r="B201" s="152">
        <v>1.0</v>
      </c>
      <c r="C201" s="152" t="s">
        <v>45</v>
      </c>
      <c r="D201" s="152">
        <v>2.0</v>
      </c>
      <c r="E201" s="153">
        <v>5686.0</v>
      </c>
      <c r="F201" s="154">
        <v>1.2</v>
      </c>
      <c r="G201" s="155">
        <v>6823.2</v>
      </c>
      <c r="H201" s="159">
        <f>SUMIFS('Historical Orders'!$E201, 'Historical Orders'!$D201, "1", 'Historical Orders'!$C201, "A", 'Historical Orders'!$B201, "1")</f>
        <v>0</v>
      </c>
      <c r="I201" s="157">
        <f>SUMIFS('Historical Orders'!$G201, 'Historical Orders'!$D201, "1", 'Historical Orders'!$C201, "A", 'Historical Orders'!$B201, "1")</f>
        <v>0</v>
      </c>
      <c r="J201" s="157">
        <f>SUMIFS('Historical Orders'!$E201, 'Historical Orders'!$D201, "1", 'Historical Orders'!$C201, "B", 'Historical Orders'!$B201, "1")</f>
        <v>0</v>
      </c>
      <c r="K201" s="157">
        <f>SUMIFS('Historical Orders'!$G201, 'Historical Orders'!$D201, "1", 'Historical Orders'!$C201, "B", 'Historical Orders'!$B201, "1")</f>
        <v>0</v>
      </c>
      <c r="L201" s="159">
        <f>SUMIFS('Historical Orders'!$E201, 'Historical Orders'!$D201, "1", 'Historical Orders'!$C201, "A", 'Historical Orders'!$B201, "2")</f>
        <v>0</v>
      </c>
      <c r="M201" s="157">
        <f>SUMIFS('Historical Orders'!$G201, 'Historical Orders'!$D201, "1", 'Historical Orders'!$C201, "A", 'Historical Orders'!$B201, "2")</f>
        <v>0</v>
      </c>
      <c r="N201" s="157">
        <f>SUMIFS('Historical Orders'!$E201, 'Historical Orders'!$D201, "1", 'Historical Orders'!$C201, "B", 'Historical Orders'!$B201, "2")</f>
        <v>0</v>
      </c>
      <c r="O201" s="157">
        <f>SUMIFS('Historical Orders'!$G201, 'Historical Orders'!$D201, "1", 'Historical Orders'!$C201, "B", 'Historical Orders'!$B201, "2")</f>
        <v>0</v>
      </c>
      <c r="P201" s="159">
        <f>SUMIFS('Historical Orders'!$E201, 'Historical Orders'!$D201, "2", 'Historical Orders'!$C201, "A", 'Historical Orders'!$B201, "1")</f>
        <v>5686</v>
      </c>
      <c r="Q201" s="157">
        <f>SUMIFS('Historical Orders'!$G201, 'Historical Orders'!$D201, "2", 'Historical Orders'!$C201, "A", 'Historical Orders'!$B201, "1")</f>
        <v>6823.2</v>
      </c>
      <c r="R201" s="159">
        <f>SUMIFS('Historical Orders'!$E201, 'Historical Orders'!$D201, "2", 'Historical Orders'!$C201, "B", 'Historical Orders'!$B201, "1")</f>
        <v>0</v>
      </c>
      <c r="S201" s="157">
        <f>SUMIFS('Historical Orders'!$G201, 'Historical Orders'!$D201, "2", 'Historical Orders'!$C201, "B", 'Historical Orders'!$B201, "1")</f>
        <v>0</v>
      </c>
      <c r="T201" s="159">
        <f>SUMIFS('Historical Orders'!$E201, 'Historical Orders'!$D201, "2", 'Historical Orders'!$C201, "A", 'Historical Orders'!$B201, "2")</f>
        <v>0</v>
      </c>
      <c r="U201" s="157">
        <f>SUMIFS('Historical Orders'!$G201, 'Historical Orders'!$D201, "2", 'Historical Orders'!$C201, "A", 'Historical Orders'!$B201, "2")</f>
        <v>0</v>
      </c>
      <c r="V201" s="159">
        <f>SUMIFS('Historical Orders'!$E201, 'Historical Orders'!$D201, "2", 'Historical Orders'!$C201, "B", 'Historical Orders'!$B201, "2")</f>
        <v>0</v>
      </c>
      <c r="W201" s="159">
        <f>SUMIFS('Historical Orders'!$G201, 'Historical Orders'!$D201, "2", 'Historical Orders'!$C201, "B", 'Historical Orders'!$B201, "2")</f>
        <v>0</v>
      </c>
      <c r="X201" s="159">
        <f>SUMIFS('Historical Orders'!$E201, 'Historical Orders'!$D201, "3", 'Historical Orders'!$C201, "A", 'Historical Orders'!$B201, "1")</f>
        <v>0</v>
      </c>
      <c r="Y201" s="159">
        <f>SUMIFS('Historical Orders'!$G201, 'Historical Orders'!$D201, "3", 'Historical Orders'!$C201, "A", 'Historical Orders'!$B201, "1")</f>
        <v>0</v>
      </c>
      <c r="Z201" s="159">
        <f>SUMIFS('Historical Orders'!$E201, 'Historical Orders'!$D201, "3", 'Historical Orders'!$C201, "B", 'Historical Orders'!$B201, "1")</f>
        <v>0</v>
      </c>
      <c r="AA201" s="159">
        <f>SUMIFS('Historical Orders'!$G201, 'Historical Orders'!$D201, "3", 'Historical Orders'!$C201, "B", 'Historical Orders'!$B201, "1")</f>
        <v>0</v>
      </c>
      <c r="AB201" s="159">
        <f>SUMIFS('Historical Orders'!$E201, 'Historical Orders'!$D201, "3", 'Historical Orders'!$C201, "A", 'Historical Orders'!$B201, "2")</f>
        <v>0</v>
      </c>
      <c r="AC201" s="159">
        <f>SUMIFS('Historical Orders'!$G201, 'Historical Orders'!$D201, "3", 'Historical Orders'!$C201, "A", 'Historical Orders'!$B201, "2")</f>
        <v>0</v>
      </c>
      <c r="AD201" s="159">
        <f>SUMIFS('Historical Orders'!$E201, 'Historical Orders'!$D201, "3", 'Historical Orders'!$C201, "B", 'Historical Orders'!$B201, "2")</f>
        <v>0</v>
      </c>
      <c r="AE201" s="157">
        <f>SUMIFS('Historical Orders'!$G201, 'Historical Orders'!$D201, "3", 'Historical Orders'!$C201, "B", 'Historical Orders'!$B201, "2")</f>
        <v>0</v>
      </c>
      <c r="AF201" s="157">
        <f>SUMIFS('Historical Orders'!$E201, 'Historical Orders'!$D201, "4", 'Historical Orders'!$C201, "A", 'Historical Orders'!$B201, "1")</f>
        <v>0</v>
      </c>
      <c r="AG201" s="157">
        <f>SUMIFS('Historical Orders'!$G201, 'Historical Orders'!$D201, "4", 'Historical Orders'!$C201, "A", 'Historical Orders'!$B201, "1")</f>
        <v>0</v>
      </c>
      <c r="AH201" s="157">
        <f>SUMIFS('Historical Orders'!$E201, 'Historical Orders'!$D201, "4", 'Historical Orders'!$C201, "B", 'Historical Orders'!$B201, "1")</f>
        <v>0</v>
      </c>
      <c r="AI201" s="157">
        <f>SUMIFS('Historical Orders'!$G201, 'Historical Orders'!$D201, "4", 'Historical Orders'!$C201, "B", 'Historical Orders'!$B201, "1")</f>
        <v>0</v>
      </c>
      <c r="AJ201" s="157">
        <f>SUMIFS('Historical Orders'!$E201, 'Historical Orders'!$D201, "4", 'Historical Orders'!$C201, "A", 'Historical Orders'!$B201, "2")</f>
        <v>0</v>
      </c>
      <c r="AK201" s="157">
        <f>SUMIFS('Historical Orders'!$G201, 'Historical Orders'!$D201, "4", 'Historical Orders'!$C201, "A", 'Historical Orders'!$B201, "2")</f>
        <v>0</v>
      </c>
      <c r="AL201" s="171">
        <f>SUMIFS('Historical Orders'!$E201, 'Historical Orders'!$D201, "4", 'Historical Orders'!$C201, "B", 'Historical Orders'!$B201, "2")</f>
        <v>0</v>
      </c>
      <c r="AM201" s="171">
        <f>SUMIFS('Historical Orders'!$G201, 'Historical Orders'!$D201, "4", 'Historical Orders'!$C201, "B", 'Historical Orders'!$B201, "2")</f>
        <v>0</v>
      </c>
      <c r="AN201" s="171">
        <f>SUMIFS('Historical Orders'!$G201, 'Historical Orders'!$C201, "A", 'Historical Orders'!$B201, "1")</f>
        <v>6823.2</v>
      </c>
      <c r="AO201" s="171">
        <f>SUMIFS('Historical Orders'!$G201, 'Historical Orders'!$C201, "B", 'Historical Orders'!$B201, "1")</f>
        <v>0</v>
      </c>
      <c r="AP201" s="171">
        <f>SUMIFS('Historical Orders'!$G201, 'Historical Orders'!$C201, "A", 'Historical Orders'!$B201, "2")</f>
        <v>0</v>
      </c>
      <c r="AQ201" s="171">
        <f>SUMIFS('Historical Orders'!$G201, 'Historical Orders'!$C201, "B", 'Historical Orders'!$B201, "2")</f>
        <v>0</v>
      </c>
      <c r="AR201" s="145"/>
      <c r="AS201" s="172"/>
      <c r="AT201" s="172"/>
      <c r="AU201" s="172"/>
      <c r="AV201" s="172"/>
      <c r="AW201" s="172"/>
      <c r="AX201" s="172"/>
      <c r="AY201" s="172"/>
      <c r="AZ201" s="172"/>
      <c r="BA201" s="172"/>
      <c r="BB201" s="172"/>
      <c r="BC201" s="172"/>
      <c r="BD201" s="172"/>
      <c r="BE201" s="172"/>
      <c r="BF201" s="172"/>
      <c r="BG201" s="172"/>
      <c r="BH201" s="172"/>
      <c r="BI201" s="172"/>
      <c r="BJ201" s="172"/>
      <c r="BK201" s="172"/>
      <c r="BL201" s="172"/>
      <c r="BM201" s="172"/>
      <c r="BN201" s="172"/>
      <c r="BO201" s="172"/>
      <c r="BP201" s="172"/>
      <c r="BQ201" s="172"/>
      <c r="BR201" s="172"/>
      <c r="BS201" s="172"/>
      <c r="BT201" s="172"/>
      <c r="BU201" s="172"/>
      <c r="BV201" s="179"/>
      <c r="BW201" s="179"/>
      <c r="BX201" s="179"/>
      <c r="BY201" s="179"/>
      <c r="BZ201" s="179"/>
      <c r="CA201" s="179"/>
      <c r="CB201" s="179"/>
      <c r="CC201" s="179"/>
      <c r="CD201" s="179"/>
      <c r="CE201" s="179"/>
    </row>
    <row r="202" ht="15.75" customHeight="1">
      <c r="A202" s="151">
        <v>42086.0</v>
      </c>
      <c r="B202" s="152">
        <v>2.0</v>
      </c>
      <c r="C202" s="152" t="s">
        <v>45</v>
      </c>
      <c r="D202" s="152">
        <v>1.0</v>
      </c>
      <c r="E202" s="153">
        <v>2819.0</v>
      </c>
      <c r="F202" s="154">
        <v>2.2</v>
      </c>
      <c r="G202" s="155">
        <v>6201.8</v>
      </c>
      <c r="H202" s="159">
        <f>SUMIFS('Historical Orders'!$E202, 'Historical Orders'!$D202, "1", 'Historical Orders'!$C202, "A", 'Historical Orders'!$B202, "1")</f>
        <v>0</v>
      </c>
      <c r="I202" s="157">
        <f>SUMIFS('Historical Orders'!$G202, 'Historical Orders'!$D202, "1", 'Historical Orders'!$C202, "A", 'Historical Orders'!$B202, "1")</f>
        <v>0</v>
      </c>
      <c r="J202" s="157">
        <f>SUMIFS('Historical Orders'!$E202, 'Historical Orders'!$D202, "1", 'Historical Orders'!$C202, "B", 'Historical Orders'!$B202, "1")</f>
        <v>0</v>
      </c>
      <c r="K202" s="157">
        <f>SUMIFS('Historical Orders'!$G202, 'Historical Orders'!$D202, "1", 'Historical Orders'!$C202, "B", 'Historical Orders'!$B202, "1")</f>
        <v>0</v>
      </c>
      <c r="L202" s="159">
        <f>SUMIFS('Historical Orders'!$E202, 'Historical Orders'!$D202, "1", 'Historical Orders'!$C202, "A", 'Historical Orders'!$B202, "2")</f>
        <v>2819</v>
      </c>
      <c r="M202" s="157">
        <f>SUMIFS('Historical Orders'!$G202, 'Historical Orders'!$D202, "1", 'Historical Orders'!$C202, "A", 'Historical Orders'!$B202, "2")</f>
        <v>6201.8</v>
      </c>
      <c r="N202" s="157">
        <f>SUMIFS('Historical Orders'!$E202, 'Historical Orders'!$D202, "1", 'Historical Orders'!$C202, "B", 'Historical Orders'!$B202, "2")</f>
        <v>0</v>
      </c>
      <c r="O202" s="157">
        <f>SUMIFS('Historical Orders'!$G202, 'Historical Orders'!$D202, "1", 'Historical Orders'!$C202, "B", 'Historical Orders'!$B202, "2")</f>
        <v>0</v>
      </c>
      <c r="P202" s="159">
        <f>SUMIFS('Historical Orders'!$E202, 'Historical Orders'!$D202, "2", 'Historical Orders'!$C202, "A", 'Historical Orders'!$B202, "1")</f>
        <v>0</v>
      </c>
      <c r="Q202" s="157">
        <f>SUMIFS('Historical Orders'!$G202, 'Historical Orders'!$D202, "2", 'Historical Orders'!$C202, "A", 'Historical Orders'!$B202, "1")</f>
        <v>0</v>
      </c>
      <c r="R202" s="159">
        <f>SUMIFS('Historical Orders'!$E202, 'Historical Orders'!$D202, "2", 'Historical Orders'!$C202, "B", 'Historical Orders'!$B202, "1")</f>
        <v>0</v>
      </c>
      <c r="S202" s="157">
        <f>SUMIFS('Historical Orders'!$G202, 'Historical Orders'!$D202, "2", 'Historical Orders'!$C202, "B", 'Historical Orders'!$B202, "1")</f>
        <v>0</v>
      </c>
      <c r="T202" s="159">
        <f>SUMIFS('Historical Orders'!$E202, 'Historical Orders'!$D202, "2", 'Historical Orders'!$C202, "A", 'Historical Orders'!$B202, "2")</f>
        <v>0</v>
      </c>
      <c r="U202" s="157">
        <f>SUMIFS('Historical Orders'!$G202, 'Historical Orders'!$D202, "2", 'Historical Orders'!$C202, "A", 'Historical Orders'!$B202, "2")</f>
        <v>0</v>
      </c>
      <c r="V202" s="159">
        <f>SUMIFS('Historical Orders'!$E202, 'Historical Orders'!$D202, "2", 'Historical Orders'!$C202, "B", 'Historical Orders'!$B202, "2")</f>
        <v>0</v>
      </c>
      <c r="W202" s="159">
        <f>SUMIFS('Historical Orders'!$G202, 'Historical Orders'!$D202, "2", 'Historical Orders'!$C202, "B", 'Historical Orders'!$B202, "2")</f>
        <v>0</v>
      </c>
      <c r="X202" s="159">
        <f>SUMIFS('Historical Orders'!$E202, 'Historical Orders'!$D202, "3", 'Historical Orders'!$C202, "A", 'Historical Orders'!$B202, "1")</f>
        <v>0</v>
      </c>
      <c r="Y202" s="159">
        <f>SUMIFS('Historical Orders'!$G202, 'Historical Orders'!$D202, "3", 'Historical Orders'!$C202, "A", 'Historical Orders'!$B202, "1")</f>
        <v>0</v>
      </c>
      <c r="Z202" s="159">
        <f>SUMIFS('Historical Orders'!$E202, 'Historical Orders'!$D202, "3", 'Historical Orders'!$C202, "B", 'Historical Orders'!$B202, "1")</f>
        <v>0</v>
      </c>
      <c r="AA202" s="159">
        <f>SUMIFS('Historical Orders'!$G202, 'Historical Orders'!$D202, "3", 'Historical Orders'!$C202, "B", 'Historical Orders'!$B202, "1")</f>
        <v>0</v>
      </c>
      <c r="AB202" s="159">
        <f>SUMIFS('Historical Orders'!$E202, 'Historical Orders'!$D202, "3", 'Historical Orders'!$C202, "A", 'Historical Orders'!$B202, "2")</f>
        <v>0</v>
      </c>
      <c r="AC202" s="159">
        <f>SUMIFS('Historical Orders'!$G202, 'Historical Orders'!$D202, "3", 'Historical Orders'!$C202, "A", 'Historical Orders'!$B202, "2")</f>
        <v>0</v>
      </c>
      <c r="AD202" s="159">
        <f>SUMIFS('Historical Orders'!$E202, 'Historical Orders'!$D202, "3", 'Historical Orders'!$C202, "B", 'Historical Orders'!$B202, "2")</f>
        <v>0</v>
      </c>
      <c r="AE202" s="157">
        <f>SUMIFS('Historical Orders'!$G202, 'Historical Orders'!$D202, "3", 'Historical Orders'!$C202, "B", 'Historical Orders'!$B202, "2")</f>
        <v>0</v>
      </c>
      <c r="AF202" s="157">
        <f>SUMIFS('Historical Orders'!$E202, 'Historical Orders'!$D202, "4", 'Historical Orders'!$C202, "A", 'Historical Orders'!$B202, "1")</f>
        <v>0</v>
      </c>
      <c r="AG202" s="157">
        <f>SUMIFS('Historical Orders'!$G202, 'Historical Orders'!$D202, "4", 'Historical Orders'!$C202, "A", 'Historical Orders'!$B202, "1")</f>
        <v>0</v>
      </c>
      <c r="AH202" s="157">
        <f>SUMIFS('Historical Orders'!$E202, 'Historical Orders'!$D202, "4", 'Historical Orders'!$C202, "B", 'Historical Orders'!$B202, "1")</f>
        <v>0</v>
      </c>
      <c r="AI202" s="157">
        <f>SUMIFS('Historical Orders'!$G202, 'Historical Orders'!$D202, "4", 'Historical Orders'!$C202, "B", 'Historical Orders'!$B202, "1")</f>
        <v>0</v>
      </c>
      <c r="AJ202" s="157">
        <f>SUMIFS('Historical Orders'!$E202, 'Historical Orders'!$D202, "4", 'Historical Orders'!$C202, "A", 'Historical Orders'!$B202, "2")</f>
        <v>0</v>
      </c>
      <c r="AK202" s="157">
        <f>SUMIFS('Historical Orders'!$G202, 'Historical Orders'!$D202, "4", 'Historical Orders'!$C202, "A", 'Historical Orders'!$B202, "2")</f>
        <v>0</v>
      </c>
      <c r="AL202" s="171">
        <f>SUMIFS('Historical Orders'!$E202, 'Historical Orders'!$D202, "4", 'Historical Orders'!$C202, "B", 'Historical Orders'!$B202, "2")</f>
        <v>0</v>
      </c>
      <c r="AM202" s="171">
        <f>SUMIFS('Historical Orders'!$G202, 'Historical Orders'!$D202, "4", 'Historical Orders'!$C202, "B", 'Historical Orders'!$B202, "2")</f>
        <v>0</v>
      </c>
      <c r="AN202" s="171">
        <f>SUMIFS('Historical Orders'!$G202, 'Historical Orders'!$C202, "A", 'Historical Orders'!$B202, "1")</f>
        <v>0</v>
      </c>
      <c r="AO202" s="171">
        <f>SUMIFS('Historical Orders'!$G202, 'Historical Orders'!$C202, "B", 'Historical Orders'!$B202, "1")</f>
        <v>0</v>
      </c>
      <c r="AP202" s="171">
        <f>SUMIFS('Historical Orders'!$G202, 'Historical Orders'!$C202, "A", 'Historical Orders'!$B202, "2")</f>
        <v>6201.8</v>
      </c>
      <c r="AQ202" s="171">
        <f>SUMIFS('Historical Orders'!$G202, 'Historical Orders'!$C202, "B", 'Historical Orders'!$B202, "2")</f>
        <v>0</v>
      </c>
      <c r="AR202" s="145"/>
      <c r="AS202" s="172"/>
      <c r="AT202" s="172"/>
      <c r="AU202" s="172"/>
      <c r="AV202" s="172"/>
      <c r="AW202" s="172"/>
      <c r="AX202" s="172"/>
      <c r="AY202" s="172"/>
      <c r="AZ202" s="172"/>
      <c r="BA202" s="172"/>
      <c r="BB202" s="172"/>
      <c r="BC202" s="172"/>
      <c r="BD202" s="172"/>
      <c r="BE202" s="172"/>
      <c r="BF202" s="172"/>
      <c r="BG202" s="172"/>
      <c r="BH202" s="172"/>
      <c r="BI202" s="172"/>
      <c r="BJ202" s="172"/>
      <c r="BK202" s="172"/>
      <c r="BL202" s="172"/>
      <c r="BM202" s="172"/>
      <c r="BN202" s="172"/>
      <c r="BO202" s="172"/>
      <c r="BP202" s="172"/>
      <c r="BQ202" s="172"/>
      <c r="BR202" s="172"/>
      <c r="BS202" s="172"/>
      <c r="BT202" s="172"/>
      <c r="BU202" s="172"/>
      <c r="BV202" s="179"/>
      <c r="BW202" s="179"/>
      <c r="BX202" s="179"/>
      <c r="BY202" s="179"/>
      <c r="BZ202" s="179"/>
      <c r="CA202" s="179"/>
      <c r="CB202" s="179"/>
      <c r="CC202" s="179"/>
      <c r="CD202" s="179"/>
      <c r="CE202" s="179"/>
    </row>
    <row r="203" ht="15.75" customHeight="1">
      <c r="A203" s="151">
        <v>42086.0</v>
      </c>
      <c r="B203" s="152">
        <v>2.0</v>
      </c>
      <c r="C203" s="152" t="s">
        <v>45</v>
      </c>
      <c r="D203" s="152">
        <v>2.0</v>
      </c>
      <c r="E203" s="153">
        <v>6756.0</v>
      </c>
      <c r="F203" s="154">
        <v>1.2</v>
      </c>
      <c r="G203" s="155">
        <v>8107.2</v>
      </c>
      <c r="H203" s="159">
        <f>SUMIFS('Historical Orders'!$E203, 'Historical Orders'!$D203, "1", 'Historical Orders'!$C203, "A", 'Historical Orders'!$B203, "1")</f>
        <v>0</v>
      </c>
      <c r="I203" s="157">
        <f>SUMIFS('Historical Orders'!$G203, 'Historical Orders'!$D203, "1", 'Historical Orders'!$C203, "A", 'Historical Orders'!$B203, "1")</f>
        <v>0</v>
      </c>
      <c r="J203" s="157">
        <f>SUMIFS('Historical Orders'!$E203, 'Historical Orders'!$D203, "1", 'Historical Orders'!$C203, "B", 'Historical Orders'!$B203, "1")</f>
        <v>0</v>
      </c>
      <c r="K203" s="157">
        <f>SUMIFS('Historical Orders'!$G203, 'Historical Orders'!$D203, "1", 'Historical Orders'!$C203, "B", 'Historical Orders'!$B203, "1")</f>
        <v>0</v>
      </c>
      <c r="L203" s="159">
        <f>SUMIFS('Historical Orders'!$E203, 'Historical Orders'!$D203, "1", 'Historical Orders'!$C203, "A", 'Historical Orders'!$B203, "2")</f>
        <v>0</v>
      </c>
      <c r="M203" s="157">
        <f>SUMIFS('Historical Orders'!$G203, 'Historical Orders'!$D203, "1", 'Historical Orders'!$C203, "A", 'Historical Orders'!$B203, "2")</f>
        <v>0</v>
      </c>
      <c r="N203" s="157">
        <f>SUMIFS('Historical Orders'!$E203, 'Historical Orders'!$D203, "1", 'Historical Orders'!$C203, "B", 'Historical Orders'!$B203, "2")</f>
        <v>0</v>
      </c>
      <c r="O203" s="157">
        <f>SUMIFS('Historical Orders'!$G203, 'Historical Orders'!$D203, "1", 'Historical Orders'!$C203, "B", 'Historical Orders'!$B203, "2")</f>
        <v>0</v>
      </c>
      <c r="P203" s="159">
        <f>SUMIFS('Historical Orders'!$E203, 'Historical Orders'!$D203, "2", 'Historical Orders'!$C203, "A", 'Historical Orders'!$B203, "1")</f>
        <v>0</v>
      </c>
      <c r="Q203" s="157">
        <f>SUMIFS('Historical Orders'!$G203, 'Historical Orders'!$D203, "2", 'Historical Orders'!$C203, "A", 'Historical Orders'!$B203, "1")</f>
        <v>0</v>
      </c>
      <c r="R203" s="159">
        <f>SUMIFS('Historical Orders'!$E203, 'Historical Orders'!$D203, "2", 'Historical Orders'!$C203, "B", 'Historical Orders'!$B203, "1")</f>
        <v>0</v>
      </c>
      <c r="S203" s="157">
        <f>SUMIFS('Historical Orders'!$G203, 'Historical Orders'!$D203, "2", 'Historical Orders'!$C203, "B", 'Historical Orders'!$B203, "1")</f>
        <v>0</v>
      </c>
      <c r="T203" s="159">
        <f>SUMIFS('Historical Orders'!$E203, 'Historical Orders'!$D203, "2", 'Historical Orders'!$C203, "A", 'Historical Orders'!$B203, "2")</f>
        <v>6756</v>
      </c>
      <c r="U203" s="157">
        <f>SUMIFS('Historical Orders'!$G203, 'Historical Orders'!$D203, "2", 'Historical Orders'!$C203, "A", 'Historical Orders'!$B203, "2")</f>
        <v>8107.2</v>
      </c>
      <c r="V203" s="159">
        <f>SUMIFS('Historical Orders'!$E203, 'Historical Orders'!$D203, "2", 'Historical Orders'!$C203, "B", 'Historical Orders'!$B203, "2")</f>
        <v>0</v>
      </c>
      <c r="W203" s="159">
        <f>SUMIFS('Historical Orders'!$G203, 'Historical Orders'!$D203, "2", 'Historical Orders'!$C203, "B", 'Historical Orders'!$B203, "2")</f>
        <v>0</v>
      </c>
      <c r="X203" s="159">
        <f>SUMIFS('Historical Orders'!$E203, 'Historical Orders'!$D203, "3", 'Historical Orders'!$C203, "A", 'Historical Orders'!$B203, "1")</f>
        <v>0</v>
      </c>
      <c r="Y203" s="159">
        <f>SUMIFS('Historical Orders'!$G203, 'Historical Orders'!$D203, "3", 'Historical Orders'!$C203, "A", 'Historical Orders'!$B203, "1")</f>
        <v>0</v>
      </c>
      <c r="Z203" s="159">
        <f>SUMIFS('Historical Orders'!$E203, 'Historical Orders'!$D203, "3", 'Historical Orders'!$C203, "B", 'Historical Orders'!$B203, "1")</f>
        <v>0</v>
      </c>
      <c r="AA203" s="159">
        <f>SUMIFS('Historical Orders'!$G203, 'Historical Orders'!$D203, "3", 'Historical Orders'!$C203, "B", 'Historical Orders'!$B203, "1")</f>
        <v>0</v>
      </c>
      <c r="AB203" s="159">
        <f>SUMIFS('Historical Orders'!$E203, 'Historical Orders'!$D203, "3", 'Historical Orders'!$C203, "A", 'Historical Orders'!$B203, "2")</f>
        <v>0</v>
      </c>
      <c r="AC203" s="159">
        <f>SUMIFS('Historical Orders'!$G203, 'Historical Orders'!$D203, "3", 'Historical Orders'!$C203, "A", 'Historical Orders'!$B203, "2")</f>
        <v>0</v>
      </c>
      <c r="AD203" s="159">
        <f>SUMIFS('Historical Orders'!$E203, 'Historical Orders'!$D203, "3", 'Historical Orders'!$C203, "B", 'Historical Orders'!$B203, "2")</f>
        <v>0</v>
      </c>
      <c r="AE203" s="157">
        <f>SUMIFS('Historical Orders'!$G203, 'Historical Orders'!$D203, "3", 'Historical Orders'!$C203, "B", 'Historical Orders'!$B203, "2")</f>
        <v>0</v>
      </c>
      <c r="AF203" s="157">
        <f>SUMIFS('Historical Orders'!$E203, 'Historical Orders'!$D203, "4", 'Historical Orders'!$C203, "A", 'Historical Orders'!$B203, "1")</f>
        <v>0</v>
      </c>
      <c r="AG203" s="157">
        <f>SUMIFS('Historical Orders'!$G203, 'Historical Orders'!$D203, "4", 'Historical Orders'!$C203, "A", 'Historical Orders'!$B203, "1")</f>
        <v>0</v>
      </c>
      <c r="AH203" s="157">
        <f>SUMIFS('Historical Orders'!$E203, 'Historical Orders'!$D203, "4", 'Historical Orders'!$C203, "B", 'Historical Orders'!$B203, "1")</f>
        <v>0</v>
      </c>
      <c r="AI203" s="157">
        <f>SUMIFS('Historical Orders'!$G203, 'Historical Orders'!$D203, "4", 'Historical Orders'!$C203, "B", 'Historical Orders'!$B203, "1")</f>
        <v>0</v>
      </c>
      <c r="AJ203" s="157">
        <f>SUMIFS('Historical Orders'!$E203, 'Historical Orders'!$D203, "4", 'Historical Orders'!$C203, "A", 'Historical Orders'!$B203, "2")</f>
        <v>0</v>
      </c>
      <c r="AK203" s="157">
        <f>SUMIFS('Historical Orders'!$G203, 'Historical Orders'!$D203, "4", 'Historical Orders'!$C203, "A", 'Historical Orders'!$B203, "2")</f>
        <v>0</v>
      </c>
      <c r="AL203" s="171">
        <f>SUMIFS('Historical Orders'!$E203, 'Historical Orders'!$D203, "4", 'Historical Orders'!$C203, "B", 'Historical Orders'!$B203, "2")</f>
        <v>0</v>
      </c>
      <c r="AM203" s="171">
        <f>SUMIFS('Historical Orders'!$G203, 'Historical Orders'!$D203, "4", 'Historical Orders'!$C203, "B", 'Historical Orders'!$B203, "2")</f>
        <v>0</v>
      </c>
      <c r="AN203" s="171">
        <f>SUMIFS('Historical Orders'!$G203, 'Historical Orders'!$C203, "A", 'Historical Orders'!$B203, "1")</f>
        <v>0</v>
      </c>
      <c r="AO203" s="171">
        <f>SUMIFS('Historical Orders'!$G203, 'Historical Orders'!$C203, "B", 'Historical Orders'!$B203, "1")</f>
        <v>0</v>
      </c>
      <c r="AP203" s="171">
        <f>SUMIFS('Historical Orders'!$G203, 'Historical Orders'!$C203, "A", 'Historical Orders'!$B203, "2")</f>
        <v>8107.2</v>
      </c>
      <c r="AQ203" s="171">
        <f>SUMIFS('Historical Orders'!$G203, 'Historical Orders'!$C203, "B", 'Historical Orders'!$B203, "2")</f>
        <v>0</v>
      </c>
      <c r="AR203" s="145"/>
      <c r="AS203" s="172"/>
      <c r="AT203" s="172"/>
      <c r="AU203" s="172"/>
      <c r="AV203" s="172"/>
      <c r="AW203" s="172"/>
      <c r="AX203" s="172"/>
      <c r="AY203" s="172"/>
      <c r="AZ203" s="172"/>
      <c r="BA203" s="172"/>
      <c r="BB203" s="172"/>
      <c r="BC203" s="172"/>
      <c r="BD203" s="172"/>
      <c r="BE203" s="172"/>
      <c r="BF203" s="172"/>
      <c r="BG203" s="172"/>
      <c r="BH203" s="172"/>
      <c r="BI203" s="172"/>
      <c r="BJ203" s="172"/>
      <c r="BK203" s="172"/>
      <c r="BL203" s="172"/>
      <c r="BM203" s="172"/>
      <c r="BN203" s="172"/>
      <c r="BO203" s="172"/>
      <c r="BP203" s="172"/>
      <c r="BQ203" s="172"/>
      <c r="BR203" s="172"/>
      <c r="BS203" s="172"/>
      <c r="BT203" s="172"/>
      <c r="BU203" s="172"/>
      <c r="BV203" s="179"/>
      <c r="BW203" s="179"/>
      <c r="BX203" s="179"/>
      <c r="BY203" s="179"/>
      <c r="BZ203" s="179"/>
      <c r="CA203" s="179"/>
      <c r="CB203" s="179"/>
      <c r="CC203" s="179"/>
      <c r="CD203" s="179"/>
      <c r="CE203" s="179"/>
    </row>
    <row r="204" ht="15.75" customHeight="1">
      <c r="A204" s="151">
        <v>42086.0</v>
      </c>
      <c r="B204" s="152">
        <v>1.0</v>
      </c>
      <c r="C204" s="152" t="s">
        <v>46</v>
      </c>
      <c r="D204" s="152">
        <v>3.0</v>
      </c>
      <c r="E204" s="153">
        <v>2323.0</v>
      </c>
      <c r="F204" s="154">
        <v>8.3</v>
      </c>
      <c r="G204" s="155">
        <v>19280.9</v>
      </c>
      <c r="H204" s="159">
        <f>SUMIFS('Historical Orders'!$E204, 'Historical Orders'!$D204, "1", 'Historical Orders'!$C204, "A", 'Historical Orders'!$B204, "1")</f>
        <v>0</v>
      </c>
      <c r="I204" s="157">
        <f>SUMIFS('Historical Orders'!$G204, 'Historical Orders'!$D204, "1", 'Historical Orders'!$C204, "A", 'Historical Orders'!$B204, "1")</f>
        <v>0</v>
      </c>
      <c r="J204" s="157">
        <f>SUMIFS('Historical Orders'!$E204, 'Historical Orders'!$D204, "1", 'Historical Orders'!$C204, "B", 'Historical Orders'!$B204, "1")</f>
        <v>0</v>
      </c>
      <c r="K204" s="157">
        <f>SUMIFS('Historical Orders'!$G204, 'Historical Orders'!$D204, "1", 'Historical Orders'!$C204, "B", 'Historical Orders'!$B204, "1")</f>
        <v>0</v>
      </c>
      <c r="L204" s="159">
        <f>SUMIFS('Historical Orders'!$E204, 'Historical Orders'!$D204, "1", 'Historical Orders'!$C204, "A", 'Historical Orders'!$B204, "2")</f>
        <v>0</v>
      </c>
      <c r="M204" s="157">
        <f>SUMIFS('Historical Orders'!$G204, 'Historical Orders'!$D204, "1", 'Historical Orders'!$C204, "A", 'Historical Orders'!$B204, "2")</f>
        <v>0</v>
      </c>
      <c r="N204" s="157">
        <f>SUMIFS('Historical Orders'!$E204, 'Historical Orders'!$D204, "1", 'Historical Orders'!$C204, "B", 'Historical Orders'!$B204, "2")</f>
        <v>0</v>
      </c>
      <c r="O204" s="157">
        <f>SUMIFS('Historical Orders'!$G204, 'Historical Orders'!$D204, "1", 'Historical Orders'!$C204, "B", 'Historical Orders'!$B204, "2")</f>
        <v>0</v>
      </c>
      <c r="P204" s="159">
        <f>SUMIFS('Historical Orders'!$E204, 'Historical Orders'!$D204, "2", 'Historical Orders'!$C204, "A", 'Historical Orders'!$B204, "1")</f>
        <v>0</v>
      </c>
      <c r="Q204" s="157">
        <f>SUMIFS('Historical Orders'!$G204, 'Historical Orders'!$D204, "2", 'Historical Orders'!$C204, "A", 'Historical Orders'!$B204, "1")</f>
        <v>0</v>
      </c>
      <c r="R204" s="159">
        <f>SUMIFS('Historical Orders'!$E204, 'Historical Orders'!$D204, "2", 'Historical Orders'!$C204, "B", 'Historical Orders'!$B204, "1")</f>
        <v>0</v>
      </c>
      <c r="S204" s="157">
        <f>SUMIFS('Historical Orders'!$G204, 'Historical Orders'!$D204, "2", 'Historical Orders'!$C204, "B", 'Historical Orders'!$B204, "1")</f>
        <v>0</v>
      </c>
      <c r="T204" s="159">
        <f>SUMIFS('Historical Orders'!$E204, 'Historical Orders'!$D204, "2", 'Historical Orders'!$C204, "A", 'Historical Orders'!$B204, "2")</f>
        <v>0</v>
      </c>
      <c r="U204" s="157">
        <f>SUMIFS('Historical Orders'!$G204, 'Historical Orders'!$D204, "2", 'Historical Orders'!$C204, "A", 'Historical Orders'!$B204, "2")</f>
        <v>0</v>
      </c>
      <c r="V204" s="159">
        <f>SUMIFS('Historical Orders'!$E204, 'Historical Orders'!$D204, "2", 'Historical Orders'!$C204, "B", 'Historical Orders'!$B204, "2")</f>
        <v>0</v>
      </c>
      <c r="W204" s="159">
        <f>SUMIFS('Historical Orders'!$G204, 'Historical Orders'!$D204, "2", 'Historical Orders'!$C204, "B", 'Historical Orders'!$B204, "2")</f>
        <v>0</v>
      </c>
      <c r="X204" s="159">
        <f>SUMIFS('Historical Orders'!$E204, 'Historical Orders'!$D204, "3", 'Historical Orders'!$C204, "A", 'Historical Orders'!$B204, "1")</f>
        <v>0</v>
      </c>
      <c r="Y204" s="159">
        <f>SUMIFS('Historical Orders'!$G204, 'Historical Orders'!$D204, "3", 'Historical Orders'!$C204, "A", 'Historical Orders'!$B204, "1")</f>
        <v>0</v>
      </c>
      <c r="Z204" s="159">
        <f>SUMIFS('Historical Orders'!$E204, 'Historical Orders'!$D204, "3", 'Historical Orders'!$C204, "B", 'Historical Orders'!$B204, "1")</f>
        <v>2323</v>
      </c>
      <c r="AA204" s="159">
        <f>SUMIFS('Historical Orders'!$G204, 'Historical Orders'!$D204, "3", 'Historical Orders'!$C204, "B", 'Historical Orders'!$B204, "1")</f>
        <v>19280.9</v>
      </c>
      <c r="AB204" s="159">
        <f>SUMIFS('Historical Orders'!$E204, 'Historical Orders'!$D204, "3", 'Historical Orders'!$C204, "A", 'Historical Orders'!$B204, "2")</f>
        <v>0</v>
      </c>
      <c r="AC204" s="159">
        <f>SUMIFS('Historical Orders'!$G204, 'Historical Orders'!$D204, "3", 'Historical Orders'!$C204, "A", 'Historical Orders'!$B204, "2")</f>
        <v>0</v>
      </c>
      <c r="AD204" s="159">
        <f>SUMIFS('Historical Orders'!$E204, 'Historical Orders'!$D204, "3", 'Historical Orders'!$C204, "B", 'Historical Orders'!$B204, "2")</f>
        <v>0</v>
      </c>
      <c r="AE204" s="157">
        <f>SUMIFS('Historical Orders'!$G204, 'Historical Orders'!$D204, "3", 'Historical Orders'!$C204, "B", 'Historical Orders'!$B204, "2")</f>
        <v>0</v>
      </c>
      <c r="AF204" s="157">
        <f>SUMIFS('Historical Orders'!$E204, 'Historical Orders'!$D204, "4", 'Historical Orders'!$C204, "A", 'Historical Orders'!$B204, "1")</f>
        <v>0</v>
      </c>
      <c r="AG204" s="157">
        <f>SUMIFS('Historical Orders'!$G204, 'Historical Orders'!$D204, "4", 'Historical Orders'!$C204, "A", 'Historical Orders'!$B204, "1")</f>
        <v>0</v>
      </c>
      <c r="AH204" s="157">
        <f>SUMIFS('Historical Orders'!$E204, 'Historical Orders'!$D204, "4", 'Historical Orders'!$C204, "B", 'Historical Orders'!$B204, "1")</f>
        <v>0</v>
      </c>
      <c r="AI204" s="157">
        <f>SUMIFS('Historical Orders'!$G204, 'Historical Orders'!$D204, "4", 'Historical Orders'!$C204, "B", 'Historical Orders'!$B204, "1")</f>
        <v>0</v>
      </c>
      <c r="AJ204" s="157">
        <f>SUMIFS('Historical Orders'!$E204, 'Historical Orders'!$D204, "4", 'Historical Orders'!$C204, "A", 'Historical Orders'!$B204, "2")</f>
        <v>0</v>
      </c>
      <c r="AK204" s="157">
        <f>SUMIFS('Historical Orders'!$G204, 'Historical Orders'!$D204, "4", 'Historical Orders'!$C204, "A", 'Historical Orders'!$B204, "2")</f>
        <v>0</v>
      </c>
      <c r="AL204" s="171">
        <f>SUMIFS('Historical Orders'!$E204, 'Historical Orders'!$D204, "4", 'Historical Orders'!$C204, "B", 'Historical Orders'!$B204, "2")</f>
        <v>0</v>
      </c>
      <c r="AM204" s="171">
        <f>SUMIFS('Historical Orders'!$G204, 'Historical Orders'!$D204, "4", 'Historical Orders'!$C204, "B", 'Historical Orders'!$B204, "2")</f>
        <v>0</v>
      </c>
      <c r="AN204" s="171">
        <f>SUMIFS('Historical Orders'!$G204, 'Historical Orders'!$C204, "A", 'Historical Orders'!$B204, "1")</f>
        <v>0</v>
      </c>
      <c r="AO204" s="171">
        <f>SUMIFS('Historical Orders'!$G204, 'Historical Orders'!$C204, "B", 'Historical Orders'!$B204, "1")</f>
        <v>19280.9</v>
      </c>
      <c r="AP204" s="171">
        <f>SUMIFS('Historical Orders'!$G204, 'Historical Orders'!$C204, "A", 'Historical Orders'!$B204, "2")</f>
        <v>0</v>
      </c>
      <c r="AQ204" s="171">
        <f>SUMIFS('Historical Orders'!$G204, 'Historical Orders'!$C204, "B", 'Historical Orders'!$B204, "2")</f>
        <v>0</v>
      </c>
      <c r="AR204" s="145"/>
      <c r="AS204" s="172"/>
      <c r="AT204" s="172"/>
      <c r="AU204" s="172"/>
      <c r="AV204" s="172"/>
      <c r="AW204" s="172"/>
      <c r="AX204" s="172"/>
      <c r="AY204" s="172"/>
      <c r="AZ204" s="172"/>
      <c r="BA204" s="172"/>
      <c r="BB204" s="172"/>
      <c r="BC204" s="172"/>
      <c r="BD204" s="172"/>
      <c r="BE204" s="172"/>
      <c r="BF204" s="172"/>
      <c r="BG204" s="172"/>
      <c r="BH204" s="172"/>
      <c r="BI204" s="172"/>
      <c r="BJ204" s="172"/>
      <c r="BK204" s="172"/>
      <c r="BL204" s="172"/>
      <c r="BM204" s="172"/>
      <c r="BN204" s="172"/>
      <c r="BO204" s="172"/>
      <c r="BP204" s="172"/>
      <c r="BQ204" s="172"/>
      <c r="BR204" s="172"/>
      <c r="BS204" s="172"/>
      <c r="BT204" s="172"/>
      <c r="BU204" s="172"/>
      <c r="BV204" s="179"/>
      <c r="BW204" s="179"/>
      <c r="BX204" s="179"/>
      <c r="BY204" s="179"/>
      <c r="BZ204" s="179"/>
      <c r="CA204" s="179"/>
      <c r="CB204" s="179"/>
      <c r="CC204" s="179"/>
      <c r="CD204" s="179"/>
      <c r="CE204" s="179"/>
    </row>
    <row r="205" ht="15.75" customHeight="1">
      <c r="A205" s="151">
        <v>42086.0</v>
      </c>
      <c r="B205" s="152">
        <v>2.0</v>
      </c>
      <c r="C205" s="152" t="s">
        <v>46</v>
      </c>
      <c r="D205" s="152">
        <v>3.0</v>
      </c>
      <c r="E205" s="153">
        <v>2892.0</v>
      </c>
      <c r="F205" s="154">
        <v>8.3</v>
      </c>
      <c r="G205" s="155">
        <v>24003.600000000002</v>
      </c>
      <c r="H205" s="159">
        <f>SUMIFS('Historical Orders'!$E205, 'Historical Orders'!$D205, "1", 'Historical Orders'!$C205, "A", 'Historical Orders'!$B205, "1")</f>
        <v>0</v>
      </c>
      <c r="I205" s="157">
        <f>SUMIFS('Historical Orders'!$G205, 'Historical Orders'!$D205, "1", 'Historical Orders'!$C205, "A", 'Historical Orders'!$B205, "1")</f>
        <v>0</v>
      </c>
      <c r="J205" s="157">
        <f>SUMIFS('Historical Orders'!$E205, 'Historical Orders'!$D205, "1", 'Historical Orders'!$C205, "B", 'Historical Orders'!$B205, "1")</f>
        <v>0</v>
      </c>
      <c r="K205" s="157">
        <f>SUMIFS('Historical Orders'!$G205, 'Historical Orders'!$D205, "1", 'Historical Orders'!$C205, "B", 'Historical Orders'!$B205, "1")</f>
        <v>0</v>
      </c>
      <c r="L205" s="159">
        <f>SUMIFS('Historical Orders'!$E205, 'Historical Orders'!$D205, "1", 'Historical Orders'!$C205, "A", 'Historical Orders'!$B205, "2")</f>
        <v>0</v>
      </c>
      <c r="M205" s="157">
        <f>SUMIFS('Historical Orders'!$G205, 'Historical Orders'!$D205, "1", 'Historical Orders'!$C205, "A", 'Historical Orders'!$B205, "2")</f>
        <v>0</v>
      </c>
      <c r="N205" s="157">
        <f>SUMIFS('Historical Orders'!$E205, 'Historical Orders'!$D205, "1", 'Historical Orders'!$C205, "B", 'Historical Orders'!$B205, "2")</f>
        <v>0</v>
      </c>
      <c r="O205" s="157">
        <f>SUMIFS('Historical Orders'!$G205, 'Historical Orders'!$D205, "1", 'Historical Orders'!$C205, "B", 'Historical Orders'!$B205, "2")</f>
        <v>0</v>
      </c>
      <c r="P205" s="159">
        <f>SUMIFS('Historical Orders'!$E205, 'Historical Orders'!$D205, "2", 'Historical Orders'!$C205, "A", 'Historical Orders'!$B205, "1")</f>
        <v>0</v>
      </c>
      <c r="Q205" s="157">
        <f>SUMIFS('Historical Orders'!$G205, 'Historical Orders'!$D205, "2", 'Historical Orders'!$C205, "A", 'Historical Orders'!$B205, "1")</f>
        <v>0</v>
      </c>
      <c r="R205" s="159">
        <f>SUMIFS('Historical Orders'!$E205, 'Historical Orders'!$D205, "2", 'Historical Orders'!$C205, "B", 'Historical Orders'!$B205, "1")</f>
        <v>0</v>
      </c>
      <c r="S205" s="157">
        <f>SUMIFS('Historical Orders'!$G205, 'Historical Orders'!$D205, "2", 'Historical Orders'!$C205, "B", 'Historical Orders'!$B205, "1")</f>
        <v>0</v>
      </c>
      <c r="T205" s="159">
        <f>SUMIFS('Historical Orders'!$E205, 'Historical Orders'!$D205, "2", 'Historical Orders'!$C205, "A", 'Historical Orders'!$B205, "2")</f>
        <v>0</v>
      </c>
      <c r="U205" s="157">
        <f>SUMIFS('Historical Orders'!$G205, 'Historical Orders'!$D205, "2", 'Historical Orders'!$C205, "A", 'Historical Orders'!$B205, "2")</f>
        <v>0</v>
      </c>
      <c r="V205" s="159">
        <f>SUMIFS('Historical Orders'!$E205, 'Historical Orders'!$D205, "2", 'Historical Orders'!$C205, "B", 'Historical Orders'!$B205, "2")</f>
        <v>0</v>
      </c>
      <c r="W205" s="159">
        <f>SUMIFS('Historical Orders'!$G205, 'Historical Orders'!$D205, "2", 'Historical Orders'!$C205, "B", 'Historical Orders'!$B205, "2")</f>
        <v>0</v>
      </c>
      <c r="X205" s="159">
        <f>SUMIFS('Historical Orders'!$E205, 'Historical Orders'!$D205, "3", 'Historical Orders'!$C205, "A", 'Historical Orders'!$B205, "1")</f>
        <v>0</v>
      </c>
      <c r="Y205" s="159">
        <f>SUMIFS('Historical Orders'!$G205, 'Historical Orders'!$D205, "3", 'Historical Orders'!$C205, "A", 'Historical Orders'!$B205, "1")</f>
        <v>0</v>
      </c>
      <c r="Z205" s="159">
        <f>SUMIFS('Historical Orders'!$E205, 'Historical Orders'!$D205, "3", 'Historical Orders'!$C205, "B", 'Historical Orders'!$B205, "1")</f>
        <v>0</v>
      </c>
      <c r="AA205" s="159">
        <f>SUMIFS('Historical Orders'!$G205, 'Historical Orders'!$D205, "3", 'Historical Orders'!$C205, "B", 'Historical Orders'!$B205, "1")</f>
        <v>0</v>
      </c>
      <c r="AB205" s="159">
        <f>SUMIFS('Historical Orders'!$E205, 'Historical Orders'!$D205, "3", 'Historical Orders'!$C205, "A", 'Historical Orders'!$B205, "2")</f>
        <v>0</v>
      </c>
      <c r="AC205" s="159">
        <f>SUMIFS('Historical Orders'!$G205, 'Historical Orders'!$D205, "3", 'Historical Orders'!$C205, "A", 'Historical Orders'!$B205, "2")</f>
        <v>0</v>
      </c>
      <c r="AD205" s="159">
        <f>SUMIFS('Historical Orders'!$E205, 'Historical Orders'!$D205, "3", 'Historical Orders'!$C205, "B", 'Historical Orders'!$B205, "2")</f>
        <v>2892</v>
      </c>
      <c r="AE205" s="157">
        <f>SUMIFS('Historical Orders'!$G205, 'Historical Orders'!$D205, "3", 'Historical Orders'!$C205, "B", 'Historical Orders'!$B205, "2")</f>
        <v>24003.6</v>
      </c>
      <c r="AF205" s="157">
        <f>SUMIFS('Historical Orders'!$E205, 'Historical Orders'!$D205, "4", 'Historical Orders'!$C205, "A", 'Historical Orders'!$B205, "1")</f>
        <v>0</v>
      </c>
      <c r="AG205" s="157">
        <f>SUMIFS('Historical Orders'!$G205, 'Historical Orders'!$D205, "4", 'Historical Orders'!$C205, "A", 'Historical Orders'!$B205, "1")</f>
        <v>0</v>
      </c>
      <c r="AH205" s="157">
        <f>SUMIFS('Historical Orders'!$E205, 'Historical Orders'!$D205, "4", 'Historical Orders'!$C205, "B", 'Historical Orders'!$B205, "1")</f>
        <v>0</v>
      </c>
      <c r="AI205" s="157">
        <f>SUMIFS('Historical Orders'!$G205, 'Historical Orders'!$D205, "4", 'Historical Orders'!$C205, "B", 'Historical Orders'!$B205, "1")</f>
        <v>0</v>
      </c>
      <c r="AJ205" s="157">
        <f>SUMIFS('Historical Orders'!$E205, 'Historical Orders'!$D205, "4", 'Historical Orders'!$C205, "A", 'Historical Orders'!$B205, "2")</f>
        <v>0</v>
      </c>
      <c r="AK205" s="157">
        <f>SUMIFS('Historical Orders'!$G205, 'Historical Orders'!$D205, "4", 'Historical Orders'!$C205, "A", 'Historical Orders'!$B205, "2")</f>
        <v>0</v>
      </c>
      <c r="AL205" s="171">
        <f>SUMIFS('Historical Orders'!$E205, 'Historical Orders'!$D205, "4", 'Historical Orders'!$C205, "B", 'Historical Orders'!$B205, "2")</f>
        <v>0</v>
      </c>
      <c r="AM205" s="171">
        <f>SUMIFS('Historical Orders'!$G205, 'Historical Orders'!$D205, "4", 'Historical Orders'!$C205, "B", 'Historical Orders'!$B205, "2")</f>
        <v>0</v>
      </c>
      <c r="AN205" s="171">
        <f>SUMIFS('Historical Orders'!$G205, 'Historical Orders'!$C205, "A", 'Historical Orders'!$B205, "1")</f>
        <v>0</v>
      </c>
      <c r="AO205" s="171">
        <f>SUMIFS('Historical Orders'!$G205, 'Historical Orders'!$C205, "B", 'Historical Orders'!$B205, "1")</f>
        <v>0</v>
      </c>
      <c r="AP205" s="171">
        <f>SUMIFS('Historical Orders'!$G205, 'Historical Orders'!$C205, "A", 'Historical Orders'!$B205, "2")</f>
        <v>0</v>
      </c>
      <c r="AQ205" s="171">
        <f>SUMIFS('Historical Orders'!$G205, 'Historical Orders'!$C205, "B", 'Historical Orders'!$B205, "2")</f>
        <v>24003.6</v>
      </c>
      <c r="AR205" s="145"/>
      <c r="AS205" s="172"/>
      <c r="AT205" s="172"/>
      <c r="AU205" s="172"/>
      <c r="AV205" s="172"/>
      <c r="AW205" s="172"/>
      <c r="AX205" s="172"/>
      <c r="AY205" s="172"/>
      <c r="AZ205" s="172"/>
      <c r="BA205" s="172"/>
      <c r="BB205" s="172"/>
      <c r="BC205" s="172"/>
      <c r="BD205" s="172"/>
      <c r="BE205" s="172"/>
      <c r="BF205" s="172"/>
      <c r="BG205" s="172"/>
      <c r="BH205" s="172"/>
      <c r="BI205" s="172"/>
      <c r="BJ205" s="172"/>
      <c r="BK205" s="172"/>
      <c r="BL205" s="172"/>
      <c r="BM205" s="172"/>
      <c r="BN205" s="172"/>
      <c r="BO205" s="172"/>
      <c r="BP205" s="172"/>
      <c r="BQ205" s="172"/>
      <c r="BR205" s="172"/>
      <c r="BS205" s="172"/>
      <c r="BT205" s="172"/>
      <c r="BU205" s="172"/>
      <c r="BV205" s="179"/>
      <c r="BW205" s="179"/>
      <c r="BX205" s="179"/>
      <c r="BY205" s="179"/>
      <c r="BZ205" s="179"/>
      <c r="CA205" s="179"/>
      <c r="CB205" s="179"/>
      <c r="CC205" s="179"/>
      <c r="CD205" s="179"/>
      <c r="CE205" s="179"/>
    </row>
    <row r="206" ht="15.75" customHeight="1">
      <c r="A206" s="151">
        <v>42093.0</v>
      </c>
      <c r="B206" s="152">
        <v>1.0</v>
      </c>
      <c r="C206" s="152" t="s">
        <v>45</v>
      </c>
      <c r="D206" s="152">
        <v>1.0</v>
      </c>
      <c r="E206" s="153">
        <v>4470.0</v>
      </c>
      <c r="F206" s="154">
        <v>2.2</v>
      </c>
      <c r="G206" s="155">
        <v>9834.0</v>
      </c>
      <c r="H206" s="159">
        <f>SUMIFS('Historical Orders'!$E206, 'Historical Orders'!$D206, "1", 'Historical Orders'!$C206, "A", 'Historical Orders'!$B206, "1")</f>
        <v>4470</v>
      </c>
      <c r="I206" s="157">
        <f>SUMIFS('Historical Orders'!$G206, 'Historical Orders'!$D206, "1", 'Historical Orders'!$C206, "A", 'Historical Orders'!$B206, "1")</f>
        <v>9834</v>
      </c>
      <c r="J206" s="157">
        <f>SUMIFS('Historical Orders'!$E206, 'Historical Orders'!$D206, "1", 'Historical Orders'!$C206, "B", 'Historical Orders'!$B206, "1")</f>
        <v>0</v>
      </c>
      <c r="K206" s="157">
        <f>SUMIFS('Historical Orders'!$G206, 'Historical Orders'!$D206, "1", 'Historical Orders'!$C206, "B", 'Historical Orders'!$B206, "1")</f>
        <v>0</v>
      </c>
      <c r="L206" s="159">
        <f>SUMIFS('Historical Orders'!$E206, 'Historical Orders'!$D206, "1", 'Historical Orders'!$C206, "A", 'Historical Orders'!$B206, "2")</f>
        <v>0</v>
      </c>
      <c r="M206" s="157">
        <f>SUMIFS('Historical Orders'!$G206, 'Historical Orders'!$D206, "1", 'Historical Orders'!$C206, "A", 'Historical Orders'!$B206, "2")</f>
        <v>0</v>
      </c>
      <c r="N206" s="157">
        <f>SUMIFS('Historical Orders'!$E206, 'Historical Orders'!$D206, "1", 'Historical Orders'!$C206, "B", 'Historical Orders'!$B206, "2")</f>
        <v>0</v>
      </c>
      <c r="O206" s="157">
        <f>SUMIFS('Historical Orders'!$G206, 'Historical Orders'!$D206, "1", 'Historical Orders'!$C206, "B", 'Historical Orders'!$B206, "2")</f>
        <v>0</v>
      </c>
      <c r="P206" s="159">
        <f>SUMIFS('Historical Orders'!$E206, 'Historical Orders'!$D206, "2", 'Historical Orders'!$C206, "A", 'Historical Orders'!$B206, "1")</f>
        <v>0</v>
      </c>
      <c r="Q206" s="157">
        <f>SUMIFS('Historical Orders'!$G206, 'Historical Orders'!$D206, "2", 'Historical Orders'!$C206, "A", 'Historical Orders'!$B206, "1")</f>
        <v>0</v>
      </c>
      <c r="R206" s="159">
        <f>SUMIFS('Historical Orders'!$E206, 'Historical Orders'!$D206, "2", 'Historical Orders'!$C206, "B", 'Historical Orders'!$B206, "1")</f>
        <v>0</v>
      </c>
      <c r="S206" s="157">
        <f>SUMIFS('Historical Orders'!$G206, 'Historical Orders'!$D206, "2", 'Historical Orders'!$C206, "B", 'Historical Orders'!$B206, "1")</f>
        <v>0</v>
      </c>
      <c r="T206" s="159">
        <f>SUMIFS('Historical Orders'!$E206, 'Historical Orders'!$D206, "2", 'Historical Orders'!$C206, "A", 'Historical Orders'!$B206, "2")</f>
        <v>0</v>
      </c>
      <c r="U206" s="157">
        <f>SUMIFS('Historical Orders'!$G206, 'Historical Orders'!$D206, "2", 'Historical Orders'!$C206, "A", 'Historical Orders'!$B206, "2")</f>
        <v>0</v>
      </c>
      <c r="V206" s="159">
        <f>SUMIFS('Historical Orders'!$E206, 'Historical Orders'!$D206, "2", 'Historical Orders'!$C206, "B", 'Historical Orders'!$B206, "2")</f>
        <v>0</v>
      </c>
      <c r="W206" s="159">
        <f>SUMIFS('Historical Orders'!$G206, 'Historical Orders'!$D206, "2", 'Historical Orders'!$C206, "B", 'Historical Orders'!$B206, "2")</f>
        <v>0</v>
      </c>
      <c r="X206" s="159">
        <f>SUMIFS('Historical Orders'!$E206, 'Historical Orders'!$D206, "3", 'Historical Orders'!$C206, "A", 'Historical Orders'!$B206, "1")</f>
        <v>0</v>
      </c>
      <c r="Y206" s="159">
        <f>SUMIFS('Historical Orders'!$G206, 'Historical Orders'!$D206, "3", 'Historical Orders'!$C206, "A", 'Historical Orders'!$B206, "1")</f>
        <v>0</v>
      </c>
      <c r="Z206" s="159">
        <f>SUMIFS('Historical Orders'!$E206, 'Historical Orders'!$D206, "3", 'Historical Orders'!$C206, "B", 'Historical Orders'!$B206, "1")</f>
        <v>0</v>
      </c>
      <c r="AA206" s="159">
        <f>SUMIFS('Historical Orders'!$G206, 'Historical Orders'!$D206, "3", 'Historical Orders'!$C206, "B", 'Historical Orders'!$B206, "1")</f>
        <v>0</v>
      </c>
      <c r="AB206" s="159">
        <f>SUMIFS('Historical Orders'!$E206, 'Historical Orders'!$D206, "3", 'Historical Orders'!$C206, "A", 'Historical Orders'!$B206, "2")</f>
        <v>0</v>
      </c>
      <c r="AC206" s="159">
        <f>SUMIFS('Historical Orders'!$G206, 'Historical Orders'!$D206, "3", 'Historical Orders'!$C206, "A", 'Historical Orders'!$B206, "2")</f>
        <v>0</v>
      </c>
      <c r="AD206" s="159">
        <f>SUMIFS('Historical Orders'!$E206, 'Historical Orders'!$D206, "3", 'Historical Orders'!$C206, "B", 'Historical Orders'!$B206, "2")</f>
        <v>0</v>
      </c>
      <c r="AE206" s="157">
        <f>SUMIFS('Historical Orders'!$G206, 'Historical Orders'!$D206, "3", 'Historical Orders'!$C206, "B", 'Historical Orders'!$B206, "2")</f>
        <v>0</v>
      </c>
      <c r="AF206" s="157">
        <f>SUMIFS('Historical Orders'!$E206, 'Historical Orders'!$D206, "4", 'Historical Orders'!$C206, "A", 'Historical Orders'!$B206, "1")</f>
        <v>0</v>
      </c>
      <c r="AG206" s="157">
        <f>SUMIFS('Historical Orders'!$G206, 'Historical Orders'!$D206, "4", 'Historical Orders'!$C206, "A", 'Historical Orders'!$B206, "1")</f>
        <v>0</v>
      </c>
      <c r="AH206" s="157">
        <f>SUMIFS('Historical Orders'!$E206, 'Historical Orders'!$D206, "4", 'Historical Orders'!$C206, "B", 'Historical Orders'!$B206, "1")</f>
        <v>0</v>
      </c>
      <c r="AI206" s="157">
        <f>SUMIFS('Historical Orders'!$G206, 'Historical Orders'!$D206, "4", 'Historical Orders'!$C206, "B", 'Historical Orders'!$B206, "1")</f>
        <v>0</v>
      </c>
      <c r="AJ206" s="157">
        <f>SUMIFS('Historical Orders'!$E206, 'Historical Orders'!$D206, "4", 'Historical Orders'!$C206, "A", 'Historical Orders'!$B206, "2")</f>
        <v>0</v>
      </c>
      <c r="AK206" s="157">
        <f>SUMIFS('Historical Orders'!$G206, 'Historical Orders'!$D206, "4", 'Historical Orders'!$C206, "A", 'Historical Orders'!$B206, "2")</f>
        <v>0</v>
      </c>
      <c r="AL206" s="171">
        <f>SUMIFS('Historical Orders'!$E206, 'Historical Orders'!$D206, "4", 'Historical Orders'!$C206, "B", 'Historical Orders'!$B206, "2")</f>
        <v>0</v>
      </c>
      <c r="AM206" s="171">
        <f>SUMIFS('Historical Orders'!$G206, 'Historical Orders'!$D206, "4", 'Historical Orders'!$C206, "B", 'Historical Orders'!$B206, "2")</f>
        <v>0</v>
      </c>
      <c r="AN206" s="171">
        <f>SUMIFS('Historical Orders'!$G206, 'Historical Orders'!$C206, "A", 'Historical Orders'!$B206, "1")</f>
        <v>9834</v>
      </c>
      <c r="AO206" s="171">
        <f>SUMIFS('Historical Orders'!$G206, 'Historical Orders'!$C206, "B", 'Historical Orders'!$B206, "1")</f>
        <v>0</v>
      </c>
      <c r="AP206" s="171">
        <f>SUMIFS('Historical Orders'!$G206, 'Historical Orders'!$C206, "A", 'Historical Orders'!$B206, "2")</f>
        <v>0</v>
      </c>
      <c r="AQ206" s="171">
        <f>SUMIFS('Historical Orders'!$G206, 'Historical Orders'!$C206, "B", 'Historical Orders'!$B206, "2")</f>
        <v>0</v>
      </c>
      <c r="AR206" s="145"/>
      <c r="AS206" s="172"/>
      <c r="AT206" s="172"/>
      <c r="AU206" s="172"/>
      <c r="AV206" s="172"/>
      <c r="AW206" s="172"/>
      <c r="AX206" s="172"/>
      <c r="AY206" s="172"/>
      <c r="AZ206" s="172"/>
      <c r="BA206" s="172"/>
      <c r="BB206" s="172"/>
      <c r="BC206" s="172"/>
      <c r="BD206" s="172"/>
      <c r="BE206" s="172"/>
      <c r="BF206" s="172"/>
      <c r="BG206" s="172"/>
      <c r="BH206" s="172"/>
      <c r="BI206" s="172"/>
      <c r="BJ206" s="172"/>
      <c r="BK206" s="172"/>
      <c r="BL206" s="172"/>
      <c r="BM206" s="172"/>
      <c r="BN206" s="172"/>
      <c r="BO206" s="172"/>
      <c r="BP206" s="172"/>
      <c r="BQ206" s="172"/>
      <c r="BR206" s="172"/>
      <c r="BS206" s="172"/>
      <c r="BT206" s="172"/>
      <c r="BU206" s="172"/>
      <c r="BV206" s="179"/>
      <c r="BW206" s="179"/>
      <c r="BX206" s="179"/>
      <c r="BY206" s="179"/>
      <c r="BZ206" s="179"/>
      <c r="CA206" s="179"/>
      <c r="CB206" s="179"/>
      <c r="CC206" s="179"/>
      <c r="CD206" s="179"/>
      <c r="CE206" s="179"/>
    </row>
    <row r="207" ht="15.75" customHeight="1">
      <c r="A207" s="151">
        <v>42093.0</v>
      </c>
      <c r="B207" s="152">
        <v>1.0</v>
      </c>
      <c r="C207" s="152" t="s">
        <v>45</v>
      </c>
      <c r="D207" s="152">
        <v>2.0</v>
      </c>
      <c r="E207" s="153">
        <v>5517.0</v>
      </c>
      <c r="F207" s="154">
        <v>1.2</v>
      </c>
      <c r="G207" s="155">
        <v>6620.4</v>
      </c>
      <c r="H207" s="159">
        <f>SUMIFS('Historical Orders'!$E207, 'Historical Orders'!$D207, "1", 'Historical Orders'!$C207, "A", 'Historical Orders'!$B207, "1")</f>
        <v>0</v>
      </c>
      <c r="I207" s="157">
        <f>SUMIFS('Historical Orders'!$G207, 'Historical Orders'!$D207, "1", 'Historical Orders'!$C207, "A", 'Historical Orders'!$B207, "1")</f>
        <v>0</v>
      </c>
      <c r="J207" s="157">
        <f>SUMIFS('Historical Orders'!$E207, 'Historical Orders'!$D207, "1", 'Historical Orders'!$C207, "B", 'Historical Orders'!$B207, "1")</f>
        <v>0</v>
      </c>
      <c r="K207" s="157">
        <f>SUMIFS('Historical Orders'!$G207, 'Historical Orders'!$D207, "1", 'Historical Orders'!$C207, "B", 'Historical Orders'!$B207, "1")</f>
        <v>0</v>
      </c>
      <c r="L207" s="159">
        <f>SUMIFS('Historical Orders'!$E207, 'Historical Orders'!$D207, "1", 'Historical Orders'!$C207, "A", 'Historical Orders'!$B207, "2")</f>
        <v>0</v>
      </c>
      <c r="M207" s="157">
        <f>SUMIFS('Historical Orders'!$G207, 'Historical Orders'!$D207, "1", 'Historical Orders'!$C207, "A", 'Historical Orders'!$B207, "2")</f>
        <v>0</v>
      </c>
      <c r="N207" s="157">
        <f>SUMIFS('Historical Orders'!$E207, 'Historical Orders'!$D207, "1", 'Historical Orders'!$C207, "B", 'Historical Orders'!$B207, "2")</f>
        <v>0</v>
      </c>
      <c r="O207" s="157">
        <f>SUMIFS('Historical Orders'!$G207, 'Historical Orders'!$D207, "1", 'Historical Orders'!$C207, "B", 'Historical Orders'!$B207, "2")</f>
        <v>0</v>
      </c>
      <c r="P207" s="159">
        <f>SUMIFS('Historical Orders'!$E207, 'Historical Orders'!$D207, "2", 'Historical Orders'!$C207, "A", 'Historical Orders'!$B207, "1")</f>
        <v>5517</v>
      </c>
      <c r="Q207" s="157">
        <f>SUMIFS('Historical Orders'!$G207, 'Historical Orders'!$D207, "2", 'Historical Orders'!$C207, "A", 'Historical Orders'!$B207, "1")</f>
        <v>6620.4</v>
      </c>
      <c r="R207" s="159">
        <f>SUMIFS('Historical Orders'!$E207, 'Historical Orders'!$D207, "2", 'Historical Orders'!$C207, "B", 'Historical Orders'!$B207, "1")</f>
        <v>0</v>
      </c>
      <c r="S207" s="157">
        <f>SUMIFS('Historical Orders'!$G207, 'Historical Orders'!$D207, "2", 'Historical Orders'!$C207, "B", 'Historical Orders'!$B207, "1")</f>
        <v>0</v>
      </c>
      <c r="T207" s="159">
        <f>SUMIFS('Historical Orders'!$E207, 'Historical Orders'!$D207, "2", 'Historical Orders'!$C207, "A", 'Historical Orders'!$B207, "2")</f>
        <v>0</v>
      </c>
      <c r="U207" s="157">
        <f>SUMIFS('Historical Orders'!$G207, 'Historical Orders'!$D207, "2", 'Historical Orders'!$C207, "A", 'Historical Orders'!$B207, "2")</f>
        <v>0</v>
      </c>
      <c r="V207" s="159">
        <f>SUMIFS('Historical Orders'!$E207, 'Historical Orders'!$D207, "2", 'Historical Orders'!$C207, "B", 'Historical Orders'!$B207, "2")</f>
        <v>0</v>
      </c>
      <c r="W207" s="159">
        <f>SUMIFS('Historical Orders'!$G207, 'Historical Orders'!$D207, "2", 'Historical Orders'!$C207, "B", 'Historical Orders'!$B207, "2")</f>
        <v>0</v>
      </c>
      <c r="X207" s="159">
        <f>SUMIFS('Historical Orders'!$E207, 'Historical Orders'!$D207, "3", 'Historical Orders'!$C207, "A", 'Historical Orders'!$B207, "1")</f>
        <v>0</v>
      </c>
      <c r="Y207" s="159">
        <f>SUMIFS('Historical Orders'!$G207, 'Historical Orders'!$D207, "3", 'Historical Orders'!$C207, "A", 'Historical Orders'!$B207, "1")</f>
        <v>0</v>
      </c>
      <c r="Z207" s="159">
        <f>SUMIFS('Historical Orders'!$E207, 'Historical Orders'!$D207, "3", 'Historical Orders'!$C207, "B", 'Historical Orders'!$B207, "1")</f>
        <v>0</v>
      </c>
      <c r="AA207" s="159">
        <f>SUMIFS('Historical Orders'!$G207, 'Historical Orders'!$D207, "3", 'Historical Orders'!$C207, "B", 'Historical Orders'!$B207, "1")</f>
        <v>0</v>
      </c>
      <c r="AB207" s="159">
        <f>SUMIFS('Historical Orders'!$E207, 'Historical Orders'!$D207, "3", 'Historical Orders'!$C207, "A", 'Historical Orders'!$B207, "2")</f>
        <v>0</v>
      </c>
      <c r="AC207" s="159">
        <f>SUMIFS('Historical Orders'!$G207, 'Historical Orders'!$D207, "3", 'Historical Orders'!$C207, "A", 'Historical Orders'!$B207, "2")</f>
        <v>0</v>
      </c>
      <c r="AD207" s="159">
        <f>SUMIFS('Historical Orders'!$E207, 'Historical Orders'!$D207, "3", 'Historical Orders'!$C207, "B", 'Historical Orders'!$B207, "2")</f>
        <v>0</v>
      </c>
      <c r="AE207" s="157">
        <f>SUMIFS('Historical Orders'!$G207, 'Historical Orders'!$D207, "3", 'Historical Orders'!$C207, "B", 'Historical Orders'!$B207, "2")</f>
        <v>0</v>
      </c>
      <c r="AF207" s="157">
        <f>SUMIFS('Historical Orders'!$E207, 'Historical Orders'!$D207, "4", 'Historical Orders'!$C207, "A", 'Historical Orders'!$B207, "1")</f>
        <v>0</v>
      </c>
      <c r="AG207" s="157">
        <f>SUMIFS('Historical Orders'!$G207, 'Historical Orders'!$D207, "4", 'Historical Orders'!$C207, "A", 'Historical Orders'!$B207, "1")</f>
        <v>0</v>
      </c>
      <c r="AH207" s="157">
        <f>SUMIFS('Historical Orders'!$E207, 'Historical Orders'!$D207, "4", 'Historical Orders'!$C207, "B", 'Historical Orders'!$B207, "1")</f>
        <v>0</v>
      </c>
      <c r="AI207" s="157">
        <f>SUMIFS('Historical Orders'!$G207, 'Historical Orders'!$D207, "4", 'Historical Orders'!$C207, "B", 'Historical Orders'!$B207, "1")</f>
        <v>0</v>
      </c>
      <c r="AJ207" s="157">
        <f>SUMIFS('Historical Orders'!$E207, 'Historical Orders'!$D207, "4", 'Historical Orders'!$C207, "A", 'Historical Orders'!$B207, "2")</f>
        <v>0</v>
      </c>
      <c r="AK207" s="157">
        <f>SUMIFS('Historical Orders'!$G207, 'Historical Orders'!$D207, "4", 'Historical Orders'!$C207, "A", 'Historical Orders'!$B207, "2")</f>
        <v>0</v>
      </c>
      <c r="AL207" s="171">
        <f>SUMIFS('Historical Orders'!$E207, 'Historical Orders'!$D207, "4", 'Historical Orders'!$C207, "B", 'Historical Orders'!$B207, "2")</f>
        <v>0</v>
      </c>
      <c r="AM207" s="171">
        <f>SUMIFS('Historical Orders'!$G207, 'Historical Orders'!$D207, "4", 'Historical Orders'!$C207, "B", 'Historical Orders'!$B207, "2")</f>
        <v>0</v>
      </c>
      <c r="AN207" s="171">
        <f>SUMIFS('Historical Orders'!$G207, 'Historical Orders'!$C207, "A", 'Historical Orders'!$B207, "1")</f>
        <v>6620.4</v>
      </c>
      <c r="AO207" s="171">
        <f>SUMIFS('Historical Orders'!$G207, 'Historical Orders'!$C207, "B", 'Historical Orders'!$B207, "1")</f>
        <v>0</v>
      </c>
      <c r="AP207" s="171">
        <f>SUMIFS('Historical Orders'!$G207, 'Historical Orders'!$C207, "A", 'Historical Orders'!$B207, "2")</f>
        <v>0</v>
      </c>
      <c r="AQ207" s="171">
        <f>SUMIFS('Historical Orders'!$G207, 'Historical Orders'!$C207, "B", 'Historical Orders'!$B207, "2")</f>
        <v>0</v>
      </c>
      <c r="AR207" s="145"/>
      <c r="AS207" s="172"/>
      <c r="AT207" s="172"/>
      <c r="AU207" s="172"/>
      <c r="AV207" s="172"/>
      <c r="AW207" s="172"/>
      <c r="AX207" s="172"/>
      <c r="AY207" s="172"/>
      <c r="AZ207" s="172"/>
      <c r="BA207" s="172"/>
      <c r="BB207" s="172"/>
      <c r="BC207" s="172"/>
      <c r="BD207" s="172"/>
      <c r="BE207" s="172"/>
      <c r="BF207" s="172"/>
      <c r="BG207" s="172"/>
      <c r="BH207" s="172"/>
      <c r="BI207" s="172"/>
      <c r="BJ207" s="172"/>
      <c r="BK207" s="172"/>
      <c r="BL207" s="172"/>
      <c r="BM207" s="172"/>
      <c r="BN207" s="172"/>
      <c r="BO207" s="172"/>
      <c r="BP207" s="172"/>
      <c r="BQ207" s="172"/>
      <c r="BR207" s="172"/>
      <c r="BS207" s="172"/>
      <c r="BT207" s="172"/>
      <c r="BU207" s="172"/>
      <c r="BV207" s="179"/>
      <c r="BW207" s="179"/>
      <c r="BX207" s="179"/>
      <c r="BY207" s="179"/>
      <c r="BZ207" s="179"/>
      <c r="CA207" s="179"/>
      <c r="CB207" s="179"/>
      <c r="CC207" s="179"/>
      <c r="CD207" s="179"/>
      <c r="CE207" s="179"/>
    </row>
    <row r="208" ht="15.75" customHeight="1">
      <c r="A208" s="151">
        <v>42093.0</v>
      </c>
      <c r="B208" s="152">
        <v>2.0</v>
      </c>
      <c r="C208" s="152" t="s">
        <v>45</v>
      </c>
      <c r="D208" s="152">
        <v>1.0</v>
      </c>
      <c r="E208" s="153">
        <v>2809.0</v>
      </c>
      <c r="F208" s="154">
        <v>2.2</v>
      </c>
      <c r="G208" s="155">
        <v>6179.8</v>
      </c>
      <c r="H208" s="159">
        <f>SUMIFS('Historical Orders'!$E208, 'Historical Orders'!$D208, "1", 'Historical Orders'!$C208, "A", 'Historical Orders'!$B208, "1")</f>
        <v>0</v>
      </c>
      <c r="I208" s="157">
        <f>SUMIFS('Historical Orders'!$G208, 'Historical Orders'!$D208, "1", 'Historical Orders'!$C208, "A", 'Historical Orders'!$B208, "1")</f>
        <v>0</v>
      </c>
      <c r="J208" s="157">
        <f>SUMIFS('Historical Orders'!$E208, 'Historical Orders'!$D208, "1", 'Historical Orders'!$C208, "B", 'Historical Orders'!$B208, "1")</f>
        <v>0</v>
      </c>
      <c r="K208" s="157">
        <f>SUMIFS('Historical Orders'!$G208, 'Historical Orders'!$D208, "1", 'Historical Orders'!$C208, "B", 'Historical Orders'!$B208, "1")</f>
        <v>0</v>
      </c>
      <c r="L208" s="159">
        <f>SUMIFS('Historical Orders'!$E208, 'Historical Orders'!$D208, "1", 'Historical Orders'!$C208, "A", 'Historical Orders'!$B208, "2")</f>
        <v>2809</v>
      </c>
      <c r="M208" s="157">
        <f>SUMIFS('Historical Orders'!$G208, 'Historical Orders'!$D208, "1", 'Historical Orders'!$C208, "A", 'Historical Orders'!$B208, "2")</f>
        <v>6179.8</v>
      </c>
      <c r="N208" s="157">
        <f>SUMIFS('Historical Orders'!$E208, 'Historical Orders'!$D208, "1", 'Historical Orders'!$C208, "B", 'Historical Orders'!$B208, "2")</f>
        <v>0</v>
      </c>
      <c r="O208" s="157">
        <f>SUMIFS('Historical Orders'!$G208, 'Historical Orders'!$D208, "1", 'Historical Orders'!$C208, "B", 'Historical Orders'!$B208, "2")</f>
        <v>0</v>
      </c>
      <c r="P208" s="159">
        <f>SUMIFS('Historical Orders'!$E208, 'Historical Orders'!$D208, "2", 'Historical Orders'!$C208, "A", 'Historical Orders'!$B208, "1")</f>
        <v>0</v>
      </c>
      <c r="Q208" s="157">
        <f>SUMIFS('Historical Orders'!$G208, 'Historical Orders'!$D208, "2", 'Historical Orders'!$C208, "A", 'Historical Orders'!$B208, "1")</f>
        <v>0</v>
      </c>
      <c r="R208" s="159">
        <f>SUMIFS('Historical Orders'!$E208, 'Historical Orders'!$D208, "2", 'Historical Orders'!$C208, "B", 'Historical Orders'!$B208, "1")</f>
        <v>0</v>
      </c>
      <c r="S208" s="157">
        <f>SUMIFS('Historical Orders'!$G208, 'Historical Orders'!$D208, "2", 'Historical Orders'!$C208, "B", 'Historical Orders'!$B208, "1")</f>
        <v>0</v>
      </c>
      <c r="T208" s="159">
        <f>SUMIFS('Historical Orders'!$E208, 'Historical Orders'!$D208, "2", 'Historical Orders'!$C208, "A", 'Historical Orders'!$B208, "2")</f>
        <v>0</v>
      </c>
      <c r="U208" s="157">
        <f>SUMIFS('Historical Orders'!$G208, 'Historical Orders'!$D208, "2", 'Historical Orders'!$C208, "A", 'Historical Orders'!$B208, "2")</f>
        <v>0</v>
      </c>
      <c r="V208" s="159">
        <f>SUMIFS('Historical Orders'!$E208, 'Historical Orders'!$D208, "2", 'Historical Orders'!$C208, "B", 'Historical Orders'!$B208, "2")</f>
        <v>0</v>
      </c>
      <c r="W208" s="159">
        <f>SUMIFS('Historical Orders'!$G208, 'Historical Orders'!$D208, "2", 'Historical Orders'!$C208, "B", 'Historical Orders'!$B208, "2")</f>
        <v>0</v>
      </c>
      <c r="X208" s="159">
        <f>SUMIFS('Historical Orders'!$E208, 'Historical Orders'!$D208, "3", 'Historical Orders'!$C208, "A", 'Historical Orders'!$B208, "1")</f>
        <v>0</v>
      </c>
      <c r="Y208" s="159">
        <f>SUMIFS('Historical Orders'!$G208, 'Historical Orders'!$D208, "3", 'Historical Orders'!$C208, "A", 'Historical Orders'!$B208, "1")</f>
        <v>0</v>
      </c>
      <c r="Z208" s="159">
        <f>SUMIFS('Historical Orders'!$E208, 'Historical Orders'!$D208, "3", 'Historical Orders'!$C208, "B", 'Historical Orders'!$B208, "1")</f>
        <v>0</v>
      </c>
      <c r="AA208" s="159">
        <f>SUMIFS('Historical Orders'!$G208, 'Historical Orders'!$D208, "3", 'Historical Orders'!$C208, "B", 'Historical Orders'!$B208, "1")</f>
        <v>0</v>
      </c>
      <c r="AB208" s="159">
        <f>SUMIFS('Historical Orders'!$E208, 'Historical Orders'!$D208, "3", 'Historical Orders'!$C208, "A", 'Historical Orders'!$B208, "2")</f>
        <v>0</v>
      </c>
      <c r="AC208" s="159">
        <f>SUMIFS('Historical Orders'!$G208, 'Historical Orders'!$D208, "3", 'Historical Orders'!$C208, "A", 'Historical Orders'!$B208, "2")</f>
        <v>0</v>
      </c>
      <c r="AD208" s="159">
        <f>SUMIFS('Historical Orders'!$E208, 'Historical Orders'!$D208, "3", 'Historical Orders'!$C208, "B", 'Historical Orders'!$B208, "2")</f>
        <v>0</v>
      </c>
      <c r="AE208" s="157">
        <f>SUMIFS('Historical Orders'!$G208, 'Historical Orders'!$D208, "3", 'Historical Orders'!$C208, "B", 'Historical Orders'!$B208, "2")</f>
        <v>0</v>
      </c>
      <c r="AF208" s="157">
        <f>SUMIFS('Historical Orders'!$E208, 'Historical Orders'!$D208, "4", 'Historical Orders'!$C208, "A", 'Historical Orders'!$B208, "1")</f>
        <v>0</v>
      </c>
      <c r="AG208" s="157">
        <f>SUMIFS('Historical Orders'!$G208, 'Historical Orders'!$D208, "4", 'Historical Orders'!$C208, "A", 'Historical Orders'!$B208, "1")</f>
        <v>0</v>
      </c>
      <c r="AH208" s="157">
        <f>SUMIFS('Historical Orders'!$E208, 'Historical Orders'!$D208, "4", 'Historical Orders'!$C208, "B", 'Historical Orders'!$B208, "1")</f>
        <v>0</v>
      </c>
      <c r="AI208" s="157">
        <f>SUMIFS('Historical Orders'!$G208, 'Historical Orders'!$D208, "4", 'Historical Orders'!$C208, "B", 'Historical Orders'!$B208, "1")</f>
        <v>0</v>
      </c>
      <c r="AJ208" s="157">
        <f>SUMIFS('Historical Orders'!$E208, 'Historical Orders'!$D208, "4", 'Historical Orders'!$C208, "A", 'Historical Orders'!$B208, "2")</f>
        <v>0</v>
      </c>
      <c r="AK208" s="157">
        <f>SUMIFS('Historical Orders'!$G208, 'Historical Orders'!$D208, "4", 'Historical Orders'!$C208, "A", 'Historical Orders'!$B208, "2")</f>
        <v>0</v>
      </c>
      <c r="AL208" s="171">
        <f>SUMIFS('Historical Orders'!$E208, 'Historical Orders'!$D208, "4", 'Historical Orders'!$C208, "B", 'Historical Orders'!$B208, "2")</f>
        <v>0</v>
      </c>
      <c r="AM208" s="171">
        <f>SUMIFS('Historical Orders'!$G208, 'Historical Orders'!$D208, "4", 'Historical Orders'!$C208, "B", 'Historical Orders'!$B208, "2")</f>
        <v>0</v>
      </c>
      <c r="AN208" s="171">
        <f>SUMIFS('Historical Orders'!$G208, 'Historical Orders'!$C208, "A", 'Historical Orders'!$B208, "1")</f>
        <v>0</v>
      </c>
      <c r="AO208" s="171">
        <f>SUMIFS('Historical Orders'!$G208, 'Historical Orders'!$C208, "B", 'Historical Orders'!$B208, "1")</f>
        <v>0</v>
      </c>
      <c r="AP208" s="171">
        <f>SUMIFS('Historical Orders'!$G208, 'Historical Orders'!$C208, "A", 'Historical Orders'!$B208, "2")</f>
        <v>6179.8</v>
      </c>
      <c r="AQ208" s="171">
        <f>SUMIFS('Historical Orders'!$G208, 'Historical Orders'!$C208, "B", 'Historical Orders'!$B208, "2")</f>
        <v>0</v>
      </c>
      <c r="AR208" s="145"/>
      <c r="AS208" s="172"/>
      <c r="AT208" s="172"/>
      <c r="AU208" s="172"/>
      <c r="AV208" s="172"/>
      <c r="AW208" s="172"/>
      <c r="AX208" s="172"/>
      <c r="AY208" s="172"/>
      <c r="AZ208" s="172"/>
      <c r="BA208" s="172"/>
      <c r="BB208" s="172"/>
      <c r="BC208" s="172"/>
      <c r="BD208" s="172"/>
      <c r="BE208" s="172"/>
      <c r="BF208" s="172"/>
      <c r="BG208" s="172"/>
      <c r="BH208" s="172"/>
      <c r="BI208" s="172"/>
      <c r="BJ208" s="172"/>
      <c r="BK208" s="172"/>
      <c r="BL208" s="172"/>
      <c r="BM208" s="172"/>
      <c r="BN208" s="172"/>
      <c r="BO208" s="172"/>
      <c r="BP208" s="172"/>
      <c r="BQ208" s="172"/>
      <c r="BR208" s="172"/>
      <c r="BS208" s="172"/>
      <c r="BT208" s="172"/>
      <c r="BU208" s="172"/>
      <c r="BV208" s="179"/>
      <c r="BW208" s="179"/>
      <c r="BX208" s="179"/>
      <c r="BY208" s="179"/>
      <c r="BZ208" s="179"/>
      <c r="CA208" s="179"/>
      <c r="CB208" s="179"/>
      <c r="CC208" s="179"/>
      <c r="CD208" s="179"/>
      <c r="CE208" s="179"/>
    </row>
    <row r="209" ht="15.75" customHeight="1">
      <c r="A209" s="151">
        <v>42093.0</v>
      </c>
      <c r="B209" s="152">
        <v>2.0</v>
      </c>
      <c r="C209" s="152" t="s">
        <v>45</v>
      </c>
      <c r="D209" s="152">
        <v>2.0</v>
      </c>
      <c r="E209" s="153">
        <v>6551.0</v>
      </c>
      <c r="F209" s="154">
        <v>1.2</v>
      </c>
      <c r="G209" s="155">
        <v>7861.2</v>
      </c>
      <c r="H209" s="159">
        <f>SUMIFS('Historical Orders'!$E209, 'Historical Orders'!$D209, "1", 'Historical Orders'!$C209, "A", 'Historical Orders'!$B209, "1")</f>
        <v>0</v>
      </c>
      <c r="I209" s="157">
        <f>SUMIFS('Historical Orders'!$G209, 'Historical Orders'!$D209, "1", 'Historical Orders'!$C209, "A", 'Historical Orders'!$B209, "1")</f>
        <v>0</v>
      </c>
      <c r="J209" s="157">
        <f>SUMIFS('Historical Orders'!$E209, 'Historical Orders'!$D209, "1", 'Historical Orders'!$C209, "B", 'Historical Orders'!$B209, "1")</f>
        <v>0</v>
      </c>
      <c r="K209" s="157">
        <f>SUMIFS('Historical Orders'!$G209, 'Historical Orders'!$D209, "1", 'Historical Orders'!$C209, "B", 'Historical Orders'!$B209, "1")</f>
        <v>0</v>
      </c>
      <c r="L209" s="159">
        <f>SUMIFS('Historical Orders'!$E209, 'Historical Orders'!$D209, "1", 'Historical Orders'!$C209, "A", 'Historical Orders'!$B209, "2")</f>
        <v>0</v>
      </c>
      <c r="M209" s="157">
        <f>SUMIFS('Historical Orders'!$G209, 'Historical Orders'!$D209, "1", 'Historical Orders'!$C209, "A", 'Historical Orders'!$B209, "2")</f>
        <v>0</v>
      </c>
      <c r="N209" s="157">
        <f>SUMIFS('Historical Orders'!$E209, 'Historical Orders'!$D209, "1", 'Historical Orders'!$C209, "B", 'Historical Orders'!$B209, "2")</f>
        <v>0</v>
      </c>
      <c r="O209" s="157">
        <f>SUMIFS('Historical Orders'!$G209, 'Historical Orders'!$D209, "1", 'Historical Orders'!$C209, "B", 'Historical Orders'!$B209, "2")</f>
        <v>0</v>
      </c>
      <c r="P209" s="159">
        <f>SUMIFS('Historical Orders'!$E209, 'Historical Orders'!$D209, "2", 'Historical Orders'!$C209, "A", 'Historical Orders'!$B209, "1")</f>
        <v>0</v>
      </c>
      <c r="Q209" s="157">
        <f>SUMIFS('Historical Orders'!$G209, 'Historical Orders'!$D209, "2", 'Historical Orders'!$C209, "A", 'Historical Orders'!$B209, "1")</f>
        <v>0</v>
      </c>
      <c r="R209" s="159">
        <f>SUMIFS('Historical Orders'!$E209, 'Historical Orders'!$D209, "2", 'Historical Orders'!$C209, "B", 'Historical Orders'!$B209, "1")</f>
        <v>0</v>
      </c>
      <c r="S209" s="157">
        <f>SUMIFS('Historical Orders'!$G209, 'Historical Orders'!$D209, "2", 'Historical Orders'!$C209, "B", 'Historical Orders'!$B209, "1")</f>
        <v>0</v>
      </c>
      <c r="T209" s="159">
        <f>SUMIFS('Historical Orders'!$E209, 'Historical Orders'!$D209, "2", 'Historical Orders'!$C209, "A", 'Historical Orders'!$B209, "2")</f>
        <v>6551</v>
      </c>
      <c r="U209" s="157">
        <f>SUMIFS('Historical Orders'!$G209, 'Historical Orders'!$D209, "2", 'Historical Orders'!$C209, "A", 'Historical Orders'!$B209, "2")</f>
        <v>7861.2</v>
      </c>
      <c r="V209" s="159">
        <f>SUMIFS('Historical Orders'!$E209, 'Historical Orders'!$D209, "2", 'Historical Orders'!$C209, "B", 'Historical Orders'!$B209, "2")</f>
        <v>0</v>
      </c>
      <c r="W209" s="159">
        <f>SUMIFS('Historical Orders'!$G209, 'Historical Orders'!$D209, "2", 'Historical Orders'!$C209, "B", 'Historical Orders'!$B209, "2")</f>
        <v>0</v>
      </c>
      <c r="X209" s="159">
        <f>SUMIFS('Historical Orders'!$E209, 'Historical Orders'!$D209, "3", 'Historical Orders'!$C209, "A", 'Historical Orders'!$B209, "1")</f>
        <v>0</v>
      </c>
      <c r="Y209" s="159">
        <f>SUMIFS('Historical Orders'!$G209, 'Historical Orders'!$D209, "3", 'Historical Orders'!$C209, "A", 'Historical Orders'!$B209, "1")</f>
        <v>0</v>
      </c>
      <c r="Z209" s="159">
        <f>SUMIFS('Historical Orders'!$E209, 'Historical Orders'!$D209, "3", 'Historical Orders'!$C209, "B", 'Historical Orders'!$B209, "1")</f>
        <v>0</v>
      </c>
      <c r="AA209" s="159">
        <f>SUMIFS('Historical Orders'!$G209, 'Historical Orders'!$D209, "3", 'Historical Orders'!$C209, "B", 'Historical Orders'!$B209, "1")</f>
        <v>0</v>
      </c>
      <c r="AB209" s="159">
        <f>SUMIFS('Historical Orders'!$E209, 'Historical Orders'!$D209, "3", 'Historical Orders'!$C209, "A", 'Historical Orders'!$B209, "2")</f>
        <v>0</v>
      </c>
      <c r="AC209" s="159">
        <f>SUMIFS('Historical Orders'!$G209, 'Historical Orders'!$D209, "3", 'Historical Orders'!$C209, "A", 'Historical Orders'!$B209, "2")</f>
        <v>0</v>
      </c>
      <c r="AD209" s="159">
        <f>SUMIFS('Historical Orders'!$E209, 'Historical Orders'!$D209, "3", 'Historical Orders'!$C209, "B", 'Historical Orders'!$B209, "2")</f>
        <v>0</v>
      </c>
      <c r="AE209" s="157">
        <f>SUMIFS('Historical Orders'!$G209, 'Historical Orders'!$D209, "3", 'Historical Orders'!$C209, "B", 'Historical Orders'!$B209, "2")</f>
        <v>0</v>
      </c>
      <c r="AF209" s="157">
        <f>SUMIFS('Historical Orders'!$E209, 'Historical Orders'!$D209, "4", 'Historical Orders'!$C209, "A", 'Historical Orders'!$B209, "1")</f>
        <v>0</v>
      </c>
      <c r="AG209" s="157">
        <f>SUMIFS('Historical Orders'!$G209, 'Historical Orders'!$D209, "4", 'Historical Orders'!$C209, "A", 'Historical Orders'!$B209, "1")</f>
        <v>0</v>
      </c>
      <c r="AH209" s="157">
        <f>SUMIFS('Historical Orders'!$E209, 'Historical Orders'!$D209, "4", 'Historical Orders'!$C209, "B", 'Historical Orders'!$B209, "1")</f>
        <v>0</v>
      </c>
      <c r="AI209" s="157">
        <f>SUMIFS('Historical Orders'!$G209, 'Historical Orders'!$D209, "4", 'Historical Orders'!$C209, "B", 'Historical Orders'!$B209, "1")</f>
        <v>0</v>
      </c>
      <c r="AJ209" s="157">
        <f>SUMIFS('Historical Orders'!$E209, 'Historical Orders'!$D209, "4", 'Historical Orders'!$C209, "A", 'Historical Orders'!$B209, "2")</f>
        <v>0</v>
      </c>
      <c r="AK209" s="157">
        <f>SUMIFS('Historical Orders'!$G209, 'Historical Orders'!$D209, "4", 'Historical Orders'!$C209, "A", 'Historical Orders'!$B209, "2")</f>
        <v>0</v>
      </c>
      <c r="AL209" s="171">
        <f>SUMIFS('Historical Orders'!$E209, 'Historical Orders'!$D209, "4", 'Historical Orders'!$C209, "B", 'Historical Orders'!$B209, "2")</f>
        <v>0</v>
      </c>
      <c r="AM209" s="171">
        <f>SUMIFS('Historical Orders'!$G209, 'Historical Orders'!$D209, "4", 'Historical Orders'!$C209, "B", 'Historical Orders'!$B209, "2")</f>
        <v>0</v>
      </c>
      <c r="AN209" s="171">
        <f>SUMIFS('Historical Orders'!$G209, 'Historical Orders'!$C209, "A", 'Historical Orders'!$B209, "1")</f>
        <v>0</v>
      </c>
      <c r="AO209" s="171">
        <f>SUMIFS('Historical Orders'!$G209, 'Historical Orders'!$C209, "B", 'Historical Orders'!$B209, "1")</f>
        <v>0</v>
      </c>
      <c r="AP209" s="171">
        <f>SUMIFS('Historical Orders'!$G209, 'Historical Orders'!$C209, "A", 'Historical Orders'!$B209, "2")</f>
        <v>7861.2</v>
      </c>
      <c r="AQ209" s="171">
        <f>SUMIFS('Historical Orders'!$G209, 'Historical Orders'!$C209, "B", 'Historical Orders'!$B209, "2")</f>
        <v>0</v>
      </c>
      <c r="AR209" s="145"/>
      <c r="AS209" s="172"/>
      <c r="AT209" s="172"/>
      <c r="AU209" s="172"/>
      <c r="AV209" s="172"/>
      <c r="AW209" s="172"/>
      <c r="AX209" s="172"/>
      <c r="AY209" s="172"/>
      <c r="AZ209" s="172"/>
      <c r="BA209" s="172"/>
      <c r="BB209" s="172"/>
      <c r="BC209" s="172"/>
      <c r="BD209" s="172"/>
      <c r="BE209" s="172"/>
      <c r="BF209" s="172"/>
      <c r="BG209" s="172"/>
      <c r="BH209" s="172"/>
      <c r="BI209" s="172"/>
      <c r="BJ209" s="172"/>
      <c r="BK209" s="172"/>
      <c r="BL209" s="172"/>
      <c r="BM209" s="172"/>
      <c r="BN209" s="172"/>
      <c r="BO209" s="172"/>
      <c r="BP209" s="172"/>
      <c r="BQ209" s="172"/>
      <c r="BR209" s="172"/>
      <c r="BS209" s="172"/>
      <c r="BT209" s="172"/>
      <c r="BU209" s="172"/>
      <c r="BV209" s="179"/>
      <c r="BW209" s="179"/>
      <c r="BX209" s="179"/>
      <c r="BY209" s="179"/>
      <c r="BZ209" s="179"/>
      <c r="CA209" s="179"/>
      <c r="CB209" s="179"/>
      <c r="CC209" s="179"/>
      <c r="CD209" s="179"/>
      <c r="CE209" s="179"/>
    </row>
    <row r="210" ht="15.75" customHeight="1">
      <c r="A210" s="151">
        <v>42093.0</v>
      </c>
      <c r="B210" s="152">
        <v>1.0</v>
      </c>
      <c r="C210" s="152" t="s">
        <v>46</v>
      </c>
      <c r="D210" s="152">
        <v>3.0</v>
      </c>
      <c r="E210" s="153">
        <v>2174.0</v>
      </c>
      <c r="F210" s="154">
        <v>8.3</v>
      </c>
      <c r="G210" s="155">
        <v>18044.2</v>
      </c>
      <c r="H210" s="159">
        <f>SUMIFS('Historical Orders'!$E210, 'Historical Orders'!$D210, "1", 'Historical Orders'!$C210, "A", 'Historical Orders'!$B210, "1")</f>
        <v>0</v>
      </c>
      <c r="I210" s="157">
        <f>SUMIFS('Historical Orders'!$G210, 'Historical Orders'!$D210, "1", 'Historical Orders'!$C210, "A", 'Historical Orders'!$B210, "1")</f>
        <v>0</v>
      </c>
      <c r="J210" s="157">
        <f>SUMIFS('Historical Orders'!$E210, 'Historical Orders'!$D210, "1", 'Historical Orders'!$C210, "B", 'Historical Orders'!$B210, "1")</f>
        <v>0</v>
      </c>
      <c r="K210" s="157">
        <f>SUMIFS('Historical Orders'!$G210, 'Historical Orders'!$D210, "1", 'Historical Orders'!$C210, "B", 'Historical Orders'!$B210, "1")</f>
        <v>0</v>
      </c>
      <c r="L210" s="159">
        <f>SUMIFS('Historical Orders'!$E210, 'Historical Orders'!$D210, "1", 'Historical Orders'!$C210, "A", 'Historical Orders'!$B210, "2")</f>
        <v>0</v>
      </c>
      <c r="M210" s="157">
        <f>SUMIFS('Historical Orders'!$G210, 'Historical Orders'!$D210, "1", 'Historical Orders'!$C210, "A", 'Historical Orders'!$B210, "2")</f>
        <v>0</v>
      </c>
      <c r="N210" s="157">
        <f>SUMIFS('Historical Orders'!$E210, 'Historical Orders'!$D210, "1", 'Historical Orders'!$C210, "B", 'Historical Orders'!$B210, "2")</f>
        <v>0</v>
      </c>
      <c r="O210" s="157">
        <f>SUMIFS('Historical Orders'!$G210, 'Historical Orders'!$D210, "1", 'Historical Orders'!$C210, "B", 'Historical Orders'!$B210, "2")</f>
        <v>0</v>
      </c>
      <c r="P210" s="159">
        <f>SUMIFS('Historical Orders'!$E210, 'Historical Orders'!$D210, "2", 'Historical Orders'!$C210, "A", 'Historical Orders'!$B210, "1")</f>
        <v>0</v>
      </c>
      <c r="Q210" s="157">
        <f>SUMIFS('Historical Orders'!$G210, 'Historical Orders'!$D210, "2", 'Historical Orders'!$C210, "A", 'Historical Orders'!$B210, "1")</f>
        <v>0</v>
      </c>
      <c r="R210" s="159">
        <f>SUMIFS('Historical Orders'!$E210, 'Historical Orders'!$D210, "2", 'Historical Orders'!$C210, "B", 'Historical Orders'!$B210, "1")</f>
        <v>0</v>
      </c>
      <c r="S210" s="157">
        <f>SUMIFS('Historical Orders'!$G210, 'Historical Orders'!$D210, "2", 'Historical Orders'!$C210, "B", 'Historical Orders'!$B210, "1")</f>
        <v>0</v>
      </c>
      <c r="T210" s="159">
        <f>SUMIFS('Historical Orders'!$E210, 'Historical Orders'!$D210, "2", 'Historical Orders'!$C210, "A", 'Historical Orders'!$B210, "2")</f>
        <v>0</v>
      </c>
      <c r="U210" s="157">
        <f>SUMIFS('Historical Orders'!$G210, 'Historical Orders'!$D210, "2", 'Historical Orders'!$C210, "A", 'Historical Orders'!$B210, "2")</f>
        <v>0</v>
      </c>
      <c r="V210" s="159">
        <f>SUMIFS('Historical Orders'!$E210, 'Historical Orders'!$D210, "2", 'Historical Orders'!$C210, "B", 'Historical Orders'!$B210, "2")</f>
        <v>0</v>
      </c>
      <c r="W210" s="159">
        <f>SUMIFS('Historical Orders'!$G210, 'Historical Orders'!$D210, "2", 'Historical Orders'!$C210, "B", 'Historical Orders'!$B210, "2")</f>
        <v>0</v>
      </c>
      <c r="X210" s="159">
        <f>SUMIFS('Historical Orders'!$E210, 'Historical Orders'!$D210, "3", 'Historical Orders'!$C210, "A", 'Historical Orders'!$B210, "1")</f>
        <v>0</v>
      </c>
      <c r="Y210" s="159">
        <f>SUMIFS('Historical Orders'!$G210, 'Historical Orders'!$D210, "3", 'Historical Orders'!$C210, "A", 'Historical Orders'!$B210, "1")</f>
        <v>0</v>
      </c>
      <c r="Z210" s="159">
        <f>SUMIFS('Historical Orders'!$E210, 'Historical Orders'!$D210, "3", 'Historical Orders'!$C210, "B", 'Historical Orders'!$B210, "1")</f>
        <v>2174</v>
      </c>
      <c r="AA210" s="159">
        <f>SUMIFS('Historical Orders'!$G210, 'Historical Orders'!$D210, "3", 'Historical Orders'!$C210, "B", 'Historical Orders'!$B210, "1")</f>
        <v>18044.2</v>
      </c>
      <c r="AB210" s="159">
        <f>SUMIFS('Historical Orders'!$E210, 'Historical Orders'!$D210, "3", 'Historical Orders'!$C210, "A", 'Historical Orders'!$B210, "2")</f>
        <v>0</v>
      </c>
      <c r="AC210" s="159">
        <f>SUMIFS('Historical Orders'!$G210, 'Historical Orders'!$D210, "3", 'Historical Orders'!$C210, "A", 'Historical Orders'!$B210, "2")</f>
        <v>0</v>
      </c>
      <c r="AD210" s="159">
        <f>SUMIFS('Historical Orders'!$E210, 'Historical Orders'!$D210, "3", 'Historical Orders'!$C210, "B", 'Historical Orders'!$B210, "2")</f>
        <v>0</v>
      </c>
      <c r="AE210" s="157">
        <f>SUMIFS('Historical Orders'!$G210, 'Historical Orders'!$D210, "3", 'Historical Orders'!$C210, "B", 'Historical Orders'!$B210, "2")</f>
        <v>0</v>
      </c>
      <c r="AF210" s="157">
        <f>SUMIFS('Historical Orders'!$E210, 'Historical Orders'!$D210, "4", 'Historical Orders'!$C210, "A", 'Historical Orders'!$B210, "1")</f>
        <v>0</v>
      </c>
      <c r="AG210" s="157">
        <f>SUMIFS('Historical Orders'!$G210, 'Historical Orders'!$D210, "4", 'Historical Orders'!$C210, "A", 'Historical Orders'!$B210, "1")</f>
        <v>0</v>
      </c>
      <c r="AH210" s="157">
        <f>SUMIFS('Historical Orders'!$E210, 'Historical Orders'!$D210, "4", 'Historical Orders'!$C210, "B", 'Historical Orders'!$B210, "1")</f>
        <v>0</v>
      </c>
      <c r="AI210" s="157">
        <f>SUMIFS('Historical Orders'!$G210, 'Historical Orders'!$D210, "4", 'Historical Orders'!$C210, "B", 'Historical Orders'!$B210, "1")</f>
        <v>0</v>
      </c>
      <c r="AJ210" s="157">
        <f>SUMIFS('Historical Orders'!$E210, 'Historical Orders'!$D210, "4", 'Historical Orders'!$C210, "A", 'Historical Orders'!$B210, "2")</f>
        <v>0</v>
      </c>
      <c r="AK210" s="157">
        <f>SUMIFS('Historical Orders'!$G210, 'Historical Orders'!$D210, "4", 'Historical Orders'!$C210, "A", 'Historical Orders'!$B210, "2")</f>
        <v>0</v>
      </c>
      <c r="AL210" s="171">
        <f>SUMIFS('Historical Orders'!$E210, 'Historical Orders'!$D210, "4", 'Historical Orders'!$C210, "B", 'Historical Orders'!$B210, "2")</f>
        <v>0</v>
      </c>
      <c r="AM210" s="171">
        <f>SUMIFS('Historical Orders'!$G210, 'Historical Orders'!$D210, "4", 'Historical Orders'!$C210, "B", 'Historical Orders'!$B210, "2")</f>
        <v>0</v>
      </c>
      <c r="AN210" s="171">
        <f>SUMIFS('Historical Orders'!$G210, 'Historical Orders'!$C210, "A", 'Historical Orders'!$B210, "1")</f>
        <v>0</v>
      </c>
      <c r="AO210" s="171">
        <f>SUMIFS('Historical Orders'!$G210, 'Historical Orders'!$C210, "B", 'Historical Orders'!$B210, "1")</f>
        <v>18044.2</v>
      </c>
      <c r="AP210" s="171">
        <f>SUMIFS('Historical Orders'!$G210, 'Historical Orders'!$C210, "A", 'Historical Orders'!$B210, "2")</f>
        <v>0</v>
      </c>
      <c r="AQ210" s="171">
        <f>SUMIFS('Historical Orders'!$G210, 'Historical Orders'!$C210, "B", 'Historical Orders'!$B210, "2")</f>
        <v>0</v>
      </c>
      <c r="AR210" s="145"/>
      <c r="AS210" s="172"/>
      <c r="AT210" s="172"/>
      <c r="AU210" s="172"/>
      <c r="AV210" s="172"/>
      <c r="AW210" s="172"/>
      <c r="AX210" s="172"/>
      <c r="AY210" s="172"/>
      <c r="AZ210" s="172"/>
      <c r="BA210" s="172"/>
      <c r="BB210" s="172"/>
      <c r="BC210" s="172"/>
      <c r="BD210" s="172"/>
      <c r="BE210" s="172"/>
      <c r="BF210" s="172"/>
      <c r="BG210" s="172"/>
      <c r="BH210" s="172"/>
      <c r="BI210" s="172"/>
      <c r="BJ210" s="172"/>
      <c r="BK210" s="172"/>
      <c r="BL210" s="172"/>
      <c r="BM210" s="172"/>
      <c r="BN210" s="172"/>
      <c r="BO210" s="172"/>
      <c r="BP210" s="172"/>
      <c r="BQ210" s="172"/>
      <c r="BR210" s="172"/>
      <c r="BS210" s="172"/>
      <c r="BT210" s="172"/>
      <c r="BU210" s="172"/>
      <c r="BV210" s="179"/>
      <c r="BW210" s="179"/>
      <c r="BX210" s="179"/>
      <c r="BY210" s="179"/>
      <c r="BZ210" s="179"/>
      <c r="CA210" s="179"/>
      <c r="CB210" s="179"/>
      <c r="CC210" s="179"/>
      <c r="CD210" s="179"/>
      <c r="CE210" s="179"/>
    </row>
    <row r="211" ht="15.75" customHeight="1">
      <c r="A211" s="151">
        <v>42093.0</v>
      </c>
      <c r="B211" s="152">
        <v>2.0</v>
      </c>
      <c r="C211" s="152" t="s">
        <v>46</v>
      </c>
      <c r="D211" s="152">
        <v>3.0</v>
      </c>
      <c r="E211" s="153">
        <v>2965.0</v>
      </c>
      <c r="F211" s="154">
        <v>8.3</v>
      </c>
      <c r="G211" s="155">
        <v>24609.500000000004</v>
      </c>
      <c r="H211" s="159">
        <f>SUMIFS('Historical Orders'!$E211, 'Historical Orders'!$D211, "1", 'Historical Orders'!$C211, "A", 'Historical Orders'!$B211, "1")</f>
        <v>0</v>
      </c>
      <c r="I211" s="157">
        <f>SUMIFS('Historical Orders'!$G211, 'Historical Orders'!$D211, "1", 'Historical Orders'!$C211, "A", 'Historical Orders'!$B211, "1")</f>
        <v>0</v>
      </c>
      <c r="J211" s="157">
        <f>SUMIFS('Historical Orders'!$E211, 'Historical Orders'!$D211, "1", 'Historical Orders'!$C211, "B", 'Historical Orders'!$B211, "1")</f>
        <v>0</v>
      </c>
      <c r="K211" s="157">
        <f>SUMIFS('Historical Orders'!$G211, 'Historical Orders'!$D211, "1", 'Historical Orders'!$C211, "B", 'Historical Orders'!$B211, "1")</f>
        <v>0</v>
      </c>
      <c r="L211" s="159">
        <f>SUMIFS('Historical Orders'!$E211, 'Historical Orders'!$D211, "1", 'Historical Orders'!$C211, "A", 'Historical Orders'!$B211, "2")</f>
        <v>0</v>
      </c>
      <c r="M211" s="157">
        <f>SUMIFS('Historical Orders'!$G211, 'Historical Orders'!$D211, "1", 'Historical Orders'!$C211, "A", 'Historical Orders'!$B211, "2")</f>
        <v>0</v>
      </c>
      <c r="N211" s="157">
        <f>SUMIFS('Historical Orders'!$E211, 'Historical Orders'!$D211, "1", 'Historical Orders'!$C211, "B", 'Historical Orders'!$B211, "2")</f>
        <v>0</v>
      </c>
      <c r="O211" s="157">
        <f>SUMIFS('Historical Orders'!$G211, 'Historical Orders'!$D211, "1", 'Historical Orders'!$C211, "B", 'Historical Orders'!$B211, "2")</f>
        <v>0</v>
      </c>
      <c r="P211" s="159">
        <f>SUMIFS('Historical Orders'!$E211, 'Historical Orders'!$D211, "2", 'Historical Orders'!$C211, "A", 'Historical Orders'!$B211, "1")</f>
        <v>0</v>
      </c>
      <c r="Q211" s="157">
        <f>SUMIFS('Historical Orders'!$G211, 'Historical Orders'!$D211, "2", 'Historical Orders'!$C211, "A", 'Historical Orders'!$B211, "1")</f>
        <v>0</v>
      </c>
      <c r="R211" s="159">
        <f>SUMIFS('Historical Orders'!$E211, 'Historical Orders'!$D211, "2", 'Historical Orders'!$C211, "B", 'Historical Orders'!$B211, "1")</f>
        <v>0</v>
      </c>
      <c r="S211" s="157">
        <f>SUMIFS('Historical Orders'!$G211, 'Historical Orders'!$D211, "2", 'Historical Orders'!$C211, "B", 'Historical Orders'!$B211, "1")</f>
        <v>0</v>
      </c>
      <c r="T211" s="159">
        <f>SUMIFS('Historical Orders'!$E211, 'Historical Orders'!$D211, "2", 'Historical Orders'!$C211, "A", 'Historical Orders'!$B211, "2")</f>
        <v>0</v>
      </c>
      <c r="U211" s="157">
        <f>SUMIFS('Historical Orders'!$G211, 'Historical Orders'!$D211, "2", 'Historical Orders'!$C211, "A", 'Historical Orders'!$B211, "2")</f>
        <v>0</v>
      </c>
      <c r="V211" s="159">
        <f>SUMIFS('Historical Orders'!$E211, 'Historical Orders'!$D211, "2", 'Historical Orders'!$C211, "B", 'Historical Orders'!$B211, "2")</f>
        <v>0</v>
      </c>
      <c r="W211" s="159">
        <f>SUMIFS('Historical Orders'!$G211, 'Historical Orders'!$D211, "2", 'Historical Orders'!$C211, "B", 'Historical Orders'!$B211, "2")</f>
        <v>0</v>
      </c>
      <c r="X211" s="159">
        <f>SUMIFS('Historical Orders'!$E211, 'Historical Orders'!$D211, "3", 'Historical Orders'!$C211, "A", 'Historical Orders'!$B211, "1")</f>
        <v>0</v>
      </c>
      <c r="Y211" s="159">
        <f>SUMIFS('Historical Orders'!$G211, 'Historical Orders'!$D211, "3", 'Historical Orders'!$C211, "A", 'Historical Orders'!$B211, "1")</f>
        <v>0</v>
      </c>
      <c r="Z211" s="159">
        <f>SUMIFS('Historical Orders'!$E211, 'Historical Orders'!$D211, "3", 'Historical Orders'!$C211, "B", 'Historical Orders'!$B211, "1")</f>
        <v>0</v>
      </c>
      <c r="AA211" s="159">
        <f>SUMIFS('Historical Orders'!$G211, 'Historical Orders'!$D211, "3", 'Historical Orders'!$C211, "B", 'Historical Orders'!$B211, "1")</f>
        <v>0</v>
      </c>
      <c r="AB211" s="159">
        <f>SUMIFS('Historical Orders'!$E211, 'Historical Orders'!$D211, "3", 'Historical Orders'!$C211, "A", 'Historical Orders'!$B211, "2")</f>
        <v>0</v>
      </c>
      <c r="AC211" s="159">
        <f>SUMIFS('Historical Orders'!$G211, 'Historical Orders'!$D211, "3", 'Historical Orders'!$C211, "A", 'Historical Orders'!$B211, "2")</f>
        <v>0</v>
      </c>
      <c r="AD211" s="159">
        <f>SUMIFS('Historical Orders'!$E211, 'Historical Orders'!$D211, "3", 'Historical Orders'!$C211, "B", 'Historical Orders'!$B211, "2")</f>
        <v>2965</v>
      </c>
      <c r="AE211" s="157">
        <f>SUMIFS('Historical Orders'!$G211, 'Historical Orders'!$D211, "3", 'Historical Orders'!$C211, "B", 'Historical Orders'!$B211, "2")</f>
        <v>24609.5</v>
      </c>
      <c r="AF211" s="157">
        <f>SUMIFS('Historical Orders'!$E211, 'Historical Orders'!$D211, "4", 'Historical Orders'!$C211, "A", 'Historical Orders'!$B211, "1")</f>
        <v>0</v>
      </c>
      <c r="AG211" s="157">
        <f>SUMIFS('Historical Orders'!$G211, 'Historical Orders'!$D211, "4", 'Historical Orders'!$C211, "A", 'Historical Orders'!$B211, "1")</f>
        <v>0</v>
      </c>
      <c r="AH211" s="157">
        <f>SUMIFS('Historical Orders'!$E211, 'Historical Orders'!$D211, "4", 'Historical Orders'!$C211, "B", 'Historical Orders'!$B211, "1")</f>
        <v>0</v>
      </c>
      <c r="AI211" s="157">
        <f>SUMIFS('Historical Orders'!$G211, 'Historical Orders'!$D211, "4", 'Historical Orders'!$C211, "B", 'Historical Orders'!$B211, "1")</f>
        <v>0</v>
      </c>
      <c r="AJ211" s="157">
        <f>SUMIFS('Historical Orders'!$E211, 'Historical Orders'!$D211, "4", 'Historical Orders'!$C211, "A", 'Historical Orders'!$B211, "2")</f>
        <v>0</v>
      </c>
      <c r="AK211" s="157">
        <f>SUMIFS('Historical Orders'!$G211, 'Historical Orders'!$D211, "4", 'Historical Orders'!$C211, "A", 'Historical Orders'!$B211, "2")</f>
        <v>0</v>
      </c>
      <c r="AL211" s="171">
        <f>SUMIFS('Historical Orders'!$E211, 'Historical Orders'!$D211, "4", 'Historical Orders'!$C211, "B", 'Historical Orders'!$B211, "2")</f>
        <v>0</v>
      </c>
      <c r="AM211" s="171">
        <f>SUMIFS('Historical Orders'!$G211, 'Historical Orders'!$D211, "4", 'Historical Orders'!$C211, "B", 'Historical Orders'!$B211, "2")</f>
        <v>0</v>
      </c>
      <c r="AN211" s="171">
        <f>SUMIFS('Historical Orders'!$G211, 'Historical Orders'!$C211, "A", 'Historical Orders'!$B211, "1")</f>
        <v>0</v>
      </c>
      <c r="AO211" s="171">
        <f>SUMIFS('Historical Orders'!$G211, 'Historical Orders'!$C211, "B", 'Historical Orders'!$B211, "1")</f>
        <v>0</v>
      </c>
      <c r="AP211" s="171">
        <f>SUMIFS('Historical Orders'!$G211, 'Historical Orders'!$C211, "A", 'Historical Orders'!$B211, "2")</f>
        <v>0</v>
      </c>
      <c r="AQ211" s="171">
        <f>SUMIFS('Historical Orders'!$G211, 'Historical Orders'!$C211, "B", 'Historical Orders'!$B211, "2")</f>
        <v>24609.5</v>
      </c>
      <c r="AR211" s="145"/>
      <c r="AS211" s="172"/>
      <c r="AT211" s="172"/>
      <c r="AU211" s="172"/>
      <c r="AV211" s="172"/>
      <c r="AW211" s="172"/>
      <c r="AX211" s="172"/>
      <c r="AY211" s="172"/>
      <c r="AZ211" s="172"/>
      <c r="BA211" s="172"/>
      <c r="BB211" s="172"/>
      <c r="BC211" s="172"/>
      <c r="BD211" s="172"/>
      <c r="BE211" s="172"/>
      <c r="BF211" s="172"/>
      <c r="BG211" s="172"/>
      <c r="BH211" s="172"/>
      <c r="BI211" s="172"/>
      <c r="BJ211" s="172"/>
      <c r="BK211" s="172"/>
      <c r="BL211" s="172"/>
      <c r="BM211" s="172"/>
      <c r="BN211" s="172"/>
      <c r="BO211" s="172"/>
      <c r="BP211" s="172"/>
      <c r="BQ211" s="172"/>
      <c r="BR211" s="172"/>
      <c r="BS211" s="172"/>
      <c r="BT211" s="172"/>
      <c r="BU211" s="172"/>
      <c r="BV211" s="179"/>
      <c r="BW211" s="179"/>
      <c r="BX211" s="179"/>
      <c r="BY211" s="179"/>
      <c r="BZ211" s="179"/>
      <c r="CA211" s="179"/>
      <c r="CB211" s="179"/>
      <c r="CC211" s="179"/>
      <c r="CD211" s="179"/>
      <c r="CE211" s="179"/>
    </row>
    <row r="212" ht="15.75" customHeight="1">
      <c r="A212" s="151">
        <v>42100.0</v>
      </c>
      <c r="B212" s="152">
        <v>1.0</v>
      </c>
      <c r="C212" s="152" t="s">
        <v>45</v>
      </c>
      <c r="D212" s="152">
        <v>1.0</v>
      </c>
      <c r="E212" s="153">
        <v>4799.0</v>
      </c>
      <c r="F212" s="154">
        <v>2.2</v>
      </c>
      <c r="G212" s="155">
        <v>10557.800000000001</v>
      </c>
      <c r="H212" s="159">
        <f>SUMIFS('Historical Orders'!$E212, 'Historical Orders'!$D212, "1", 'Historical Orders'!$C212, "A", 'Historical Orders'!$B212, "1")</f>
        <v>4799</v>
      </c>
      <c r="I212" s="157">
        <f>SUMIFS('Historical Orders'!$G212, 'Historical Orders'!$D212, "1", 'Historical Orders'!$C212, "A", 'Historical Orders'!$B212, "1")</f>
        <v>10557.8</v>
      </c>
      <c r="J212" s="157">
        <f>SUMIFS('Historical Orders'!$E212, 'Historical Orders'!$D212, "1", 'Historical Orders'!$C212, "B", 'Historical Orders'!$B212, "1")</f>
        <v>0</v>
      </c>
      <c r="K212" s="157">
        <f>SUMIFS('Historical Orders'!$G212, 'Historical Orders'!$D212, "1", 'Historical Orders'!$C212, "B", 'Historical Orders'!$B212, "1")</f>
        <v>0</v>
      </c>
      <c r="L212" s="159">
        <f>SUMIFS('Historical Orders'!$E212, 'Historical Orders'!$D212, "1", 'Historical Orders'!$C212, "A", 'Historical Orders'!$B212, "2")</f>
        <v>0</v>
      </c>
      <c r="M212" s="157">
        <f>SUMIFS('Historical Orders'!$G212, 'Historical Orders'!$D212, "1", 'Historical Orders'!$C212, "A", 'Historical Orders'!$B212, "2")</f>
        <v>0</v>
      </c>
      <c r="N212" s="157">
        <f>SUMIFS('Historical Orders'!$E212, 'Historical Orders'!$D212, "1", 'Historical Orders'!$C212, "B", 'Historical Orders'!$B212, "2")</f>
        <v>0</v>
      </c>
      <c r="O212" s="157">
        <f>SUMIFS('Historical Orders'!$G212, 'Historical Orders'!$D212, "1", 'Historical Orders'!$C212, "B", 'Historical Orders'!$B212, "2")</f>
        <v>0</v>
      </c>
      <c r="P212" s="159">
        <f>SUMIFS('Historical Orders'!$E212, 'Historical Orders'!$D212, "2", 'Historical Orders'!$C212, "A", 'Historical Orders'!$B212, "1")</f>
        <v>0</v>
      </c>
      <c r="Q212" s="157">
        <f>SUMIFS('Historical Orders'!$G212, 'Historical Orders'!$D212, "2", 'Historical Orders'!$C212, "A", 'Historical Orders'!$B212, "1")</f>
        <v>0</v>
      </c>
      <c r="R212" s="159">
        <f>SUMIFS('Historical Orders'!$E212, 'Historical Orders'!$D212, "2", 'Historical Orders'!$C212, "B", 'Historical Orders'!$B212, "1")</f>
        <v>0</v>
      </c>
      <c r="S212" s="157">
        <f>SUMIFS('Historical Orders'!$G212, 'Historical Orders'!$D212, "2", 'Historical Orders'!$C212, "B", 'Historical Orders'!$B212, "1")</f>
        <v>0</v>
      </c>
      <c r="T212" s="159">
        <f>SUMIFS('Historical Orders'!$E212, 'Historical Orders'!$D212, "2", 'Historical Orders'!$C212, "A", 'Historical Orders'!$B212, "2")</f>
        <v>0</v>
      </c>
      <c r="U212" s="157">
        <f>SUMIFS('Historical Orders'!$G212, 'Historical Orders'!$D212, "2", 'Historical Orders'!$C212, "A", 'Historical Orders'!$B212, "2")</f>
        <v>0</v>
      </c>
      <c r="V212" s="159">
        <f>SUMIFS('Historical Orders'!$E212, 'Historical Orders'!$D212, "2", 'Historical Orders'!$C212, "B", 'Historical Orders'!$B212, "2")</f>
        <v>0</v>
      </c>
      <c r="W212" s="159">
        <f>SUMIFS('Historical Orders'!$G212, 'Historical Orders'!$D212, "2", 'Historical Orders'!$C212, "B", 'Historical Orders'!$B212, "2")</f>
        <v>0</v>
      </c>
      <c r="X212" s="159">
        <f>SUMIFS('Historical Orders'!$E212, 'Historical Orders'!$D212, "3", 'Historical Orders'!$C212, "A", 'Historical Orders'!$B212, "1")</f>
        <v>0</v>
      </c>
      <c r="Y212" s="159">
        <f>SUMIFS('Historical Orders'!$G212, 'Historical Orders'!$D212, "3", 'Historical Orders'!$C212, "A", 'Historical Orders'!$B212, "1")</f>
        <v>0</v>
      </c>
      <c r="Z212" s="159">
        <f>SUMIFS('Historical Orders'!$E212, 'Historical Orders'!$D212, "3", 'Historical Orders'!$C212, "B", 'Historical Orders'!$B212, "1")</f>
        <v>0</v>
      </c>
      <c r="AA212" s="159">
        <f>SUMIFS('Historical Orders'!$G212, 'Historical Orders'!$D212, "3", 'Historical Orders'!$C212, "B", 'Historical Orders'!$B212, "1")</f>
        <v>0</v>
      </c>
      <c r="AB212" s="159">
        <f>SUMIFS('Historical Orders'!$E212, 'Historical Orders'!$D212, "3", 'Historical Orders'!$C212, "A", 'Historical Orders'!$B212, "2")</f>
        <v>0</v>
      </c>
      <c r="AC212" s="159">
        <f>SUMIFS('Historical Orders'!$G212, 'Historical Orders'!$D212, "3", 'Historical Orders'!$C212, "A", 'Historical Orders'!$B212, "2")</f>
        <v>0</v>
      </c>
      <c r="AD212" s="159">
        <f>SUMIFS('Historical Orders'!$E212, 'Historical Orders'!$D212, "3", 'Historical Orders'!$C212, "B", 'Historical Orders'!$B212, "2")</f>
        <v>0</v>
      </c>
      <c r="AE212" s="157">
        <f>SUMIFS('Historical Orders'!$G212, 'Historical Orders'!$D212, "3", 'Historical Orders'!$C212, "B", 'Historical Orders'!$B212, "2")</f>
        <v>0</v>
      </c>
      <c r="AF212" s="157">
        <f>SUMIFS('Historical Orders'!$E212, 'Historical Orders'!$D212, "4", 'Historical Orders'!$C212, "A", 'Historical Orders'!$B212, "1")</f>
        <v>0</v>
      </c>
      <c r="AG212" s="157">
        <f>SUMIFS('Historical Orders'!$G212, 'Historical Orders'!$D212, "4", 'Historical Orders'!$C212, "A", 'Historical Orders'!$B212, "1")</f>
        <v>0</v>
      </c>
      <c r="AH212" s="157">
        <f>SUMIFS('Historical Orders'!$E212, 'Historical Orders'!$D212, "4", 'Historical Orders'!$C212, "B", 'Historical Orders'!$B212, "1")</f>
        <v>0</v>
      </c>
      <c r="AI212" s="157">
        <f>SUMIFS('Historical Orders'!$G212, 'Historical Orders'!$D212, "4", 'Historical Orders'!$C212, "B", 'Historical Orders'!$B212, "1")</f>
        <v>0</v>
      </c>
      <c r="AJ212" s="157">
        <f>SUMIFS('Historical Orders'!$E212, 'Historical Orders'!$D212, "4", 'Historical Orders'!$C212, "A", 'Historical Orders'!$B212, "2")</f>
        <v>0</v>
      </c>
      <c r="AK212" s="157">
        <f>SUMIFS('Historical Orders'!$G212, 'Historical Orders'!$D212, "4", 'Historical Orders'!$C212, "A", 'Historical Orders'!$B212, "2")</f>
        <v>0</v>
      </c>
      <c r="AL212" s="171">
        <f>SUMIFS('Historical Orders'!$E212, 'Historical Orders'!$D212, "4", 'Historical Orders'!$C212, "B", 'Historical Orders'!$B212, "2")</f>
        <v>0</v>
      </c>
      <c r="AM212" s="171">
        <f>SUMIFS('Historical Orders'!$G212, 'Historical Orders'!$D212, "4", 'Historical Orders'!$C212, "B", 'Historical Orders'!$B212, "2")</f>
        <v>0</v>
      </c>
      <c r="AN212" s="171">
        <f>SUMIFS('Historical Orders'!$G212, 'Historical Orders'!$C212, "A", 'Historical Orders'!$B212, "1")</f>
        <v>10557.8</v>
      </c>
      <c r="AO212" s="171">
        <f>SUMIFS('Historical Orders'!$G212, 'Historical Orders'!$C212, "B", 'Historical Orders'!$B212, "1")</f>
        <v>0</v>
      </c>
      <c r="AP212" s="171">
        <f>SUMIFS('Historical Orders'!$G212, 'Historical Orders'!$C212, "A", 'Historical Orders'!$B212, "2")</f>
        <v>0</v>
      </c>
      <c r="AQ212" s="171">
        <f>SUMIFS('Historical Orders'!$G212, 'Historical Orders'!$C212, "B", 'Historical Orders'!$B212, "2")</f>
        <v>0</v>
      </c>
      <c r="AR212" s="145"/>
      <c r="AS212" s="172"/>
      <c r="AT212" s="172"/>
      <c r="AU212" s="172"/>
      <c r="AV212" s="172"/>
      <c r="AW212" s="172"/>
      <c r="AX212" s="172"/>
      <c r="AY212" s="172"/>
      <c r="AZ212" s="172"/>
      <c r="BA212" s="172"/>
      <c r="BB212" s="172"/>
      <c r="BC212" s="172"/>
      <c r="BD212" s="172"/>
      <c r="BE212" s="172"/>
      <c r="BF212" s="172"/>
      <c r="BG212" s="172"/>
      <c r="BH212" s="172"/>
      <c r="BI212" s="172"/>
      <c r="BJ212" s="172"/>
      <c r="BK212" s="172"/>
      <c r="BL212" s="172"/>
      <c r="BM212" s="172"/>
      <c r="BN212" s="172"/>
      <c r="BO212" s="172"/>
      <c r="BP212" s="172"/>
      <c r="BQ212" s="172"/>
      <c r="BR212" s="172"/>
      <c r="BS212" s="172"/>
      <c r="BT212" s="172"/>
      <c r="BU212" s="172"/>
      <c r="BV212" s="179"/>
      <c r="BW212" s="179"/>
      <c r="BX212" s="179"/>
      <c r="BY212" s="179"/>
      <c r="BZ212" s="179"/>
      <c r="CA212" s="179"/>
      <c r="CB212" s="179"/>
      <c r="CC212" s="179"/>
      <c r="CD212" s="179"/>
      <c r="CE212" s="179"/>
    </row>
    <row r="213" ht="15.75" customHeight="1">
      <c r="A213" s="151">
        <v>42100.0</v>
      </c>
      <c r="B213" s="152">
        <v>1.0</v>
      </c>
      <c r="C213" s="152" t="s">
        <v>45</v>
      </c>
      <c r="D213" s="152">
        <v>2.0</v>
      </c>
      <c r="E213" s="153">
        <v>6414.0</v>
      </c>
      <c r="F213" s="154">
        <v>1.2</v>
      </c>
      <c r="G213" s="155">
        <v>7696.799999999999</v>
      </c>
      <c r="H213" s="159">
        <f>SUMIFS('Historical Orders'!$E213, 'Historical Orders'!$D213, "1", 'Historical Orders'!$C213, "A", 'Historical Orders'!$B213, "1")</f>
        <v>0</v>
      </c>
      <c r="I213" s="157">
        <f>SUMIFS('Historical Orders'!$G213, 'Historical Orders'!$D213, "1", 'Historical Orders'!$C213, "A", 'Historical Orders'!$B213, "1")</f>
        <v>0</v>
      </c>
      <c r="J213" s="157">
        <f>SUMIFS('Historical Orders'!$E213, 'Historical Orders'!$D213, "1", 'Historical Orders'!$C213, "B", 'Historical Orders'!$B213, "1")</f>
        <v>0</v>
      </c>
      <c r="K213" s="157">
        <f>SUMIFS('Historical Orders'!$G213, 'Historical Orders'!$D213, "1", 'Historical Orders'!$C213, "B", 'Historical Orders'!$B213, "1")</f>
        <v>0</v>
      </c>
      <c r="L213" s="159">
        <f>SUMIFS('Historical Orders'!$E213, 'Historical Orders'!$D213, "1", 'Historical Orders'!$C213, "A", 'Historical Orders'!$B213, "2")</f>
        <v>0</v>
      </c>
      <c r="M213" s="157">
        <f>SUMIFS('Historical Orders'!$G213, 'Historical Orders'!$D213, "1", 'Historical Orders'!$C213, "A", 'Historical Orders'!$B213, "2")</f>
        <v>0</v>
      </c>
      <c r="N213" s="157">
        <f>SUMIFS('Historical Orders'!$E213, 'Historical Orders'!$D213, "1", 'Historical Orders'!$C213, "B", 'Historical Orders'!$B213, "2")</f>
        <v>0</v>
      </c>
      <c r="O213" s="157">
        <f>SUMIFS('Historical Orders'!$G213, 'Historical Orders'!$D213, "1", 'Historical Orders'!$C213, "B", 'Historical Orders'!$B213, "2")</f>
        <v>0</v>
      </c>
      <c r="P213" s="159">
        <f>SUMIFS('Historical Orders'!$E213, 'Historical Orders'!$D213, "2", 'Historical Orders'!$C213, "A", 'Historical Orders'!$B213, "1")</f>
        <v>6414</v>
      </c>
      <c r="Q213" s="157">
        <f>SUMIFS('Historical Orders'!$G213, 'Historical Orders'!$D213, "2", 'Historical Orders'!$C213, "A", 'Historical Orders'!$B213, "1")</f>
        <v>7696.8</v>
      </c>
      <c r="R213" s="159">
        <f>SUMIFS('Historical Orders'!$E213, 'Historical Orders'!$D213, "2", 'Historical Orders'!$C213, "B", 'Historical Orders'!$B213, "1")</f>
        <v>0</v>
      </c>
      <c r="S213" s="157">
        <f>SUMIFS('Historical Orders'!$G213, 'Historical Orders'!$D213, "2", 'Historical Orders'!$C213, "B", 'Historical Orders'!$B213, "1")</f>
        <v>0</v>
      </c>
      <c r="T213" s="159">
        <f>SUMIFS('Historical Orders'!$E213, 'Historical Orders'!$D213, "2", 'Historical Orders'!$C213, "A", 'Historical Orders'!$B213, "2")</f>
        <v>0</v>
      </c>
      <c r="U213" s="157">
        <f>SUMIFS('Historical Orders'!$G213, 'Historical Orders'!$D213, "2", 'Historical Orders'!$C213, "A", 'Historical Orders'!$B213, "2")</f>
        <v>0</v>
      </c>
      <c r="V213" s="159">
        <f>SUMIFS('Historical Orders'!$E213, 'Historical Orders'!$D213, "2", 'Historical Orders'!$C213, "B", 'Historical Orders'!$B213, "2")</f>
        <v>0</v>
      </c>
      <c r="W213" s="159">
        <f>SUMIFS('Historical Orders'!$G213, 'Historical Orders'!$D213, "2", 'Historical Orders'!$C213, "B", 'Historical Orders'!$B213, "2")</f>
        <v>0</v>
      </c>
      <c r="X213" s="159">
        <f>SUMIFS('Historical Orders'!$E213, 'Historical Orders'!$D213, "3", 'Historical Orders'!$C213, "A", 'Historical Orders'!$B213, "1")</f>
        <v>0</v>
      </c>
      <c r="Y213" s="159">
        <f>SUMIFS('Historical Orders'!$G213, 'Historical Orders'!$D213, "3", 'Historical Orders'!$C213, "A", 'Historical Orders'!$B213, "1")</f>
        <v>0</v>
      </c>
      <c r="Z213" s="159">
        <f>SUMIFS('Historical Orders'!$E213, 'Historical Orders'!$D213, "3", 'Historical Orders'!$C213, "B", 'Historical Orders'!$B213, "1")</f>
        <v>0</v>
      </c>
      <c r="AA213" s="159">
        <f>SUMIFS('Historical Orders'!$G213, 'Historical Orders'!$D213, "3", 'Historical Orders'!$C213, "B", 'Historical Orders'!$B213, "1")</f>
        <v>0</v>
      </c>
      <c r="AB213" s="159">
        <f>SUMIFS('Historical Orders'!$E213, 'Historical Orders'!$D213, "3", 'Historical Orders'!$C213, "A", 'Historical Orders'!$B213, "2")</f>
        <v>0</v>
      </c>
      <c r="AC213" s="159">
        <f>SUMIFS('Historical Orders'!$G213, 'Historical Orders'!$D213, "3", 'Historical Orders'!$C213, "A", 'Historical Orders'!$B213, "2")</f>
        <v>0</v>
      </c>
      <c r="AD213" s="159">
        <f>SUMIFS('Historical Orders'!$E213, 'Historical Orders'!$D213, "3", 'Historical Orders'!$C213, "B", 'Historical Orders'!$B213, "2")</f>
        <v>0</v>
      </c>
      <c r="AE213" s="157">
        <f>SUMIFS('Historical Orders'!$G213, 'Historical Orders'!$D213, "3", 'Historical Orders'!$C213, "B", 'Historical Orders'!$B213, "2")</f>
        <v>0</v>
      </c>
      <c r="AF213" s="157">
        <f>SUMIFS('Historical Orders'!$E213, 'Historical Orders'!$D213, "4", 'Historical Orders'!$C213, "A", 'Historical Orders'!$B213, "1")</f>
        <v>0</v>
      </c>
      <c r="AG213" s="157">
        <f>SUMIFS('Historical Orders'!$G213, 'Historical Orders'!$D213, "4", 'Historical Orders'!$C213, "A", 'Historical Orders'!$B213, "1")</f>
        <v>0</v>
      </c>
      <c r="AH213" s="157">
        <f>SUMIFS('Historical Orders'!$E213, 'Historical Orders'!$D213, "4", 'Historical Orders'!$C213, "B", 'Historical Orders'!$B213, "1")</f>
        <v>0</v>
      </c>
      <c r="AI213" s="157">
        <f>SUMIFS('Historical Orders'!$G213, 'Historical Orders'!$D213, "4", 'Historical Orders'!$C213, "B", 'Historical Orders'!$B213, "1")</f>
        <v>0</v>
      </c>
      <c r="AJ213" s="157">
        <f>SUMIFS('Historical Orders'!$E213, 'Historical Orders'!$D213, "4", 'Historical Orders'!$C213, "A", 'Historical Orders'!$B213, "2")</f>
        <v>0</v>
      </c>
      <c r="AK213" s="157">
        <f>SUMIFS('Historical Orders'!$G213, 'Historical Orders'!$D213, "4", 'Historical Orders'!$C213, "A", 'Historical Orders'!$B213, "2")</f>
        <v>0</v>
      </c>
      <c r="AL213" s="171">
        <f>SUMIFS('Historical Orders'!$E213, 'Historical Orders'!$D213, "4", 'Historical Orders'!$C213, "B", 'Historical Orders'!$B213, "2")</f>
        <v>0</v>
      </c>
      <c r="AM213" s="171">
        <f>SUMIFS('Historical Orders'!$G213, 'Historical Orders'!$D213, "4", 'Historical Orders'!$C213, "B", 'Historical Orders'!$B213, "2")</f>
        <v>0</v>
      </c>
      <c r="AN213" s="171">
        <f>SUMIFS('Historical Orders'!$G213, 'Historical Orders'!$C213, "A", 'Historical Orders'!$B213, "1")</f>
        <v>7696.8</v>
      </c>
      <c r="AO213" s="171">
        <f>SUMIFS('Historical Orders'!$G213, 'Historical Orders'!$C213, "B", 'Historical Orders'!$B213, "1")</f>
        <v>0</v>
      </c>
      <c r="AP213" s="171">
        <f>SUMIFS('Historical Orders'!$G213, 'Historical Orders'!$C213, "A", 'Historical Orders'!$B213, "2")</f>
        <v>0</v>
      </c>
      <c r="AQ213" s="171">
        <f>SUMIFS('Historical Orders'!$G213, 'Historical Orders'!$C213, "B", 'Historical Orders'!$B213, "2")</f>
        <v>0</v>
      </c>
      <c r="AR213" s="145"/>
      <c r="AS213" s="172"/>
      <c r="AT213" s="172"/>
      <c r="AU213" s="172"/>
      <c r="AV213" s="172"/>
      <c r="AW213" s="172"/>
      <c r="AX213" s="172"/>
      <c r="AY213" s="172"/>
      <c r="AZ213" s="172"/>
      <c r="BA213" s="172"/>
      <c r="BB213" s="172"/>
      <c r="BC213" s="172"/>
      <c r="BD213" s="172"/>
      <c r="BE213" s="172"/>
      <c r="BF213" s="172"/>
      <c r="BG213" s="172"/>
      <c r="BH213" s="172"/>
      <c r="BI213" s="172"/>
      <c r="BJ213" s="172"/>
      <c r="BK213" s="172"/>
      <c r="BL213" s="172"/>
      <c r="BM213" s="172"/>
      <c r="BN213" s="172"/>
      <c r="BO213" s="172"/>
      <c r="BP213" s="172"/>
      <c r="BQ213" s="172"/>
      <c r="BR213" s="172"/>
      <c r="BS213" s="172"/>
      <c r="BT213" s="172"/>
      <c r="BU213" s="172"/>
      <c r="BV213" s="179"/>
      <c r="BW213" s="179"/>
      <c r="BX213" s="179"/>
      <c r="BY213" s="179"/>
      <c r="BZ213" s="179"/>
      <c r="CA213" s="179"/>
      <c r="CB213" s="179"/>
      <c r="CC213" s="179"/>
      <c r="CD213" s="179"/>
      <c r="CE213" s="179"/>
    </row>
    <row r="214" ht="15.75" customHeight="1">
      <c r="A214" s="151">
        <v>42100.0</v>
      </c>
      <c r="B214" s="152">
        <v>2.0</v>
      </c>
      <c r="C214" s="152" t="s">
        <v>45</v>
      </c>
      <c r="D214" s="152">
        <v>1.0</v>
      </c>
      <c r="E214" s="153">
        <v>3712.0</v>
      </c>
      <c r="F214" s="154">
        <v>2.2</v>
      </c>
      <c r="G214" s="155">
        <v>8166.400000000001</v>
      </c>
      <c r="H214" s="159">
        <f>SUMIFS('Historical Orders'!$E214, 'Historical Orders'!$D214, "1", 'Historical Orders'!$C214, "A", 'Historical Orders'!$B214, "1")</f>
        <v>0</v>
      </c>
      <c r="I214" s="157">
        <f>SUMIFS('Historical Orders'!$G214, 'Historical Orders'!$D214, "1", 'Historical Orders'!$C214, "A", 'Historical Orders'!$B214, "1")</f>
        <v>0</v>
      </c>
      <c r="J214" s="157">
        <f>SUMIFS('Historical Orders'!$E214, 'Historical Orders'!$D214, "1", 'Historical Orders'!$C214, "B", 'Historical Orders'!$B214, "1")</f>
        <v>0</v>
      </c>
      <c r="K214" s="157">
        <f>SUMIFS('Historical Orders'!$G214, 'Historical Orders'!$D214, "1", 'Historical Orders'!$C214, "B", 'Historical Orders'!$B214, "1")</f>
        <v>0</v>
      </c>
      <c r="L214" s="159">
        <f>SUMIFS('Historical Orders'!$E214, 'Historical Orders'!$D214, "1", 'Historical Orders'!$C214, "A", 'Historical Orders'!$B214, "2")</f>
        <v>3712</v>
      </c>
      <c r="M214" s="157">
        <f>SUMIFS('Historical Orders'!$G214, 'Historical Orders'!$D214, "1", 'Historical Orders'!$C214, "A", 'Historical Orders'!$B214, "2")</f>
        <v>8166.4</v>
      </c>
      <c r="N214" s="157">
        <f>SUMIFS('Historical Orders'!$E214, 'Historical Orders'!$D214, "1", 'Historical Orders'!$C214, "B", 'Historical Orders'!$B214, "2")</f>
        <v>0</v>
      </c>
      <c r="O214" s="157">
        <f>SUMIFS('Historical Orders'!$G214, 'Historical Orders'!$D214, "1", 'Historical Orders'!$C214, "B", 'Historical Orders'!$B214, "2")</f>
        <v>0</v>
      </c>
      <c r="P214" s="159">
        <f>SUMIFS('Historical Orders'!$E214, 'Historical Orders'!$D214, "2", 'Historical Orders'!$C214, "A", 'Historical Orders'!$B214, "1")</f>
        <v>0</v>
      </c>
      <c r="Q214" s="157">
        <f>SUMIFS('Historical Orders'!$G214, 'Historical Orders'!$D214, "2", 'Historical Orders'!$C214, "A", 'Historical Orders'!$B214, "1")</f>
        <v>0</v>
      </c>
      <c r="R214" s="159">
        <f>SUMIFS('Historical Orders'!$E214, 'Historical Orders'!$D214, "2", 'Historical Orders'!$C214, "B", 'Historical Orders'!$B214, "1")</f>
        <v>0</v>
      </c>
      <c r="S214" s="157">
        <f>SUMIFS('Historical Orders'!$G214, 'Historical Orders'!$D214, "2", 'Historical Orders'!$C214, "B", 'Historical Orders'!$B214, "1")</f>
        <v>0</v>
      </c>
      <c r="T214" s="159">
        <f>SUMIFS('Historical Orders'!$E214, 'Historical Orders'!$D214, "2", 'Historical Orders'!$C214, "A", 'Historical Orders'!$B214, "2")</f>
        <v>0</v>
      </c>
      <c r="U214" s="157">
        <f>SUMIFS('Historical Orders'!$G214, 'Historical Orders'!$D214, "2", 'Historical Orders'!$C214, "A", 'Historical Orders'!$B214, "2")</f>
        <v>0</v>
      </c>
      <c r="V214" s="159">
        <f>SUMIFS('Historical Orders'!$E214, 'Historical Orders'!$D214, "2", 'Historical Orders'!$C214, "B", 'Historical Orders'!$B214, "2")</f>
        <v>0</v>
      </c>
      <c r="W214" s="159">
        <f>SUMIFS('Historical Orders'!$G214, 'Historical Orders'!$D214, "2", 'Historical Orders'!$C214, "B", 'Historical Orders'!$B214, "2")</f>
        <v>0</v>
      </c>
      <c r="X214" s="159">
        <f>SUMIFS('Historical Orders'!$E214, 'Historical Orders'!$D214, "3", 'Historical Orders'!$C214, "A", 'Historical Orders'!$B214, "1")</f>
        <v>0</v>
      </c>
      <c r="Y214" s="159">
        <f>SUMIFS('Historical Orders'!$G214, 'Historical Orders'!$D214, "3", 'Historical Orders'!$C214, "A", 'Historical Orders'!$B214, "1")</f>
        <v>0</v>
      </c>
      <c r="Z214" s="159">
        <f>SUMIFS('Historical Orders'!$E214, 'Historical Orders'!$D214, "3", 'Historical Orders'!$C214, "B", 'Historical Orders'!$B214, "1")</f>
        <v>0</v>
      </c>
      <c r="AA214" s="159">
        <f>SUMIFS('Historical Orders'!$G214, 'Historical Orders'!$D214, "3", 'Historical Orders'!$C214, "B", 'Historical Orders'!$B214, "1")</f>
        <v>0</v>
      </c>
      <c r="AB214" s="159">
        <f>SUMIFS('Historical Orders'!$E214, 'Historical Orders'!$D214, "3", 'Historical Orders'!$C214, "A", 'Historical Orders'!$B214, "2")</f>
        <v>0</v>
      </c>
      <c r="AC214" s="159">
        <f>SUMIFS('Historical Orders'!$G214, 'Historical Orders'!$D214, "3", 'Historical Orders'!$C214, "A", 'Historical Orders'!$B214, "2")</f>
        <v>0</v>
      </c>
      <c r="AD214" s="159">
        <f>SUMIFS('Historical Orders'!$E214, 'Historical Orders'!$D214, "3", 'Historical Orders'!$C214, "B", 'Historical Orders'!$B214, "2")</f>
        <v>0</v>
      </c>
      <c r="AE214" s="157">
        <f>SUMIFS('Historical Orders'!$G214, 'Historical Orders'!$D214, "3", 'Historical Orders'!$C214, "B", 'Historical Orders'!$B214, "2")</f>
        <v>0</v>
      </c>
      <c r="AF214" s="157">
        <f>SUMIFS('Historical Orders'!$E214, 'Historical Orders'!$D214, "4", 'Historical Orders'!$C214, "A", 'Historical Orders'!$B214, "1")</f>
        <v>0</v>
      </c>
      <c r="AG214" s="157">
        <f>SUMIFS('Historical Orders'!$G214, 'Historical Orders'!$D214, "4", 'Historical Orders'!$C214, "A", 'Historical Orders'!$B214, "1")</f>
        <v>0</v>
      </c>
      <c r="AH214" s="157">
        <f>SUMIFS('Historical Orders'!$E214, 'Historical Orders'!$D214, "4", 'Historical Orders'!$C214, "B", 'Historical Orders'!$B214, "1")</f>
        <v>0</v>
      </c>
      <c r="AI214" s="157">
        <f>SUMIFS('Historical Orders'!$G214, 'Historical Orders'!$D214, "4", 'Historical Orders'!$C214, "B", 'Historical Orders'!$B214, "1")</f>
        <v>0</v>
      </c>
      <c r="AJ214" s="157">
        <f>SUMIFS('Historical Orders'!$E214, 'Historical Orders'!$D214, "4", 'Historical Orders'!$C214, "A", 'Historical Orders'!$B214, "2")</f>
        <v>0</v>
      </c>
      <c r="AK214" s="157">
        <f>SUMIFS('Historical Orders'!$G214, 'Historical Orders'!$D214, "4", 'Historical Orders'!$C214, "A", 'Historical Orders'!$B214, "2")</f>
        <v>0</v>
      </c>
      <c r="AL214" s="171">
        <f>SUMIFS('Historical Orders'!$E214, 'Historical Orders'!$D214, "4", 'Historical Orders'!$C214, "B", 'Historical Orders'!$B214, "2")</f>
        <v>0</v>
      </c>
      <c r="AM214" s="171">
        <f>SUMIFS('Historical Orders'!$G214, 'Historical Orders'!$D214, "4", 'Historical Orders'!$C214, "B", 'Historical Orders'!$B214, "2")</f>
        <v>0</v>
      </c>
      <c r="AN214" s="171">
        <f>SUMIFS('Historical Orders'!$G214, 'Historical Orders'!$C214, "A", 'Historical Orders'!$B214, "1")</f>
        <v>0</v>
      </c>
      <c r="AO214" s="171">
        <f>SUMIFS('Historical Orders'!$G214, 'Historical Orders'!$C214, "B", 'Historical Orders'!$B214, "1")</f>
        <v>0</v>
      </c>
      <c r="AP214" s="171">
        <f>SUMIFS('Historical Orders'!$G214, 'Historical Orders'!$C214, "A", 'Historical Orders'!$B214, "2")</f>
        <v>8166.4</v>
      </c>
      <c r="AQ214" s="171">
        <f>SUMIFS('Historical Orders'!$G214, 'Historical Orders'!$C214, "B", 'Historical Orders'!$B214, "2")</f>
        <v>0</v>
      </c>
      <c r="AR214" s="145"/>
      <c r="AS214" s="172"/>
      <c r="AT214" s="172"/>
      <c r="AU214" s="172"/>
      <c r="AV214" s="172"/>
      <c r="AW214" s="172"/>
      <c r="AX214" s="172"/>
      <c r="AY214" s="172"/>
      <c r="AZ214" s="172"/>
      <c r="BA214" s="172"/>
      <c r="BB214" s="172"/>
      <c r="BC214" s="172"/>
      <c r="BD214" s="172"/>
      <c r="BE214" s="172"/>
      <c r="BF214" s="172"/>
      <c r="BG214" s="172"/>
      <c r="BH214" s="172"/>
      <c r="BI214" s="172"/>
      <c r="BJ214" s="172"/>
      <c r="BK214" s="172"/>
      <c r="BL214" s="172"/>
      <c r="BM214" s="172"/>
      <c r="BN214" s="172"/>
      <c r="BO214" s="172"/>
      <c r="BP214" s="172"/>
      <c r="BQ214" s="172"/>
      <c r="BR214" s="172"/>
      <c r="BS214" s="172"/>
      <c r="BT214" s="172"/>
      <c r="BU214" s="172"/>
      <c r="BV214" s="179"/>
      <c r="BW214" s="179"/>
      <c r="BX214" s="179"/>
      <c r="BY214" s="179"/>
      <c r="BZ214" s="179"/>
      <c r="CA214" s="179"/>
      <c r="CB214" s="179"/>
      <c r="CC214" s="179"/>
      <c r="CD214" s="179"/>
      <c r="CE214" s="179"/>
    </row>
    <row r="215" ht="15.75" customHeight="1">
      <c r="A215" s="151">
        <v>42100.0</v>
      </c>
      <c r="B215" s="152">
        <v>2.0</v>
      </c>
      <c r="C215" s="152" t="s">
        <v>45</v>
      </c>
      <c r="D215" s="152">
        <v>2.0</v>
      </c>
      <c r="E215" s="153">
        <v>7698.0</v>
      </c>
      <c r="F215" s="154">
        <v>1.2</v>
      </c>
      <c r="G215" s="155">
        <v>9237.6</v>
      </c>
      <c r="H215" s="159">
        <f>SUMIFS('Historical Orders'!$E215, 'Historical Orders'!$D215, "1", 'Historical Orders'!$C215, "A", 'Historical Orders'!$B215, "1")</f>
        <v>0</v>
      </c>
      <c r="I215" s="157">
        <f>SUMIFS('Historical Orders'!$G215, 'Historical Orders'!$D215, "1", 'Historical Orders'!$C215, "A", 'Historical Orders'!$B215, "1")</f>
        <v>0</v>
      </c>
      <c r="J215" s="157">
        <f>SUMIFS('Historical Orders'!$E215, 'Historical Orders'!$D215, "1", 'Historical Orders'!$C215, "B", 'Historical Orders'!$B215, "1")</f>
        <v>0</v>
      </c>
      <c r="K215" s="157">
        <f>SUMIFS('Historical Orders'!$G215, 'Historical Orders'!$D215, "1", 'Historical Orders'!$C215, "B", 'Historical Orders'!$B215, "1")</f>
        <v>0</v>
      </c>
      <c r="L215" s="159">
        <f>SUMIFS('Historical Orders'!$E215, 'Historical Orders'!$D215, "1", 'Historical Orders'!$C215, "A", 'Historical Orders'!$B215, "2")</f>
        <v>0</v>
      </c>
      <c r="M215" s="157">
        <f>SUMIFS('Historical Orders'!$G215, 'Historical Orders'!$D215, "1", 'Historical Orders'!$C215, "A", 'Historical Orders'!$B215, "2")</f>
        <v>0</v>
      </c>
      <c r="N215" s="157">
        <f>SUMIFS('Historical Orders'!$E215, 'Historical Orders'!$D215, "1", 'Historical Orders'!$C215, "B", 'Historical Orders'!$B215, "2")</f>
        <v>0</v>
      </c>
      <c r="O215" s="157">
        <f>SUMIFS('Historical Orders'!$G215, 'Historical Orders'!$D215, "1", 'Historical Orders'!$C215, "B", 'Historical Orders'!$B215, "2")</f>
        <v>0</v>
      </c>
      <c r="P215" s="159">
        <f>SUMIFS('Historical Orders'!$E215, 'Historical Orders'!$D215, "2", 'Historical Orders'!$C215, "A", 'Historical Orders'!$B215, "1")</f>
        <v>0</v>
      </c>
      <c r="Q215" s="157">
        <f>SUMIFS('Historical Orders'!$G215, 'Historical Orders'!$D215, "2", 'Historical Orders'!$C215, "A", 'Historical Orders'!$B215, "1")</f>
        <v>0</v>
      </c>
      <c r="R215" s="159">
        <f>SUMIFS('Historical Orders'!$E215, 'Historical Orders'!$D215, "2", 'Historical Orders'!$C215, "B", 'Historical Orders'!$B215, "1")</f>
        <v>0</v>
      </c>
      <c r="S215" s="157">
        <f>SUMIFS('Historical Orders'!$G215, 'Historical Orders'!$D215, "2", 'Historical Orders'!$C215, "B", 'Historical Orders'!$B215, "1")</f>
        <v>0</v>
      </c>
      <c r="T215" s="159">
        <f>SUMIFS('Historical Orders'!$E215, 'Historical Orders'!$D215, "2", 'Historical Orders'!$C215, "A", 'Historical Orders'!$B215, "2")</f>
        <v>7698</v>
      </c>
      <c r="U215" s="157">
        <f>SUMIFS('Historical Orders'!$G215, 'Historical Orders'!$D215, "2", 'Historical Orders'!$C215, "A", 'Historical Orders'!$B215, "2")</f>
        <v>9237.6</v>
      </c>
      <c r="V215" s="159">
        <f>SUMIFS('Historical Orders'!$E215, 'Historical Orders'!$D215, "2", 'Historical Orders'!$C215, "B", 'Historical Orders'!$B215, "2")</f>
        <v>0</v>
      </c>
      <c r="W215" s="159">
        <f>SUMIFS('Historical Orders'!$G215, 'Historical Orders'!$D215, "2", 'Historical Orders'!$C215, "B", 'Historical Orders'!$B215, "2")</f>
        <v>0</v>
      </c>
      <c r="X215" s="159">
        <f>SUMIFS('Historical Orders'!$E215, 'Historical Orders'!$D215, "3", 'Historical Orders'!$C215, "A", 'Historical Orders'!$B215, "1")</f>
        <v>0</v>
      </c>
      <c r="Y215" s="159">
        <f>SUMIFS('Historical Orders'!$G215, 'Historical Orders'!$D215, "3", 'Historical Orders'!$C215, "A", 'Historical Orders'!$B215, "1")</f>
        <v>0</v>
      </c>
      <c r="Z215" s="159">
        <f>SUMIFS('Historical Orders'!$E215, 'Historical Orders'!$D215, "3", 'Historical Orders'!$C215, "B", 'Historical Orders'!$B215, "1")</f>
        <v>0</v>
      </c>
      <c r="AA215" s="159">
        <f>SUMIFS('Historical Orders'!$G215, 'Historical Orders'!$D215, "3", 'Historical Orders'!$C215, "B", 'Historical Orders'!$B215, "1")</f>
        <v>0</v>
      </c>
      <c r="AB215" s="159">
        <f>SUMIFS('Historical Orders'!$E215, 'Historical Orders'!$D215, "3", 'Historical Orders'!$C215, "A", 'Historical Orders'!$B215, "2")</f>
        <v>0</v>
      </c>
      <c r="AC215" s="159">
        <f>SUMIFS('Historical Orders'!$G215, 'Historical Orders'!$D215, "3", 'Historical Orders'!$C215, "A", 'Historical Orders'!$B215, "2")</f>
        <v>0</v>
      </c>
      <c r="AD215" s="159">
        <f>SUMIFS('Historical Orders'!$E215, 'Historical Orders'!$D215, "3", 'Historical Orders'!$C215, "B", 'Historical Orders'!$B215, "2")</f>
        <v>0</v>
      </c>
      <c r="AE215" s="157">
        <f>SUMIFS('Historical Orders'!$G215, 'Historical Orders'!$D215, "3", 'Historical Orders'!$C215, "B", 'Historical Orders'!$B215, "2")</f>
        <v>0</v>
      </c>
      <c r="AF215" s="157">
        <f>SUMIFS('Historical Orders'!$E215, 'Historical Orders'!$D215, "4", 'Historical Orders'!$C215, "A", 'Historical Orders'!$B215, "1")</f>
        <v>0</v>
      </c>
      <c r="AG215" s="157">
        <f>SUMIFS('Historical Orders'!$G215, 'Historical Orders'!$D215, "4", 'Historical Orders'!$C215, "A", 'Historical Orders'!$B215, "1")</f>
        <v>0</v>
      </c>
      <c r="AH215" s="157">
        <f>SUMIFS('Historical Orders'!$E215, 'Historical Orders'!$D215, "4", 'Historical Orders'!$C215, "B", 'Historical Orders'!$B215, "1")</f>
        <v>0</v>
      </c>
      <c r="AI215" s="157">
        <f>SUMIFS('Historical Orders'!$G215, 'Historical Orders'!$D215, "4", 'Historical Orders'!$C215, "B", 'Historical Orders'!$B215, "1")</f>
        <v>0</v>
      </c>
      <c r="AJ215" s="157">
        <f>SUMIFS('Historical Orders'!$E215, 'Historical Orders'!$D215, "4", 'Historical Orders'!$C215, "A", 'Historical Orders'!$B215, "2")</f>
        <v>0</v>
      </c>
      <c r="AK215" s="157">
        <f>SUMIFS('Historical Orders'!$G215, 'Historical Orders'!$D215, "4", 'Historical Orders'!$C215, "A", 'Historical Orders'!$B215, "2")</f>
        <v>0</v>
      </c>
      <c r="AL215" s="171">
        <f>SUMIFS('Historical Orders'!$E215, 'Historical Orders'!$D215, "4", 'Historical Orders'!$C215, "B", 'Historical Orders'!$B215, "2")</f>
        <v>0</v>
      </c>
      <c r="AM215" s="171">
        <f>SUMIFS('Historical Orders'!$G215, 'Historical Orders'!$D215, "4", 'Historical Orders'!$C215, "B", 'Historical Orders'!$B215, "2")</f>
        <v>0</v>
      </c>
      <c r="AN215" s="171">
        <f>SUMIFS('Historical Orders'!$G215, 'Historical Orders'!$C215, "A", 'Historical Orders'!$B215, "1")</f>
        <v>0</v>
      </c>
      <c r="AO215" s="171">
        <f>SUMIFS('Historical Orders'!$G215, 'Historical Orders'!$C215, "B", 'Historical Orders'!$B215, "1")</f>
        <v>0</v>
      </c>
      <c r="AP215" s="171">
        <f>SUMIFS('Historical Orders'!$G215, 'Historical Orders'!$C215, "A", 'Historical Orders'!$B215, "2")</f>
        <v>9237.6</v>
      </c>
      <c r="AQ215" s="171">
        <f>SUMIFS('Historical Orders'!$G215, 'Historical Orders'!$C215, "B", 'Historical Orders'!$B215, "2")</f>
        <v>0</v>
      </c>
      <c r="AR215" s="145"/>
      <c r="AS215" s="172"/>
      <c r="AT215" s="172"/>
      <c r="AU215" s="172"/>
      <c r="AV215" s="172"/>
      <c r="AW215" s="172"/>
      <c r="AX215" s="172"/>
      <c r="AY215" s="172"/>
      <c r="AZ215" s="172"/>
      <c r="BA215" s="172"/>
      <c r="BB215" s="172"/>
      <c r="BC215" s="172"/>
      <c r="BD215" s="172"/>
      <c r="BE215" s="172"/>
      <c r="BF215" s="172"/>
      <c r="BG215" s="172"/>
      <c r="BH215" s="172"/>
      <c r="BI215" s="172"/>
      <c r="BJ215" s="172"/>
      <c r="BK215" s="172"/>
      <c r="BL215" s="172"/>
      <c r="BM215" s="172"/>
      <c r="BN215" s="172"/>
      <c r="BO215" s="172"/>
      <c r="BP215" s="172"/>
      <c r="BQ215" s="172"/>
      <c r="BR215" s="172"/>
      <c r="BS215" s="172"/>
      <c r="BT215" s="172"/>
      <c r="BU215" s="172"/>
      <c r="BV215" s="179"/>
      <c r="BW215" s="179"/>
      <c r="BX215" s="179"/>
      <c r="BY215" s="179"/>
      <c r="BZ215" s="179"/>
      <c r="CA215" s="179"/>
      <c r="CB215" s="179"/>
      <c r="CC215" s="179"/>
      <c r="CD215" s="179"/>
      <c r="CE215" s="179"/>
    </row>
    <row r="216" ht="15.75" customHeight="1">
      <c r="A216" s="151">
        <v>42100.0</v>
      </c>
      <c r="B216" s="152">
        <v>1.0</v>
      </c>
      <c r="C216" s="152" t="s">
        <v>46</v>
      </c>
      <c r="D216" s="152">
        <v>3.0</v>
      </c>
      <c r="E216" s="153">
        <v>2167.0</v>
      </c>
      <c r="F216" s="154">
        <v>8.3</v>
      </c>
      <c r="G216" s="155">
        <v>17986.100000000002</v>
      </c>
      <c r="H216" s="159">
        <f>SUMIFS('Historical Orders'!$E216, 'Historical Orders'!$D216, "1", 'Historical Orders'!$C216, "A", 'Historical Orders'!$B216, "1")</f>
        <v>0</v>
      </c>
      <c r="I216" s="157">
        <f>SUMIFS('Historical Orders'!$G216, 'Historical Orders'!$D216, "1", 'Historical Orders'!$C216, "A", 'Historical Orders'!$B216, "1")</f>
        <v>0</v>
      </c>
      <c r="J216" s="157">
        <f>SUMIFS('Historical Orders'!$E216, 'Historical Orders'!$D216, "1", 'Historical Orders'!$C216, "B", 'Historical Orders'!$B216, "1")</f>
        <v>0</v>
      </c>
      <c r="K216" s="157">
        <f>SUMIFS('Historical Orders'!$G216, 'Historical Orders'!$D216, "1", 'Historical Orders'!$C216, "B", 'Historical Orders'!$B216, "1")</f>
        <v>0</v>
      </c>
      <c r="L216" s="159">
        <f>SUMIFS('Historical Orders'!$E216, 'Historical Orders'!$D216, "1", 'Historical Orders'!$C216, "A", 'Historical Orders'!$B216, "2")</f>
        <v>0</v>
      </c>
      <c r="M216" s="157">
        <f>SUMIFS('Historical Orders'!$G216, 'Historical Orders'!$D216, "1", 'Historical Orders'!$C216, "A", 'Historical Orders'!$B216, "2")</f>
        <v>0</v>
      </c>
      <c r="N216" s="157">
        <f>SUMIFS('Historical Orders'!$E216, 'Historical Orders'!$D216, "1", 'Historical Orders'!$C216, "B", 'Historical Orders'!$B216, "2")</f>
        <v>0</v>
      </c>
      <c r="O216" s="157">
        <f>SUMIFS('Historical Orders'!$G216, 'Historical Orders'!$D216, "1", 'Historical Orders'!$C216, "B", 'Historical Orders'!$B216, "2")</f>
        <v>0</v>
      </c>
      <c r="P216" s="159">
        <f>SUMIFS('Historical Orders'!$E216, 'Historical Orders'!$D216, "2", 'Historical Orders'!$C216, "A", 'Historical Orders'!$B216, "1")</f>
        <v>0</v>
      </c>
      <c r="Q216" s="157">
        <f>SUMIFS('Historical Orders'!$G216, 'Historical Orders'!$D216, "2", 'Historical Orders'!$C216, "A", 'Historical Orders'!$B216, "1")</f>
        <v>0</v>
      </c>
      <c r="R216" s="159">
        <f>SUMIFS('Historical Orders'!$E216, 'Historical Orders'!$D216, "2", 'Historical Orders'!$C216, "B", 'Historical Orders'!$B216, "1")</f>
        <v>0</v>
      </c>
      <c r="S216" s="157">
        <f>SUMIFS('Historical Orders'!$G216, 'Historical Orders'!$D216, "2", 'Historical Orders'!$C216, "B", 'Historical Orders'!$B216, "1")</f>
        <v>0</v>
      </c>
      <c r="T216" s="159">
        <f>SUMIFS('Historical Orders'!$E216, 'Historical Orders'!$D216, "2", 'Historical Orders'!$C216, "A", 'Historical Orders'!$B216, "2")</f>
        <v>0</v>
      </c>
      <c r="U216" s="157">
        <f>SUMIFS('Historical Orders'!$G216, 'Historical Orders'!$D216, "2", 'Historical Orders'!$C216, "A", 'Historical Orders'!$B216, "2")</f>
        <v>0</v>
      </c>
      <c r="V216" s="159">
        <f>SUMIFS('Historical Orders'!$E216, 'Historical Orders'!$D216, "2", 'Historical Orders'!$C216, "B", 'Historical Orders'!$B216, "2")</f>
        <v>0</v>
      </c>
      <c r="W216" s="159">
        <f>SUMIFS('Historical Orders'!$G216, 'Historical Orders'!$D216, "2", 'Historical Orders'!$C216, "B", 'Historical Orders'!$B216, "2")</f>
        <v>0</v>
      </c>
      <c r="X216" s="159">
        <f>SUMIFS('Historical Orders'!$E216, 'Historical Orders'!$D216, "3", 'Historical Orders'!$C216, "A", 'Historical Orders'!$B216, "1")</f>
        <v>0</v>
      </c>
      <c r="Y216" s="159">
        <f>SUMIFS('Historical Orders'!$G216, 'Historical Orders'!$D216, "3", 'Historical Orders'!$C216, "A", 'Historical Orders'!$B216, "1")</f>
        <v>0</v>
      </c>
      <c r="Z216" s="159">
        <f>SUMIFS('Historical Orders'!$E216, 'Historical Orders'!$D216, "3", 'Historical Orders'!$C216, "B", 'Historical Orders'!$B216, "1")</f>
        <v>2167</v>
      </c>
      <c r="AA216" s="159">
        <f>SUMIFS('Historical Orders'!$G216, 'Historical Orders'!$D216, "3", 'Historical Orders'!$C216, "B", 'Historical Orders'!$B216, "1")</f>
        <v>17986.1</v>
      </c>
      <c r="AB216" s="159">
        <f>SUMIFS('Historical Orders'!$E216, 'Historical Orders'!$D216, "3", 'Historical Orders'!$C216, "A", 'Historical Orders'!$B216, "2")</f>
        <v>0</v>
      </c>
      <c r="AC216" s="159">
        <f>SUMIFS('Historical Orders'!$G216, 'Historical Orders'!$D216, "3", 'Historical Orders'!$C216, "A", 'Historical Orders'!$B216, "2")</f>
        <v>0</v>
      </c>
      <c r="AD216" s="159">
        <f>SUMIFS('Historical Orders'!$E216, 'Historical Orders'!$D216, "3", 'Historical Orders'!$C216, "B", 'Historical Orders'!$B216, "2")</f>
        <v>0</v>
      </c>
      <c r="AE216" s="157">
        <f>SUMIFS('Historical Orders'!$G216, 'Historical Orders'!$D216, "3", 'Historical Orders'!$C216, "B", 'Historical Orders'!$B216, "2")</f>
        <v>0</v>
      </c>
      <c r="AF216" s="157">
        <f>SUMIFS('Historical Orders'!$E216, 'Historical Orders'!$D216, "4", 'Historical Orders'!$C216, "A", 'Historical Orders'!$B216, "1")</f>
        <v>0</v>
      </c>
      <c r="AG216" s="157">
        <f>SUMIFS('Historical Orders'!$G216, 'Historical Orders'!$D216, "4", 'Historical Orders'!$C216, "A", 'Historical Orders'!$B216, "1")</f>
        <v>0</v>
      </c>
      <c r="AH216" s="157">
        <f>SUMIFS('Historical Orders'!$E216, 'Historical Orders'!$D216, "4", 'Historical Orders'!$C216, "B", 'Historical Orders'!$B216, "1")</f>
        <v>0</v>
      </c>
      <c r="AI216" s="157">
        <f>SUMIFS('Historical Orders'!$G216, 'Historical Orders'!$D216, "4", 'Historical Orders'!$C216, "B", 'Historical Orders'!$B216, "1")</f>
        <v>0</v>
      </c>
      <c r="AJ216" s="157">
        <f>SUMIFS('Historical Orders'!$E216, 'Historical Orders'!$D216, "4", 'Historical Orders'!$C216, "A", 'Historical Orders'!$B216, "2")</f>
        <v>0</v>
      </c>
      <c r="AK216" s="157">
        <f>SUMIFS('Historical Orders'!$G216, 'Historical Orders'!$D216, "4", 'Historical Orders'!$C216, "A", 'Historical Orders'!$B216, "2")</f>
        <v>0</v>
      </c>
      <c r="AL216" s="171">
        <f>SUMIFS('Historical Orders'!$E216, 'Historical Orders'!$D216, "4", 'Historical Orders'!$C216, "B", 'Historical Orders'!$B216, "2")</f>
        <v>0</v>
      </c>
      <c r="AM216" s="171">
        <f>SUMIFS('Historical Orders'!$G216, 'Historical Orders'!$D216, "4", 'Historical Orders'!$C216, "B", 'Historical Orders'!$B216, "2")</f>
        <v>0</v>
      </c>
      <c r="AN216" s="171">
        <f>SUMIFS('Historical Orders'!$G216, 'Historical Orders'!$C216, "A", 'Historical Orders'!$B216, "1")</f>
        <v>0</v>
      </c>
      <c r="AO216" s="171">
        <f>SUMIFS('Historical Orders'!$G216, 'Historical Orders'!$C216, "B", 'Historical Orders'!$B216, "1")</f>
        <v>17986.1</v>
      </c>
      <c r="AP216" s="171">
        <f>SUMIFS('Historical Orders'!$G216, 'Historical Orders'!$C216, "A", 'Historical Orders'!$B216, "2")</f>
        <v>0</v>
      </c>
      <c r="AQ216" s="171">
        <f>SUMIFS('Historical Orders'!$G216, 'Historical Orders'!$C216, "B", 'Historical Orders'!$B216, "2")</f>
        <v>0</v>
      </c>
      <c r="AR216" s="145"/>
      <c r="AS216" s="172"/>
      <c r="AT216" s="172"/>
      <c r="AU216" s="172"/>
      <c r="AV216" s="172"/>
      <c r="AW216" s="172"/>
      <c r="AX216" s="172"/>
      <c r="AY216" s="172"/>
      <c r="AZ216" s="172"/>
      <c r="BA216" s="172"/>
      <c r="BB216" s="172"/>
      <c r="BC216" s="172"/>
      <c r="BD216" s="172"/>
      <c r="BE216" s="172"/>
      <c r="BF216" s="172"/>
      <c r="BG216" s="172"/>
      <c r="BH216" s="172"/>
      <c r="BI216" s="172"/>
      <c r="BJ216" s="172"/>
      <c r="BK216" s="172"/>
      <c r="BL216" s="172"/>
      <c r="BM216" s="172"/>
      <c r="BN216" s="172"/>
      <c r="BO216" s="172"/>
      <c r="BP216" s="172"/>
      <c r="BQ216" s="172"/>
      <c r="BR216" s="172"/>
      <c r="BS216" s="172"/>
      <c r="BT216" s="172"/>
      <c r="BU216" s="172"/>
      <c r="BV216" s="179"/>
      <c r="BW216" s="179"/>
      <c r="BX216" s="179"/>
      <c r="BY216" s="179"/>
      <c r="BZ216" s="179"/>
      <c r="CA216" s="179"/>
      <c r="CB216" s="179"/>
      <c r="CC216" s="179"/>
      <c r="CD216" s="179"/>
      <c r="CE216" s="179"/>
    </row>
    <row r="217" ht="15.75" customHeight="1">
      <c r="A217" s="151">
        <v>42100.0</v>
      </c>
      <c r="B217" s="152">
        <v>2.0</v>
      </c>
      <c r="C217" s="152" t="s">
        <v>46</v>
      </c>
      <c r="D217" s="152">
        <v>3.0</v>
      </c>
      <c r="E217" s="153">
        <v>2957.0</v>
      </c>
      <c r="F217" s="154">
        <v>8.3</v>
      </c>
      <c r="G217" s="155">
        <v>24543.100000000002</v>
      </c>
      <c r="H217" s="159">
        <f>SUMIFS('Historical Orders'!$E217, 'Historical Orders'!$D217, "1", 'Historical Orders'!$C217, "A", 'Historical Orders'!$B217, "1")</f>
        <v>0</v>
      </c>
      <c r="I217" s="157">
        <f>SUMIFS('Historical Orders'!$G217, 'Historical Orders'!$D217, "1", 'Historical Orders'!$C217, "A", 'Historical Orders'!$B217, "1")</f>
        <v>0</v>
      </c>
      <c r="J217" s="157">
        <f>SUMIFS('Historical Orders'!$E217, 'Historical Orders'!$D217, "1", 'Historical Orders'!$C217, "B", 'Historical Orders'!$B217, "1")</f>
        <v>0</v>
      </c>
      <c r="K217" s="157">
        <f>SUMIFS('Historical Orders'!$G217, 'Historical Orders'!$D217, "1", 'Historical Orders'!$C217, "B", 'Historical Orders'!$B217, "1")</f>
        <v>0</v>
      </c>
      <c r="L217" s="159">
        <f>SUMIFS('Historical Orders'!$E217, 'Historical Orders'!$D217, "1", 'Historical Orders'!$C217, "A", 'Historical Orders'!$B217, "2")</f>
        <v>0</v>
      </c>
      <c r="M217" s="157">
        <f>SUMIFS('Historical Orders'!$G217, 'Historical Orders'!$D217, "1", 'Historical Orders'!$C217, "A", 'Historical Orders'!$B217, "2")</f>
        <v>0</v>
      </c>
      <c r="N217" s="157">
        <f>SUMIFS('Historical Orders'!$E217, 'Historical Orders'!$D217, "1", 'Historical Orders'!$C217, "B", 'Historical Orders'!$B217, "2")</f>
        <v>0</v>
      </c>
      <c r="O217" s="157">
        <f>SUMIFS('Historical Orders'!$G217, 'Historical Orders'!$D217, "1", 'Historical Orders'!$C217, "B", 'Historical Orders'!$B217, "2")</f>
        <v>0</v>
      </c>
      <c r="P217" s="159">
        <f>SUMIFS('Historical Orders'!$E217, 'Historical Orders'!$D217, "2", 'Historical Orders'!$C217, "A", 'Historical Orders'!$B217, "1")</f>
        <v>0</v>
      </c>
      <c r="Q217" s="157">
        <f>SUMIFS('Historical Orders'!$G217, 'Historical Orders'!$D217, "2", 'Historical Orders'!$C217, "A", 'Historical Orders'!$B217, "1")</f>
        <v>0</v>
      </c>
      <c r="R217" s="159">
        <f>SUMIFS('Historical Orders'!$E217, 'Historical Orders'!$D217, "2", 'Historical Orders'!$C217, "B", 'Historical Orders'!$B217, "1")</f>
        <v>0</v>
      </c>
      <c r="S217" s="157">
        <f>SUMIFS('Historical Orders'!$G217, 'Historical Orders'!$D217, "2", 'Historical Orders'!$C217, "B", 'Historical Orders'!$B217, "1")</f>
        <v>0</v>
      </c>
      <c r="T217" s="159">
        <f>SUMIFS('Historical Orders'!$E217, 'Historical Orders'!$D217, "2", 'Historical Orders'!$C217, "A", 'Historical Orders'!$B217, "2")</f>
        <v>0</v>
      </c>
      <c r="U217" s="157">
        <f>SUMIFS('Historical Orders'!$G217, 'Historical Orders'!$D217, "2", 'Historical Orders'!$C217, "A", 'Historical Orders'!$B217, "2")</f>
        <v>0</v>
      </c>
      <c r="V217" s="159">
        <f>SUMIFS('Historical Orders'!$E217, 'Historical Orders'!$D217, "2", 'Historical Orders'!$C217, "B", 'Historical Orders'!$B217, "2")</f>
        <v>0</v>
      </c>
      <c r="W217" s="159">
        <f>SUMIFS('Historical Orders'!$G217, 'Historical Orders'!$D217, "2", 'Historical Orders'!$C217, "B", 'Historical Orders'!$B217, "2")</f>
        <v>0</v>
      </c>
      <c r="X217" s="159">
        <f>SUMIFS('Historical Orders'!$E217, 'Historical Orders'!$D217, "3", 'Historical Orders'!$C217, "A", 'Historical Orders'!$B217, "1")</f>
        <v>0</v>
      </c>
      <c r="Y217" s="159">
        <f>SUMIFS('Historical Orders'!$G217, 'Historical Orders'!$D217, "3", 'Historical Orders'!$C217, "A", 'Historical Orders'!$B217, "1")</f>
        <v>0</v>
      </c>
      <c r="Z217" s="159">
        <f>SUMIFS('Historical Orders'!$E217, 'Historical Orders'!$D217, "3", 'Historical Orders'!$C217, "B", 'Historical Orders'!$B217, "1")</f>
        <v>0</v>
      </c>
      <c r="AA217" s="159">
        <f>SUMIFS('Historical Orders'!$G217, 'Historical Orders'!$D217, "3", 'Historical Orders'!$C217, "B", 'Historical Orders'!$B217, "1")</f>
        <v>0</v>
      </c>
      <c r="AB217" s="159">
        <f>SUMIFS('Historical Orders'!$E217, 'Historical Orders'!$D217, "3", 'Historical Orders'!$C217, "A", 'Historical Orders'!$B217, "2")</f>
        <v>0</v>
      </c>
      <c r="AC217" s="159">
        <f>SUMIFS('Historical Orders'!$G217, 'Historical Orders'!$D217, "3", 'Historical Orders'!$C217, "A", 'Historical Orders'!$B217, "2")</f>
        <v>0</v>
      </c>
      <c r="AD217" s="159">
        <f>SUMIFS('Historical Orders'!$E217, 'Historical Orders'!$D217, "3", 'Historical Orders'!$C217, "B", 'Historical Orders'!$B217, "2")</f>
        <v>2957</v>
      </c>
      <c r="AE217" s="157">
        <f>SUMIFS('Historical Orders'!$G217, 'Historical Orders'!$D217, "3", 'Historical Orders'!$C217, "B", 'Historical Orders'!$B217, "2")</f>
        <v>24543.1</v>
      </c>
      <c r="AF217" s="157">
        <f>SUMIFS('Historical Orders'!$E217, 'Historical Orders'!$D217, "4", 'Historical Orders'!$C217, "A", 'Historical Orders'!$B217, "1")</f>
        <v>0</v>
      </c>
      <c r="AG217" s="157">
        <f>SUMIFS('Historical Orders'!$G217, 'Historical Orders'!$D217, "4", 'Historical Orders'!$C217, "A", 'Historical Orders'!$B217, "1")</f>
        <v>0</v>
      </c>
      <c r="AH217" s="157">
        <f>SUMIFS('Historical Orders'!$E217, 'Historical Orders'!$D217, "4", 'Historical Orders'!$C217, "B", 'Historical Orders'!$B217, "1")</f>
        <v>0</v>
      </c>
      <c r="AI217" s="157">
        <f>SUMIFS('Historical Orders'!$G217, 'Historical Orders'!$D217, "4", 'Historical Orders'!$C217, "B", 'Historical Orders'!$B217, "1")</f>
        <v>0</v>
      </c>
      <c r="AJ217" s="157">
        <f>SUMIFS('Historical Orders'!$E217, 'Historical Orders'!$D217, "4", 'Historical Orders'!$C217, "A", 'Historical Orders'!$B217, "2")</f>
        <v>0</v>
      </c>
      <c r="AK217" s="157">
        <f>SUMIFS('Historical Orders'!$G217, 'Historical Orders'!$D217, "4", 'Historical Orders'!$C217, "A", 'Historical Orders'!$B217, "2")</f>
        <v>0</v>
      </c>
      <c r="AL217" s="171">
        <f>SUMIFS('Historical Orders'!$E217, 'Historical Orders'!$D217, "4", 'Historical Orders'!$C217, "B", 'Historical Orders'!$B217, "2")</f>
        <v>0</v>
      </c>
      <c r="AM217" s="171">
        <f>SUMIFS('Historical Orders'!$G217, 'Historical Orders'!$D217, "4", 'Historical Orders'!$C217, "B", 'Historical Orders'!$B217, "2")</f>
        <v>0</v>
      </c>
      <c r="AN217" s="171">
        <f>SUMIFS('Historical Orders'!$G217, 'Historical Orders'!$C217, "A", 'Historical Orders'!$B217, "1")</f>
        <v>0</v>
      </c>
      <c r="AO217" s="171">
        <f>SUMIFS('Historical Orders'!$G217, 'Historical Orders'!$C217, "B", 'Historical Orders'!$B217, "1")</f>
        <v>0</v>
      </c>
      <c r="AP217" s="171">
        <f>SUMIFS('Historical Orders'!$G217, 'Historical Orders'!$C217, "A", 'Historical Orders'!$B217, "2")</f>
        <v>0</v>
      </c>
      <c r="AQ217" s="171">
        <f>SUMIFS('Historical Orders'!$G217, 'Historical Orders'!$C217, "B", 'Historical Orders'!$B217, "2")</f>
        <v>24543.1</v>
      </c>
      <c r="AR217" s="145"/>
      <c r="AS217" s="172"/>
      <c r="AT217" s="172"/>
      <c r="AU217" s="172"/>
      <c r="AV217" s="172"/>
      <c r="AW217" s="172"/>
      <c r="AX217" s="172"/>
      <c r="AY217" s="172"/>
      <c r="AZ217" s="172"/>
      <c r="BA217" s="172"/>
      <c r="BB217" s="172"/>
      <c r="BC217" s="172"/>
      <c r="BD217" s="172"/>
      <c r="BE217" s="172"/>
      <c r="BF217" s="172"/>
      <c r="BG217" s="172"/>
      <c r="BH217" s="172"/>
      <c r="BI217" s="172"/>
      <c r="BJ217" s="172"/>
      <c r="BK217" s="172"/>
      <c r="BL217" s="172"/>
      <c r="BM217" s="172"/>
      <c r="BN217" s="172"/>
      <c r="BO217" s="172"/>
      <c r="BP217" s="172"/>
      <c r="BQ217" s="172"/>
      <c r="BR217" s="172"/>
      <c r="BS217" s="172"/>
      <c r="BT217" s="172"/>
      <c r="BU217" s="172"/>
      <c r="BV217" s="179"/>
      <c r="BW217" s="179"/>
      <c r="BX217" s="179"/>
      <c r="BY217" s="179"/>
      <c r="BZ217" s="179"/>
      <c r="CA217" s="179"/>
      <c r="CB217" s="179"/>
      <c r="CC217" s="179"/>
      <c r="CD217" s="179"/>
      <c r="CE217" s="179"/>
    </row>
    <row r="218" ht="15.75" customHeight="1">
      <c r="A218" s="151">
        <v>42107.0</v>
      </c>
      <c r="B218" s="152">
        <v>1.0</v>
      </c>
      <c r="C218" s="152" t="s">
        <v>45</v>
      </c>
      <c r="D218" s="152">
        <v>1.0</v>
      </c>
      <c r="E218" s="153">
        <v>4366.0</v>
      </c>
      <c r="F218" s="154">
        <v>2.2</v>
      </c>
      <c r="G218" s="155">
        <v>9605.2</v>
      </c>
      <c r="H218" s="159">
        <f>SUMIFS('Historical Orders'!$E218, 'Historical Orders'!$D218, "1", 'Historical Orders'!$C218, "A", 'Historical Orders'!$B218, "1")</f>
        <v>4366</v>
      </c>
      <c r="I218" s="157">
        <f>SUMIFS('Historical Orders'!$G218, 'Historical Orders'!$D218, "1", 'Historical Orders'!$C218, "A", 'Historical Orders'!$B218, "1")</f>
        <v>9605.2</v>
      </c>
      <c r="J218" s="157">
        <f>SUMIFS('Historical Orders'!$E218, 'Historical Orders'!$D218, "1", 'Historical Orders'!$C218, "B", 'Historical Orders'!$B218, "1")</f>
        <v>0</v>
      </c>
      <c r="K218" s="157">
        <f>SUMIFS('Historical Orders'!$G218, 'Historical Orders'!$D218, "1", 'Historical Orders'!$C218, "B", 'Historical Orders'!$B218, "1")</f>
        <v>0</v>
      </c>
      <c r="L218" s="159">
        <f>SUMIFS('Historical Orders'!$E218, 'Historical Orders'!$D218, "1", 'Historical Orders'!$C218, "A", 'Historical Orders'!$B218, "2")</f>
        <v>0</v>
      </c>
      <c r="M218" s="157">
        <f>SUMIFS('Historical Orders'!$G218, 'Historical Orders'!$D218, "1", 'Historical Orders'!$C218, "A", 'Historical Orders'!$B218, "2")</f>
        <v>0</v>
      </c>
      <c r="N218" s="157">
        <f>SUMIFS('Historical Orders'!$E218, 'Historical Orders'!$D218, "1", 'Historical Orders'!$C218, "B", 'Historical Orders'!$B218, "2")</f>
        <v>0</v>
      </c>
      <c r="O218" s="157">
        <f>SUMIFS('Historical Orders'!$G218, 'Historical Orders'!$D218, "1", 'Historical Orders'!$C218, "B", 'Historical Orders'!$B218, "2")</f>
        <v>0</v>
      </c>
      <c r="P218" s="159">
        <f>SUMIFS('Historical Orders'!$E218, 'Historical Orders'!$D218, "2", 'Historical Orders'!$C218, "A", 'Historical Orders'!$B218, "1")</f>
        <v>0</v>
      </c>
      <c r="Q218" s="157">
        <f>SUMIFS('Historical Orders'!$G218, 'Historical Orders'!$D218, "2", 'Historical Orders'!$C218, "A", 'Historical Orders'!$B218, "1")</f>
        <v>0</v>
      </c>
      <c r="R218" s="159">
        <f>SUMIFS('Historical Orders'!$E218, 'Historical Orders'!$D218, "2", 'Historical Orders'!$C218, "B", 'Historical Orders'!$B218, "1")</f>
        <v>0</v>
      </c>
      <c r="S218" s="157">
        <f>SUMIFS('Historical Orders'!$G218, 'Historical Orders'!$D218, "2", 'Historical Orders'!$C218, "B", 'Historical Orders'!$B218, "1")</f>
        <v>0</v>
      </c>
      <c r="T218" s="159">
        <f>SUMIFS('Historical Orders'!$E218, 'Historical Orders'!$D218, "2", 'Historical Orders'!$C218, "A", 'Historical Orders'!$B218, "2")</f>
        <v>0</v>
      </c>
      <c r="U218" s="157">
        <f>SUMIFS('Historical Orders'!$G218, 'Historical Orders'!$D218, "2", 'Historical Orders'!$C218, "A", 'Historical Orders'!$B218, "2")</f>
        <v>0</v>
      </c>
      <c r="V218" s="159">
        <f>SUMIFS('Historical Orders'!$E218, 'Historical Orders'!$D218, "2", 'Historical Orders'!$C218, "B", 'Historical Orders'!$B218, "2")</f>
        <v>0</v>
      </c>
      <c r="W218" s="159">
        <f>SUMIFS('Historical Orders'!$G218, 'Historical Orders'!$D218, "2", 'Historical Orders'!$C218, "B", 'Historical Orders'!$B218, "2")</f>
        <v>0</v>
      </c>
      <c r="X218" s="159">
        <f>SUMIFS('Historical Orders'!$E218, 'Historical Orders'!$D218, "3", 'Historical Orders'!$C218, "A", 'Historical Orders'!$B218, "1")</f>
        <v>0</v>
      </c>
      <c r="Y218" s="159">
        <f>SUMIFS('Historical Orders'!$G218, 'Historical Orders'!$D218, "3", 'Historical Orders'!$C218, "A", 'Historical Orders'!$B218, "1")</f>
        <v>0</v>
      </c>
      <c r="Z218" s="159">
        <f>SUMIFS('Historical Orders'!$E218, 'Historical Orders'!$D218, "3", 'Historical Orders'!$C218, "B", 'Historical Orders'!$B218, "1")</f>
        <v>0</v>
      </c>
      <c r="AA218" s="159">
        <f>SUMIFS('Historical Orders'!$G218, 'Historical Orders'!$D218, "3", 'Historical Orders'!$C218, "B", 'Historical Orders'!$B218, "1")</f>
        <v>0</v>
      </c>
      <c r="AB218" s="159">
        <f>SUMIFS('Historical Orders'!$E218, 'Historical Orders'!$D218, "3", 'Historical Orders'!$C218, "A", 'Historical Orders'!$B218, "2")</f>
        <v>0</v>
      </c>
      <c r="AC218" s="159">
        <f>SUMIFS('Historical Orders'!$G218, 'Historical Orders'!$D218, "3", 'Historical Orders'!$C218, "A", 'Historical Orders'!$B218, "2")</f>
        <v>0</v>
      </c>
      <c r="AD218" s="159">
        <f>SUMIFS('Historical Orders'!$E218, 'Historical Orders'!$D218, "3", 'Historical Orders'!$C218, "B", 'Historical Orders'!$B218, "2")</f>
        <v>0</v>
      </c>
      <c r="AE218" s="157">
        <f>SUMIFS('Historical Orders'!$G218, 'Historical Orders'!$D218, "3", 'Historical Orders'!$C218, "B", 'Historical Orders'!$B218, "2")</f>
        <v>0</v>
      </c>
      <c r="AF218" s="157">
        <f>SUMIFS('Historical Orders'!$E218, 'Historical Orders'!$D218, "4", 'Historical Orders'!$C218, "A", 'Historical Orders'!$B218, "1")</f>
        <v>0</v>
      </c>
      <c r="AG218" s="157">
        <f>SUMIFS('Historical Orders'!$G218, 'Historical Orders'!$D218, "4", 'Historical Orders'!$C218, "A", 'Historical Orders'!$B218, "1")</f>
        <v>0</v>
      </c>
      <c r="AH218" s="157">
        <f>SUMIFS('Historical Orders'!$E218, 'Historical Orders'!$D218, "4", 'Historical Orders'!$C218, "B", 'Historical Orders'!$B218, "1")</f>
        <v>0</v>
      </c>
      <c r="AI218" s="157">
        <f>SUMIFS('Historical Orders'!$G218, 'Historical Orders'!$D218, "4", 'Historical Orders'!$C218, "B", 'Historical Orders'!$B218, "1")</f>
        <v>0</v>
      </c>
      <c r="AJ218" s="157">
        <f>SUMIFS('Historical Orders'!$E218, 'Historical Orders'!$D218, "4", 'Historical Orders'!$C218, "A", 'Historical Orders'!$B218, "2")</f>
        <v>0</v>
      </c>
      <c r="AK218" s="157">
        <f>SUMIFS('Historical Orders'!$G218, 'Historical Orders'!$D218, "4", 'Historical Orders'!$C218, "A", 'Historical Orders'!$B218, "2")</f>
        <v>0</v>
      </c>
      <c r="AL218" s="171">
        <f>SUMIFS('Historical Orders'!$E218, 'Historical Orders'!$D218, "4", 'Historical Orders'!$C218, "B", 'Historical Orders'!$B218, "2")</f>
        <v>0</v>
      </c>
      <c r="AM218" s="171">
        <f>SUMIFS('Historical Orders'!$G218, 'Historical Orders'!$D218, "4", 'Historical Orders'!$C218, "B", 'Historical Orders'!$B218, "2")</f>
        <v>0</v>
      </c>
      <c r="AN218" s="171">
        <f>SUMIFS('Historical Orders'!$G218, 'Historical Orders'!$C218, "A", 'Historical Orders'!$B218, "1")</f>
        <v>9605.2</v>
      </c>
      <c r="AO218" s="171">
        <f>SUMIFS('Historical Orders'!$G218, 'Historical Orders'!$C218, "B", 'Historical Orders'!$B218, "1")</f>
        <v>0</v>
      </c>
      <c r="AP218" s="171">
        <f>SUMIFS('Historical Orders'!$G218, 'Historical Orders'!$C218, "A", 'Historical Orders'!$B218, "2")</f>
        <v>0</v>
      </c>
      <c r="AQ218" s="171">
        <f>SUMIFS('Historical Orders'!$G218, 'Historical Orders'!$C218, "B", 'Historical Orders'!$B218, "2")</f>
        <v>0</v>
      </c>
      <c r="AR218" s="145"/>
      <c r="AS218" s="172"/>
      <c r="AT218" s="172"/>
      <c r="AU218" s="172"/>
      <c r="AV218" s="172"/>
      <c r="AW218" s="172"/>
      <c r="AX218" s="172"/>
      <c r="AY218" s="172"/>
      <c r="AZ218" s="172"/>
      <c r="BA218" s="172"/>
      <c r="BB218" s="172"/>
      <c r="BC218" s="172"/>
      <c r="BD218" s="172"/>
      <c r="BE218" s="172"/>
      <c r="BF218" s="172"/>
      <c r="BG218" s="172"/>
      <c r="BH218" s="172"/>
      <c r="BI218" s="172"/>
      <c r="BJ218" s="172"/>
      <c r="BK218" s="172"/>
      <c r="BL218" s="172"/>
      <c r="BM218" s="172"/>
      <c r="BN218" s="172"/>
      <c r="BO218" s="172"/>
      <c r="BP218" s="172"/>
      <c r="BQ218" s="172"/>
      <c r="BR218" s="172"/>
      <c r="BS218" s="172"/>
      <c r="BT218" s="172"/>
      <c r="BU218" s="172"/>
      <c r="BV218" s="179"/>
      <c r="BW218" s="179"/>
      <c r="BX218" s="179"/>
      <c r="BY218" s="179"/>
      <c r="BZ218" s="179"/>
      <c r="CA218" s="179"/>
      <c r="CB218" s="179"/>
      <c r="CC218" s="179"/>
      <c r="CD218" s="179"/>
      <c r="CE218" s="179"/>
    </row>
    <row r="219" ht="15.75" customHeight="1">
      <c r="A219" s="151">
        <v>42107.0</v>
      </c>
      <c r="B219" s="152">
        <v>1.0</v>
      </c>
      <c r="C219" s="152" t="s">
        <v>45</v>
      </c>
      <c r="D219" s="152">
        <v>2.0</v>
      </c>
      <c r="E219" s="153">
        <v>6667.0</v>
      </c>
      <c r="F219" s="154">
        <v>1.2</v>
      </c>
      <c r="G219" s="155">
        <v>8000.4</v>
      </c>
      <c r="H219" s="159">
        <f>SUMIFS('Historical Orders'!$E219, 'Historical Orders'!$D219, "1", 'Historical Orders'!$C219, "A", 'Historical Orders'!$B219, "1")</f>
        <v>0</v>
      </c>
      <c r="I219" s="157">
        <f>SUMIFS('Historical Orders'!$G219, 'Historical Orders'!$D219, "1", 'Historical Orders'!$C219, "A", 'Historical Orders'!$B219, "1")</f>
        <v>0</v>
      </c>
      <c r="J219" s="157">
        <f>SUMIFS('Historical Orders'!$E219, 'Historical Orders'!$D219, "1", 'Historical Orders'!$C219, "B", 'Historical Orders'!$B219, "1")</f>
        <v>0</v>
      </c>
      <c r="K219" s="157">
        <f>SUMIFS('Historical Orders'!$G219, 'Historical Orders'!$D219, "1", 'Historical Orders'!$C219, "B", 'Historical Orders'!$B219, "1")</f>
        <v>0</v>
      </c>
      <c r="L219" s="159">
        <f>SUMIFS('Historical Orders'!$E219, 'Historical Orders'!$D219, "1", 'Historical Orders'!$C219, "A", 'Historical Orders'!$B219, "2")</f>
        <v>0</v>
      </c>
      <c r="M219" s="157">
        <f>SUMIFS('Historical Orders'!$G219, 'Historical Orders'!$D219, "1", 'Historical Orders'!$C219, "A", 'Historical Orders'!$B219, "2")</f>
        <v>0</v>
      </c>
      <c r="N219" s="157">
        <f>SUMIFS('Historical Orders'!$E219, 'Historical Orders'!$D219, "1", 'Historical Orders'!$C219, "B", 'Historical Orders'!$B219, "2")</f>
        <v>0</v>
      </c>
      <c r="O219" s="157">
        <f>SUMIFS('Historical Orders'!$G219, 'Historical Orders'!$D219, "1", 'Historical Orders'!$C219, "B", 'Historical Orders'!$B219, "2")</f>
        <v>0</v>
      </c>
      <c r="P219" s="159">
        <f>SUMIFS('Historical Orders'!$E219, 'Historical Orders'!$D219, "2", 'Historical Orders'!$C219, "A", 'Historical Orders'!$B219, "1")</f>
        <v>6667</v>
      </c>
      <c r="Q219" s="157">
        <f>SUMIFS('Historical Orders'!$G219, 'Historical Orders'!$D219, "2", 'Historical Orders'!$C219, "A", 'Historical Orders'!$B219, "1")</f>
        <v>8000.4</v>
      </c>
      <c r="R219" s="159">
        <f>SUMIFS('Historical Orders'!$E219, 'Historical Orders'!$D219, "2", 'Historical Orders'!$C219, "B", 'Historical Orders'!$B219, "1")</f>
        <v>0</v>
      </c>
      <c r="S219" s="157">
        <f>SUMIFS('Historical Orders'!$G219, 'Historical Orders'!$D219, "2", 'Historical Orders'!$C219, "B", 'Historical Orders'!$B219, "1")</f>
        <v>0</v>
      </c>
      <c r="T219" s="159">
        <f>SUMIFS('Historical Orders'!$E219, 'Historical Orders'!$D219, "2", 'Historical Orders'!$C219, "A", 'Historical Orders'!$B219, "2")</f>
        <v>0</v>
      </c>
      <c r="U219" s="157">
        <f>SUMIFS('Historical Orders'!$G219, 'Historical Orders'!$D219, "2", 'Historical Orders'!$C219, "A", 'Historical Orders'!$B219, "2")</f>
        <v>0</v>
      </c>
      <c r="V219" s="159">
        <f>SUMIFS('Historical Orders'!$E219, 'Historical Orders'!$D219, "2", 'Historical Orders'!$C219, "B", 'Historical Orders'!$B219, "2")</f>
        <v>0</v>
      </c>
      <c r="W219" s="159">
        <f>SUMIFS('Historical Orders'!$G219, 'Historical Orders'!$D219, "2", 'Historical Orders'!$C219, "B", 'Historical Orders'!$B219, "2")</f>
        <v>0</v>
      </c>
      <c r="X219" s="159">
        <f>SUMIFS('Historical Orders'!$E219, 'Historical Orders'!$D219, "3", 'Historical Orders'!$C219, "A", 'Historical Orders'!$B219, "1")</f>
        <v>0</v>
      </c>
      <c r="Y219" s="159">
        <f>SUMIFS('Historical Orders'!$G219, 'Historical Orders'!$D219, "3", 'Historical Orders'!$C219, "A", 'Historical Orders'!$B219, "1")</f>
        <v>0</v>
      </c>
      <c r="Z219" s="159">
        <f>SUMIFS('Historical Orders'!$E219, 'Historical Orders'!$D219, "3", 'Historical Orders'!$C219, "B", 'Historical Orders'!$B219, "1")</f>
        <v>0</v>
      </c>
      <c r="AA219" s="159">
        <f>SUMIFS('Historical Orders'!$G219, 'Historical Orders'!$D219, "3", 'Historical Orders'!$C219, "B", 'Historical Orders'!$B219, "1")</f>
        <v>0</v>
      </c>
      <c r="AB219" s="159">
        <f>SUMIFS('Historical Orders'!$E219, 'Historical Orders'!$D219, "3", 'Historical Orders'!$C219, "A", 'Historical Orders'!$B219, "2")</f>
        <v>0</v>
      </c>
      <c r="AC219" s="159">
        <f>SUMIFS('Historical Orders'!$G219, 'Historical Orders'!$D219, "3", 'Historical Orders'!$C219, "A", 'Historical Orders'!$B219, "2")</f>
        <v>0</v>
      </c>
      <c r="AD219" s="159">
        <f>SUMIFS('Historical Orders'!$E219, 'Historical Orders'!$D219, "3", 'Historical Orders'!$C219, "B", 'Historical Orders'!$B219, "2")</f>
        <v>0</v>
      </c>
      <c r="AE219" s="157">
        <f>SUMIFS('Historical Orders'!$G219, 'Historical Orders'!$D219, "3", 'Historical Orders'!$C219, "B", 'Historical Orders'!$B219, "2")</f>
        <v>0</v>
      </c>
      <c r="AF219" s="157">
        <f>SUMIFS('Historical Orders'!$E219, 'Historical Orders'!$D219, "4", 'Historical Orders'!$C219, "A", 'Historical Orders'!$B219, "1")</f>
        <v>0</v>
      </c>
      <c r="AG219" s="157">
        <f>SUMIFS('Historical Orders'!$G219, 'Historical Orders'!$D219, "4", 'Historical Orders'!$C219, "A", 'Historical Orders'!$B219, "1")</f>
        <v>0</v>
      </c>
      <c r="AH219" s="157">
        <f>SUMIFS('Historical Orders'!$E219, 'Historical Orders'!$D219, "4", 'Historical Orders'!$C219, "B", 'Historical Orders'!$B219, "1")</f>
        <v>0</v>
      </c>
      <c r="AI219" s="157">
        <f>SUMIFS('Historical Orders'!$G219, 'Historical Orders'!$D219, "4", 'Historical Orders'!$C219, "B", 'Historical Orders'!$B219, "1")</f>
        <v>0</v>
      </c>
      <c r="AJ219" s="157">
        <f>SUMIFS('Historical Orders'!$E219, 'Historical Orders'!$D219, "4", 'Historical Orders'!$C219, "A", 'Historical Orders'!$B219, "2")</f>
        <v>0</v>
      </c>
      <c r="AK219" s="157">
        <f>SUMIFS('Historical Orders'!$G219, 'Historical Orders'!$D219, "4", 'Historical Orders'!$C219, "A", 'Historical Orders'!$B219, "2")</f>
        <v>0</v>
      </c>
      <c r="AL219" s="171">
        <f>SUMIFS('Historical Orders'!$E219, 'Historical Orders'!$D219, "4", 'Historical Orders'!$C219, "B", 'Historical Orders'!$B219, "2")</f>
        <v>0</v>
      </c>
      <c r="AM219" s="171">
        <f>SUMIFS('Historical Orders'!$G219, 'Historical Orders'!$D219, "4", 'Historical Orders'!$C219, "B", 'Historical Orders'!$B219, "2")</f>
        <v>0</v>
      </c>
      <c r="AN219" s="171">
        <f>SUMIFS('Historical Orders'!$G219, 'Historical Orders'!$C219, "A", 'Historical Orders'!$B219, "1")</f>
        <v>8000.4</v>
      </c>
      <c r="AO219" s="171">
        <f>SUMIFS('Historical Orders'!$G219, 'Historical Orders'!$C219, "B", 'Historical Orders'!$B219, "1")</f>
        <v>0</v>
      </c>
      <c r="AP219" s="171">
        <f>SUMIFS('Historical Orders'!$G219, 'Historical Orders'!$C219, "A", 'Historical Orders'!$B219, "2")</f>
        <v>0</v>
      </c>
      <c r="AQ219" s="171">
        <f>SUMIFS('Historical Orders'!$G219, 'Historical Orders'!$C219, "B", 'Historical Orders'!$B219, "2")</f>
        <v>0</v>
      </c>
      <c r="AR219" s="145"/>
      <c r="AS219" s="172"/>
      <c r="AT219" s="172"/>
      <c r="AU219" s="172"/>
      <c r="AV219" s="172"/>
      <c r="AW219" s="172"/>
      <c r="AX219" s="172"/>
      <c r="AY219" s="172"/>
      <c r="AZ219" s="172"/>
      <c r="BA219" s="172"/>
      <c r="BB219" s="172"/>
      <c r="BC219" s="172"/>
      <c r="BD219" s="172"/>
      <c r="BE219" s="172"/>
      <c r="BF219" s="172"/>
      <c r="BG219" s="172"/>
      <c r="BH219" s="172"/>
      <c r="BI219" s="172"/>
      <c r="BJ219" s="172"/>
      <c r="BK219" s="172"/>
      <c r="BL219" s="172"/>
      <c r="BM219" s="172"/>
      <c r="BN219" s="172"/>
      <c r="BO219" s="172"/>
      <c r="BP219" s="172"/>
      <c r="BQ219" s="172"/>
      <c r="BR219" s="172"/>
      <c r="BS219" s="172"/>
      <c r="BT219" s="172"/>
      <c r="BU219" s="172"/>
      <c r="BV219" s="179"/>
      <c r="BW219" s="179"/>
      <c r="BX219" s="179"/>
      <c r="BY219" s="179"/>
      <c r="BZ219" s="179"/>
      <c r="CA219" s="179"/>
      <c r="CB219" s="179"/>
      <c r="CC219" s="179"/>
      <c r="CD219" s="179"/>
      <c r="CE219" s="179"/>
    </row>
    <row r="220" ht="15.75" customHeight="1">
      <c r="A220" s="151">
        <v>42107.0</v>
      </c>
      <c r="B220" s="152">
        <v>2.0</v>
      </c>
      <c r="C220" s="152" t="s">
        <v>45</v>
      </c>
      <c r="D220" s="152">
        <v>1.0</v>
      </c>
      <c r="E220" s="153">
        <v>3318.0</v>
      </c>
      <c r="F220" s="154">
        <v>2.2</v>
      </c>
      <c r="G220" s="155">
        <v>7299.6</v>
      </c>
      <c r="H220" s="159">
        <f>SUMIFS('Historical Orders'!$E220, 'Historical Orders'!$D220, "1", 'Historical Orders'!$C220, "A", 'Historical Orders'!$B220, "1")</f>
        <v>0</v>
      </c>
      <c r="I220" s="157">
        <f>SUMIFS('Historical Orders'!$G220, 'Historical Orders'!$D220, "1", 'Historical Orders'!$C220, "A", 'Historical Orders'!$B220, "1")</f>
        <v>0</v>
      </c>
      <c r="J220" s="157">
        <f>SUMIFS('Historical Orders'!$E220, 'Historical Orders'!$D220, "1", 'Historical Orders'!$C220, "B", 'Historical Orders'!$B220, "1")</f>
        <v>0</v>
      </c>
      <c r="K220" s="157">
        <f>SUMIFS('Historical Orders'!$G220, 'Historical Orders'!$D220, "1", 'Historical Orders'!$C220, "B", 'Historical Orders'!$B220, "1")</f>
        <v>0</v>
      </c>
      <c r="L220" s="159">
        <f>SUMIFS('Historical Orders'!$E220, 'Historical Orders'!$D220, "1", 'Historical Orders'!$C220, "A", 'Historical Orders'!$B220, "2")</f>
        <v>3318</v>
      </c>
      <c r="M220" s="157">
        <f>SUMIFS('Historical Orders'!$G220, 'Historical Orders'!$D220, "1", 'Historical Orders'!$C220, "A", 'Historical Orders'!$B220, "2")</f>
        <v>7299.6</v>
      </c>
      <c r="N220" s="157">
        <f>SUMIFS('Historical Orders'!$E220, 'Historical Orders'!$D220, "1", 'Historical Orders'!$C220, "B", 'Historical Orders'!$B220, "2")</f>
        <v>0</v>
      </c>
      <c r="O220" s="157">
        <f>SUMIFS('Historical Orders'!$G220, 'Historical Orders'!$D220, "1", 'Historical Orders'!$C220, "B", 'Historical Orders'!$B220, "2")</f>
        <v>0</v>
      </c>
      <c r="P220" s="159">
        <f>SUMIFS('Historical Orders'!$E220, 'Historical Orders'!$D220, "2", 'Historical Orders'!$C220, "A", 'Historical Orders'!$B220, "1")</f>
        <v>0</v>
      </c>
      <c r="Q220" s="157">
        <f>SUMIFS('Historical Orders'!$G220, 'Historical Orders'!$D220, "2", 'Historical Orders'!$C220, "A", 'Historical Orders'!$B220, "1")</f>
        <v>0</v>
      </c>
      <c r="R220" s="159">
        <f>SUMIFS('Historical Orders'!$E220, 'Historical Orders'!$D220, "2", 'Historical Orders'!$C220, "B", 'Historical Orders'!$B220, "1")</f>
        <v>0</v>
      </c>
      <c r="S220" s="157">
        <f>SUMIFS('Historical Orders'!$G220, 'Historical Orders'!$D220, "2", 'Historical Orders'!$C220, "B", 'Historical Orders'!$B220, "1")</f>
        <v>0</v>
      </c>
      <c r="T220" s="159">
        <f>SUMIFS('Historical Orders'!$E220, 'Historical Orders'!$D220, "2", 'Historical Orders'!$C220, "A", 'Historical Orders'!$B220, "2")</f>
        <v>0</v>
      </c>
      <c r="U220" s="157">
        <f>SUMIFS('Historical Orders'!$G220, 'Historical Orders'!$D220, "2", 'Historical Orders'!$C220, "A", 'Historical Orders'!$B220, "2")</f>
        <v>0</v>
      </c>
      <c r="V220" s="159">
        <f>SUMIFS('Historical Orders'!$E220, 'Historical Orders'!$D220, "2", 'Historical Orders'!$C220, "B", 'Historical Orders'!$B220, "2")</f>
        <v>0</v>
      </c>
      <c r="W220" s="159">
        <f>SUMIFS('Historical Orders'!$G220, 'Historical Orders'!$D220, "2", 'Historical Orders'!$C220, "B", 'Historical Orders'!$B220, "2")</f>
        <v>0</v>
      </c>
      <c r="X220" s="159">
        <f>SUMIFS('Historical Orders'!$E220, 'Historical Orders'!$D220, "3", 'Historical Orders'!$C220, "A", 'Historical Orders'!$B220, "1")</f>
        <v>0</v>
      </c>
      <c r="Y220" s="159">
        <f>SUMIFS('Historical Orders'!$G220, 'Historical Orders'!$D220, "3", 'Historical Orders'!$C220, "A", 'Historical Orders'!$B220, "1")</f>
        <v>0</v>
      </c>
      <c r="Z220" s="159">
        <f>SUMIFS('Historical Orders'!$E220, 'Historical Orders'!$D220, "3", 'Historical Orders'!$C220, "B", 'Historical Orders'!$B220, "1")</f>
        <v>0</v>
      </c>
      <c r="AA220" s="159">
        <f>SUMIFS('Historical Orders'!$G220, 'Historical Orders'!$D220, "3", 'Historical Orders'!$C220, "B", 'Historical Orders'!$B220, "1")</f>
        <v>0</v>
      </c>
      <c r="AB220" s="159">
        <f>SUMIFS('Historical Orders'!$E220, 'Historical Orders'!$D220, "3", 'Historical Orders'!$C220, "A", 'Historical Orders'!$B220, "2")</f>
        <v>0</v>
      </c>
      <c r="AC220" s="159">
        <f>SUMIFS('Historical Orders'!$G220, 'Historical Orders'!$D220, "3", 'Historical Orders'!$C220, "A", 'Historical Orders'!$B220, "2")</f>
        <v>0</v>
      </c>
      <c r="AD220" s="159">
        <f>SUMIFS('Historical Orders'!$E220, 'Historical Orders'!$D220, "3", 'Historical Orders'!$C220, "B", 'Historical Orders'!$B220, "2")</f>
        <v>0</v>
      </c>
      <c r="AE220" s="157">
        <f>SUMIFS('Historical Orders'!$G220, 'Historical Orders'!$D220, "3", 'Historical Orders'!$C220, "B", 'Historical Orders'!$B220, "2")</f>
        <v>0</v>
      </c>
      <c r="AF220" s="157">
        <f>SUMIFS('Historical Orders'!$E220, 'Historical Orders'!$D220, "4", 'Historical Orders'!$C220, "A", 'Historical Orders'!$B220, "1")</f>
        <v>0</v>
      </c>
      <c r="AG220" s="157">
        <f>SUMIFS('Historical Orders'!$G220, 'Historical Orders'!$D220, "4", 'Historical Orders'!$C220, "A", 'Historical Orders'!$B220, "1")</f>
        <v>0</v>
      </c>
      <c r="AH220" s="157">
        <f>SUMIFS('Historical Orders'!$E220, 'Historical Orders'!$D220, "4", 'Historical Orders'!$C220, "B", 'Historical Orders'!$B220, "1")</f>
        <v>0</v>
      </c>
      <c r="AI220" s="157">
        <f>SUMIFS('Historical Orders'!$G220, 'Historical Orders'!$D220, "4", 'Historical Orders'!$C220, "B", 'Historical Orders'!$B220, "1")</f>
        <v>0</v>
      </c>
      <c r="AJ220" s="157">
        <f>SUMIFS('Historical Orders'!$E220, 'Historical Orders'!$D220, "4", 'Historical Orders'!$C220, "A", 'Historical Orders'!$B220, "2")</f>
        <v>0</v>
      </c>
      <c r="AK220" s="157">
        <f>SUMIFS('Historical Orders'!$G220, 'Historical Orders'!$D220, "4", 'Historical Orders'!$C220, "A", 'Historical Orders'!$B220, "2")</f>
        <v>0</v>
      </c>
      <c r="AL220" s="171">
        <f>SUMIFS('Historical Orders'!$E220, 'Historical Orders'!$D220, "4", 'Historical Orders'!$C220, "B", 'Historical Orders'!$B220, "2")</f>
        <v>0</v>
      </c>
      <c r="AM220" s="171">
        <f>SUMIFS('Historical Orders'!$G220, 'Historical Orders'!$D220, "4", 'Historical Orders'!$C220, "B", 'Historical Orders'!$B220, "2")</f>
        <v>0</v>
      </c>
      <c r="AN220" s="171">
        <f>SUMIFS('Historical Orders'!$G220, 'Historical Orders'!$C220, "A", 'Historical Orders'!$B220, "1")</f>
        <v>0</v>
      </c>
      <c r="AO220" s="171">
        <f>SUMIFS('Historical Orders'!$G220, 'Historical Orders'!$C220, "B", 'Historical Orders'!$B220, "1")</f>
        <v>0</v>
      </c>
      <c r="AP220" s="171">
        <f>SUMIFS('Historical Orders'!$G220, 'Historical Orders'!$C220, "A", 'Historical Orders'!$B220, "2")</f>
        <v>7299.6</v>
      </c>
      <c r="AQ220" s="171">
        <f>SUMIFS('Historical Orders'!$G220, 'Historical Orders'!$C220, "B", 'Historical Orders'!$B220, "2")</f>
        <v>0</v>
      </c>
      <c r="AR220" s="145"/>
      <c r="AS220" s="172"/>
      <c r="AT220" s="172"/>
      <c r="AU220" s="172"/>
      <c r="AV220" s="172"/>
      <c r="AW220" s="172"/>
      <c r="AX220" s="172"/>
      <c r="AY220" s="172"/>
      <c r="AZ220" s="172"/>
      <c r="BA220" s="172"/>
      <c r="BB220" s="172"/>
      <c r="BC220" s="172"/>
      <c r="BD220" s="172"/>
      <c r="BE220" s="172"/>
      <c r="BF220" s="172"/>
      <c r="BG220" s="172"/>
      <c r="BH220" s="172"/>
      <c r="BI220" s="172"/>
      <c r="BJ220" s="172"/>
      <c r="BK220" s="172"/>
      <c r="BL220" s="172"/>
      <c r="BM220" s="172"/>
      <c r="BN220" s="172"/>
      <c r="BO220" s="172"/>
      <c r="BP220" s="172"/>
      <c r="BQ220" s="172"/>
      <c r="BR220" s="172"/>
      <c r="BS220" s="172"/>
      <c r="BT220" s="172"/>
      <c r="BU220" s="172"/>
      <c r="BV220" s="179"/>
      <c r="BW220" s="179"/>
      <c r="BX220" s="179"/>
      <c r="BY220" s="179"/>
      <c r="BZ220" s="179"/>
      <c r="CA220" s="179"/>
      <c r="CB220" s="179"/>
      <c r="CC220" s="179"/>
      <c r="CD220" s="179"/>
      <c r="CE220" s="179"/>
    </row>
    <row r="221" ht="15.75" customHeight="1">
      <c r="A221" s="151">
        <v>42107.0</v>
      </c>
      <c r="B221" s="152">
        <v>2.0</v>
      </c>
      <c r="C221" s="152" t="s">
        <v>45</v>
      </c>
      <c r="D221" s="152">
        <v>2.0</v>
      </c>
      <c r="E221" s="153">
        <v>6652.0</v>
      </c>
      <c r="F221" s="154">
        <v>1.2</v>
      </c>
      <c r="G221" s="155">
        <v>7982.4</v>
      </c>
      <c r="H221" s="159">
        <f>SUMIFS('Historical Orders'!$E221, 'Historical Orders'!$D221, "1", 'Historical Orders'!$C221, "A", 'Historical Orders'!$B221, "1")</f>
        <v>0</v>
      </c>
      <c r="I221" s="157">
        <f>SUMIFS('Historical Orders'!$G221, 'Historical Orders'!$D221, "1", 'Historical Orders'!$C221, "A", 'Historical Orders'!$B221, "1")</f>
        <v>0</v>
      </c>
      <c r="J221" s="157">
        <f>SUMIFS('Historical Orders'!$E221, 'Historical Orders'!$D221, "1", 'Historical Orders'!$C221, "B", 'Historical Orders'!$B221, "1")</f>
        <v>0</v>
      </c>
      <c r="K221" s="157">
        <f>SUMIFS('Historical Orders'!$G221, 'Historical Orders'!$D221, "1", 'Historical Orders'!$C221, "B", 'Historical Orders'!$B221, "1")</f>
        <v>0</v>
      </c>
      <c r="L221" s="159">
        <f>SUMIFS('Historical Orders'!$E221, 'Historical Orders'!$D221, "1", 'Historical Orders'!$C221, "A", 'Historical Orders'!$B221, "2")</f>
        <v>0</v>
      </c>
      <c r="M221" s="157">
        <f>SUMIFS('Historical Orders'!$G221, 'Historical Orders'!$D221, "1", 'Historical Orders'!$C221, "A", 'Historical Orders'!$B221, "2")</f>
        <v>0</v>
      </c>
      <c r="N221" s="157">
        <f>SUMIFS('Historical Orders'!$E221, 'Historical Orders'!$D221, "1", 'Historical Orders'!$C221, "B", 'Historical Orders'!$B221, "2")</f>
        <v>0</v>
      </c>
      <c r="O221" s="157">
        <f>SUMIFS('Historical Orders'!$G221, 'Historical Orders'!$D221, "1", 'Historical Orders'!$C221, "B", 'Historical Orders'!$B221, "2")</f>
        <v>0</v>
      </c>
      <c r="P221" s="159">
        <f>SUMIFS('Historical Orders'!$E221, 'Historical Orders'!$D221, "2", 'Historical Orders'!$C221, "A", 'Historical Orders'!$B221, "1")</f>
        <v>0</v>
      </c>
      <c r="Q221" s="157">
        <f>SUMIFS('Historical Orders'!$G221, 'Historical Orders'!$D221, "2", 'Historical Orders'!$C221, "A", 'Historical Orders'!$B221, "1")</f>
        <v>0</v>
      </c>
      <c r="R221" s="159">
        <f>SUMIFS('Historical Orders'!$E221, 'Historical Orders'!$D221, "2", 'Historical Orders'!$C221, "B", 'Historical Orders'!$B221, "1")</f>
        <v>0</v>
      </c>
      <c r="S221" s="157">
        <f>SUMIFS('Historical Orders'!$G221, 'Historical Orders'!$D221, "2", 'Historical Orders'!$C221, "B", 'Historical Orders'!$B221, "1")</f>
        <v>0</v>
      </c>
      <c r="T221" s="159">
        <f>SUMIFS('Historical Orders'!$E221, 'Historical Orders'!$D221, "2", 'Historical Orders'!$C221, "A", 'Historical Orders'!$B221, "2")</f>
        <v>6652</v>
      </c>
      <c r="U221" s="157">
        <f>SUMIFS('Historical Orders'!$G221, 'Historical Orders'!$D221, "2", 'Historical Orders'!$C221, "A", 'Historical Orders'!$B221, "2")</f>
        <v>7982.4</v>
      </c>
      <c r="V221" s="159">
        <f>SUMIFS('Historical Orders'!$E221, 'Historical Orders'!$D221, "2", 'Historical Orders'!$C221, "B", 'Historical Orders'!$B221, "2")</f>
        <v>0</v>
      </c>
      <c r="W221" s="159">
        <f>SUMIFS('Historical Orders'!$G221, 'Historical Orders'!$D221, "2", 'Historical Orders'!$C221, "B", 'Historical Orders'!$B221, "2")</f>
        <v>0</v>
      </c>
      <c r="X221" s="159">
        <f>SUMIFS('Historical Orders'!$E221, 'Historical Orders'!$D221, "3", 'Historical Orders'!$C221, "A", 'Historical Orders'!$B221, "1")</f>
        <v>0</v>
      </c>
      <c r="Y221" s="159">
        <f>SUMIFS('Historical Orders'!$G221, 'Historical Orders'!$D221, "3", 'Historical Orders'!$C221, "A", 'Historical Orders'!$B221, "1")</f>
        <v>0</v>
      </c>
      <c r="Z221" s="159">
        <f>SUMIFS('Historical Orders'!$E221, 'Historical Orders'!$D221, "3", 'Historical Orders'!$C221, "B", 'Historical Orders'!$B221, "1")</f>
        <v>0</v>
      </c>
      <c r="AA221" s="159">
        <f>SUMIFS('Historical Orders'!$G221, 'Historical Orders'!$D221, "3", 'Historical Orders'!$C221, "B", 'Historical Orders'!$B221, "1")</f>
        <v>0</v>
      </c>
      <c r="AB221" s="159">
        <f>SUMIFS('Historical Orders'!$E221, 'Historical Orders'!$D221, "3", 'Historical Orders'!$C221, "A", 'Historical Orders'!$B221, "2")</f>
        <v>0</v>
      </c>
      <c r="AC221" s="159">
        <f>SUMIFS('Historical Orders'!$G221, 'Historical Orders'!$D221, "3", 'Historical Orders'!$C221, "A", 'Historical Orders'!$B221, "2")</f>
        <v>0</v>
      </c>
      <c r="AD221" s="159">
        <f>SUMIFS('Historical Orders'!$E221, 'Historical Orders'!$D221, "3", 'Historical Orders'!$C221, "B", 'Historical Orders'!$B221, "2")</f>
        <v>0</v>
      </c>
      <c r="AE221" s="157">
        <f>SUMIFS('Historical Orders'!$G221, 'Historical Orders'!$D221, "3", 'Historical Orders'!$C221, "B", 'Historical Orders'!$B221, "2")</f>
        <v>0</v>
      </c>
      <c r="AF221" s="157">
        <f>SUMIFS('Historical Orders'!$E221, 'Historical Orders'!$D221, "4", 'Historical Orders'!$C221, "A", 'Historical Orders'!$B221, "1")</f>
        <v>0</v>
      </c>
      <c r="AG221" s="157">
        <f>SUMIFS('Historical Orders'!$G221, 'Historical Orders'!$D221, "4", 'Historical Orders'!$C221, "A", 'Historical Orders'!$B221, "1")</f>
        <v>0</v>
      </c>
      <c r="AH221" s="157">
        <f>SUMIFS('Historical Orders'!$E221, 'Historical Orders'!$D221, "4", 'Historical Orders'!$C221, "B", 'Historical Orders'!$B221, "1")</f>
        <v>0</v>
      </c>
      <c r="AI221" s="157">
        <f>SUMIFS('Historical Orders'!$G221, 'Historical Orders'!$D221, "4", 'Historical Orders'!$C221, "B", 'Historical Orders'!$B221, "1")</f>
        <v>0</v>
      </c>
      <c r="AJ221" s="157">
        <f>SUMIFS('Historical Orders'!$E221, 'Historical Orders'!$D221, "4", 'Historical Orders'!$C221, "A", 'Historical Orders'!$B221, "2")</f>
        <v>0</v>
      </c>
      <c r="AK221" s="157">
        <f>SUMIFS('Historical Orders'!$G221, 'Historical Orders'!$D221, "4", 'Historical Orders'!$C221, "A", 'Historical Orders'!$B221, "2")</f>
        <v>0</v>
      </c>
      <c r="AL221" s="171">
        <f>SUMIFS('Historical Orders'!$E221, 'Historical Orders'!$D221, "4", 'Historical Orders'!$C221, "B", 'Historical Orders'!$B221, "2")</f>
        <v>0</v>
      </c>
      <c r="AM221" s="171">
        <f>SUMIFS('Historical Orders'!$G221, 'Historical Orders'!$D221, "4", 'Historical Orders'!$C221, "B", 'Historical Orders'!$B221, "2")</f>
        <v>0</v>
      </c>
      <c r="AN221" s="171">
        <f>SUMIFS('Historical Orders'!$G221, 'Historical Orders'!$C221, "A", 'Historical Orders'!$B221, "1")</f>
        <v>0</v>
      </c>
      <c r="AO221" s="171">
        <f>SUMIFS('Historical Orders'!$G221, 'Historical Orders'!$C221, "B", 'Historical Orders'!$B221, "1")</f>
        <v>0</v>
      </c>
      <c r="AP221" s="171">
        <f>SUMIFS('Historical Orders'!$G221, 'Historical Orders'!$C221, "A", 'Historical Orders'!$B221, "2")</f>
        <v>7982.4</v>
      </c>
      <c r="AQ221" s="171">
        <f>SUMIFS('Historical Orders'!$G221, 'Historical Orders'!$C221, "B", 'Historical Orders'!$B221, "2")</f>
        <v>0</v>
      </c>
      <c r="AR221" s="145"/>
      <c r="AS221" s="172"/>
      <c r="AT221" s="172"/>
      <c r="AU221" s="172"/>
      <c r="AV221" s="172"/>
      <c r="AW221" s="172"/>
      <c r="AX221" s="172"/>
      <c r="AY221" s="172"/>
      <c r="AZ221" s="172"/>
      <c r="BA221" s="172"/>
      <c r="BB221" s="172"/>
      <c r="BC221" s="172"/>
      <c r="BD221" s="172"/>
      <c r="BE221" s="172"/>
      <c r="BF221" s="172"/>
      <c r="BG221" s="172"/>
      <c r="BH221" s="172"/>
      <c r="BI221" s="172"/>
      <c r="BJ221" s="172"/>
      <c r="BK221" s="172"/>
      <c r="BL221" s="172"/>
      <c r="BM221" s="172"/>
      <c r="BN221" s="172"/>
      <c r="BO221" s="172"/>
      <c r="BP221" s="172"/>
      <c r="BQ221" s="172"/>
      <c r="BR221" s="172"/>
      <c r="BS221" s="172"/>
      <c r="BT221" s="172"/>
      <c r="BU221" s="172"/>
      <c r="BV221" s="179"/>
      <c r="BW221" s="179"/>
      <c r="BX221" s="179"/>
      <c r="BY221" s="179"/>
      <c r="BZ221" s="179"/>
      <c r="CA221" s="179"/>
      <c r="CB221" s="179"/>
      <c r="CC221" s="179"/>
      <c r="CD221" s="179"/>
      <c r="CE221" s="179"/>
    </row>
    <row r="222" ht="15.75" customHeight="1">
      <c r="A222" s="151">
        <v>42107.0</v>
      </c>
      <c r="B222" s="152">
        <v>1.0</v>
      </c>
      <c r="C222" s="152" t="s">
        <v>46</v>
      </c>
      <c r="D222" s="152">
        <v>3.0</v>
      </c>
      <c r="E222" s="153">
        <v>2102.0</v>
      </c>
      <c r="F222" s="154">
        <v>8.3</v>
      </c>
      <c r="G222" s="155">
        <v>17446.600000000002</v>
      </c>
      <c r="H222" s="159">
        <f>SUMIFS('Historical Orders'!$E222, 'Historical Orders'!$D222, "1", 'Historical Orders'!$C222, "A", 'Historical Orders'!$B222, "1")</f>
        <v>0</v>
      </c>
      <c r="I222" s="157">
        <f>SUMIFS('Historical Orders'!$G222, 'Historical Orders'!$D222, "1", 'Historical Orders'!$C222, "A", 'Historical Orders'!$B222, "1")</f>
        <v>0</v>
      </c>
      <c r="J222" s="157">
        <f>SUMIFS('Historical Orders'!$E222, 'Historical Orders'!$D222, "1", 'Historical Orders'!$C222, "B", 'Historical Orders'!$B222, "1")</f>
        <v>0</v>
      </c>
      <c r="K222" s="157">
        <f>SUMIFS('Historical Orders'!$G222, 'Historical Orders'!$D222, "1", 'Historical Orders'!$C222, "B", 'Historical Orders'!$B222, "1")</f>
        <v>0</v>
      </c>
      <c r="L222" s="159">
        <f>SUMIFS('Historical Orders'!$E222, 'Historical Orders'!$D222, "1", 'Historical Orders'!$C222, "A", 'Historical Orders'!$B222, "2")</f>
        <v>0</v>
      </c>
      <c r="M222" s="157">
        <f>SUMIFS('Historical Orders'!$G222, 'Historical Orders'!$D222, "1", 'Historical Orders'!$C222, "A", 'Historical Orders'!$B222, "2")</f>
        <v>0</v>
      </c>
      <c r="N222" s="157">
        <f>SUMIFS('Historical Orders'!$E222, 'Historical Orders'!$D222, "1", 'Historical Orders'!$C222, "B", 'Historical Orders'!$B222, "2")</f>
        <v>0</v>
      </c>
      <c r="O222" s="157">
        <f>SUMIFS('Historical Orders'!$G222, 'Historical Orders'!$D222, "1", 'Historical Orders'!$C222, "B", 'Historical Orders'!$B222, "2")</f>
        <v>0</v>
      </c>
      <c r="P222" s="159">
        <f>SUMIFS('Historical Orders'!$E222, 'Historical Orders'!$D222, "2", 'Historical Orders'!$C222, "A", 'Historical Orders'!$B222, "1")</f>
        <v>0</v>
      </c>
      <c r="Q222" s="157">
        <f>SUMIFS('Historical Orders'!$G222, 'Historical Orders'!$D222, "2", 'Historical Orders'!$C222, "A", 'Historical Orders'!$B222, "1")</f>
        <v>0</v>
      </c>
      <c r="R222" s="159">
        <f>SUMIFS('Historical Orders'!$E222, 'Historical Orders'!$D222, "2", 'Historical Orders'!$C222, "B", 'Historical Orders'!$B222, "1")</f>
        <v>0</v>
      </c>
      <c r="S222" s="157">
        <f>SUMIFS('Historical Orders'!$G222, 'Historical Orders'!$D222, "2", 'Historical Orders'!$C222, "B", 'Historical Orders'!$B222, "1")</f>
        <v>0</v>
      </c>
      <c r="T222" s="159">
        <f>SUMIFS('Historical Orders'!$E222, 'Historical Orders'!$D222, "2", 'Historical Orders'!$C222, "A", 'Historical Orders'!$B222, "2")</f>
        <v>0</v>
      </c>
      <c r="U222" s="157">
        <f>SUMIFS('Historical Orders'!$G222, 'Historical Orders'!$D222, "2", 'Historical Orders'!$C222, "A", 'Historical Orders'!$B222, "2")</f>
        <v>0</v>
      </c>
      <c r="V222" s="159">
        <f>SUMIFS('Historical Orders'!$E222, 'Historical Orders'!$D222, "2", 'Historical Orders'!$C222, "B", 'Historical Orders'!$B222, "2")</f>
        <v>0</v>
      </c>
      <c r="W222" s="159">
        <f>SUMIFS('Historical Orders'!$G222, 'Historical Orders'!$D222, "2", 'Historical Orders'!$C222, "B", 'Historical Orders'!$B222, "2")</f>
        <v>0</v>
      </c>
      <c r="X222" s="159">
        <f>SUMIFS('Historical Orders'!$E222, 'Historical Orders'!$D222, "3", 'Historical Orders'!$C222, "A", 'Historical Orders'!$B222, "1")</f>
        <v>0</v>
      </c>
      <c r="Y222" s="159">
        <f>SUMIFS('Historical Orders'!$G222, 'Historical Orders'!$D222, "3", 'Historical Orders'!$C222, "A", 'Historical Orders'!$B222, "1")</f>
        <v>0</v>
      </c>
      <c r="Z222" s="159">
        <f>SUMIFS('Historical Orders'!$E222, 'Historical Orders'!$D222, "3", 'Historical Orders'!$C222, "B", 'Historical Orders'!$B222, "1")</f>
        <v>2102</v>
      </c>
      <c r="AA222" s="159">
        <f>SUMIFS('Historical Orders'!$G222, 'Historical Orders'!$D222, "3", 'Historical Orders'!$C222, "B", 'Historical Orders'!$B222, "1")</f>
        <v>17446.6</v>
      </c>
      <c r="AB222" s="159">
        <f>SUMIFS('Historical Orders'!$E222, 'Historical Orders'!$D222, "3", 'Historical Orders'!$C222, "A", 'Historical Orders'!$B222, "2")</f>
        <v>0</v>
      </c>
      <c r="AC222" s="159">
        <f>SUMIFS('Historical Orders'!$G222, 'Historical Orders'!$D222, "3", 'Historical Orders'!$C222, "A", 'Historical Orders'!$B222, "2")</f>
        <v>0</v>
      </c>
      <c r="AD222" s="159">
        <f>SUMIFS('Historical Orders'!$E222, 'Historical Orders'!$D222, "3", 'Historical Orders'!$C222, "B", 'Historical Orders'!$B222, "2")</f>
        <v>0</v>
      </c>
      <c r="AE222" s="157">
        <f>SUMIFS('Historical Orders'!$G222, 'Historical Orders'!$D222, "3", 'Historical Orders'!$C222, "B", 'Historical Orders'!$B222, "2")</f>
        <v>0</v>
      </c>
      <c r="AF222" s="157">
        <f>SUMIFS('Historical Orders'!$E222, 'Historical Orders'!$D222, "4", 'Historical Orders'!$C222, "A", 'Historical Orders'!$B222, "1")</f>
        <v>0</v>
      </c>
      <c r="AG222" s="157">
        <f>SUMIFS('Historical Orders'!$G222, 'Historical Orders'!$D222, "4", 'Historical Orders'!$C222, "A", 'Historical Orders'!$B222, "1")</f>
        <v>0</v>
      </c>
      <c r="AH222" s="157">
        <f>SUMIFS('Historical Orders'!$E222, 'Historical Orders'!$D222, "4", 'Historical Orders'!$C222, "B", 'Historical Orders'!$B222, "1")</f>
        <v>0</v>
      </c>
      <c r="AI222" s="157">
        <f>SUMIFS('Historical Orders'!$G222, 'Historical Orders'!$D222, "4", 'Historical Orders'!$C222, "B", 'Historical Orders'!$B222, "1")</f>
        <v>0</v>
      </c>
      <c r="AJ222" s="157">
        <f>SUMIFS('Historical Orders'!$E222, 'Historical Orders'!$D222, "4", 'Historical Orders'!$C222, "A", 'Historical Orders'!$B222, "2")</f>
        <v>0</v>
      </c>
      <c r="AK222" s="157">
        <f>SUMIFS('Historical Orders'!$G222, 'Historical Orders'!$D222, "4", 'Historical Orders'!$C222, "A", 'Historical Orders'!$B222, "2")</f>
        <v>0</v>
      </c>
      <c r="AL222" s="171">
        <f>SUMIFS('Historical Orders'!$E222, 'Historical Orders'!$D222, "4", 'Historical Orders'!$C222, "B", 'Historical Orders'!$B222, "2")</f>
        <v>0</v>
      </c>
      <c r="AM222" s="171">
        <f>SUMIFS('Historical Orders'!$G222, 'Historical Orders'!$D222, "4", 'Historical Orders'!$C222, "B", 'Historical Orders'!$B222, "2")</f>
        <v>0</v>
      </c>
      <c r="AN222" s="171">
        <f>SUMIFS('Historical Orders'!$G222, 'Historical Orders'!$C222, "A", 'Historical Orders'!$B222, "1")</f>
        <v>0</v>
      </c>
      <c r="AO222" s="171">
        <f>SUMIFS('Historical Orders'!$G222, 'Historical Orders'!$C222, "B", 'Historical Orders'!$B222, "1")</f>
        <v>17446.6</v>
      </c>
      <c r="AP222" s="171">
        <f>SUMIFS('Historical Orders'!$G222, 'Historical Orders'!$C222, "A", 'Historical Orders'!$B222, "2")</f>
        <v>0</v>
      </c>
      <c r="AQ222" s="171">
        <f>SUMIFS('Historical Orders'!$G222, 'Historical Orders'!$C222, "B", 'Historical Orders'!$B222, "2")</f>
        <v>0</v>
      </c>
      <c r="AR222" s="145"/>
      <c r="AS222" s="172"/>
      <c r="AT222" s="172"/>
      <c r="AU222" s="172"/>
      <c r="AV222" s="172"/>
      <c r="AW222" s="172"/>
      <c r="AX222" s="172"/>
      <c r="AY222" s="172"/>
      <c r="AZ222" s="172"/>
      <c r="BA222" s="172"/>
      <c r="BB222" s="172"/>
      <c r="BC222" s="172"/>
      <c r="BD222" s="172"/>
      <c r="BE222" s="172"/>
      <c r="BF222" s="172"/>
      <c r="BG222" s="172"/>
      <c r="BH222" s="172"/>
      <c r="BI222" s="172"/>
      <c r="BJ222" s="172"/>
      <c r="BK222" s="172"/>
      <c r="BL222" s="172"/>
      <c r="BM222" s="172"/>
      <c r="BN222" s="172"/>
      <c r="BO222" s="172"/>
      <c r="BP222" s="172"/>
      <c r="BQ222" s="172"/>
      <c r="BR222" s="172"/>
      <c r="BS222" s="172"/>
      <c r="BT222" s="172"/>
      <c r="BU222" s="172"/>
      <c r="BV222" s="179"/>
      <c r="BW222" s="179"/>
      <c r="BX222" s="179"/>
      <c r="BY222" s="179"/>
      <c r="BZ222" s="179"/>
      <c r="CA222" s="179"/>
      <c r="CB222" s="179"/>
      <c r="CC222" s="179"/>
      <c r="CD222" s="179"/>
      <c r="CE222" s="179"/>
    </row>
    <row r="223" ht="15.75" customHeight="1">
      <c r="A223" s="151">
        <v>42107.0</v>
      </c>
      <c r="B223" s="152">
        <v>2.0</v>
      </c>
      <c r="C223" s="152" t="s">
        <v>46</v>
      </c>
      <c r="D223" s="152">
        <v>3.0</v>
      </c>
      <c r="E223" s="153">
        <v>2856.0</v>
      </c>
      <c r="F223" s="154">
        <v>8.3</v>
      </c>
      <c r="G223" s="155">
        <v>23704.800000000003</v>
      </c>
      <c r="H223" s="159">
        <f>SUMIFS('Historical Orders'!$E223, 'Historical Orders'!$D223, "1", 'Historical Orders'!$C223, "A", 'Historical Orders'!$B223, "1")</f>
        <v>0</v>
      </c>
      <c r="I223" s="157">
        <f>SUMIFS('Historical Orders'!$G223, 'Historical Orders'!$D223, "1", 'Historical Orders'!$C223, "A", 'Historical Orders'!$B223, "1")</f>
        <v>0</v>
      </c>
      <c r="J223" s="157">
        <f>SUMIFS('Historical Orders'!$E223, 'Historical Orders'!$D223, "1", 'Historical Orders'!$C223, "B", 'Historical Orders'!$B223, "1")</f>
        <v>0</v>
      </c>
      <c r="K223" s="157">
        <f>SUMIFS('Historical Orders'!$G223, 'Historical Orders'!$D223, "1", 'Historical Orders'!$C223, "B", 'Historical Orders'!$B223, "1")</f>
        <v>0</v>
      </c>
      <c r="L223" s="159">
        <f>SUMIFS('Historical Orders'!$E223, 'Historical Orders'!$D223, "1", 'Historical Orders'!$C223, "A", 'Historical Orders'!$B223, "2")</f>
        <v>0</v>
      </c>
      <c r="M223" s="157">
        <f>SUMIFS('Historical Orders'!$G223, 'Historical Orders'!$D223, "1", 'Historical Orders'!$C223, "A", 'Historical Orders'!$B223, "2")</f>
        <v>0</v>
      </c>
      <c r="N223" s="157">
        <f>SUMIFS('Historical Orders'!$E223, 'Historical Orders'!$D223, "1", 'Historical Orders'!$C223, "B", 'Historical Orders'!$B223, "2")</f>
        <v>0</v>
      </c>
      <c r="O223" s="157">
        <f>SUMIFS('Historical Orders'!$G223, 'Historical Orders'!$D223, "1", 'Historical Orders'!$C223, "B", 'Historical Orders'!$B223, "2")</f>
        <v>0</v>
      </c>
      <c r="P223" s="159">
        <f>SUMIFS('Historical Orders'!$E223, 'Historical Orders'!$D223, "2", 'Historical Orders'!$C223, "A", 'Historical Orders'!$B223, "1")</f>
        <v>0</v>
      </c>
      <c r="Q223" s="157">
        <f>SUMIFS('Historical Orders'!$G223, 'Historical Orders'!$D223, "2", 'Historical Orders'!$C223, "A", 'Historical Orders'!$B223, "1")</f>
        <v>0</v>
      </c>
      <c r="R223" s="159">
        <f>SUMIFS('Historical Orders'!$E223, 'Historical Orders'!$D223, "2", 'Historical Orders'!$C223, "B", 'Historical Orders'!$B223, "1")</f>
        <v>0</v>
      </c>
      <c r="S223" s="157">
        <f>SUMIFS('Historical Orders'!$G223, 'Historical Orders'!$D223, "2", 'Historical Orders'!$C223, "B", 'Historical Orders'!$B223, "1")</f>
        <v>0</v>
      </c>
      <c r="T223" s="159">
        <f>SUMIFS('Historical Orders'!$E223, 'Historical Orders'!$D223, "2", 'Historical Orders'!$C223, "A", 'Historical Orders'!$B223, "2")</f>
        <v>0</v>
      </c>
      <c r="U223" s="157">
        <f>SUMIFS('Historical Orders'!$G223, 'Historical Orders'!$D223, "2", 'Historical Orders'!$C223, "A", 'Historical Orders'!$B223, "2")</f>
        <v>0</v>
      </c>
      <c r="V223" s="159">
        <f>SUMIFS('Historical Orders'!$E223, 'Historical Orders'!$D223, "2", 'Historical Orders'!$C223, "B", 'Historical Orders'!$B223, "2")</f>
        <v>0</v>
      </c>
      <c r="W223" s="159">
        <f>SUMIFS('Historical Orders'!$G223, 'Historical Orders'!$D223, "2", 'Historical Orders'!$C223, "B", 'Historical Orders'!$B223, "2")</f>
        <v>0</v>
      </c>
      <c r="X223" s="159">
        <f>SUMIFS('Historical Orders'!$E223, 'Historical Orders'!$D223, "3", 'Historical Orders'!$C223, "A", 'Historical Orders'!$B223, "1")</f>
        <v>0</v>
      </c>
      <c r="Y223" s="159">
        <f>SUMIFS('Historical Orders'!$G223, 'Historical Orders'!$D223, "3", 'Historical Orders'!$C223, "A", 'Historical Orders'!$B223, "1")</f>
        <v>0</v>
      </c>
      <c r="Z223" s="159">
        <f>SUMIFS('Historical Orders'!$E223, 'Historical Orders'!$D223, "3", 'Historical Orders'!$C223, "B", 'Historical Orders'!$B223, "1")</f>
        <v>0</v>
      </c>
      <c r="AA223" s="159">
        <f>SUMIFS('Historical Orders'!$G223, 'Historical Orders'!$D223, "3", 'Historical Orders'!$C223, "B", 'Historical Orders'!$B223, "1")</f>
        <v>0</v>
      </c>
      <c r="AB223" s="159">
        <f>SUMIFS('Historical Orders'!$E223, 'Historical Orders'!$D223, "3", 'Historical Orders'!$C223, "A", 'Historical Orders'!$B223, "2")</f>
        <v>0</v>
      </c>
      <c r="AC223" s="159">
        <f>SUMIFS('Historical Orders'!$G223, 'Historical Orders'!$D223, "3", 'Historical Orders'!$C223, "A", 'Historical Orders'!$B223, "2")</f>
        <v>0</v>
      </c>
      <c r="AD223" s="159">
        <f>SUMIFS('Historical Orders'!$E223, 'Historical Orders'!$D223, "3", 'Historical Orders'!$C223, "B", 'Historical Orders'!$B223, "2")</f>
        <v>2856</v>
      </c>
      <c r="AE223" s="157">
        <f>SUMIFS('Historical Orders'!$G223, 'Historical Orders'!$D223, "3", 'Historical Orders'!$C223, "B", 'Historical Orders'!$B223, "2")</f>
        <v>23704.8</v>
      </c>
      <c r="AF223" s="157">
        <f>SUMIFS('Historical Orders'!$E223, 'Historical Orders'!$D223, "4", 'Historical Orders'!$C223, "A", 'Historical Orders'!$B223, "1")</f>
        <v>0</v>
      </c>
      <c r="AG223" s="157">
        <f>SUMIFS('Historical Orders'!$G223, 'Historical Orders'!$D223, "4", 'Historical Orders'!$C223, "A", 'Historical Orders'!$B223, "1")</f>
        <v>0</v>
      </c>
      <c r="AH223" s="157">
        <f>SUMIFS('Historical Orders'!$E223, 'Historical Orders'!$D223, "4", 'Historical Orders'!$C223, "B", 'Historical Orders'!$B223, "1")</f>
        <v>0</v>
      </c>
      <c r="AI223" s="157">
        <f>SUMIFS('Historical Orders'!$G223, 'Historical Orders'!$D223, "4", 'Historical Orders'!$C223, "B", 'Historical Orders'!$B223, "1")</f>
        <v>0</v>
      </c>
      <c r="AJ223" s="157">
        <f>SUMIFS('Historical Orders'!$E223, 'Historical Orders'!$D223, "4", 'Historical Orders'!$C223, "A", 'Historical Orders'!$B223, "2")</f>
        <v>0</v>
      </c>
      <c r="AK223" s="157">
        <f>SUMIFS('Historical Orders'!$G223, 'Historical Orders'!$D223, "4", 'Historical Orders'!$C223, "A", 'Historical Orders'!$B223, "2")</f>
        <v>0</v>
      </c>
      <c r="AL223" s="171">
        <f>SUMIFS('Historical Orders'!$E223, 'Historical Orders'!$D223, "4", 'Historical Orders'!$C223, "B", 'Historical Orders'!$B223, "2")</f>
        <v>0</v>
      </c>
      <c r="AM223" s="171">
        <f>SUMIFS('Historical Orders'!$G223, 'Historical Orders'!$D223, "4", 'Historical Orders'!$C223, "B", 'Historical Orders'!$B223, "2")</f>
        <v>0</v>
      </c>
      <c r="AN223" s="171">
        <f>SUMIFS('Historical Orders'!$G223, 'Historical Orders'!$C223, "A", 'Historical Orders'!$B223, "1")</f>
        <v>0</v>
      </c>
      <c r="AO223" s="171">
        <f>SUMIFS('Historical Orders'!$G223, 'Historical Orders'!$C223, "B", 'Historical Orders'!$B223, "1")</f>
        <v>0</v>
      </c>
      <c r="AP223" s="171">
        <f>SUMIFS('Historical Orders'!$G223, 'Historical Orders'!$C223, "A", 'Historical Orders'!$B223, "2")</f>
        <v>0</v>
      </c>
      <c r="AQ223" s="171">
        <f>SUMIFS('Historical Orders'!$G223, 'Historical Orders'!$C223, "B", 'Historical Orders'!$B223, "2")</f>
        <v>23704.8</v>
      </c>
      <c r="AR223" s="145"/>
      <c r="AS223" s="172"/>
      <c r="AT223" s="172"/>
      <c r="AU223" s="172"/>
      <c r="AV223" s="172"/>
      <c r="AW223" s="172"/>
      <c r="AX223" s="172"/>
      <c r="AY223" s="172"/>
      <c r="AZ223" s="172"/>
      <c r="BA223" s="172"/>
      <c r="BB223" s="172"/>
      <c r="BC223" s="172"/>
      <c r="BD223" s="172"/>
      <c r="BE223" s="172"/>
      <c r="BF223" s="172"/>
      <c r="BG223" s="172"/>
      <c r="BH223" s="172"/>
      <c r="BI223" s="172"/>
      <c r="BJ223" s="172"/>
      <c r="BK223" s="172"/>
      <c r="BL223" s="172"/>
      <c r="BM223" s="172"/>
      <c r="BN223" s="172"/>
      <c r="BO223" s="172"/>
      <c r="BP223" s="172"/>
      <c r="BQ223" s="172"/>
      <c r="BR223" s="172"/>
      <c r="BS223" s="172"/>
      <c r="BT223" s="172"/>
      <c r="BU223" s="172"/>
      <c r="BV223" s="179"/>
      <c r="BW223" s="179"/>
      <c r="BX223" s="179"/>
      <c r="BY223" s="179"/>
      <c r="BZ223" s="179"/>
      <c r="CA223" s="179"/>
      <c r="CB223" s="179"/>
      <c r="CC223" s="179"/>
      <c r="CD223" s="179"/>
      <c r="CE223" s="179"/>
    </row>
    <row r="224" ht="15.75" customHeight="1">
      <c r="A224" s="151">
        <v>42114.0</v>
      </c>
      <c r="B224" s="152">
        <v>1.0</v>
      </c>
      <c r="C224" s="152" t="s">
        <v>45</v>
      </c>
      <c r="D224" s="152">
        <v>1.0</v>
      </c>
      <c r="E224" s="153">
        <v>4765.0</v>
      </c>
      <c r="F224" s="154">
        <v>2.2</v>
      </c>
      <c r="G224" s="155">
        <v>10483.0</v>
      </c>
      <c r="H224" s="159">
        <f>SUMIFS('Historical Orders'!$E224, 'Historical Orders'!$D224, "1", 'Historical Orders'!$C224, "A", 'Historical Orders'!$B224, "1")</f>
        <v>4765</v>
      </c>
      <c r="I224" s="157">
        <f>SUMIFS('Historical Orders'!$G224, 'Historical Orders'!$D224, "1", 'Historical Orders'!$C224, "A", 'Historical Orders'!$B224, "1")</f>
        <v>10483</v>
      </c>
      <c r="J224" s="157">
        <f>SUMIFS('Historical Orders'!$E224, 'Historical Orders'!$D224, "1", 'Historical Orders'!$C224, "B", 'Historical Orders'!$B224, "1")</f>
        <v>0</v>
      </c>
      <c r="K224" s="157">
        <f>SUMIFS('Historical Orders'!$G224, 'Historical Orders'!$D224, "1", 'Historical Orders'!$C224, "B", 'Historical Orders'!$B224, "1")</f>
        <v>0</v>
      </c>
      <c r="L224" s="159">
        <f>SUMIFS('Historical Orders'!$E224, 'Historical Orders'!$D224, "1", 'Historical Orders'!$C224, "A", 'Historical Orders'!$B224, "2")</f>
        <v>0</v>
      </c>
      <c r="M224" s="157">
        <f>SUMIFS('Historical Orders'!$G224, 'Historical Orders'!$D224, "1", 'Historical Orders'!$C224, "A", 'Historical Orders'!$B224, "2")</f>
        <v>0</v>
      </c>
      <c r="N224" s="157">
        <f>SUMIFS('Historical Orders'!$E224, 'Historical Orders'!$D224, "1", 'Historical Orders'!$C224, "B", 'Historical Orders'!$B224, "2")</f>
        <v>0</v>
      </c>
      <c r="O224" s="157">
        <f>SUMIFS('Historical Orders'!$G224, 'Historical Orders'!$D224, "1", 'Historical Orders'!$C224, "B", 'Historical Orders'!$B224, "2")</f>
        <v>0</v>
      </c>
      <c r="P224" s="159">
        <f>SUMIFS('Historical Orders'!$E224, 'Historical Orders'!$D224, "2", 'Historical Orders'!$C224, "A", 'Historical Orders'!$B224, "1")</f>
        <v>0</v>
      </c>
      <c r="Q224" s="157">
        <f>SUMIFS('Historical Orders'!$G224, 'Historical Orders'!$D224, "2", 'Historical Orders'!$C224, "A", 'Historical Orders'!$B224, "1")</f>
        <v>0</v>
      </c>
      <c r="R224" s="159">
        <f>SUMIFS('Historical Orders'!$E224, 'Historical Orders'!$D224, "2", 'Historical Orders'!$C224, "B", 'Historical Orders'!$B224, "1")</f>
        <v>0</v>
      </c>
      <c r="S224" s="157">
        <f>SUMIFS('Historical Orders'!$G224, 'Historical Orders'!$D224, "2", 'Historical Orders'!$C224, "B", 'Historical Orders'!$B224, "1")</f>
        <v>0</v>
      </c>
      <c r="T224" s="159">
        <f>SUMIFS('Historical Orders'!$E224, 'Historical Orders'!$D224, "2", 'Historical Orders'!$C224, "A", 'Historical Orders'!$B224, "2")</f>
        <v>0</v>
      </c>
      <c r="U224" s="157">
        <f>SUMIFS('Historical Orders'!$G224, 'Historical Orders'!$D224, "2", 'Historical Orders'!$C224, "A", 'Historical Orders'!$B224, "2")</f>
        <v>0</v>
      </c>
      <c r="V224" s="159">
        <f>SUMIFS('Historical Orders'!$E224, 'Historical Orders'!$D224, "2", 'Historical Orders'!$C224, "B", 'Historical Orders'!$B224, "2")</f>
        <v>0</v>
      </c>
      <c r="W224" s="159">
        <f>SUMIFS('Historical Orders'!$G224, 'Historical Orders'!$D224, "2", 'Historical Orders'!$C224, "B", 'Historical Orders'!$B224, "2")</f>
        <v>0</v>
      </c>
      <c r="X224" s="159">
        <f>SUMIFS('Historical Orders'!$E224, 'Historical Orders'!$D224, "3", 'Historical Orders'!$C224, "A", 'Historical Orders'!$B224, "1")</f>
        <v>0</v>
      </c>
      <c r="Y224" s="159">
        <f>SUMIFS('Historical Orders'!$G224, 'Historical Orders'!$D224, "3", 'Historical Orders'!$C224, "A", 'Historical Orders'!$B224, "1")</f>
        <v>0</v>
      </c>
      <c r="Z224" s="159">
        <f>SUMIFS('Historical Orders'!$E224, 'Historical Orders'!$D224, "3", 'Historical Orders'!$C224, "B", 'Historical Orders'!$B224, "1")</f>
        <v>0</v>
      </c>
      <c r="AA224" s="159">
        <f>SUMIFS('Historical Orders'!$G224, 'Historical Orders'!$D224, "3", 'Historical Orders'!$C224, "B", 'Historical Orders'!$B224, "1")</f>
        <v>0</v>
      </c>
      <c r="AB224" s="159">
        <f>SUMIFS('Historical Orders'!$E224, 'Historical Orders'!$D224, "3", 'Historical Orders'!$C224, "A", 'Historical Orders'!$B224, "2")</f>
        <v>0</v>
      </c>
      <c r="AC224" s="159">
        <f>SUMIFS('Historical Orders'!$G224, 'Historical Orders'!$D224, "3", 'Historical Orders'!$C224, "A", 'Historical Orders'!$B224, "2")</f>
        <v>0</v>
      </c>
      <c r="AD224" s="159">
        <f>SUMIFS('Historical Orders'!$E224, 'Historical Orders'!$D224, "3", 'Historical Orders'!$C224, "B", 'Historical Orders'!$B224, "2")</f>
        <v>0</v>
      </c>
      <c r="AE224" s="157">
        <f>SUMIFS('Historical Orders'!$G224, 'Historical Orders'!$D224, "3", 'Historical Orders'!$C224, "B", 'Historical Orders'!$B224, "2")</f>
        <v>0</v>
      </c>
      <c r="AF224" s="157">
        <f>SUMIFS('Historical Orders'!$E224, 'Historical Orders'!$D224, "4", 'Historical Orders'!$C224, "A", 'Historical Orders'!$B224, "1")</f>
        <v>0</v>
      </c>
      <c r="AG224" s="157">
        <f>SUMIFS('Historical Orders'!$G224, 'Historical Orders'!$D224, "4", 'Historical Orders'!$C224, "A", 'Historical Orders'!$B224, "1")</f>
        <v>0</v>
      </c>
      <c r="AH224" s="157">
        <f>SUMIFS('Historical Orders'!$E224, 'Historical Orders'!$D224, "4", 'Historical Orders'!$C224, "B", 'Historical Orders'!$B224, "1")</f>
        <v>0</v>
      </c>
      <c r="AI224" s="157">
        <f>SUMIFS('Historical Orders'!$G224, 'Historical Orders'!$D224, "4", 'Historical Orders'!$C224, "B", 'Historical Orders'!$B224, "1")</f>
        <v>0</v>
      </c>
      <c r="AJ224" s="157">
        <f>SUMIFS('Historical Orders'!$E224, 'Historical Orders'!$D224, "4", 'Historical Orders'!$C224, "A", 'Historical Orders'!$B224, "2")</f>
        <v>0</v>
      </c>
      <c r="AK224" s="157">
        <f>SUMIFS('Historical Orders'!$G224, 'Historical Orders'!$D224, "4", 'Historical Orders'!$C224, "A", 'Historical Orders'!$B224, "2")</f>
        <v>0</v>
      </c>
      <c r="AL224" s="171">
        <f>SUMIFS('Historical Orders'!$E224, 'Historical Orders'!$D224, "4", 'Historical Orders'!$C224, "B", 'Historical Orders'!$B224, "2")</f>
        <v>0</v>
      </c>
      <c r="AM224" s="171">
        <f>SUMIFS('Historical Orders'!$G224, 'Historical Orders'!$D224, "4", 'Historical Orders'!$C224, "B", 'Historical Orders'!$B224, "2")</f>
        <v>0</v>
      </c>
      <c r="AN224" s="171">
        <f>SUMIFS('Historical Orders'!$G224, 'Historical Orders'!$C224, "A", 'Historical Orders'!$B224, "1")</f>
        <v>10483</v>
      </c>
      <c r="AO224" s="171">
        <f>SUMIFS('Historical Orders'!$G224, 'Historical Orders'!$C224, "B", 'Historical Orders'!$B224, "1")</f>
        <v>0</v>
      </c>
      <c r="AP224" s="171">
        <f>SUMIFS('Historical Orders'!$G224, 'Historical Orders'!$C224, "A", 'Historical Orders'!$B224, "2")</f>
        <v>0</v>
      </c>
      <c r="AQ224" s="171">
        <f>SUMIFS('Historical Orders'!$G224, 'Historical Orders'!$C224, "B", 'Historical Orders'!$B224, "2")</f>
        <v>0</v>
      </c>
      <c r="AR224" s="145"/>
      <c r="AS224" s="172"/>
      <c r="AT224" s="172"/>
      <c r="AU224" s="172"/>
      <c r="AV224" s="172"/>
      <c r="AW224" s="172"/>
      <c r="AX224" s="172"/>
      <c r="AY224" s="172"/>
      <c r="AZ224" s="172"/>
      <c r="BA224" s="172"/>
      <c r="BB224" s="172"/>
      <c r="BC224" s="172"/>
      <c r="BD224" s="172"/>
      <c r="BE224" s="172"/>
      <c r="BF224" s="172"/>
      <c r="BG224" s="172"/>
      <c r="BH224" s="172"/>
      <c r="BI224" s="172"/>
      <c r="BJ224" s="172"/>
      <c r="BK224" s="172"/>
      <c r="BL224" s="172"/>
      <c r="BM224" s="172"/>
      <c r="BN224" s="172"/>
      <c r="BO224" s="172"/>
      <c r="BP224" s="172"/>
      <c r="BQ224" s="172"/>
      <c r="BR224" s="172"/>
      <c r="BS224" s="172"/>
      <c r="BT224" s="172"/>
      <c r="BU224" s="172"/>
      <c r="BV224" s="179"/>
      <c r="BW224" s="179"/>
      <c r="BX224" s="179"/>
      <c r="BY224" s="179"/>
      <c r="BZ224" s="179"/>
      <c r="CA224" s="179"/>
      <c r="CB224" s="179"/>
      <c r="CC224" s="179"/>
      <c r="CD224" s="179"/>
      <c r="CE224" s="179"/>
    </row>
    <row r="225" ht="15.75" customHeight="1">
      <c r="A225" s="151">
        <v>42114.0</v>
      </c>
      <c r="B225" s="152">
        <v>1.0</v>
      </c>
      <c r="C225" s="152" t="s">
        <v>45</v>
      </c>
      <c r="D225" s="152">
        <v>2.0</v>
      </c>
      <c r="E225" s="153">
        <v>5806.0</v>
      </c>
      <c r="F225" s="154">
        <v>1.2</v>
      </c>
      <c r="G225" s="155">
        <v>6967.2</v>
      </c>
      <c r="H225" s="159">
        <f>SUMIFS('Historical Orders'!$E225, 'Historical Orders'!$D225, "1", 'Historical Orders'!$C225, "A", 'Historical Orders'!$B225, "1")</f>
        <v>0</v>
      </c>
      <c r="I225" s="157">
        <f>SUMIFS('Historical Orders'!$G225, 'Historical Orders'!$D225, "1", 'Historical Orders'!$C225, "A", 'Historical Orders'!$B225, "1")</f>
        <v>0</v>
      </c>
      <c r="J225" s="157">
        <f>SUMIFS('Historical Orders'!$E225, 'Historical Orders'!$D225, "1", 'Historical Orders'!$C225, "B", 'Historical Orders'!$B225, "1")</f>
        <v>0</v>
      </c>
      <c r="K225" s="157">
        <f>SUMIFS('Historical Orders'!$G225, 'Historical Orders'!$D225, "1", 'Historical Orders'!$C225, "B", 'Historical Orders'!$B225, "1")</f>
        <v>0</v>
      </c>
      <c r="L225" s="159">
        <f>SUMIFS('Historical Orders'!$E225, 'Historical Orders'!$D225, "1", 'Historical Orders'!$C225, "A", 'Historical Orders'!$B225, "2")</f>
        <v>0</v>
      </c>
      <c r="M225" s="157">
        <f>SUMIFS('Historical Orders'!$G225, 'Historical Orders'!$D225, "1", 'Historical Orders'!$C225, "A", 'Historical Orders'!$B225, "2")</f>
        <v>0</v>
      </c>
      <c r="N225" s="157">
        <f>SUMIFS('Historical Orders'!$E225, 'Historical Orders'!$D225, "1", 'Historical Orders'!$C225, "B", 'Historical Orders'!$B225, "2")</f>
        <v>0</v>
      </c>
      <c r="O225" s="157">
        <f>SUMIFS('Historical Orders'!$G225, 'Historical Orders'!$D225, "1", 'Historical Orders'!$C225, "B", 'Historical Orders'!$B225, "2")</f>
        <v>0</v>
      </c>
      <c r="P225" s="159">
        <f>SUMIFS('Historical Orders'!$E225, 'Historical Orders'!$D225, "2", 'Historical Orders'!$C225, "A", 'Historical Orders'!$B225, "1")</f>
        <v>5806</v>
      </c>
      <c r="Q225" s="157">
        <f>SUMIFS('Historical Orders'!$G225, 'Historical Orders'!$D225, "2", 'Historical Orders'!$C225, "A", 'Historical Orders'!$B225, "1")</f>
        <v>6967.2</v>
      </c>
      <c r="R225" s="159">
        <f>SUMIFS('Historical Orders'!$E225, 'Historical Orders'!$D225, "2", 'Historical Orders'!$C225, "B", 'Historical Orders'!$B225, "1")</f>
        <v>0</v>
      </c>
      <c r="S225" s="157">
        <f>SUMIFS('Historical Orders'!$G225, 'Historical Orders'!$D225, "2", 'Historical Orders'!$C225, "B", 'Historical Orders'!$B225, "1")</f>
        <v>0</v>
      </c>
      <c r="T225" s="159">
        <f>SUMIFS('Historical Orders'!$E225, 'Historical Orders'!$D225, "2", 'Historical Orders'!$C225, "A", 'Historical Orders'!$B225, "2")</f>
        <v>0</v>
      </c>
      <c r="U225" s="157">
        <f>SUMIFS('Historical Orders'!$G225, 'Historical Orders'!$D225, "2", 'Historical Orders'!$C225, "A", 'Historical Orders'!$B225, "2")</f>
        <v>0</v>
      </c>
      <c r="V225" s="159">
        <f>SUMIFS('Historical Orders'!$E225, 'Historical Orders'!$D225, "2", 'Historical Orders'!$C225, "B", 'Historical Orders'!$B225, "2")</f>
        <v>0</v>
      </c>
      <c r="W225" s="159">
        <f>SUMIFS('Historical Orders'!$G225, 'Historical Orders'!$D225, "2", 'Historical Orders'!$C225, "B", 'Historical Orders'!$B225, "2")</f>
        <v>0</v>
      </c>
      <c r="X225" s="159">
        <f>SUMIFS('Historical Orders'!$E225, 'Historical Orders'!$D225, "3", 'Historical Orders'!$C225, "A", 'Historical Orders'!$B225, "1")</f>
        <v>0</v>
      </c>
      <c r="Y225" s="159">
        <f>SUMIFS('Historical Orders'!$G225, 'Historical Orders'!$D225, "3", 'Historical Orders'!$C225, "A", 'Historical Orders'!$B225, "1")</f>
        <v>0</v>
      </c>
      <c r="Z225" s="159">
        <f>SUMIFS('Historical Orders'!$E225, 'Historical Orders'!$D225, "3", 'Historical Orders'!$C225, "B", 'Historical Orders'!$B225, "1")</f>
        <v>0</v>
      </c>
      <c r="AA225" s="159">
        <f>SUMIFS('Historical Orders'!$G225, 'Historical Orders'!$D225, "3", 'Historical Orders'!$C225, "B", 'Historical Orders'!$B225, "1")</f>
        <v>0</v>
      </c>
      <c r="AB225" s="159">
        <f>SUMIFS('Historical Orders'!$E225, 'Historical Orders'!$D225, "3", 'Historical Orders'!$C225, "A", 'Historical Orders'!$B225, "2")</f>
        <v>0</v>
      </c>
      <c r="AC225" s="159">
        <f>SUMIFS('Historical Orders'!$G225, 'Historical Orders'!$D225, "3", 'Historical Orders'!$C225, "A", 'Historical Orders'!$B225, "2")</f>
        <v>0</v>
      </c>
      <c r="AD225" s="159">
        <f>SUMIFS('Historical Orders'!$E225, 'Historical Orders'!$D225, "3", 'Historical Orders'!$C225, "B", 'Historical Orders'!$B225, "2")</f>
        <v>0</v>
      </c>
      <c r="AE225" s="157">
        <f>SUMIFS('Historical Orders'!$G225, 'Historical Orders'!$D225, "3", 'Historical Orders'!$C225, "B", 'Historical Orders'!$B225, "2")</f>
        <v>0</v>
      </c>
      <c r="AF225" s="157">
        <f>SUMIFS('Historical Orders'!$E225, 'Historical Orders'!$D225, "4", 'Historical Orders'!$C225, "A", 'Historical Orders'!$B225, "1")</f>
        <v>0</v>
      </c>
      <c r="AG225" s="157">
        <f>SUMIFS('Historical Orders'!$G225, 'Historical Orders'!$D225, "4", 'Historical Orders'!$C225, "A", 'Historical Orders'!$B225, "1")</f>
        <v>0</v>
      </c>
      <c r="AH225" s="157">
        <f>SUMIFS('Historical Orders'!$E225, 'Historical Orders'!$D225, "4", 'Historical Orders'!$C225, "B", 'Historical Orders'!$B225, "1")</f>
        <v>0</v>
      </c>
      <c r="AI225" s="157">
        <f>SUMIFS('Historical Orders'!$G225, 'Historical Orders'!$D225, "4", 'Historical Orders'!$C225, "B", 'Historical Orders'!$B225, "1")</f>
        <v>0</v>
      </c>
      <c r="AJ225" s="157">
        <f>SUMIFS('Historical Orders'!$E225, 'Historical Orders'!$D225, "4", 'Historical Orders'!$C225, "A", 'Historical Orders'!$B225, "2")</f>
        <v>0</v>
      </c>
      <c r="AK225" s="157">
        <f>SUMIFS('Historical Orders'!$G225, 'Historical Orders'!$D225, "4", 'Historical Orders'!$C225, "A", 'Historical Orders'!$B225, "2")</f>
        <v>0</v>
      </c>
      <c r="AL225" s="171">
        <f>SUMIFS('Historical Orders'!$E225, 'Historical Orders'!$D225, "4", 'Historical Orders'!$C225, "B", 'Historical Orders'!$B225, "2")</f>
        <v>0</v>
      </c>
      <c r="AM225" s="171">
        <f>SUMIFS('Historical Orders'!$G225, 'Historical Orders'!$D225, "4", 'Historical Orders'!$C225, "B", 'Historical Orders'!$B225, "2")</f>
        <v>0</v>
      </c>
      <c r="AN225" s="171">
        <f>SUMIFS('Historical Orders'!$G225, 'Historical Orders'!$C225, "A", 'Historical Orders'!$B225, "1")</f>
        <v>6967.2</v>
      </c>
      <c r="AO225" s="171">
        <f>SUMIFS('Historical Orders'!$G225, 'Historical Orders'!$C225, "B", 'Historical Orders'!$B225, "1")</f>
        <v>0</v>
      </c>
      <c r="AP225" s="171">
        <f>SUMIFS('Historical Orders'!$G225, 'Historical Orders'!$C225, "A", 'Historical Orders'!$B225, "2")</f>
        <v>0</v>
      </c>
      <c r="AQ225" s="171">
        <f>SUMIFS('Historical Orders'!$G225, 'Historical Orders'!$C225, "B", 'Historical Orders'!$B225, "2")</f>
        <v>0</v>
      </c>
      <c r="AR225" s="145"/>
      <c r="AS225" s="172"/>
      <c r="AT225" s="172"/>
      <c r="AU225" s="172"/>
      <c r="AV225" s="172"/>
      <c r="AW225" s="172"/>
      <c r="AX225" s="172"/>
      <c r="AY225" s="172"/>
      <c r="AZ225" s="172"/>
      <c r="BA225" s="172"/>
      <c r="BB225" s="172"/>
      <c r="BC225" s="172"/>
      <c r="BD225" s="172"/>
      <c r="BE225" s="172"/>
      <c r="BF225" s="172"/>
      <c r="BG225" s="172"/>
      <c r="BH225" s="172"/>
      <c r="BI225" s="172"/>
      <c r="BJ225" s="172"/>
      <c r="BK225" s="172"/>
      <c r="BL225" s="172"/>
      <c r="BM225" s="172"/>
      <c r="BN225" s="172"/>
      <c r="BO225" s="172"/>
      <c r="BP225" s="172"/>
      <c r="BQ225" s="172"/>
      <c r="BR225" s="172"/>
      <c r="BS225" s="172"/>
      <c r="BT225" s="172"/>
      <c r="BU225" s="172"/>
      <c r="BV225" s="179"/>
      <c r="BW225" s="179"/>
      <c r="BX225" s="179"/>
      <c r="BY225" s="179"/>
      <c r="BZ225" s="179"/>
      <c r="CA225" s="179"/>
      <c r="CB225" s="179"/>
      <c r="CC225" s="179"/>
      <c r="CD225" s="179"/>
      <c r="CE225" s="179"/>
    </row>
    <row r="226" ht="15.75" customHeight="1">
      <c r="A226" s="151">
        <v>42114.0</v>
      </c>
      <c r="B226" s="152">
        <v>2.0</v>
      </c>
      <c r="C226" s="152" t="s">
        <v>45</v>
      </c>
      <c r="D226" s="152">
        <v>1.0</v>
      </c>
      <c r="E226" s="153">
        <v>3689.0</v>
      </c>
      <c r="F226" s="154">
        <v>2.2</v>
      </c>
      <c r="G226" s="155">
        <v>8115.800000000001</v>
      </c>
      <c r="H226" s="159">
        <f>SUMIFS('Historical Orders'!$E226, 'Historical Orders'!$D226, "1", 'Historical Orders'!$C226, "A", 'Historical Orders'!$B226, "1")</f>
        <v>0</v>
      </c>
      <c r="I226" s="157">
        <f>SUMIFS('Historical Orders'!$G226, 'Historical Orders'!$D226, "1", 'Historical Orders'!$C226, "A", 'Historical Orders'!$B226, "1")</f>
        <v>0</v>
      </c>
      <c r="J226" s="157">
        <f>SUMIFS('Historical Orders'!$E226, 'Historical Orders'!$D226, "1", 'Historical Orders'!$C226, "B", 'Historical Orders'!$B226, "1")</f>
        <v>0</v>
      </c>
      <c r="K226" s="157">
        <f>SUMIFS('Historical Orders'!$G226, 'Historical Orders'!$D226, "1", 'Historical Orders'!$C226, "B", 'Historical Orders'!$B226, "1")</f>
        <v>0</v>
      </c>
      <c r="L226" s="159">
        <f>SUMIFS('Historical Orders'!$E226, 'Historical Orders'!$D226, "1", 'Historical Orders'!$C226, "A", 'Historical Orders'!$B226, "2")</f>
        <v>3689</v>
      </c>
      <c r="M226" s="157">
        <f>SUMIFS('Historical Orders'!$G226, 'Historical Orders'!$D226, "1", 'Historical Orders'!$C226, "A", 'Historical Orders'!$B226, "2")</f>
        <v>8115.8</v>
      </c>
      <c r="N226" s="157">
        <f>SUMIFS('Historical Orders'!$E226, 'Historical Orders'!$D226, "1", 'Historical Orders'!$C226, "B", 'Historical Orders'!$B226, "2")</f>
        <v>0</v>
      </c>
      <c r="O226" s="157">
        <f>SUMIFS('Historical Orders'!$G226, 'Historical Orders'!$D226, "1", 'Historical Orders'!$C226, "B", 'Historical Orders'!$B226, "2")</f>
        <v>0</v>
      </c>
      <c r="P226" s="159">
        <f>SUMIFS('Historical Orders'!$E226, 'Historical Orders'!$D226, "2", 'Historical Orders'!$C226, "A", 'Historical Orders'!$B226, "1")</f>
        <v>0</v>
      </c>
      <c r="Q226" s="157">
        <f>SUMIFS('Historical Orders'!$G226, 'Historical Orders'!$D226, "2", 'Historical Orders'!$C226, "A", 'Historical Orders'!$B226, "1")</f>
        <v>0</v>
      </c>
      <c r="R226" s="159">
        <f>SUMIFS('Historical Orders'!$E226, 'Historical Orders'!$D226, "2", 'Historical Orders'!$C226, "B", 'Historical Orders'!$B226, "1")</f>
        <v>0</v>
      </c>
      <c r="S226" s="157">
        <f>SUMIFS('Historical Orders'!$G226, 'Historical Orders'!$D226, "2", 'Historical Orders'!$C226, "B", 'Historical Orders'!$B226, "1")</f>
        <v>0</v>
      </c>
      <c r="T226" s="159">
        <f>SUMIFS('Historical Orders'!$E226, 'Historical Orders'!$D226, "2", 'Historical Orders'!$C226, "A", 'Historical Orders'!$B226, "2")</f>
        <v>0</v>
      </c>
      <c r="U226" s="157">
        <f>SUMIFS('Historical Orders'!$G226, 'Historical Orders'!$D226, "2", 'Historical Orders'!$C226, "A", 'Historical Orders'!$B226, "2")</f>
        <v>0</v>
      </c>
      <c r="V226" s="159">
        <f>SUMIFS('Historical Orders'!$E226, 'Historical Orders'!$D226, "2", 'Historical Orders'!$C226, "B", 'Historical Orders'!$B226, "2")</f>
        <v>0</v>
      </c>
      <c r="W226" s="159">
        <f>SUMIFS('Historical Orders'!$G226, 'Historical Orders'!$D226, "2", 'Historical Orders'!$C226, "B", 'Historical Orders'!$B226, "2")</f>
        <v>0</v>
      </c>
      <c r="X226" s="159">
        <f>SUMIFS('Historical Orders'!$E226, 'Historical Orders'!$D226, "3", 'Historical Orders'!$C226, "A", 'Historical Orders'!$B226, "1")</f>
        <v>0</v>
      </c>
      <c r="Y226" s="159">
        <f>SUMIFS('Historical Orders'!$G226, 'Historical Orders'!$D226, "3", 'Historical Orders'!$C226, "A", 'Historical Orders'!$B226, "1")</f>
        <v>0</v>
      </c>
      <c r="Z226" s="159">
        <f>SUMIFS('Historical Orders'!$E226, 'Historical Orders'!$D226, "3", 'Historical Orders'!$C226, "B", 'Historical Orders'!$B226, "1")</f>
        <v>0</v>
      </c>
      <c r="AA226" s="159">
        <f>SUMIFS('Historical Orders'!$G226, 'Historical Orders'!$D226, "3", 'Historical Orders'!$C226, "B", 'Historical Orders'!$B226, "1")</f>
        <v>0</v>
      </c>
      <c r="AB226" s="159">
        <f>SUMIFS('Historical Orders'!$E226, 'Historical Orders'!$D226, "3", 'Historical Orders'!$C226, "A", 'Historical Orders'!$B226, "2")</f>
        <v>0</v>
      </c>
      <c r="AC226" s="159">
        <f>SUMIFS('Historical Orders'!$G226, 'Historical Orders'!$D226, "3", 'Historical Orders'!$C226, "A", 'Historical Orders'!$B226, "2")</f>
        <v>0</v>
      </c>
      <c r="AD226" s="159">
        <f>SUMIFS('Historical Orders'!$E226, 'Historical Orders'!$D226, "3", 'Historical Orders'!$C226, "B", 'Historical Orders'!$B226, "2")</f>
        <v>0</v>
      </c>
      <c r="AE226" s="157">
        <f>SUMIFS('Historical Orders'!$G226, 'Historical Orders'!$D226, "3", 'Historical Orders'!$C226, "B", 'Historical Orders'!$B226, "2")</f>
        <v>0</v>
      </c>
      <c r="AF226" s="157">
        <f>SUMIFS('Historical Orders'!$E226, 'Historical Orders'!$D226, "4", 'Historical Orders'!$C226, "A", 'Historical Orders'!$B226, "1")</f>
        <v>0</v>
      </c>
      <c r="AG226" s="157">
        <f>SUMIFS('Historical Orders'!$G226, 'Historical Orders'!$D226, "4", 'Historical Orders'!$C226, "A", 'Historical Orders'!$B226, "1")</f>
        <v>0</v>
      </c>
      <c r="AH226" s="157">
        <f>SUMIFS('Historical Orders'!$E226, 'Historical Orders'!$D226, "4", 'Historical Orders'!$C226, "B", 'Historical Orders'!$B226, "1")</f>
        <v>0</v>
      </c>
      <c r="AI226" s="157">
        <f>SUMIFS('Historical Orders'!$G226, 'Historical Orders'!$D226, "4", 'Historical Orders'!$C226, "B", 'Historical Orders'!$B226, "1")</f>
        <v>0</v>
      </c>
      <c r="AJ226" s="157">
        <f>SUMIFS('Historical Orders'!$E226, 'Historical Orders'!$D226, "4", 'Historical Orders'!$C226, "A", 'Historical Orders'!$B226, "2")</f>
        <v>0</v>
      </c>
      <c r="AK226" s="157">
        <f>SUMIFS('Historical Orders'!$G226, 'Historical Orders'!$D226, "4", 'Historical Orders'!$C226, "A", 'Historical Orders'!$B226, "2")</f>
        <v>0</v>
      </c>
      <c r="AL226" s="171">
        <f>SUMIFS('Historical Orders'!$E226, 'Historical Orders'!$D226, "4", 'Historical Orders'!$C226, "B", 'Historical Orders'!$B226, "2")</f>
        <v>0</v>
      </c>
      <c r="AM226" s="171">
        <f>SUMIFS('Historical Orders'!$G226, 'Historical Orders'!$D226, "4", 'Historical Orders'!$C226, "B", 'Historical Orders'!$B226, "2")</f>
        <v>0</v>
      </c>
      <c r="AN226" s="171">
        <f>SUMIFS('Historical Orders'!$G226, 'Historical Orders'!$C226, "A", 'Historical Orders'!$B226, "1")</f>
        <v>0</v>
      </c>
      <c r="AO226" s="171">
        <f>SUMIFS('Historical Orders'!$G226, 'Historical Orders'!$C226, "B", 'Historical Orders'!$B226, "1")</f>
        <v>0</v>
      </c>
      <c r="AP226" s="171">
        <f>SUMIFS('Historical Orders'!$G226, 'Historical Orders'!$C226, "A", 'Historical Orders'!$B226, "2")</f>
        <v>8115.8</v>
      </c>
      <c r="AQ226" s="171">
        <f>SUMIFS('Historical Orders'!$G226, 'Historical Orders'!$C226, "B", 'Historical Orders'!$B226, "2")</f>
        <v>0</v>
      </c>
      <c r="AR226" s="145"/>
      <c r="AS226" s="172"/>
      <c r="AT226" s="172"/>
      <c r="AU226" s="172"/>
      <c r="AV226" s="172"/>
      <c r="AW226" s="172"/>
      <c r="AX226" s="172"/>
      <c r="AY226" s="172"/>
      <c r="AZ226" s="172"/>
      <c r="BA226" s="172"/>
      <c r="BB226" s="172"/>
      <c r="BC226" s="172"/>
      <c r="BD226" s="172"/>
      <c r="BE226" s="172"/>
      <c r="BF226" s="172"/>
      <c r="BG226" s="172"/>
      <c r="BH226" s="172"/>
      <c r="BI226" s="172"/>
      <c r="BJ226" s="172"/>
      <c r="BK226" s="172"/>
      <c r="BL226" s="172"/>
      <c r="BM226" s="172"/>
      <c r="BN226" s="172"/>
      <c r="BO226" s="172"/>
      <c r="BP226" s="172"/>
      <c r="BQ226" s="172"/>
      <c r="BR226" s="172"/>
      <c r="BS226" s="172"/>
      <c r="BT226" s="172"/>
      <c r="BU226" s="172"/>
      <c r="BV226" s="179"/>
      <c r="BW226" s="179"/>
      <c r="BX226" s="179"/>
      <c r="BY226" s="179"/>
      <c r="BZ226" s="179"/>
      <c r="CA226" s="179"/>
      <c r="CB226" s="179"/>
      <c r="CC226" s="179"/>
      <c r="CD226" s="179"/>
      <c r="CE226" s="179"/>
    </row>
    <row r="227" ht="15.75" customHeight="1">
      <c r="A227" s="151">
        <v>42114.0</v>
      </c>
      <c r="B227" s="152">
        <v>2.0</v>
      </c>
      <c r="C227" s="152" t="s">
        <v>45</v>
      </c>
      <c r="D227" s="152">
        <v>2.0</v>
      </c>
      <c r="E227" s="153">
        <v>6898.0</v>
      </c>
      <c r="F227" s="154">
        <v>1.2</v>
      </c>
      <c r="G227" s="155">
        <v>8277.6</v>
      </c>
      <c r="H227" s="159">
        <f>SUMIFS('Historical Orders'!$E227, 'Historical Orders'!$D227, "1", 'Historical Orders'!$C227, "A", 'Historical Orders'!$B227, "1")</f>
        <v>0</v>
      </c>
      <c r="I227" s="157">
        <f>SUMIFS('Historical Orders'!$G227, 'Historical Orders'!$D227, "1", 'Historical Orders'!$C227, "A", 'Historical Orders'!$B227, "1")</f>
        <v>0</v>
      </c>
      <c r="J227" s="157">
        <f>SUMIFS('Historical Orders'!$E227, 'Historical Orders'!$D227, "1", 'Historical Orders'!$C227, "B", 'Historical Orders'!$B227, "1")</f>
        <v>0</v>
      </c>
      <c r="K227" s="157">
        <f>SUMIFS('Historical Orders'!$G227, 'Historical Orders'!$D227, "1", 'Historical Orders'!$C227, "B", 'Historical Orders'!$B227, "1")</f>
        <v>0</v>
      </c>
      <c r="L227" s="159">
        <f>SUMIFS('Historical Orders'!$E227, 'Historical Orders'!$D227, "1", 'Historical Orders'!$C227, "A", 'Historical Orders'!$B227, "2")</f>
        <v>0</v>
      </c>
      <c r="M227" s="157">
        <f>SUMIFS('Historical Orders'!$G227, 'Historical Orders'!$D227, "1", 'Historical Orders'!$C227, "A", 'Historical Orders'!$B227, "2")</f>
        <v>0</v>
      </c>
      <c r="N227" s="157">
        <f>SUMIFS('Historical Orders'!$E227, 'Historical Orders'!$D227, "1", 'Historical Orders'!$C227, "B", 'Historical Orders'!$B227, "2")</f>
        <v>0</v>
      </c>
      <c r="O227" s="157">
        <f>SUMIFS('Historical Orders'!$G227, 'Historical Orders'!$D227, "1", 'Historical Orders'!$C227, "B", 'Historical Orders'!$B227, "2")</f>
        <v>0</v>
      </c>
      <c r="P227" s="159">
        <f>SUMIFS('Historical Orders'!$E227, 'Historical Orders'!$D227, "2", 'Historical Orders'!$C227, "A", 'Historical Orders'!$B227, "1")</f>
        <v>0</v>
      </c>
      <c r="Q227" s="157">
        <f>SUMIFS('Historical Orders'!$G227, 'Historical Orders'!$D227, "2", 'Historical Orders'!$C227, "A", 'Historical Orders'!$B227, "1")</f>
        <v>0</v>
      </c>
      <c r="R227" s="159">
        <f>SUMIFS('Historical Orders'!$E227, 'Historical Orders'!$D227, "2", 'Historical Orders'!$C227, "B", 'Historical Orders'!$B227, "1")</f>
        <v>0</v>
      </c>
      <c r="S227" s="157">
        <f>SUMIFS('Historical Orders'!$G227, 'Historical Orders'!$D227, "2", 'Historical Orders'!$C227, "B", 'Historical Orders'!$B227, "1")</f>
        <v>0</v>
      </c>
      <c r="T227" s="159">
        <f>SUMIFS('Historical Orders'!$E227, 'Historical Orders'!$D227, "2", 'Historical Orders'!$C227, "A", 'Historical Orders'!$B227, "2")</f>
        <v>6898</v>
      </c>
      <c r="U227" s="157">
        <f>SUMIFS('Historical Orders'!$G227, 'Historical Orders'!$D227, "2", 'Historical Orders'!$C227, "A", 'Historical Orders'!$B227, "2")</f>
        <v>8277.6</v>
      </c>
      <c r="V227" s="159">
        <f>SUMIFS('Historical Orders'!$E227, 'Historical Orders'!$D227, "2", 'Historical Orders'!$C227, "B", 'Historical Orders'!$B227, "2")</f>
        <v>0</v>
      </c>
      <c r="W227" s="159">
        <f>SUMIFS('Historical Orders'!$G227, 'Historical Orders'!$D227, "2", 'Historical Orders'!$C227, "B", 'Historical Orders'!$B227, "2")</f>
        <v>0</v>
      </c>
      <c r="X227" s="159">
        <f>SUMIFS('Historical Orders'!$E227, 'Historical Orders'!$D227, "3", 'Historical Orders'!$C227, "A", 'Historical Orders'!$B227, "1")</f>
        <v>0</v>
      </c>
      <c r="Y227" s="159">
        <f>SUMIFS('Historical Orders'!$G227, 'Historical Orders'!$D227, "3", 'Historical Orders'!$C227, "A", 'Historical Orders'!$B227, "1")</f>
        <v>0</v>
      </c>
      <c r="Z227" s="159">
        <f>SUMIFS('Historical Orders'!$E227, 'Historical Orders'!$D227, "3", 'Historical Orders'!$C227, "B", 'Historical Orders'!$B227, "1")</f>
        <v>0</v>
      </c>
      <c r="AA227" s="159">
        <f>SUMIFS('Historical Orders'!$G227, 'Historical Orders'!$D227, "3", 'Historical Orders'!$C227, "B", 'Historical Orders'!$B227, "1")</f>
        <v>0</v>
      </c>
      <c r="AB227" s="159">
        <f>SUMIFS('Historical Orders'!$E227, 'Historical Orders'!$D227, "3", 'Historical Orders'!$C227, "A", 'Historical Orders'!$B227, "2")</f>
        <v>0</v>
      </c>
      <c r="AC227" s="159">
        <f>SUMIFS('Historical Orders'!$G227, 'Historical Orders'!$D227, "3", 'Historical Orders'!$C227, "A", 'Historical Orders'!$B227, "2")</f>
        <v>0</v>
      </c>
      <c r="AD227" s="159">
        <f>SUMIFS('Historical Orders'!$E227, 'Historical Orders'!$D227, "3", 'Historical Orders'!$C227, "B", 'Historical Orders'!$B227, "2")</f>
        <v>0</v>
      </c>
      <c r="AE227" s="157">
        <f>SUMIFS('Historical Orders'!$G227, 'Historical Orders'!$D227, "3", 'Historical Orders'!$C227, "B", 'Historical Orders'!$B227, "2")</f>
        <v>0</v>
      </c>
      <c r="AF227" s="157">
        <f>SUMIFS('Historical Orders'!$E227, 'Historical Orders'!$D227, "4", 'Historical Orders'!$C227, "A", 'Historical Orders'!$B227, "1")</f>
        <v>0</v>
      </c>
      <c r="AG227" s="157">
        <f>SUMIFS('Historical Orders'!$G227, 'Historical Orders'!$D227, "4", 'Historical Orders'!$C227, "A", 'Historical Orders'!$B227, "1")</f>
        <v>0</v>
      </c>
      <c r="AH227" s="157">
        <f>SUMIFS('Historical Orders'!$E227, 'Historical Orders'!$D227, "4", 'Historical Orders'!$C227, "B", 'Historical Orders'!$B227, "1")</f>
        <v>0</v>
      </c>
      <c r="AI227" s="157">
        <f>SUMIFS('Historical Orders'!$G227, 'Historical Orders'!$D227, "4", 'Historical Orders'!$C227, "B", 'Historical Orders'!$B227, "1")</f>
        <v>0</v>
      </c>
      <c r="AJ227" s="157">
        <f>SUMIFS('Historical Orders'!$E227, 'Historical Orders'!$D227, "4", 'Historical Orders'!$C227, "A", 'Historical Orders'!$B227, "2")</f>
        <v>0</v>
      </c>
      <c r="AK227" s="157">
        <f>SUMIFS('Historical Orders'!$G227, 'Historical Orders'!$D227, "4", 'Historical Orders'!$C227, "A", 'Historical Orders'!$B227, "2")</f>
        <v>0</v>
      </c>
      <c r="AL227" s="171">
        <f>SUMIFS('Historical Orders'!$E227, 'Historical Orders'!$D227, "4", 'Historical Orders'!$C227, "B", 'Historical Orders'!$B227, "2")</f>
        <v>0</v>
      </c>
      <c r="AM227" s="171">
        <f>SUMIFS('Historical Orders'!$G227, 'Historical Orders'!$D227, "4", 'Historical Orders'!$C227, "B", 'Historical Orders'!$B227, "2")</f>
        <v>0</v>
      </c>
      <c r="AN227" s="171">
        <f>SUMIFS('Historical Orders'!$G227, 'Historical Orders'!$C227, "A", 'Historical Orders'!$B227, "1")</f>
        <v>0</v>
      </c>
      <c r="AO227" s="171">
        <f>SUMIFS('Historical Orders'!$G227, 'Historical Orders'!$C227, "B", 'Historical Orders'!$B227, "1")</f>
        <v>0</v>
      </c>
      <c r="AP227" s="171">
        <f>SUMIFS('Historical Orders'!$G227, 'Historical Orders'!$C227, "A", 'Historical Orders'!$B227, "2")</f>
        <v>8277.6</v>
      </c>
      <c r="AQ227" s="171">
        <f>SUMIFS('Historical Orders'!$G227, 'Historical Orders'!$C227, "B", 'Historical Orders'!$B227, "2")</f>
        <v>0</v>
      </c>
      <c r="AR227" s="145"/>
      <c r="AS227" s="172"/>
      <c r="AT227" s="172"/>
      <c r="AU227" s="172"/>
      <c r="AV227" s="172"/>
      <c r="AW227" s="172"/>
      <c r="AX227" s="172"/>
      <c r="AY227" s="172"/>
      <c r="AZ227" s="172"/>
      <c r="BA227" s="172"/>
      <c r="BB227" s="172"/>
      <c r="BC227" s="172"/>
      <c r="BD227" s="172"/>
      <c r="BE227" s="172"/>
      <c r="BF227" s="172"/>
      <c r="BG227" s="172"/>
      <c r="BH227" s="172"/>
      <c r="BI227" s="172"/>
      <c r="BJ227" s="172"/>
      <c r="BK227" s="172"/>
      <c r="BL227" s="172"/>
      <c r="BM227" s="172"/>
      <c r="BN227" s="172"/>
      <c r="BO227" s="172"/>
      <c r="BP227" s="172"/>
      <c r="BQ227" s="172"/>
      <c r="BR227" s="172"/>
      <c r="BS227" s="172"/>
      <c r="BT227" s="172"/>
      <c r="BU227" s="172"/>
      <c r="BV227" s="179"/>
      <c r="BW227" s="179"/>
      <c r="BX227" s="179"/>
      <c r="BY227" s="179"/>
      <c r="BZ227" s="179"/>
      <c r="CA227" s="179"/>
      <c r="CB227" s="179"/>
      <c r="CC227" s="179"/>
      <c r="CD227" s="179"/>
      <c r="CE227" s="179"/>
    </row>
    <row r="228" ht="15.75" customHeight="1">
      <c r="A228" s="151">
        <v>42114.0</v>
      </c>
      <c r="B228" s="152">
        <v>1.0</v>
      </c>
      <c r="C228" s="152" t="s">
        <v>46</v>
      </c>
      <c r="D228" s="152">
        <v>3.0</v>
      </c>
      <c r="E228" s="153">
        <v>2072.0</v>
      </c>
      <c r="F228" s="154">
        <v>8.3</v>
      </c>
      <c r="G228" s="155">
        <v>17197.600000000002</v>
      </c>
      <c r="H228" s="159">
        <f>SUMIFS('Historical Orders'!$E228, 'Historical Orders'!$D228, "1", 'Historical Orders'!$C228, "A", 'Historical Orders'!$B228, "1")</f>
        <v>0</v>
      </c>
      <c r="I228" s="157">
        <f>SUMIFS('Historical Orders'!$G228, 'Historical Orders'!$D228, "1", 'Historical Orders'!$C228, "A", 'Historical Orders'!$B228, "1")</f>
        <v>0</v>
      </c>
      <c r="J228" s="157">
        <f>SUMIFS('Historical Orders'!$E228, 'Historical Orders'!$D228, "1", 'Historical Orders'!$C228, "B", 'Historical Orders'!$B228, "1")</f>
        <v>0</v>
      </c>
      <c r="K228" s="157">
        <f>SUMIFS('Historical Orders'!$G228, 'Historical Orders'!$D228, "1", 'Historical Orders'!$C228, "B", 'Historical Orders'!$B228, "1")</f>
        <v>0</v>
      </c>
      <c r="L228" s="159">
        <f>SUMIFS('Historical Orders'!$E228, 'Historical Orders'!$D228, "1", 'Historical Orders'!$C228, "A", 'Historical Orders'!$B228, "2")</f>
        <v>0</v>
      </c>
      <c r="M228" s="157">
        <f>SUMIFS('Historical Orders'!$G228, 'Historical Orders'!$D228, "1", 'Historical Orders'!$C228, "A", 'Historical Orders'!$B228, "2")</f>
        <v>0</v>
      </c>
      <c r="N228" s="157">
        <f>SUMIFS('Historical Orders'!$E228, 'Historical Orders'!$D228, "1", 'Historical Orders'!$C228, "B", 'Historical Orders'!$B228, "2")</f>
        <v>0</v>
      </c>
      <c r="O228" s="157">
        <f>SUMIFS('Historical Orders'!$G228, 'Historical Orders'!$D228, "1", 'Historical Orders'!$C228, "B", 'Historical Orders'!$B228, "2")</f>
        <v>0</v>
      </c>
      <c r="P228" s="159">
        <f>SUMIFS('Historical Orders'!$E228, 'Historical Orders'!$D228, "2", 'Historical Orders'!$C228, "A", 'Historical Orders'!$B228, "1")</f>
        <v>0</v>
      </c>
      <c r="Q228" s="157">
        <f>SUMIFS('Historical Orders'!$G228, 'Historical Orders'!$D228, "2", 'Historical Orders'!$C228, "A", 'Historical Orders'!$B228, "1")</f>
        <v>0</v>
      </c>
      <c r="R228" s="159">
        <f>SUMIFS('Historical Orders'!$E228, 'Historical Orders'!$D228, "2", 'Historical Orders'!$C228, "B", 'Historical Orders'!$B228, "1")</f>
        <v>0</v>
      </c>
      <c r="S228" s="157">
        <f>SUMIFS('Historical Orders'!$G228, 'Historical Orders'!$D228, "2", 'Historical Orders'!$C228, "B", 'Historical Orders'!$B228, "1")</f>
        <v>0</v>
      </c>
      <c r="T228" s="159">
        <f>SUMIFS('Historical Orders'!$E228, 'Historical Orders'!$D228, "2", 'Historical Orders'!$C228, "A", 'Historical Orders'!$B228, "2")</f>
        <v>0</v>
      </c>
      <c r="U228" s="157">
        <f>SUMIFS('Historical Orders'!$G228, 'Historical Orders'!$D228, "2", 'Historical Orders'!$C228, "A", 'Historical Orders'!$B228, "2")</f>
        <v>0</v>
      </c>
      <c r="V228" s="159">
        <f>SUMIFS('Historical Orders'!$E228, 'Historical Orders'!$D228, "2", 'Historical Orders'!$C228, "B", 'Historical Orders'!$B228, "2")</f>
        <v>0</v>
      </c>
      <c r="W228" s="159">
        <f>SUMIFS('Historical Orders'!$G228, 'Historical Orders'!$D228, "2", 'Historical Orders'!$C228, "B", 'Historical Orders'!$B228, "2")</f>
        <v>0</v>
      </c>
      <c r="X228" s="159">
        <f>SUMIFS('Historical Orders'!$E228, 'Historical Orders'!$D228, "3", 'Historical Orders'!$C228, "A", 'Historical Orders'!$B228, "1")</f>
        <v>0</v>
      </c>
      <c r="Y228" s="159">
        <f>SUMIFS('Historical Orders'!$G228, 'Historical Orders'!$D228, "3", 'Historical Orders'!$C228, "A", 'Historical Orders'!$B228, "1")</f>
        <v>0</v>
      </c>
      <c r="Z228" s="159">
        <f>SUMIFS('Historical Orders'!$E228, 'Historical Orders'!$D228, "3", 'Historical Orders'!$C228, "B", 'Historical Orders'!$B228, "1")</f>
        <v>2072</v>
      </c>
      <c r="AA228" s="159">
        <f>SUMIFS('Historical Orders'!$G228, 'Historical Orders'!$D228, "3", 'Historical Orders'!$C228, "B", 'Historical Orders'!$B228, "1")</f>
        <v>17197.6</v>
      </c>
      <c r="AB228" s="159">
        <f>SUMIFS('Historical Orders'!$E228, 'Historical Orders'!$D228, "3", 'Historical Orders'!$C228, "A", 'Historical Orders'!$B228, "2")</f>
        <v>0</v>
      </c>
      <c r="AC228" s="159">
        <f>SUMIFS('Historical Orders'!$G228, 'Historical Orders'!$D228, "3", 'Historical Orders'!$C228, "A", 'Historical Orders'!$B228, "2")</f>
        <v>0</v>
      </c>
      <c r="AD228" s="159">
        <f>SUMIFS('Historical Orders'!$E228, 'Historical Orders'!$D228, "3", 'Historical Orders'!$C228, "B", 'Historical Orders'!$B228, "2")</f>
        <v>0</v>
      </c>
      <c r="AE228" s="157">
        <f>SUMIFS('Historical Orders'!$G228, 'Historical Orders'!$D228, "3", 'Historical Orders'!$C228, "B", 'Historical Orders'!$B228, "2")</f>
        <v>0</v>
      </c>
      <c r="AF228" s="157">
        <f>SUMIFS('Historical Orders'!$E228, 'Historical Orders'!$D228, "4", 'Historical Orders'!$C228, "A", 'Historical Orders'!$B228, "1")</f>
        <v>0</v>
      </c>
      <c r="AG228" s="157">
        <f>SUMIFS('Historical Orders'!$G228, 'Historical Orders'!$D228, "4", 'Historical Orders'!$C228, "A", 'Historical Orders'!$B228, "1")</f>
        <v>0</v>
      </c>
      <c r="AH228" s="157">
        <f>SUMIFS('Historical Orders'!$E228, 'Historical Orders'!$D228, "4", 'Historical Orders'!$C228, "B", 'Historical Orders'!$B228, "1")</f>
        <v>0</v>
      </c>
      <c r="AI228" s="157">
        <f>SUMIFS('Historical Orders'!$G228, 'Historical Orders'!$D228, "4", 'Historical Orders'!$C228, "B", 'Historical Orders'!$B228, "1")</f>
        <v>0</v>
      </c>
      <c r="AJ228" s="157">
        <f>SUMIFS('Historical Orders'!$E228, 'Historical Orders'!$D228, "4", 'Historical Orders'!$C228, "A", 'Historical Orders'!$B228, "2")</f>
        <v>0</v>
      </c>
      <c r="AK228" s="157">
        <f>SUMIFS('Historical Orders'!$G228, 'Historical Orders'!$D228, "4", 'Historical Orders'!$C228, "A", 'Historical Orders'!$B228, "2")</f>
        <v>0</v>
      </c>
      <c r="AL228" s="171">
        <f>SUMIFS('Historical Orders'!$E228, 'Historical Orders'!$D228, "4", 'Historical Orders'!$C228, "B", 'Historical Orders'!$B228, "2")</f>
        <v>0</v>
      </c>
      <c r="AM228" s="171">
        <f>SUMIFS('Historical Orders'!$G228, 'Historical Orders'!$D228, "4", 'Historical Orders'!$C228, "B", 'Historical Orders'!$B228, "2")</f>
        <v>0</v>
      </c>
      <c r="AN228" s="171">
        <f>SUMIFS('Historical Orders'!$G228, 'Historical Orders'!$C228, "A", 'Historical Orders'!$B228, "1")</f>
        <v>0</v>
      </c>
      <c r="AO228" s="171">
        <f>SUMIFS('Historical Orders'!$G228, 'Historical Orders'!$C228, "B", 'Historical Orders'!$B228, "1")</f>
        <v>17197.6</v>
      </c>
      <c r="AP228" s="171">
        <f>SUMIFS('Historical Orders'!$G228, 'Historical Orders'!$C228, "A", 'Historical Orders'!$B228, "2")</f>
        <v>0</v>
      </c>
      <c r="AQ228" s="171">
        <f>SUMIFS('Historical Orders'!$G228, 'Historical Orders'!$C228, "B", 'Historical Orders'!$B228, "2")</f>
        <v>0</v>
      </c>
      <c r="AR228" s="145"/>
      <c r="AS228" s="172"/>
      <c r="AT228" s="172"/>
      <c r="AU228" s="172"/>
      <c r="AV228" s="172"/>
      <c r="AW228" s="172"/>
      <c r="AX228" s="172"/>
      <c r="AY228" s="172"/>
      <c r="AZ228" s="172"/>
      <c r="BA228" s="172"/>
      <c r="BB228" s="172"/>
      <c r="BC228" s="172"/>
      <c r="BD228" s="172"/>
      <c r="BE228" s="172"/>
      <c r="BF228" s="172"/>
      <c r="BG228" s="172"/>
      <c r="BH228" s="172"/>
      <c r="BI228" s="172"/>
      <c r="BJ228" s="172"/>
      <c r="BK228" s="172"/>
      <c r="BL228" s="172"/>
      <c r="BM228" s="172"/>
      <c r="BN228" s="172"/>
      <c r="BO228" s="172"/>
      <c r="BP228" s="172"/>
      <c r="BQ228" s="172"/>
      <c r="BR228" s="172"/>
      <c r="BS228" s="172"/>
      <c r="BT228" s="172"/>
      <c r="BU228" s="172"/>
      <c r="BV228" s="179"/>
      <c r="BW228" s="179"/>
      <c r="BX228" s="179"/>
      <c r="BY228" s="179"/>
      <c r="BZ228" s="179"/>
      <c r="CA228" s="179"/>
      <c r="CB228" s="179"/>
      <c r="CC228" s="179"/>
      <c r="CD228" s="179"/>
      <c r="CE228" s="179"/>
    </row>
    <row r="229" ht="15.75" customHeight="1">
      <c r="A229" s="151">
        <v>42114.0</v>
      </c>
      <c r="B229" s="152">
        <v>2.0</v>
      </c>
      <c r="C229" s="152" t="s">
        <v>46</v>
      </c>
      <c r="D229" s="152">
        <v>3.0</v>
      </c>
      <c r="E229" s="153">
        <v>2813.0</v>
      </c>
      <c r="F229" s="154">
        <v>8.3</v>
      </c>
      <c r="G229" s="155">
        <v>23347.9</v>
      </c>
      <c r="H229" s="159">
        <f>SUMIFS('Historical Orders'!$E229, 'Historical Orders'!$D229, "1", 'Historical Orders'!$C229, "A", 'Historical Orders'!$B229, "1")</f>
        <v>0</v>
      </c>
      <c r="I229" s="157">
        <f>SUMIFS('Historical Orders'!$G229, 'Historical Orders'!$D229, "1", 'Historical Orders'!$C229, "A", 'Historical Orders'!$B229, "1")</f>
        <v>0</v>
      </c>
      <c r="J229" s="157">
        <f>SUMIFS('Historical Orders'!$E229, 'Historical Orders'!$D229, "1", 'Historical Orders'!$C229, "B", 'Historical Orders'!$B229, "1")</f>
        <v>0</v>
      </c>
      <c r="K229" s="157">
        <f>SUMIFS('Historical Orders'!$G229, 'Historical Orders'!$D229, "1", 'Historical Orders'!$C229, "B", 'Historical Orders'!$B229, "1")</f>
        <v>0</v>
      </c>
      <c r="L229" s="159">
        <f>SUMIFS('Historical Orders'!$E229, 'Historical Orders'!$D229, "1", 'Historical Orders'!$C229, "A", 'Historical Orders'!$B229, "2")</f>
        <v>0</v>
      </c>
      <c r="M229" s="157">
        <f>SUMIFS('Historical Orders'!$G229, 'Historical Orders'!$D229, "1", 'Historical Orders'!$C229, "A", 'Historical Orders'!$B229, "2")</f>
        <v>0</v>
      </c>
      <c r="N229" s="157">
        <f>SUMIFS('Historical Orders'!$E229, 'Historical Orders'!$D229, "1", 'Historical Orders'!$C229, "B", 'Historical Orders'!$B229, "2")</f>
        <v>0</v>
      </c>
      <c r="O229" s="157">
        <f>SUMIFS('Historical Orders'!$G229, 'Historical Orders'!$D229, "1", 'Historical Orders'!$C229, "B", 'Historical Orders'!$B229, "2")</f>
        <v>0</v>
      </c>
      <c r="P229" s="159">
        <f>SUMIFS('Historical Orders'!$E229, 'Historical Orders'!$D229, "2", 'Historical Orders'!$C229, "A", 'Historical Orders'!$B229, "1")</f>
        <v>0</v>
      </c>
      <c r="Q229" s="157">
        <f>SUMIFS('Historical Orders'!$G229, 'Historical Orders'!$D229, "2", 'Historical Orders'!$C229, "A", 'Historical Orders'!$B229, "1")</f>
        <v>0</v>
      </c>
      <c r="R229" s="159">
        <f>SUMIFS('Historical Orders'!$E229, 'Historical Orders'!$D229, "2", 'Historical Orders'!$C229, "B", 'Historical Orders'!$B229, "1")</f>
        <v>0</v>
      </c>
      <c r="S229" s="157">
        <f>SUMIFS('Historical Orders'!$G229, 'Historical Orders'!$D229, "2", 'Historical Orders'!$C229, "B", 'Historical Orders'!$B229, "1")</f>
        <v>0</v>
      </c>
      <c r="T229" s="159">
        <f>SUMIFS('Historical Orders'!$E229, 'Historical Orders'!$D229, "2", 'Historical Orders'!$C229, "A", 'Historical Orders'!$B229, "2")</f>
        <v>0</v>
      </c>
      <c r="U229" s="157">
        <f>SUMIFS('Historical Orders'!$G229, 'Historical Orders'!$D229, "2", 'Historical Orders'!$C229, "A", 'Historical Orders'!$B229, "2")</f>
        <v>0</v>
      </c>
      <c r="V229" s="159">
        <f>SUMIFS('Historical Orders'!$E229, 'Historical Orders'!$D229, "2", 'Historical Orders'!$C229, "B", 'Historical Orders'!$B229, "2")</f>
        <v>0</v>
      </c>
      <c r="W229" s="159">
        <f>SUMIFS('Historical Orders'!$G229, 'Historical Orders'!$D229, "2", 'Historical Orders'!$C229, "B", 'Historical Orders'!$B229, "2")</f>
        <v>0</v>
      </c>
      <c r="X229" s="159">
        <f>SUMIFS('Historical Orders'!$E229, 'Historical Orders'!$D229, "3", 'Historical Orders'!$C229, "A", 'Historical Orders'!$B229, "1")</f>
        <v>0</v>
      </c>
      <c r="Y229" s="159">
        <f>SUMIFS('Historical Orders'!$G229, 'Historical Orders'!$D229, "3", 'Historical Orders'!$C229, "A", 'Historical Orders'!$B229, "1")</f>
        <v>0</v>
      </c>
      <c r="Z229" s="159">
        <f>SUMIFS('Historical Orders'!$E229, 'Historical Orders'!$D229, "3", 'Historical Orders'!$C229, "B", 'Historical Orders'!$B229, "1")</f>
        <v>0</v>
      </c>
      <c r="AA229" s="159">
        <f>SUMIFS('Historical Orders'!$G229, 'Historical Orders'!$D229, "3", 'Historical Orders'!$C229, "B", 'Historical Orders'!$B229, "1")</f>
        <v>0</v>
      </c>
      <c r="AB229" s="159">
        <f>SUMIFS('Historical Orders'!$E229, 'Historical Orders'!$D229, "3", 'Historical Orders'!$C229, "A", 'Historical Orders'!$B229, "2")</f>
        <v>0</v>
      </c>
      <c r="AC229" s="159">
        <f>SUMIFS('Historical Orders'!$G229, 'Historical Orders'!$D229, "3", 'Historical Orders'!$C229, "A", 'Historical Orders'!$B229, "2")</f>
        <v>0</v>
      </c>
      <c r="AD229" s="159">
        <f>SUMIFS('Historical Orders'!$E229, 'Historical Orders'!$D229, "3", 'Historical Orders'!$C229, "B", 'Historical Orders'!$B229, "2")</f>
        <v>2813</v>
      </c>
      <c r="AE229" s="157">
        <f>SUMIFS('Historical Orders'!$G229, 'Historical Orders'!$D229, "3", 'Historical Orders'!$C229, "B", 'Historical Orders'!$B229, "2")</f>
        <v>23347.9</v>
      </c>
      <c r="AF229" s="157">
        <f>SUMIFS('Historical Orders'!$E229, 'Historical Orders'!$D229, "4", 'Historical Orders'!$C229, "A", 'Historical Orders'!$B229, "1")</f>
        <v>0</v>
      </c>
      <c r="AG229" s="157">
        <f>SUMIFS('Historical Orders'!$G229, 'Historical Orders'!$D229, "4", 'Historical Orders'!$C229, "A", 'Historical Orders'!$B229, "1")</f>
        <v>0</v>
      </c>
      <c r="AH229" s="157">
        <f>SUMIFS('Historical Orders'!$E229, 'Historical Orders'!$D229, "4", 'Historical Orders'!$C229, "B", 'Historical Orders'!$B229, "1")</f>
        <v>0</v>
      </c>
      <c r="AI229" s="157">
        <f>SUMIFS('Historical Orders'!$G229, 'Historical Orders'!$D229, "4", 'Historical Orders'!$C229, "B", 'Historical Orders'!$B229, "1")</f>
        <v>0</v>
      </c>
      <c r="AJ229" s="157">
        <f>SUMIFS('Historical Orders'!$E229, 'Historical Orders'!$D229, "4", 'Historical Orders'!$C229, "A", 'Historical Orders'!$B229, "2")</f>
        <v>0</v>
      </c>
      <c r="AK229" s="157">
        <f>SUMIFS('Historical Orders'!$G229, 'Historical Orders'!$D229, "4", 'Historical Orders'!$C229, "A", 'Historical Orders'!$B229, "2")</f>
        <v>0</v>
      </c>
      <c r="AL229" s="171">
        <f>SUMIFS('Historical Orders'!$E229, 'Historical Orders'!$D229, "4", 'Historical Orders'!$C229, "B", 'Historical Orders'!$B229, "2")</f>
        <v>0</v>
      </c>
      <c r="AM229" s="171">
        <f>SUMIFS('Historical Orders'!$G229, 'Historical Orders'!$D229, "4", 'Historical Orders'!$C229, "B", 'Historical Orders'!$B229, "2")</f>
        <v>0</v>
      </c>
      <c r="AN229" s="171">
        <f>SUMIFS('Historical Orders'!$G229, 'Historical Orders'!$C229, "A", 'Historical Orders'!$B229, "1")</f>
        <v>0</v>
      </c>
      <c r="AO229" s="171">
        <f>SUMIFS('Historical Orders'!$G229, 'Historical Orders'!$C229, "B", 'Historical Orders'!$B229, "1")</f>
        <v>0</v>
      </c>
      <c r="AP229" s="171">
        <f>SUMIFS('Historical Orders'!$G229, 'Historical Orders'!$C229, "A", 'Historical Orders'!$B229, "2")</f>
        <v>0</v>
      </c>
      <c r="AQ229" s="171">
        <f>SUMIFS('Historical Orders'!$G229, 'Historical Orders'!$C229, "B", 'Historical Orders'!$B229, "2")</f>
        <v>23347.9</v>
      </c>
      <c r="AR229" s="145"/>
      <c r="AS229" s="172"/>
      <c r="AT229" s="172"/>
      <c r="AU229" s="172"/>
      <c r="AV229" s="172"/>
      <c r="AW229" s="172"/>
      <c r="AX229" s="172"/>
      <c r="AY229" s="172"/>
      <c r="AZ229" s="172"/>
      <c r="BA229" s="172"/>
      <c r="BB229" s="172"/>
      <c r="BC229" s="172"/>
      <c r="BD229" s="172"/>
      <c r="BE229" s="172"/>
      <c r="BF229" s="172"/>
      <c r="BG229" s="172"/>
      <c r="BH229" s="172"/>
      <c r="BI229" s="172"/>
      <c r="BJ229" s="172"/>
      <c r="BK229" s="172"/>
      <c r="BL229" s="172"/>
      <c r="BM229" s="172"/>
      <c r="BN229" s="172"/>
      <c r="BO229" s="172"/>
      <c r="BP229" s="172"/>
      <c r="BQ229" s="172"/>
      <c r="BR229" s="172"/>
      <c r="BS229" s="172"/>
      <c r="BT229" s="172"/>
      <c r="BU229" s="172"/>
      <c r="BV229" s="179"/>
      <c r="BW229" s="179"/>
      <c r="BX229" s="179"/>
      <c r="BY229" s="179"/>
      <c r="BZ229" s="179"/>
      <c r="CA229" s="179"/>
      <c r="CB229" s="179"/>
      <c r="CC229" s="179"/>
      <c r="CD229" s="179"/>
      <c r="CE229" s="179"/>
    </row>
    <row r="230" ht="15.75" customHeight="1">
      <c r="A230" s="151">
        <v>42121.0</v>
      </c>
      <c r="B230" s="152">
        <v>1.0</v>
      </c>
      <c r="C230" s="152" t="s">
        <v>45</v>
      </c>
      <c r="D230" s="152">
        <v>1.0</v>
      </c>
      <c r="E230" s="153">
        <v>5134.0</v>
      </c>
      <c r="F230" s="154">
        <v>2.2</v>
      </c>
      <c r="G230" s="155">
        <v>11294.800000000001</v>
      </c>
      <c r="H230" s="159">
        <f>SUMIFS('Historical Orders'!$E230, 'Historical Orders'!$D230, "1", 'Historical Orders'!$C230, "A", 'Historical Orders'!$B230, "1")</f>
        <v>5134</v>
      </c>
      <c r="I230" s="157">
        <f>SUMIFS('Historical Orders'!$G230, 'Historical Orders'!$D230, "1", 'Historical Orders'!$C230, "A", 'Historical Orders'!$B230, "1")</f>
        <v>11294.8</v>
      </c>
      <c r="J230" s="157">
        <f>SUMIFS('Historical Orders'!$E230, 'Historical Orders'!$D230, "1", 'Historical Orders'!$C230, "B", 'Historical Orders'!$B230, "1")</f>
        <v>0</v>
      </c>
      <c r="K230" s="157">
        <f>SUMIFS('Historical Orders'!$G230, 'Historical Orders'!$D230, "1", 'Historical Orders'!$C230, "B", 'Historical Orders'!$B230, "1")</f>
        <v>0</v>
      </c>
      <c r="L230" s="159">
        <f>SUMIFS('Historical Orders'!$E230, 'Historical Orders'!$D230, "1", 'Historical Orders'!$C230, "A", 'Historical Orders'!$B230, "2")</f>
        <v>0</v>
      </c>
      <c r="M230" s="157">
        <f>SUMIFS('Historical Orders'!$G230, 'Historical Orders'!$D230, "1", 'Historical Orders'!$C230, "A", 'Historical Orders'!$B230, "2")</f>
        <v>0</v>
      </c>
      <c r="N230" s="157">
        <f>SUMIFS('Historical Orders'!$E230, 'Historical Orders'!$D230, "1", 'Historical Orders'!$C230, "B", 'Historical Orders'!$B230, "2")</f>
        <v>0</v>
      </c>
      <c r="O230" s="157">
        <f>SUMIFS('Historical Orders'!$G230, 'Historical Orders'!$D230, "1", 'Historical Orders'!$C230, "B", 'Historical Orders'!$B230, "2")</f>
        <v>0</v>
      </c>
      <c r="P230" s="159">
        <f>SUMIFS('Historical Orders'!$E230, 'Historical Orders'!$D230, "2", 'Historical Orders'!$C230, "A", 'Historical Orders'!$B230, "1")</f>
        <v>0</v>
      </c>
      <c r="Q230" s="157">
        <f>SUMIFS('Historical Orders'!$G230, 'Historical Orders'!$D230, "2", 'Historical Orders'!$C230, "A", 'Historical Orders'!$B230, "1")</f>
        <v>0</v>
      </c>
      <c r="R230" s="159">
        <f>SUMIFS('Historical Orders'!$E230, 'Historical Orders'!$D230, "2", 'Historical Orders'!$C230, "B", 'Historical Orders'!$B230, "1")</f>
        <v>0</v>
      </c>
      <c r="S230" s="157">
        <f>SUMIFS('Historical Orders'!$G230, 'Historical Orders'!$D230, "2", 'Historical Orders'!$C230, "B", 'Historical Orders'!$B230, "1")</f>
        <v>0</v>
      </c>
      <c r="T230" s="159">
        <f>SUMIFS('Historical Orders'!$E230, 'Historical Orders'!$D230, "2", 'Historical Orders'!$C230, "A", 'Historical Orders'!$B230, "2")</f>
        <v>0</v>
      </c>
      <c r="U230" s="157">
        <f>SUMIFS('Historical Orders'!$G230, 'Historical Orders'!$D230, "2", 'Historical Orders'!$C230, "A", 'Historical Orders'!$B230, "2")</f>
        <v>0</v>
      </c>
      <c r="V230" s="159">
        <f>SUMIFS('Historical Orders'!$E230, 'Historical Orders'!$D230, "2", 'Historical Orders'!$C230, "B", 'Historical Orders'!$B230, "2")</f>
        <v>0</v>
      </c>
      <c r="W230" s="159">
        <f>SUMIFS('Historical Orders'!$G230, 'Historical Orders'!$D230, "2", 'Historical Orders'!$C230, "B", 'Historical Orders'!$B230, "2")</f>
        <v>0</v>
      </c>
      <c r="X230" s="159">
        <f>SUMIFS('Historical Orders'!$E230, 'Historical Orders'!$D230, "3", 'Historical Orders'!$C230, "A", 'Historical Orders'!$B230, "1")</f>
        <v>0</v>
      </c>
      <c r="Y230" s="159">
        <f>SUMIFS('Historical Orders'!$G230, 'Historical Orders'!$D230, "3", 'Historical Orders'!$C230, "A", 'Historical Orders'!$B230, "1")</f>
        <v>0</v>
      </c>
      <c r="Z230" s="159">
        <f>SUMIFS('Historical Orders'!$E230, 'Historical Orders'!$D230, "3", 'Historical Orders'!$C230, "B", 'Historical Orders'!$B230, "1")</f>
        <v>0</v>
      </c>
      <c r="AA230" s="159">
        <f>SUMIFS('Historical Orders'!$G230, 'Historical Orders'!$D230, "3", 'Historical Orders'!$C230, "B", 'Historical Orders'!$B230, "1")</f>
        <v>0</v>
      </c>
      <c r="AB230" s="159">
        <f>SUMIFS('Historical Orders'!$E230, 'Historical Orders'!$D230, "3", 'Historical Orders'!$C230, "A", 'Historical Orders'!$B230, "2")</f>
        <v>0</v>
      </c>
      <c r="AC230" s="159">
        <f>SUMIFS('Historical Orders'!$G230, 'Historical Orders'!$D230, "3", 'Historical Orders'!$C230, "A", 'Historical Orders'!$B230, "2")</f>
        <v>0</v>
      </c>
      <c r="AD230" s="159">
        <f>SUMIFS('Historical Orders'!$E230, 'Historical Orders'!$D230, "3", 'Historical Orders'!$C230, "B", 'Historical Orders'!$B230, "2")</f>
        <v>0</v>
      </c>
      <c r="AE230" s="157">
        <f>SUMIFS('Historical Orders'!$G230, 'Historical Orders'!$D230, "3", 'Historical Orders'!$C230, "B", 'Historical Orders'!$B230, "2")</f>
        <v>0</v>
      </c>
      <c r="AF230" s="157">
        <f>SUMIFS('Historical Orders'!$E230, 'Historical Orders'!$D230, "4", 'Historical Orders'!$C230, "A", 'Historical Orders'!$B230, "1")</f>
        <v>0</v>
      </c>
      <c r="AG230" s="157">
        <f>SUMIFS('Historical Orders'!$G230, 'Historical Orders'!$D230, "4", 'Historical Orders'!$C230, "A", 'Historical Orders'!$B230, "1")</f>
        <v>0</v>
      </c>
      <c r="AH230" s="157">
        <f>SUMIFS('Historical Orders'!$E230, 'Historical Orders'!$D230, "4", 'Historical Orders'!$C230, "B", 'Historical Orders'!$B230, "1")</f>
        <v>0</v>
      </c>
      <c r="AI230" s="157">
        <f>SUMIFS('Historical Orders'!$G230, 'Historical Orders'!$D230, "4", 'Historical Orders'!$C230, "B", 'Historical Orders'!$B230, "1")</f>
        <v>0</v>
      </c>
      <c r="AJ230" s="157">
        <f>SUMIFS('Historical Orders'!$E230, 'Historical Orders'!$D230, "4", 'Historical Orders'!$C230, "A", 'Historical Orders'!$B230, "2")</f>
        <v>0</v>
      </c>
      <c r="AK230" s="157">
        <f>SUMIFS('Historical Orders'!$G230, 'Historical Orders'!$D230, "4", 'Historical Orders'!$C230, "A", 'Historical Orders'!$B230, "2")</f>
        <v>0</v>
      </c>
      <c r="AL230" s="171">
        <f>SUMIFS('Historical Orders'!$E230, 'Historical Orders'!$D230, "4", 'Historical Orders'!$C230, "B", 'Historical Orders'!$B230, "2")</f>
        <v>0</v>
      </c>
      <c r="AM230" s="171">
        <f>SUMIFS('Historical Orders'!$G230, 'Historical Orders'!$D230, "4", 'Historical Orders'!$C230, "B", 'Historical Orders'!$B230, "2")</f>
        <v>0</v>
      </c>
      <c r="AN230" s="171">
        <f>SUMIFS('Historical Orders'!$G230, 'Historical Orders'!$C230, "A", 'Historical Orders'!$B230, "1")</f>
        <v>11294.8</v>
      </c>
      <c r="AO230" s="171">
        <f>SUMIFS('Historical Orders'!$G230, 'Historical Orders'!$C230, "B", 'Historical Orders'!$B230, "1")</f>
        <v>0</v>
      </c>
      <c r="AP230" s="171">
        <f>SUMIFS('Historical Orders'!$G230, 'Historical Orders'!$C230, "A", 'Historical Orders'!$B230, "2")</f>
        <v>0</v>
      </c>
      <c r="AQ230" s="171">
        <f>SUMIFS('Historical Orders'!$G230, 'Historical Orders'!$C230, "B", 'Historical Orders'!$B230, "2")</f>
        <v>0</v>
      </c>
      <c r="AR230" s="145"/>
      <c r="AS230" s="172"/>
      <c r="AT230" s="172"/>
      <c r="AU230" s="172"/>
      <c r="AV230" s="172"/>
      <c r="AW230" s="172"/>
      <c r="AX230" s="172"/>
      <c r="AY230" s="172"/>
      <c r="AZ230" s="172"/>
      <c r="BA230" s="172"/>
      <c r="BB230" s="172"/>
      <c r="BC230" s="172"/>
      <c r="BD230" s="172"/>
      <c r="BE230" s="172"/>
      <c r="BF230" s="172"/>
      <c r="BG230" s="172"/>
      <c r="BH230" s="172"/>
      <c r="BI230" s="172"/>
      <c r="BJ230" s="172"/>
      <c r="BK230" s="172"/>
      <c r="BL230" s="172"/>
      <c r="BM230" s="172"/>
      <c r="BN230" s="172"/>
      <c r="BO230" s="172"/>
      <c r="BP230" s="172"/>
      <c r="BQ230" s="172"/>
      <c r="BR230" s="172"/>
      <c r="BS230" s="172"/>
      <c r="BT230" s="172"/>
      <c r="BU230" s="172"/>
      <c r="BV230" s="179"/>
      <c r="BW230" s="179"/>
      <c r="BX230" s="179"/>
      <c r="BY230" s="179"/>
      <c r="BZ230" s="179"/>
      <c r="CA230" s="179"/>
      <c r="CB230" s="179"/>
      <c r="CC230" s="179"/>
      <c r="CD230" s="179"/>
      <c r="CE230" s="179"/>
    </row>
    <row r="231" ht="15.75" customHeight="1">
      <c r="A231" s="151">
        <v>42121.0</v>
      </c>
      <c r="B231" s="152">
        <v>1.0</v>
      </c>
      <c r="C231" s="152" t="s">
        <v>45</v>
      </c>
      <c r="D231" s="152">
        <v>2.0</v>
      </c>
      <c r="E231" s="153">
        <v>5773.0</v>
      </c>
      <c r="F231" s="154">
        <v>1.2</v>
      </c>
      <c r="G231" s="155">
        <v>6927.599999999999</v>
      </c>
      <c r="H231" s="159">
        <f>SUMIFS('Historical Orders'!$E231, 'Historical Orders'!$D231, "1", 'Historical Orders'!$C231, "A", 'Historical Orders'!$B231, "1")</f>
        <v>0</v>
      </c>
      <c r="I231" s="157">
        <f>SUMIFS('Historical Orders'!$G231, 'Historical Orders'!$D231, "1", 'Historical Orders'!$C231, "A", 'Historical Orders'!$B231, "1")</f>
        <v>0</v>
      </c>
      <c r="J231" s="157">
        <f>SUMIFS('Historical Orders'!$E231, 'Historical Orders'!$D231, "1", 'Historical Orders'!$C231, "B", 'Historical Orders'!$B231, "1")</f>
        <v>0</v>
      </c>
      <c r="K231" s="157">
        <f>SUMIFS('Historical Orders'!$G231, 'Historical Orders'!$D231, "1", 'Historical Orders'!$C231, "B", 'Historical Orders'!$B231, "1")</f>
        <v>0</v>
      </c>
      <c r="L231" s="159">
        <f>SUMIFS('Historical Orders'!$E231, 'Historical Orders'!$D231, "1", 'Historical Orders'!$C231, "A", 'Historical Orders'!$B231, "2")</f>
        <v>0</v>
      </c>
      <c r="M231" s="157">
        <f>SUMIFS('Historical Orders'!$G231, 'Historical Orders'!$D231, "1", 'Historical Orders'!$C231, "A", 'Historical Orders'!$B231, "2")</f>
        <v>0</v>
      </c>
      <c r="N231" s="157">
        <f>SUMIFS('Historical Orders'!$E231, 'Historical Orders'!$D231, "1", 'Historical Orders'!$C231, "B", 'Historical Orders'!$B231, "2")</f>
        <v>0</v>
      </c>
      <c r="O231" s="157">
        <f>SUMIFS('Historical Orders'!$G231, 'Historical Orders'!$D231, "1", 'Historical Orders'!$C231, "B", 'Historical Orders'!$B231, "2")</f>
        <v>0</v>
      </c>
      <c r="P231" s="159">
        <f>SUMIFS('Historical Orders'!$E231, 'Historical Orders'!$D231, "2", 'Historical Orders'!$C231, "A", 'Historical Orders'!$B231, "1")</f>
        <v>5773</v>
      </c>
      <c r="Q231" s="157">
        <f>SUMIFS('Historical Orders'!$G231, 'Historical Orders'!$D231, "2", 'Historical Orders'!$C231, "A", 'Historical Orders'!$B231, "1")</f>
        <v>6927.6</v>
      </c>
      <c r="R231" s="159">
        <f>SUMIFS('Historical Orders'!$E231, 'Historical Orders'!$D231, "2", 'Historical Orders'!$C231, "B", 'Historical Orders'!$B231, "1")</f>
        <v>0</v>
      </c>
      <c r="S231" s="157">
        <f>SUMIFS('Historical Orders'!$G231, 'Historical Orders'!$D231, "2", 'Historical Orders'!$C231, "B", 'Historical Orders'!$B231, "1")</f>
        <v>0</v>
      </c>
      <c r="T231" s="159">
        <f>SUMIFS('Historical Orders'!$E231, 'Historical Orders'!$D231, "2", 'Historical Orders'!$C231, "A", 'Historical Orders'!$B231, "2")</f>
        <v>0</v>
      </c>
      <c r="U231" s="157">
        <f>SUMIFS('Historical Orders'!$G231, 'Historical Orders'!$D231, "2", 'Historical Orders'!$C231, "A", 'Historical Orders'!$B231, "2")</f>
        <v>0</v>
      </c>
      <c r="V231" s="159">
        <f>SUMIFS('Historical Orders'!$E231, 'Historical Orders'!$D231, "2", 'Historical Orders'!$C231, "B", 'Historical Orders'!$B231, "2")</f>
        <v>0</v>
      </c>
      <c r="W231" s="159">
        <f>SUMIFS('Historical Orders'!$G231, 'Historical Orders'!$D231, "2", 'Historical Orders'!$C231, "B", 'Historical Orders'!$B231, "2")</f>
        <v>0</v>
      </c>
      <c r="X231" s="159">
        <f>SUMIFS('Historical Orders'!$E231, 'Historical Orders'!$D231, "3", 'Historical Orders'!$C231, "A", 'Historical Orders'!$B231, "1")</f>
        <v>0</v>
      </c>
      <c r="Y231" s="159">
        <f>SUMIFS('Historical Orders'!$G231, 'Historical Orders'!$D231, "3", 'Historical Orders'!$C231, "A", 'Historical Orders'!$B231, "1")</f>
        <v>0</v>
      </c>
      <c r="Z231" s="159">
        <f>SUMIFS('Historical Orders'!$E231, 'Historical Orders'!$D231, "3", 'Historical Orders'!$C231, "B", 'Historical Orders'!$B231, "1")</f>
        <v>0</v>
      </c>
      <c r="AA231" s="159">
        <f>SUMIFS('Historical Orders'!$G231, 'Historical Orders'!$D231, "3", 'Historical Orders'!$C231, "B", 'Historical Orders'!$B231, "1")</f>
        <v>0</v>
      </c>
      <c r="AB231" s="159">
        <f>SUMIFS('Historical Orders'!$E231, 'Historical Orders'!$D231, "3", 'Historical Orders'!$C231, "A", 'Historical Orders'!$B231, "2")</f>
        <v>0</v>
      </c>
      <c r="AC231" s="159">
        <f>SUMIFS('Historical Orders'!$G231, 'Historical Orders'!$D231, "3", 'Historical Orders'!$C231, "A", 'Historical Orders'!$B231, "2")</f>
        <v>0</v>
      </c>
      <c r="AD231" s="159">
        <f>SUMIFS('Historical Orders'!$E231, 'Historical Orders'!$D231, "3", 'Historical Orders'!$C231, "B", 'Historical Orders'!$B231, "2")</f>
        <v>0</v>
      </c>
      <c r="AE231" s="157">
        <f>SUMIFS('Historical Orders'!$G231, 'Historical Orders'!$D231, "3", 'Historical Orders'!$C231, "B", 'Historical Orders'!$B231, "2")</f>
        <v>0</v>
      </c>
      <c r="AF231" s="157">
        <f>SUMIFS('Historical Orders'!$E231, 'Historical Orders'!$D231, "4", 'Historical Orders'!$C231, "A", 'Historical Orders'!$B231, "1")</f>
        <v>0</v>
      </c>
      <c r="AG231" s="157">
        <f>SUMIFS('Historical Orders'!$G231, 'Historical Orders'!$D231, "4", 'Historical Orders'!$C231, "A", 'Historical Orders'!$B231, "1")</f>
        <v>0</v>
      </c>
      <c r="AH231" s="157">
        <f>SUMIFS('Historical Orders'!$E231, 'Historical Orders'!$D231, "4", 'Historical Orders'!$C231, "B", 'Historical Orders'!$B231, "1")</f>
        <v>0</v>
      </c>
      <c r="AI231" s="157">
        <f>SUMIFS('Historical Orders'!$G231, 'Historical Orders'!$D231, "4", 'Historical Orders'!$C231, "B", 'Historical Orders'!$B231, "1")</f>
        <v>0</v>
      </c>
      <c r="AJ231" s="157">
        <f>SUMIFS('Historical Orders'!$E231, 'Historical Orders'!$D231, "4", 'Historical Orders'!$C231, "A", 'Historical Orders'!$B231, "2")</f>
        <v>0</v>
      </c>
      <c r="AK231" s="157">
        <f>SUMIFS('Historical Orders'!$G231, 'Historical Orders'!$D231, "4", 'Historical Orders'!$C231, "A", 'Historical Orders'!$B231, "2")</f>
        <v>0</v>
      </c>
      <c r="AL231" s="171">
        <f>SUMIFS('Historical Orders'!$E231, 'Historical Orders'!$D231, "4", 'Historical Orders'!$C231, "B", 'Historical Orders'!$B231, "2")</f>
        <v>0</v>
      </c>
      <c r="AM231" s="171">
        <f>SUMIFS('Historical Orders'!$G231, 'Historical Orders'!$D231, "4", 'Historical Orders'!$C231, "B", 'Historical Orders'!$B231, "2")</f>
        <v>0</v>
      </c>
      <c r="AN231" s="171">
        <f>SUMIFS('Historical Orders'!$G231, 'Historical Orders'!$C231, "A", 'Historical Orders'!$B231, "1")</f>
        <v>6927.6</v>
      </c>
      <c r="AO231" s="171">
        <f>SUMIFS('Historical Orders'!$G231, 'Historical Orders'!$C231, "B", 'Historical Orders'!$B231, "1")</f>
        <v>0</v>
      </c>
      <c r="AP231" s="171">
        <f>SUMIFS('Historical Orders'!$G231, 'Historical Orders'!$C231, "A", 'Historical Orders'!$B231, "2")</f>
        <v>0</v>
      </c>
      <c r="AQ231" s="171">
        <f>SUMIFS('Historical Orders'!$G231, 'Historical Orders'!$C231, "B", 'Historical Orders'!$B231, "2")</f>
        <v>0</v>
      </c>
      <c r="AR231" s="145"/>
      <c r="AS231" s="172"/>
      <c r="AT231" s="172"/>
      <c r="AU231" s="172"/>
      <c r="AV231" s="172"/>
      <c r="AW231" s="172"/>
      <c r="AX231" s="172"/>
      <c r="AY231" s="172"/>
      <c r="AZ231" s="172"/>
      <c r="BA231" s="172"/>
      <c r="BB231" s="172"/>
      <c r="BC231" s="172"/>
      <c r="BD231" s="172"/>
      <c r="BE231" s="172"/>
      <c r="BF231" s="172"/>
      <c r="BG231" s="172"/>
      <c r="BH231" s="172"/>
      <c r="BI231" s="172"/>
      <c r="BJ231" s="172"/>
      <c r="BK231" s="172"/>
      <c r="BL231" s="172"/>
      <c r="BM231" s="172"/>
      <c r="BN231" s="172"/>
      <c r="BO231" s="172"/>
      <c r="BP231" s="172"/>
      <c r="BQ231" s="172"/>
      <c r="BR231" s="172"/>
      <c r="BS231" s="172"/>
      <c r="BT231" s="172"/>
      <c r="BU231" s="172"/>
      <c r="BV231" s="179"/>
      <c r="BW231" s="179"/>
      <c r="BX231" s="179"/>
      <c r="BY231" s="179"/>
      <c r="BZ231" s="179"/>
      <c r="CA231" s="179"/>
      <c r="CB231" s="179"/>
      <c r="CC231" s="179"/>
      <c r="CD231" s="179"/>
      <c r="CE231" s="179"/>
    </row>
    <row r="232" ht="15.75" customHeight="1">
      <c r="A232" s="151">
        <v>42121.0</v>
      </c>
      <c r="B232" s="152">
        <v>2.0</v>
      </c>
      <c r="C232" s="152" t="s">
        <v>45</v>
      </c>
      <c r="D232" s="152">
        <v>1.0</v>
      </c>
      <c r="E232" s="153">
        <v>3406.0</v>
      </c>
      <c r="F232" s="154">
        <v>2.2</v>
      </c>
      <c r="G232" s="155">
        <v>7493.200000000001</v>
      </c>
      <c r="H232" s="159">
        <f>SUMIFS('Historical Orders'!$E232, 'Historical Orders'!$D232, "1", 'Historical Orders'!$C232, "A", 'Historical Orders'!$B232, "1")</f>
        <v>0</v>
      </c>
      <c r="I232" s="157">
        <f>SUMIFS('Historical Orders'!$G232, 'Historical Orders'!$D232, "1", 'Historical Orders'!$C232, "A", 'Historical Orders'!$B232, "1")</f>
        <v>0</v>
      </c>
      <c r="J232" s="157">
        <f>SUMIFS('Historical Orders'!$E232, 'Historical Orders'!$D232, "1", 'Historical Orders'!$C232, "B", 'Historical Orders'!$B232, "1")</f>
        <v>0</v>
      </c>
      <c r="K232" s="157">
        <f>SUMIFS('Historical Orders'!$G232, 'Historical Orders'!$D232, "1", 'Historical Orders'!$C232, "B", 'Historical Orders'!$B232, "1")</f>
        <v>0</v>
      </c>
      <c r="L232" s="159">
        <f>SUMIFS('Historical Orders'!$E232, 'Historical Orders'!$D232, "1", 'Historical Orders'!$C232, "A", 'Historical Orders'!$B232, "2")</f>
        <v>3406</v>
      </c>
      <c r="M232" s="157">
        <f>SUMIFS('Historical Orders'!$G232, 'Historical Orders'!$D232, "1", 'Historical Orders'!$C232, "A", 'Historical Orders'!$B232, "2")</f>
        <v>7493.2</v>
      </c>
      <c r="N232" s="157">
        <f>SUMIFS('Historical Orders'!$E232, 'Historical Orders'!$D232, "1", 'Historical Orders'!$C232, "B", 'Historical Orders'!$B232, "2")</f>
        <v>0</v>
      </c>
      <c r="O232" s="157">
        <f>SUMIFS('Historical Orders'!$G232, 'Historical Orders'!$D232, "1", 'Historical Orders'!$C232, "B", 'Historical Orders'!$B232, "2")</f>
        <v>0</v>
      </c>
      <c r="P232" s="159">
        <f>SUMIFS('Historical Orders'!$E232, 'Historical Orders'!$D232, "2", 'Historical Orders'!$C232, "A", 'Historical Orders'!$B232, "1")</f>
        <v>0</v>
      </c>
      <c r="Q232" s="157">
        <f>SUMIFS('Historical Orders'!$G232, 'Historical Orders'!$D232, "2", 'Historical Orders'!$C232, "A", 'Historical Orders'!$B232, "1")</f>
        <v>0</v>
      </c>
      <c r="R232" s="159">
        <f>SUMIFS('Historical Orders'!$E232, 'Historical Orders'!$D232, "2", 'Historical Orders'!$C232, "B", 'Historical Orders'!$B232, "1")</f>
        <v>0</v>
      </c>
      <c r="S232" s="157">
        <f>SUMIFS('Historical Orders'!$G232, 'Historical Orders'!$D232, "2", 'Historical Orders'!$C232, "B", 'Historical Orders'!$B232, "1")</f>
        <v>0</v>
      </c>
      <c r="T232" s="159">
        <f>SUMIFS('Historical Orders'!$E232, 'Historical Orders'!$D232, "2", 'Historical Orders'!$C232, "A", 'Historical Orders'!$B232, "2")</f>
        <v>0</v>
      </c>
      <c r="U232" s="157">
        <f>SUMIFS('Historical Orders'!$G232, 'Historical Orders'!$D232, "2", 'Historical Orders'!$C232, "A", 'Historical Orders'!$B232, "2")</f>
        <v>0</v>
      </c>
      <c r="V232" s="159">
        <f>SUMIFS('Historical Orders'!$E232, 'Historical Orders'!$D232, "2", 'Historical Orders'!$C232, "B", 'Historical Orders'!$B232, "2")</f>
        <v>0</v>
      </c>
      <c r="W232" s="159">
        <f>SUMIFS('Historical Orders'!$G232, 'Historical Orders'!$D232, "2", 'Historical Orders'!$C232, "B", 'Historical Orders'!$B232, "2")</f>
        <v>0</v>
      </c>
      <c r="X232" s="159">
        <f>SUMIFS('Historical Orders'!$E232, 'Historical Orders'!$D232, "3", 'Historical Orders'!$C232, "A", 'Historical Orders'!$B232, "1")</f>
        <v>0</v>
      </c>
      <c r="Y232" s="159">
        <f>SUMIFS('Historical Orders'!$G232, 'Historical Orders'!$D232, "3", 'Historical Orders'!$C232, "A", 'Historical Orders'!$B232, "1")</f>
        <v>0</v>
      </c>
      <c r="Z232" s="159">
        <f>SUMIFS('Historical Orders'!$E232, 'Historical Orders'!$D232, "3", 'Historical Orders'!$C232, "B", 'Historical Orders'!$B232, "1")</f>
        <v>0</v>
      </c>
      <c r="AA232" s="159">
        <f>SUMIFS('Historical Orders'!$G232, 'Historical Orders'!$D232, "3", 'Historical Orders'!$C232, "B", 'Historical Orders'!$B232, "1")</f>
        <v>0</v>
      </c>
      <c r="AB232" s="159">
        <f>SUMIFS('Historical Orders'!$E232, 'Historical Orders'!$D232, "3", 'Historical Orders'!$C232, "A", 'Historical Orders'!$B232, "2")</f>
        <v>0</v>
      </c>
      <c r="AC232" s="159">
        <f>SUMIFS('Historical Orders'!$G232, 'Historical Orders'!$D232, "3", 'Historical Orders'!$C232, "A", 'Historical Orders'!$B232, "2")</f>
        <v>0</v>
      </c>
      <c r="AD232" s="159">
        <f>SUMIFS('Historical Orders'!$E232, 'Historical Orders'!$D232, "3", 'Historical Orders'!$C232, "B", 'Historical Orders'!$B232, "2")</f>
        <v>0</v>
      </c>
      <c r="AE232" s="157">
        <f>SUMIFS('Historical Orders'!$G232, 'Historical Orders'!$D232, "3", 'Historical Orders'!$C232, "B", 'Historical Orders'!$B232, "2")</f>
        <v>0</v>
      </c>
      <c r="AF232" s="157">
        <f>SUMIFS('Historical Orders'!$E232, 'Historical Orders'!$D232, "4", 'Historical Orders'!$C232, "A", 'Historical Orders'!$B232, "1")</f>
        <v>0</v>
      </c>
      <c r="AG232" s="157">
        <f>SUMIFS('Historical Orders'!$G232, 'Historical Orders'!$D232, "4", 'Historical Orders'!$C232, "A", 'Historical Orders'!$B232, "1")</f>
        <v>0</v>
      </c>
      <c r="AH232" s="157">
        <f>SUMIFS('Historical Orders'!$E232, 'Historical Orders'!$D232, "4", 'Historical Orders'!$C232, "B", 'Historical Orders'!$B232, "1")</f>
        <v>0</v>
      </c>
      <c r="AI232" s="157">
        <f>SUMIFS('Historical Orders'!$G232, 'Historical Orders'!$D232, "4", 'Historical Orders'!$C232, "B", 'Historical Orders'!$B232, "1")</f>
        <v>0</v>
      </c>
      <c r="AJ232" s="157">
        <f>SUMIFS('Historical Orders'!$E232, 'Historical Orders'!$D232, "4", 'Historical Orders'!$C232, "A", 'Historical Orders'!$B232, "2")</f>
        <v>0</v>
      </c>
      <c r="AK232" s="157">
        <f>SUMIFS('Historical Orders'!$G232, 'Historical Orders'!$D232, "4", 'Historical Orders'!$C232, "A", 'Historical Orders'!$B232, "2")</f>
        <v>0</v>
      </c>
      <c r="AL232" s="171">
        <f>SUMIFS('Historical Orders'!$E232, 'Historical Orders'!$D232, "4", 'Historical Orders'!$C232, "B", 'Historical Orders'!$B232, "2")</f>
        <v>0</v>
      </c>
      <c r="AM232" s="171">
        <f>SUMIFS('Historical Orders'!$G232, 'Historical Orders'!$D232, "4", 'Historical Orders'!$C232, "B", 'Historical Orders'!$B232, "2")</f>
        <v>0</v>
      </c>
      <c r="AN232" s="171">
        <f>SUMIFS('Historical Orders'!$G232, 'Historical Orders'!$C232, "A", 'Historical Orders'!$B232, "1")</f>
        <v>0</v>
      </c>
      <c r="AO232" s="171">
        <f>SUMIFS('Historical Orders'!$G232, 'Historical Orders'!$C232, "B", 'Historical Orders'!$B232, "1")</f>
        <v>0</v>
      </c>
      <c r="AP232" s="171">
        <f>SUMIFS('Historical Orders'!$G232, 'Historical Orders'!$C232, "A", 'Historical Orders'!$B232, "2")</f>
        <v>7493.2</v>
      </c>
      <c r="AQ232" s="171">
        <f>SUMIFS('Historical Orders'!$G232, 'Historical Orders'!$C232, "B", 'Historical Orders'!$B232, "2")</f>
        <v>0</v>
      </c>
      <c r="AR232" s="145"/>
      <c r="AS232" s="172"/>
      <c r="AT232" s="172"/>
      <c r="AU232" s="172"/>
      <c r="AV232" s="172"/>
      <c r="AW232" s="172"/>
      <c r="AX232" s="172"/>
      <c r="AY232" s="172"/>
      <c r="AZ232" s="172"/>
      <c r="BA232" s="172"/>
      <c r="BB232" s="172"/>
      <c r="BC232" s="172"/>
      <c r="BD232" s="172"/>
      <c r="BE232" s="172"/>
      <c r="BF232" s="172"/>
      <c r="BG232" s="172"/>
      <c r="BH232" s="172"/>
      <c r="BI232" s="172"/>
      <c r="BJ232" s="172"/>
      <c r="BK232" s="172"/>
      <c r="BL232" s="172"/>
      <c r="BM232" s="172"/>
      <c r="BN232" s="172"/>
      <c r="BO232" s="172"/>
      <c r="BP232" s="172"/>
      <c r="BQ232" s="172"/>
      <c r="BR232" s="172"/>
      <c r="BS232" s="172"/>
      <c r="BT232" s="172"/>
      <c r="BU232" s="172"/>
      <c r="BV232" s="179"/>
      <c r="BW232" s="179"/>
      <c r="BX232" s="179"/>
      <c r="BY232" s="179"/>
      <c r="BZ232" s="179"/>
      <c r="CA232" s="179"/>
      <c r="CB232" s="179"/>
      <c r="CC232" s="179"/>
      <c r="CD232" s="179"/>
      <c r="CE232" s="179"/>
    </row>
    <row r="233" ht="15.75" customHeight="1">
      <c r="A233" s="151">
        <v>42121.0</v>
      </c>
      <c r="B233" s="152">
        <v>2.0</v>
      </c>
      <c r="C233" s="152" t="s">
        <v>45</v>
      </c>
      <c r="D233" s="152">
        <v>2.0</v>
      </c>
      <c r="E233" s="153">
        <v>6162.0</v>
      </c>
      <c r="F233" s="154">
        <v>1.2</v>
      </c>
      <c r="G233" s="155">
        <v>7394.4</v>
      </c>
      <c r="H233" s="159">
        <f>SUMIFS('Historical Orders'!$E233, 'Historical Orders'!$D233, "1", 'Historical Orders'!$C233, "A", 'Historical Orders'!$B233, "1")</f>
        <v>0</v>
      </c>
      <c r="I233" s="157">
        <f>SUMIFS('Historical Orders'!$G233, 'Historical Orders'!$D233, "1", 'Historical Orders'!$C233, "A", 'Historical Orders'!$B233, "1")</f>
        <v>0</v>
      </c>
      <c r="J233" s="157">
        <f>SUMIFS('Historical Orders'!$E233, 'Historical Orders'!$D233, "1", 'Historical Orders'!$C233, "B", 'Historical Orders'!$B233, "1")</f>
        <v>0</v>
      </c>
      <c r="K233" s="157">
        <f>SUMIFS('Historical Orders'!$G233, 'Historical Orders'!$D233, "1", 'Historical Orders'!$C233, "B", 'Historical Orders'!$B233, "1")</f>
        <v>0</v>
      </c>
      <c r="L233" s="159">
        <f>SUMIFS('Historical Orders'!$E233, 'Historical Orders'!$D233, "1", 'Historical Orders'!$C233, "A", 'Historical Orders'!$B233, "2")</f>
        <v>0</v>
      </c>
      <c r="M233" s="157">
        <f>SUMIFS('Historical Orders'!$G233, 'Historical Orders'!$D233, "1", 'Historical Orders'!$C233, "A", 'Historical Orders'!$B233, "2")</f>
        <v>0</v>
      </c>
      <c r="N233" s="157">
        <f>SUMIFS('Historical Orders'!$E233, 'Historical Orders'!$D233, "1", 'Historical Orders'!$C233, "B", 'Historical Orders'!$B233, "2")</f>
        <v>0</v>
      </c>
      <c r="O233" s="157">
        <f>SUMIFS('Historical Orders'!$G233, 'Historical Orders'!$D233, "1", 'Historical Orders'!$C233, "B", 'Historical Orders'!$B233, "2")</f>
        <v>0</v>
      </c>
      <c r="P233" s="159">
        <f>SUMIFS('Historical Orders'!$E233, 'Historical Orders'!$D233, "2", 'Historical Orders'!$C233, "A", 'Historical Orders'!$B233, "1")</f>
        <v>0</v>
      </c>
      <c r="Q233" s="157">
        <f>SUMIFS('Historical Orders'!$G233, 'Historical Orders'!$D233, "2", 'Historical Orders'!$C233, "A", 'Historical Orders'!$B233, "1")</f>
        <v>0</v>
      </c>
      <c r="R233" s="159">
        <f>SUMIFS('Historical Orders'!$E233, 'Historical Orders'!$D233, "2", 'Historical Orders'!$C233, "B", 'Historical Orders'!$B233, "1")</f>
        <v>0</v>
      </c>
      <c r="S233" s="157">
        <f>SUMIFS('Historical Orders'!$G233, 'Historical Orders'!$D233, "2", 'Historical Orders'!$C233, "B", 'Historical Orders'!$B233, "1")</f>
        <v>0</v>
      </c>
      <c r="T233" s="159">
        <f>SUMIFS('Historical Orders'!$E233, 'Historical Orders'!$D233, "2", 'Historical Orders'!$C233, "A", 'Historical Orders'!$B233, "2")</f>
        <v>6162</v>
      </c>
      <c r="U233" s="157">
        <f>SUMIFS('Historical Orders'!$G233, 'Historical Orders'!$D233, "2", 'Historical Orders'!$C233, "A", 'Historical Orders'!$B233, "2")</f>
        <v>7394.4</v>
      </c>
      <c r="V233" s="159">
        <f>SUMIFS('Historical Orders'!$E233, 'Historical Orders'!$D233, "2", 'Historical Orders'!$C233, "B", 'Historical Orders'!$B233, "2")</f>
        <v>0</v>
      </c>
      <c r="W233" s="159">
        <f>SUMIFS('Historical Orders'!$G233, 'Historical Orders'!$D233, "2", 'Historical Orders'!$C233, "B", 'Historical Orders'!$B233, "2")</f>
        <v>0</v>
      </c>
      <c r="X233" s="159">
        <f>SUMIFS('Historical Orders'!$E233, 'Historical Orders'!$D233, "3", 'Historical Orders'!$C233, "A", 'Historical Orders'!$B233, "1")</f>
        <v>0</v>
      </c>
      <c r="Y233" s="159">
        <f>SUMIFS('Historical Orders'!$G233, 'Historical Orders'!$D233, "3", 'Historical Orders'!$C233, "A", 'Historical Orders'!$B233, "1")</f>
        <v>0</v>
      </c>
      <c r="Z233" s="159">
        <f>SUMIFS('Historical Orders'!$E233, 'Historical Orders'!$D233, "3", 'Historical Orders'!$C233, "B", 'Historical Orders'!$B233, "1")</f>
        <v>0</v>
      </c>
      <c r="AA233" s="159">
        <f>SUMIFS('Historical Orders'!$G233, 'Historical Orders'!$D233, "3", 'Historical Orders'!$C233, "B", 'Historical Orders'!$B233, "1")</f>
        <v>0</v>
      </c>
      <c r="AB233" s="159">
        <f>SUMIFS('Historical Orders'!$E233, 'Historical Orders'!$D233, "3", 'Historical Orders'!$C233, "A", 'Historical Orders'!$B233, "2")</f>
        <v>0</v>
      </c>
      <c r="AC233" s="159">
        <f>SUMIFS('Historical Orders'!$G233, 'Historical Orders'!$D233, "3", 'Historical Orders'!$C233, "A", 'Historical Orders'!$B233, "2")</f>
        <v>0</v>
      </c>
      <c r="AD233" s="159">
        <f>SUMIFS('Historical Orders'!$E233, 'Historical Orders'!$D233, "3", 'Historical Orders'!$C233, "B", 'Historical Orders'!$B233, "2")</f>
        <v>0</v>
      </c>
      <c r="AE233" s="157">
        <f>SUMIFS('Historical Orders'!$G233, 'Historical Orders'!$D233, "3", 'Historical Orders'!$C233, "B", 'Historical Orders'!$B233, "2")</f>
        <v>0</v>
      </c>
      <c r="AF233" s="157">
        <f>SUMIFS('Historical Orders'!$E233, 'Historical Orders'!$D233, "4", 'Historical Orders'!$C233, "A", 'Historical Orders'!$B233, "1")</f>
        <v>0</v>
      </c>
      <c r="AG233" s="157">
        <f>SUMIFS('Historical Orders'!$G233, 'Historical Orders'!$D233, "4", 'Historical Orders'!$C233, "A", 'Historical Orders'!$B233, "1")</f>
        <v>0</v>
      </c>
      <c r="AH233" s="157">
        <f>SUMIFS('Historical Orders'!$E233, 'Historical Orders'!$D233, "4", 'Historical Orders'!$C233, "B", 'Historical Orders'!$B233, "1")</f>
        <v>0</v>
      </c>
      <c r="AI233" s="157">
        <f>SUMIFS('Historical Orders'!$G233, 'Historical Orders'!$D233, "4", 'Historical Orders'!$C233, "B", 'Historical Orders'!$B233, "1")</f>
        <v>0</v>
      </c>
      <c r="AJ233" s="157">
        <f>SUMIFS('Historical Orders'!$E233, 'Historical Orders'!$D233, "4", 'Historical Orders'!$C233, "A", 'Historical Orders'!$B233, "2")</f>
        <v>0</v>
      </c>
      <c r="AK233" s="157">
        <f>SUMIFS('Historical Orders'!$G233, 'Historical Orders'!$D233, "4", 'Historical Orders'!$C233, "A", 'Historical Orders'!$B233, "2")</f>
        <v>0</v>
      </c>
      <c r="AL233" s="171">
        <f>SUMIFS('Historical Orders'!$E233, 'Historical Orders'!$D233, "4", 'Historical Orders'!$C233, "B", 'Historical Orders'!$B233, "2")</f>
        <v>0</v>
      </c>
      <c r="AM233" s="171">
        <f>SUMIFS('Historical Orders'!$G233, 'Historical Orders'!$D233, "4", 'Historical Orders'!$C233, "B", 'Historical Orders'!$B233, "2")</f>
        <v>0</v>
      </c>
      <c r="AN233" s="171">
        <f>SUMIFS('Historical Orders'!$G233, 'Historical Orders'!$C233, "A", 'Historical Orders'!$B233, "1")</f>
        <v>0</v>
      </c>
      <c r="AO233" s="171">
        <f>SUMIFS('Historical Orders'!$G233, 'Historical Orders'!$C233, "B", 'Historical Orders'!$B233, "1")</f>
        <v>0</v>
      </c>
      <c r="AP233" s="171">
        <f>SUMIFS('Historical Orders'!$G233, 'Historical Orders'!$C233, "A", 'Historical Orders'!$B233, "2")</f>
        <v>7394.4</v>
      </c>
      <c r="AQ233" s="171">
        <f>SUMIFS('Historical Orders'!$G233, 'Historical Orders'!$C233, "B", 'Historical Orders'!$B233, "2")</f>
        <v>0</v>
      </c>
      <c r="AR233" s="145"/>
      <c r="AS233" s="172"/>
      <c r="AT233" s="172"/>
      <c r="AU233" s="172"/>
      <c r="AV233" s="172"/>
      <c r="AW233" s="172"/>
      <c r="AX233" s="172"/>
      <c r="AY233" s="172"/>
      <c r="AZ233" s="172"/>
      <c r="BA233" s="172"/>
      <c r="BB233" s="172"/>
      <c r="BC233" s="172"/>
      <c r="BD233" s="172"/>
      <c r="BE233" s="172"/>
      <c r="BF233" s="172"/>
      <c r="BG233" s="172"/>
      <c r="BH233" s="172"/>
      <c r="BI233" s="172"/>
      <c r="BJ233" s="172"/>
      <c r="BK233" s="172"/>
      <c r="BL233" s="172"/>
      <c r="BM233" s="172"/>
      <c r="BN233" s="172"/>
      <c r="BO233" s="172"/>
      <c r="BP233" s="172"/>
      <c r="BQ233" s="172"/>
      <c r="BR233" s="172"/>
      <c r="BS233" s="172"/>
      <c r="BT233" s="172"/>
      <c r="BU233" s="172"/>
      <c r="BV233" s="179"/>
      <c r="BW233" s="179"/>
      <c r="BX233" s="179"/>
      <c r="BY233" s="179"/>
      <c r="BZ233" s="179"/>
      <c r="CA233" s="179"/>
      <c r="CB233" s="179"/>
      <c r="CC233" s="179"/>
      <c r="CD233" s="179"/>
      <c r="CE233" s="179"/>
    </row>
    <row r="234" ht="15.75" customHeight="1">
      <c r="A234" s="151">
        <v>42121.0</v>
      </c>
      <c r="B234" s="152">
        <v>1.0</v>
      </c>
      <c r="C234" s="152" t="s">
        <v>46</v>
      </c>
      <c r="D234" s="152">
        <v>3.0</v>
      </c>
      <c r="E234" s="153">
        <v>2019.0</v>
      </c>
      <c r="F234" s="154">
        <v>8.3</v>
      </c>
      <c r="G234" s="155">
        <v>16757.7</v>
      </c>
      <c r="H234" s="159">
        <f>SUMIFS('Historical Orders'!$E234, 'Historical Orders'!$D234, "1", 'Historical Orders'!$C234, "A", 'Historical Orders'!$B234, "1")</f>
        <v>0</v>
      </c>
      <c r="I234" s="157">
        <f>SUMIFS('Historical Orders'!$G234, 'Historical Orders'!$D234, "1", 'Historical Orders'!$C234, "A", 'Historical Orders'!$B234, "1")</f>
        <v>0</v>
      </c>
      <c r="J234" s="157">
        <f>SUMIFS('Historical Orders'!$E234, 'Historical Orders'!$D234, "1", 'Historical Orders'!$C234, "B", 'Historical Orders'!$B234, "1")</f>
        <v>0</v>
      </c>
      <c r="K234" s="157">
        <f>SUMIFS('Historical Orders'!$G234, 'Historical Orders'!$D234, "1", 'Historical Orders'!$C234, "B", 'Historical Orders'!$B234, "1")</f>
        <v>0</v>
      </c>
      <c r="L234" s="159">
        <f>SUMIFS('Historical Orders'!$E234, 'Historical Orders'!$D234, "1", 'Historical Orders'!$C234, "A", 'Historical Orders'!$B234, "2")</f>
        <v>0</v>
      </c>
      <c r="M234" s="157">
        <f>SUMIFS('Historical Orders'!$G234, 'Historical Orders'!$D234, "1", 'Historical Orders'!$C234, "A", 'Historical Orders'!$B234, "2")</f>
        <v>0</v>
      </c>
      <c r="N234" s="157">
        <f>SUMIFS('Historical Orders'!$E234, 'Historical Orders'!$D234, "1", 'Historical Orders'!$C234, "B", 'Historical Orders'!$B234, "2")</f>
        <v>0</v>
      </c>
      <c r="O234" s="157">
        <f>SUMIFS('Historical Orders'!$G234, 'Historical Orders'!$D234, "1", 'Historical Orders'!$C234, "B", 'Historical Orders'!$B234, "2")</f>
        <v>0</v>
      </c>
      <c r="P234" s="159">
        <f>SUMIFS('Historical Orders'!$E234, 'Historical Orders'!$D234, "2", 'Historical Orders'!$C234, "A", 'Historical Orders'!$B234, "1")</f>
        <v>0</v>
      </c>
      <c r="Q234" s="157">
        <f>SUMIFS('Historical Orders'!$G234, 'Historical Orders'!$D234, "2", 'Historical Orders'!$C234, "A", 'Historical Orders'!$B234, "1")</f>
        <v>0</v>
      </c>
      <c r="R234" s="159">
        <f>SUMIFS('Historical Orders'!$E234, 'Historical Orders'!$D234, "2", 'Historical Orders'!$C234, "B", 'Historical Orders'!$B234, "1")</f>
        <v>0</v>
      </c>
      <c r="S234" s="157">
        <f>SUMIFS('Historical Orders'!$G234, 'Historical Orders'!$D234, "2", 'Historical Orders'!$C234, "B", 'Historical Orders'!$B234, "1")</f>
        <v>0</v>
      </c>
      <c r="T234" s="159">
        <f>SUMIFS('Historical Orders'!$E234, 'Historical Orders'!$D234, "2", 'Historical Orders'!$C234, "A", 'Historical Orders'!$B234, "2")</f>
        <v>0</v>
      </c>
      <c r="U234" s="157">
        <f>SUMIFS('Historical Orders'!$G234, 'Historical Orders'!$D234, "2", 'Historical Orders'!$C234, "A", 'Historical Orders'!$B234, "2")</f>
        <v>0</v>
      </c>
      <c r="V234" s="159">
        <f>SUMIFS('Historical Orders'!$E234, 'Historical Orders'!$D234, "2", 'Historical Orders'!$C234, "B", 'Historical Orders'!$B234, "2")</f>
        <v>0</v>
      </c>
      <c r="W234" s="159">
        <f>SUMIFS('Historical Orders'!$G234, 'Historical Orders'!$D234, "2", 'Historical Orders'!$C234, "B", 'Historical Orders'!$B234, "2")</f>
        <v>0</v>
      </c>
      <c r="X234" s="159">
        <f>SUMIFS('Historical Orders'!$E234, 'Historical Orders'!$D234, "3", 'Historical Orders'!$C234, "A", 'Historical Orders'!$B234, "1")</f>
        <v>0</v>
      </c>
      <c r="Y234" s="159">
        <f>SUMIFS('Historical Orders'!$G234, 'Historical Orders'!$D234, "3", 'Historical Orders'!$C234, "A", 'Historical Orders'!$B234, "1")</f>
        <v>0</v>
      </c>
      <c r="Z234" s="159">
        <f>SUMIFS('Historical Orders'!$E234, 'Historical Orders'!$D234, "3", 'Historical Orders'!$C234, "B", 'Historical Orders'!$B234, "1")</f>
        <v>2019</v>
      </c>
      <c r="AA234" s="159">
        <f>SUMIFS('Historical Orders'!$G234, 'Historical Orders'!$D234, "3", 'Historical Orders'!$C234, "B", 'Historical Orders'!$B234, "1")</f>
        <v>16757.7</v>
      </c>
      <c r="AB234" s="159">
        <f>SUMIFS('Historical Orders'!$E234, 'Historical Orders'!$D234, "3", 'Historical Orders'!$C234, "A", 'Historical Orders'!$B234, "2")</f>
        <v>0</v>
      </c>
      <c r="AC234" s="159">
        <f>SUMIFS('Historical Orders'!$G234, 'Historical Orders'!$D234, "3", 'Historical Orders'!$C234, "A", 'Historical Orders'!$B234, "2")</f>
        <v>0</v>
      </c>
      <c r="AD234" s="159">
        <f>SUMIFS('Historical Orders'!$E234, 'Historical Orders'!$D234, "3", 'Historical Orders'!$C234, "B", 'Historical Orders'!$B234, "2")</f>
        <v>0</v>
      </c>
      <c r="AE234" s="157">
        <f>SUMIFS('Historical Orders'!$G234, 'Historical Orders'!$D234, "3", 'Historical Orders'!$C234, "B", 'Historical Orders'!$B234, "2")</f>
        <v>0</v>
      </c>
      <c r="AF234" s="157">
        <f>SUMIFS('Historical Orders'!$E234, 'Historical Orders'!$D234, "4", 'Historical Orders'!$C234, "A", 'Historical Orders'!$B234, "1")</f>
        <v>0</v>
      </c>
      <c r="AG234" s="157">
        <f>SUMIFS('Historical Orders'!$G234, 'Historical Orders'!$D234, "4", 'Historical Orders'!$C234, "A", 'Historical Orders'!$B234, "1")</f>
        <v>0</v>
      </c>
      <c r="AH234" s="157">
        <f>SUMIFS('Historical Orders'!$E234, 'Historical Orders'!$D234, "4", 'Historical Orders'!$C234, "B", 'Historical Orders'!$B234, "1")</f>
        <v>0</v>
      </c>
      <c r="AI234" s="157">
        <f>SUMIFS('Historical Orders'!$G234, 'Historical Orders'!$D234, "4", 'Historical Orders'!$C234, "B", 'Historical Orders'!$B234, "1")</f>
        <v>0</v>
      </c>
      <c r="AJ234" s="157">
        <f>SUMIFS('Historical Orders'!$E234, 'Historical Orders'!$D234, "4", 'Historical Orders'!$C234, "A", 'Historical Orders'!$B234, "2")</f>
        <v>0</v>
      </c>
      <c r="AK234" s="157">
        <f>SUMIFS('Historical Orders'!$G234, 'Historical Orders'!$D234, "4", 'Historical Orders'!$C234, "A", 'Historical Orders'!$B234, "2")</f>
        <v>0</v>
      </c>
      <c r="AL234" s="171">
        <f>SUMIFS('Historical Orders'!$E234, 'Historical Orders'!$D234, "4", 'Historical Orders'!$C234, "B", 'Historical Orders'!$B234, "2")</f>
        <v>0</v>
      </c>
      <c r="AM234" s="171">
        <f>SUMIFS('Historical Orders'!$G234, 'Historical Orders'!$D234, "4", 'Historical Orders'!$C234, "B", 'Historical Orders'!$B234, "2")</f>
        <v>0</v>
      </c>
      <c r="AN234" s="171">
        <f>SUMIFS('Historical Orders'!$G234, 'Historical Orders'!$C234, "A", 'Historical Orders'!$B234, "1")</f>
        <v>0</v>
      </c>
      <c r="AO234" s="171">
        <f>SUMIFS('Historical Orders'!$G234, 'Historical Orders'!$C234, "B", 'Historical Orders'!$B234, "1")</f>
        <v>16757.7</v>
      </c>
      <c r="AP234" s="171">
        <f>SUMIFS('Historical Orders'!$G234, 'Historical Orders'!$C234, "A", 'Historical Orders'!$B234, "2")</f>
        <v>0</v>
      </c>
      <c r="AQ234" s="171">
        <f>SUMIFS('Historical Orders'!$G234, 'Historical Orders'!$C234, "B", 'Historical Orders'!$B234, "2")</f>
        <v>0</v>
      </c>
      <c r="AR234" s="145"/>
      <c r="AS234" s="172"/>
      <c r="AT234" s="172"/>
      <c r="AU234" s="172"/>
      <c r="AV234" s="172"/>
      <c r="AW234" s="172"/>
      <c r="AX234" s="172"/>
      <c r="AY234" s="172"/>
      <c r="AZ234" s="172"/>
      <c r="BA234" s="172"/>
      <c r="BB234" s="172"/>
      <c r="BC234" s="172"/>
      <c r="BD234" s="172"/>
      <c r="BE234" s="172"/>
      <c r="BF234" s="172"/>
      <c r="BG234" s="172"/>
      <c r="BH234" s="172"/>
      <c r="BI234" s="172"/>
      <c r="BJ234" s="172"/>
      <c r="BK234" s="172"/>
      <c r="BL234" s="172"/>
      <c r="BM234" s="172"/>
      <c r="BN234" s="172"/>
      <c r="BO234" s="172"/>
      <c r="BP234" s="172"/>
      <c r="BQ234" s="172"/>
      <c r="BR234" s="172"/>
      <c r="BS234" s="172"/>
      <c r="BT234" s="172"/>
      <c r="BU234" s="172"/>
      <c r="BV234" s="179"/>
      <c r="BW234" s="179"/>
      <c r="BX234" s="179"/>
      <c r="BY234" s="179"/>
      <c r="BZ234" s="179"/>
      <c r="CA234" s="179"/>
      <c r="CB234" s="179"/>
      <c r="CC234" s="179"/>
      <c r="CD234" s="179"/>
      <c r="CE234" s="179"/>
    </row>
    <row r="235" ht="15.75" customHeight="1">
      <c r="A235" s="151">
        <v>42121.0</v>
      </c>
      <c r="B235" s="152">
        <v>2.0</v>
      </c>
      <c r="C235" s="152" t="s">
        <v>46</v>
      </c>
      <c r="D235" s="152">
        <v>3.0</v>
      </c>
      <c r="E235" s="153">
        <v>2435.0</v>
      </c>
      <c r="F235" s="154">
        <v>8.3</v>
      </c>
      <c r="G235" s="155">
        <v>20210.5</v>
      </c>
      <c r="H235" s="159">
        <f>SUMIFS('Historical Orders'!$E235, 'Historical Orders'!$D235, "1", 'Historical Orders'!$C235, "A", 'Historical Orders'!$B235, "1")</f>
        <v>0</v>
      </c>
      <c r="I235" s="157">
        <f>SUMIFS('Historical Orders'!$G235, 'Historical Orders'!$D235, "1", 'Historical Orders'!$C235, "A", 'Historical Orders'!$B235, "1")</f>
        <v>0</v>
      </c>
      <c r="J235" s="157">
        <f>SUMIFS('Historical Orders'!$E235, 'Historical Orders'!$D235, "1", 'Historical Orders'!$C235, "B", 'Historical Orders'!$B235, "1")</f>
        <v>0</v>
      </c>
      <c r="K235" s="157">
        <f>SUMIFS('Historical Orders'!$G235, 'Historical Orders'!$D235, "1", 'Historical Orders'!$C235, "B", 'Historical Orders'!$B235, "1")</f>
        <v>0</v>
      </c>
      <c r="L235" s="159">
        <f>SUMIFS('Historical Orders'!$E235, 'Historical Orders'!$D235, "1", 'Historical Orders'!$C235, "A", 'Historical Orders'!$B235, "2")</f>
        <v>0</v>
      </c>
      <c r="M235" s="157">
        <f>SUMIFS('Historical Orders'!$G235, 'Historical Orders'!$D235, "1", 'Historical Orders'!$C235, "A", 'Historical Orders'!$B235, "2")</f>
        <v>0</v>
      </c>
      <c r="N235" s="157">
        <f>SUMIFS('Historical Orders'!$E235, 'Historical Orders'!$D235, "1", 'Historical Orders'!$C235, "B", 'Historical Orders'!$B235, "2")</f>
        <v>0</v>
      </c>
      <c r="O235" s="157">
        <f>SUMIFS('Historical Orders'!$G235, 'Historical Orders'!$D235, "1", 'Historical Orders'!$C235, "B", 'Historical Orders'!$B235, "2")</f>
        <v>0</v>
      </c>
      <c r="P235" s="159">
        <f>SUMIFS('Historical Orders'!$E235, 'Historical Orders'!$D235, "2", 'Historical Orders'!$C235, "A", 'Historical Orders'!$B235, "1")</f>
        <v>0</v>
      </c>
      <c r="Q235" s="157">
        <f>SUMIFS('Historical Orders'!$G235, 'Historical Orders'!$D235, "2", 'Historical Orders'!$C235, "A", 'Historical Orders'!$B235, "1")</f>
        <v>0</v>
      </c>
      <c r="R235" s="159">
        <f>SUMIFS('Historical Orders'!$E235, 'Historical Orders'!$D235, "2", 'Historical Orders'!$C235, "B", 'Historical Orders'!$B235, "1")</f>
        <v>0</v>
      </c>
      <c r="S235" s="157">
        <f>SUMIFS('Historical Orders'!$G235, 'Historical Orders'!$D235, "2", 'Historical Orders'!$C235, "B", 'Historical Orders'!$B235, "1")</f>
        <v>0</v>
      </c>
      <c r="T235" s="159">
        <f>SUMIFS('Historical Orders'!$E235, 'Historical Orders'!$D235, "2", 'Historical Orders'!$C235, "A", 'Historical Orders'!$B235, "2")</f>
        <v>0</v>
      </c>
      <c r="U235" s="157">
        <f>SUMIFS('Historical Orders'!$G235, 'Historical Orders'!$D235, "2", 'Historical Orders'!$C235, "A", 'Historical Orders'!$B235, "2")</f>
        <v>0</v>
      </c>
      <c r="V235" s="159">
        <f>SUMIFS('Historical Orders'!$E235, 'Historical Orders'!$D235, "2", 'Historical Orders'!$C235, "B", 'Historical Orders'!$B235, "2")</f>
        <v>0</v>
      </c>
      <c r="W235" s="159">
        <f>SUMIFS('Historical Orders'!$G235, 'Historical Orders'!$D235, "2", 'Historical Orders'!$C235, "B", 'Historical Orders'!$B235, "2")</f>
        <v>0</v>
      </c>
      <c r="X235" s="159">
        <f>SUMIFS('Historical Orders'!$E235, 'Historical Orders'!$D235, "3", 'Historical Orders'!$C235, "A", 'Historical Orders'!$B235, "1")</f>
        <v>0</v>
      </c>
      <c r="Y235" s="159">
        <f>SUMIFS('Historical Orders'!$G235, 'Historical Orders'!$D235, "3", 'Historical Orders'!$C235, "A", 'Historical Orders'!$B235, "1")</f>
        <v>0</v>
      </c>
      <c r="Z235" s="159">
        <f>SUMIFS('Historical Orders'!$E235, 'Historical Orders'!$D235, "3", 'Historical Orders'!$C235, "B", 'Historical Orders'!$B235, "1")</f>
        <v>0</v>
      </c>
      <c r="AA235" s="159">
        <f>SUMIFS('Historical Orders'!$G235, 'Historical Orders'!$D235, "3", 'Historical Orders'!$C235, "B", 'Historical Orders'!$B235, "1")</f>
        <v>0</v>
      </c>
      <c r="AB235" s="159">
        <f>SUMIFS('Historical Orders'!$E235, 'Historical Orders'!$D235, "3", 'Historical Orders'!$C235, "A", 'Historical Orders'!$B235, "2")</f>
        <v>0</v>
      </c>
      <c r="AC235" s="159">
        <f>SUMIFS('Historical Orders'!$G235, 'Historical Orders'!$D235, "3", 'Historical Orders'!$C235, "A", 'Historical Orders'!$B235, "2")</f>
        <v>0</v>
      </c>
      <c r="AD235" s="159">
        <f>SUMIFS('Historical Orders'!$E235, 'Historical Orders'!$D235, "3", 'Historical Orders'!$C235, "B", 'Historical Orders'!$B235, "2")</f>
        <v>2435</v>
      </c>
      <c r="AE235" s="157">
        <f>SUMIFS('Historical Orders'!$G235, 'Historical Orders'!$D235, "3", 'Historical Orders'!$C235, "B", 'Historical Orders'!$B235, "2")</f>
        <v>20210.5</v>
      </c>
      <c r="AF235" s="157">
        <f>SUMIFS('Historical Orders'!$E235, 'Historical Orders'!$D235, "4", 'Historical Orders'!$C235, "A", 'Historical Orders'!$B235, "1")</f>
        <v>0</v>
      </c>
      <c r="AG235" s="157">
        <f>SUMIFS('Historical Orders'!$G235, 'Historical Orders'!$D235, "4", 'Historical Orders'!$C235, "A", 'Historical Orders'!$B235, "1")</f>
        <v>0</v>
      </c>
      <c r="AH235" s="157">
        <f>SUMIFS('Historical Orders'!$E235, 'Historical Orders'!$D235, "4", 'Historical Orders'!$C235, "B", 'Historical Orders'!$B235, "1")</f>
        <v>0</v>
      </c>
      <c r="AI235" s="157">
        <f>SUMIFS('Historical Orders'!$G235, 'Historical Orders'!$D235, "4", 'Historical Orders'!$C235, "B", 'Historical Orders'!$B235, "1")</f>
        <v>0</v>
      </c>
      <c r="AJ235" s="157">
        <f>SUMIFS('Historical Orders'!$E235, 'Historical Orders'!$D235, "4", 'Historical Orders'!$C235, "A", 'Historical Orders'!$B235, "2")</f>
        <v>0</v>
      </c>
      <c r="AK235" s="157">
        <f>SUMIFS('Historical Orders'!$G235, 'Historical Orders'!$D235, "4", 'Historical Orders'!$C235, "A", 'Historical Orders'!$B235, "2")</f>
        <v>0</v>
      </c>
      <c r="AL235" s="171">
        <f>SUMIFS('Historical Orders'!$E235, 'Historical Orders'!$D235, "4", 'Historical Orders'!$C235, "B", 'Historical Orders'!$B235, "2")</f>
        <v>0</v>
      </c>
      <c r="AM235" s="171">
        <f>SUMIFS('Historical Orders'!$G235, 'Historical Orders'!$D235, "4", 'Historical Orders'!$C235, "B", 'Historical Orders'!$B235, "2")</f>
        <v>0</v>
      </c>
      <c r="AN235" s="171">
        <f>SUMIFS('Historical Orders'!$G235, 'Historical Orders'!$C235, "A", 'Historical Orders'!$B235, "1")</f>
        <v>0</v>
      </c>
      <c r="AO235" s="171">
        <f>SUMIFS('Historical Orders'!$G235, 'Historical Orders'!$C235, "B", 'Historical Orders'!$B235, "1")</f>
        <v>0</v>
      </c>
      <c r="AP235" s="171">
        <f>SUMIFS('Historical Orders'!$G235, 'Historical Orders'!$C235, "A", 'Historical Orders'!$B235, "2")</f>
        <v>0</v>
      </c>
      <c r="AQ235" s="171">
        <f>SUMIFS('Historical Orders'!$G235, 'Historical Orders'!$C235, "B", 'Historical Orders'!$B235, "2")</f>
        <v>20210.5</v>
      </c>
      <c r="AR235" s="145"/>
      <c r="AS235" s="172"/>
      <c r="AT235" s="172"/>
      <c r="AU235" s="172"/>
      <c r="AV235" s="172"/>
      <c r="AW235" s="172"/>
      <c r="AX235" s="172"/>
      <c r="AY235" s="172"/>
      <c r="AZ235" s="172"/>
      <c r="BA235" s="172"/>
      <c r="BB235" s="172"/>
      <c r="BC235" s="172"/>
      <c r="BD235" s="172"/>
      <c r="BE235" s="172"/>
      <c r="BF235" s="172"/>
      <c r="BG235" s="172"/>
      <c r="BH235" s="172"/>
      <c r="BI235" s="172"/>
      <c r="BJ235" s="172"/>
      <c r="BK235" s="172"/>
      <c r="BL235" s="172"/>
      <c r="BM235" s="172"/>
      <c r="BN235" s="172"/>
      <c r="BO235" s="172"/>
      <c r="BP235" s="172"/>
      <c r="BQ235" s="172"/>
      <c r="BR235" s="172"/>
      <c r="BS235" s="172"/>
      <c r="BT235" s="172"/>
      <c r="BU235" s="172"/>
      <c r="BV235" s="179"/>
      <c r="BW235" s="179"/>
      <c r="BX235" s="179"/>
      <c r="BY235" s="179"/>
      <c r="BZ235" s="179"/>
      <c r="CA235" s="179"/>
      <c r="CB235" s="179"/>
      <c r="CC235" s="179"/>
      <c r="CD235" s="179"/>
      <c r="CE235" s="179"/>
    </row>
    <row r="236" ht="15.75" customHeight="1">
      <c r="A236" s="151">
        <v>42128.0</v>
      </c>
      <c r="B236" s="152">
        <v>1.0</v>
      </c>
      <c r="C236" s="152" t="s">
        <v>45</v>
      </c>
      <c r="D236" s="152">
        <v>1.0</v>
      </c>
      <c r="E236" s="153">
        <v>4802.0</v>
      </c>
      <c r="F236" s="154">
        <v>2.2</v>
      </c>
      <c r="G236" s="155">
        <v>10564.400000000001</v>
      </c>
      <c r="H236" s="159">
        <f>SUMIFS('Historical Orders'!$E236, 'Historical Orders'!$D236, "1", 'Historical Orders'!$C236, "A", 'Historical Orders'!$B236, "1")</f>
        <v>4802</v>
      </c>
      <c r="I236" s="157">
        <f>SUMIFS('Historical Orders'!$G236, 'Historical Orders'!$D236, "1", 'Historical Orders'!$C236, "A", 'Historical Orders'!$B236, "1")</f>
        <v>10564.4</v>
      </c>
      <c r="J236" s="157">
        <f>SUMIFS('Historical Orders'!$E236, 'Historical Orders'!$D236, "1", 'Historical Orders'!$C236, "B", 'Historical Orders'!$B236, "1")</f>
        <v>0</v>
      </c>
      <c r="K236" s="157">
        <f>SUMIFS('Historical Orders'!$G236, 'Historical Orders'!$D236, "1", 'Historical Orders'!$C236, "B", 'Historical Orders'!$B236, "1")</f>
        <v>0</v>
      </c>
      <c r="L236" s="159">
        <f>SUMIFS('Historical Orders'!$E236, 'Historical Orders'!$D236, "1", 'Historical Orders'!$C236, "A", 'Historical Orders'!$B236, "2")</f>
        <v>0</v>
      </c>
      <c r="M236" s="157">
        <f>SUMIFS('Historical Orders'!$G236, 'Historical Orders'!$D236, "1", 'Historical Orders'!$C236, "A", 'Historical Orders'!$B236, "2")</f>
        <v>0</v>
      </c>
      <c r="N236" s="157">
        <f>SUMIFS('Historical Orders'!$E236, 'Historical Orders'!$D236, "1", 'Historical Orders'!$C236, "B", 'Historical Orders'!$B236, "2")</f>
        <v>0</v>
      </c>
      <c r="O236" s="157">
        <f>SUMIFS('Historical Orders'!$G236, 'Historical Orders'!$D236, "1", 'Historical Orders'!$C236, "B", 'Historical Orders'!$B236, "2")</f>
        <v>0</v>
      </c>
      <c r="P236" s="159">
        <f>SUMIFS('Historical Orders'!$E236, 'Historical Orders'!$D236, "2", 'Historical Orders'!$C236, "A", 'Historical Orders'!$B236, "1")</f>
        <v>0</v>
      </c>
      <c r="Q236" s="157">
        <f>SUMIFS('Historical Orders'!$G236, 'Historical Orders'!$D236, "2", 'Historical Orders'!$C236, "A", 'Historical Orders'!$B236, "1")</f>
        <v>0</v>
      </c>
      <c r="R236" s="159">
        <f>SUMIFS('Historical Orders'!$E236, 'Historical Orders'!$D236, "2", 'Historical Orders'!$C236, "B", 'Historical Orders'!$B236, "1")</f>
        <v>0</v>
      </c>
      <c r="S236" s="157">
        <f>SUMIFS('Historical Orders'!$G236, 'Historical Orders'!$D236, "2", 'Historical Orders'!$C236, "B", 'Historical Orders'!$B236, "1")</f>
        <v>0</v>
      </c>
      <c r="T236" s="159">
        <f>SUMIFS('Historical Orders'!$E236, 'Historical Orders'!$D236, "2", 'Historical Orders'!$C236, "A", 'Historical Orders'!$B236, "2")</f>
        <v>0</v>
      </c>
      <c r="U236" s="157">
        <f>SUMIFS('Historical Orders'!$G236, 'Historical Orders'!$D236, "2", 'Historical Orders'!$C236, "A", 'Historical Orders'!$B236, "2")</f>
        <v>0</v>
      </c>
      <c r="V236" s="159">
        <f>SUMIFS('Historical Orders'!$E236, 'Historical Orders'!$D236, "2", 'Historical Orders'!$C236, "B", 'Historical Orders'!$B236, "2")</f>
        <v>0</v>
      </c>
      <c r="W236" s="159">
        <f>SUMIFS('Historical Orders'!$G236, 'Historical Orders'!$D236, "2", 'Historical Orders'!$C236, "B", 'Historical Orders'!$B236, "2")</f>
        <v>0</v>
      </c>
      <c r="X236" s="159">
        <f>SUMIFS('Historical Orders'!$E236, 'Historical Orders'!$D236, "3", 'Historical Orders'!$C236, "A", 'Historical Orders'!$B236, "1")</f>
        <v>0</v>
      </c>
      <c r="Y236" s="159">
        <f>SUMIFS('Historical Orders'!$G236, 'Historical Orders'!$D236, "3", 'Historical Orders'!$C236, "A", 'Historical Orders'!$B236, "1")</f>
        <v>0</v>
      </c>
      <c r="Z236" s="159">
        <f>SUMIFS('Historical Orders'!$E236, 'Historical Orders'!$D236, "3", 'Historical Orders'!$C236, "B", 'Historical Orders'!$B236, "1")</f>
        <v>0</v>
      </c>
      <c r="AA236" s="159">
        <f>SUMIFS('Historical Orders'!$G236, 'Historical Orders'!$D236, "3", 'Historical Orders'!$C236, "B", 'Historical Orders'!$B236, "1")</f>
        <v>0</v>
      </c>
      <c r="AB236" s="159">
        <f>SUMIFS('Historical Orders'!$E236, 'Historical Orders'!$D236, "3", 'Historical Orders'!$C236, "A", 'Historical Orders'!$B236, "2")</f>
        <v>0</v>
      </c>
      <c r="AC236" s="159">
        <f>SUMIFS('Historical Orders'!$G236, 'Historical Orders'!$D236, "3", 'Historical Orders'!$C236, "A", 'Historical Orders'!$B236, "2")</f>
        <v>0</v>
      </c>
      <c r="AD236" s="159">
        <f>SUMIFS('Historical Orders'!$E236, 'Historical Orders'!$D236, "3", 'Historical Orders'!$C236, "B", 'Historical Orders'!$B236, "2")</f>
        <v>0</v>
      </c>
      <c r="AE236" s="157">
        <f>SUMIFS('Historical Orders'!$G236, 'Historical Orders'!$D236, "3", 'Historical Orders'!$C236, "B", 'Historical Orders'!$B236, "2")</f>
        <v>0</v>
      </c>
      <c r="AF236" s="157">
        <f>SUMIFS('Historical Orders'!$E236, 'Historical Orders'!$D236, "4", 'Historical Orders'!$C236, "A", 'Historical Orders'!$B236, "1")</f>
        <v>0</v>
      </c>
      <c r="AG236" s="157">
        <f>SUMIFS('Historical Orders'!$G236, 'Historical Orders'!$D236, "4", 'Historical Orders'!$C236, "A", 'Historical Orders'!$B236, "1")</f>
        <v>0</v>
      </c>
      <c r="AH236" s="157">
        <f>SUMIFS('Historical Orders'!$E236, 'Historical Orders'!$D236, "4", 'Historical Orders'!$C236, "B", 'Historical Orders'!$B236, "1")</f>
        <v>0</v>
      </c>
      <c r="AI236" s="157">
        <f>SUMIFS('Historical Orders'!$G236, 'Historical Orders'!$D236, "4", 'Historical Orders'!$C236, "B", 'Historical Orders'!$B236, "1")</f>
        <v>0</v>
      </c>
      <c r="AJ236" s="157">
        <f>SUMIFS('Historical Orders'!$E236, 'Historical Orders'!$D236, "4", 'Historical Orders'!$C236, "A", 'Historical Orders'!$B236, "2")</f>
        <v>0</v>
      </c>
      <c r="AK236" s="157">
        <f>SUMIFS('Historical Orders'!$G236, 'Historical Orders'!$D236, "4", 'Historical Orders'!$C236, "A", 'Historical Orders'!$B236, "2")</f>
        <v>0</v>
      </c>
      <c r="AL236" s="171">
        <f>SUMIFS('Historical Orders'!$E236, 'Historical Orders'!$D236, "4", 'Historical Orders'!$C236, "B", 'Historical Orders'!$B236, "2")</f>
        <v>0</v>
      </c>
      <c r="AM236" s="171">
        <f>SUMIFS('Historical Orders'!$G236, 'Historical Orders'!$D236, "4", 'Historical Orders'!$C236, "B", 'Historical Orders'!$B236, "2")</f>
        <v>0</v>
      </c>
      <c r="AN236" s="171">
        <f>SUMIFS('Historical Orders'!$G236, 'Historical Orders'!$C236, "A", 'Historical Orders'!$B236, "1")</f>
        <v>10564.4</v>
      </c>
      <c r="AO236" s="171">
        <f>SUMIFS('Historical Orders'!$G236, 'Historical Orders'!$C236, "B", 'Historical Orders'!$B236, "1")</f>
        <v>0</v>
      </c>
      <c r="AP236" s="171">
        <f>SUMIFS('Historical Orders'!$G236, 'Historical Orders'!$C236, "A", 'Historical Orders'!$B236, "2")</f>
        <v>0</v>
      </c>
      <c r="AQ236" s="171">
        <f>SUMIFS('Historical Orders'!$G236, 'Historical Orders'!$C236, "B", 'Historical Orders'!$B236, "2")</f>
        <v>0</v>
      </c>
      <c r="AR236" s="145"/>
      <c r="AS236" s="172"/>
      <c r="AT236" s="172"/>
      <c r="AU236" s="172"/>
      <c r="AV236" s="172"/>
      <c r="AW236" s="172"/>
      <c r="AX236" s="172"/>
      <c r="AY236" s="172"/>
      <c r="AZ236" s="172"/>
      <c r="BA236" s="172"/>
      <c r="BB236" s="172"/>
      <c r="BC236" s="172"/>
      <c r="BD236" s="172"/>
      <c r="BE236" s="172"/>
      <c r="BF236" s="172"/>
      <c r="BG236" s="172"/>
      <c r="BH236" s="172"/>
      <c r="BI236" s="172"/>
      <c r="BJ236" s="172"/>
      <c r="BK236" s="172"/>
      <c r="BL236" s="172"/>
      <c r="BM236" s="172"/>
      <c r="BN236" s="172"/>
      <c r="BO236" s="172"/>
      <c r="BP236" s="172"/>
      <c r="BQ236" s="172"/>
      <c r="BR236" s="172"/>
      <c r="BS236" s="172"/>
      <c r="BT236" s="172"/>
      <c r="BU236" s="172"/>
      <c r="BV236" s="179"/>
      <c r="BW236" s="179"/>
      <c r="BX236" s="179"/>
      <c r="BY236" s="179"/>
      <c r="BZ236" s="179"/>
      <c r="CA236" s="179"/>
      <c r="CB236" s="179"/>
      <c r="CC236" s="179"/>
      <c r="CD236" s="179"/>
      <c r="CE236" s="179"/>
    </row>
    <row r="237" ht="15.75" customHeight="1">
      <c r="A237" s="151">
        <v>42128.0</v>
      </c>
      <c r="B237" s="152">
        <v>1.0</v>
      </c>
      <c r="C237" s="152" t="s">
        <v>45</v>
      </c>
      <c r="D237" s="152">
        <v>2.0</v>
      </c>
      <c r="E237" s="153">
        <v>5461.0</v>
      </c>
      <c r="F237" s="154">
        <v>1.2</v>
      </c>
      <c r="G237" s="155">
        <v>6553.2</v>
      </c>
      <c r="H237" s="159">
        <f>SUMIFS('Historical Orders'!$E237, 'Historical Orders'!$D237, "1", 'Historical Orders'!$C237, "A", 'Historical Orders'!$B237, "1")</f>
        <v>0</v>
      </c>
      <c r="I237" s="157">
        <f>SUMIFS('Historical Orders'!$G237, 'Historical Orders'!$D237, "1", 'Historical Orders'!$C237, "A", 'Historical Orders'!$B237, "1")</f>
        <v>0</v>
      </c>
      <c r="J237" s="157">
        <f>SUMIFS('Historical Orders'!$E237, 'Historical Orders'!$D237, "1", 'Historical Orders'!$C237, "B", 'Historical Orders'!$B237, "1")</f>
        <v>0</v>
      </c>
      <c r="K237" s="157">
        <f>SUMIFS('Historical Orders'!$G237, 'Historical Orders'!$D237, "1", 'Historical Orders'!$C237, "B", 'Historical Orders'!$B237, "1")</f>
        <v>0</v>
      </c>
      <c r="L237" s="159">
        <f>SUMIFS('Historical Orders'!$E237, 'Historical Orders'!$D237, "1", 'Historical Orders'!$C237, "A", 'Historical Orders'!$B237, "2")</f>
        <v>0</v>
      </c>
      <c r="M237" s="157">
        <f>SUMIFS('Historical Orders'!$G237, 'Historical Orders'!$D237, "1", 'Historical Orders'!$C237, "A", 'Historical Orders'!$B237, "2")</f>
        <v>0</v>
      </c>
      <c r="N237" s="157">
        <f>SUMIFS('Historical Orders'!$E237, 'Historical Orders'!$D237, "1", 'Historical Orders'!$C237, "B", 'Historical Orders'!$B237, "2")</f>
        <v>0</v>
      </c>
      <c r="O237" s="157">
        <f>SUMIFS('Historical Orders'!$G237, 'Historical Orders'!$D237, "1", 'Historical Orders'!$C237, "B", 'Historical Orders'!$B237, "2")</f>
        <v>0</v>
      </c>
      <c r="P237" s="159">
        <f>SUMIFS('Historical Orders'!$E237, 'Historical Orders'!$D237, "2", 'Historical Orders'!$C237, "A", 'Historical Orders'!$B237, "1")</f>
        <v>5461</v>
      </c>
      <c r="Q237" s="157">
        <f>SUMIFS('Historical Orders'!$G237, 'Historical Orders'!$D237, "2", 'Historical Orders'!$C237, "A", 'Historical Orders'!$B237, "1")</f>
        <v>6553.2</v>
      </c>
      <c r="R237" s="159">
        <f>SUMIFS('Historical Orders'!$E237, 'Historical Orders'!$D237, "2", 'Historical Orders'!$C237, "B", 'Historical Orders'!$B237, "1")</f>
        <v>0</v>
      </c>
      <c r="S237" s="157">
        <f>SUMIFS('Historical Orders'!$G237, 'Historical Orders'!$D237, "2", 'Historical Orders'!$C237, "B", 'Historical Orders'!$B237, "1")</f>
        <v>0</v>
      </c>
      <c r="T237" s="159">
        <f>SUMIFS('Historical Orders'!$E237, 'Historical Orders'!$D237, "2", 'Historical Orders'!$C237, "A", 'Historical Orders'!$B237, "2")</f>
        <v>0</v>
      </c>
      <c r="U237" s="157">
        <f>SUMIFS('Historical Orders'!$G237, 'Historical Orders'!$D237, "2", 'Historical Orders'!$C237, "A", 'Historical Orders'!$B237, "2")</f>
        <v>0</v>
      </c>
      <c r="V237" s="159">
        <f>SUMIFS('Historical Orders'!$E237, 'Historical Orders'!$D237, "2", 'Historical Orders'!$C237, "B", 'Historical Orders'!$B237, "2")</f>
        <v>0</v>
      </c>
      <c r="W237" s="159">
        <f>SUMIFS('Historical Orders'!$G237, 'Historical Orders'!$D237, "2", 'Historical Orders'!$C237, "B", 'Historical Orders'!$B237, "2")</f>
        <v>0</v>
      </c>
      <c r="X237" s="159">
        <f>SUMIFS('Historical Orders'!$E237, 'Historical Orders'!$D237, "3", 'Historical Orders'!$C237, "A", 'Historical Orders'!$B237, "1")</f>
        <v>0</v>
      </c>
      <c r="Y237" s="159">
        <f>SUMIFS('Historical Orders'!$G237, 'Historical Orders'!$D237, "3", 'Historical Orders'!$C237, "A", 'Historical Orders'!$B237, "1")</f>
        <v>0</v>
      </c>
      <c r="Z237" s="159">
        <f>SUMIFS('Historical Orders'!$E237, 'Historical Orders'!$D237, "3", 'Historical Orders'!$C237, "B", 'Historical Orders'!$B237, "1")</f>
        <v>0</v>
      </c>
      <c r="AA237" s="159">
        <f>SUMIFS('Historical Orders'!$G237, 'Historical Orders'!$D237, "3", 'Historical Orders'!$C237, "B", 'Historical Orders'!$B237, "1")</f>
        <v>0</v>
      </c>
      <c r="AB237" s="159">
        <f>SUMIFS('Historical Orders'!$E237, 'Historical Orders'!$D237, "3", 'Historical Orders'!$C237, "A", 'Historical Orders'!$B237, "2")</f>
        <v>0</v>
      </c>
      <c r="AC237" s="159">
        <f>SUMIFS('Historical Orders'!$G237, 'Historical Orders'!$D237, "3", 'Historical Orders'!$C237, "A", 'Historical Orders'!$B237, "2")</f>
        <v>0</v>
      </c>
      <c r="AD237" s="159">
        <f>SUMIFS('Historical Orders'!$E237, 'Historical Orders'!$D237, "3", 'Historical Orders'!$C237, "B", 'Historical Orders'!$B237, "2")</f>
        <v>0</v>
      </c>
      <c r="AE237" s="157">
        <f>SUMIFS('Historical Orders'!$G237, 'Historical Orders'!$D237, "3", 'Historical Orders'!$C237, "B", 'Historical Orders'!$B237, "2")</f>
        <v>0</v>
      </c>
      <c r="AF237" s="157">
        <f>SUMIFS('Historical Orders'!$E237, 'Historical Orders'!$D237, "4", 'Historical Orders'!$C237, "A", 'Historical Orders'!$B237, "1")</f>
        <v>0</v>
      </c>
      <c r="AG237" s="157">
        <f>SUMIFS('Historical Orders'!$G237, 'Historical Orders'!$D237, "4", 'Historical Orders'!$C237, "A", 'Historical Orders'!$B237, "1")</f>
        <v>0</v>
      </c>
      <c r="AH237" s="157">
        <f>SUMIFS('Historical Orders'!$E237, 'Historical Orders'!$D237, "4", 'Historical Orders'!$C237, "B", 'Historical Orders'!$B237, "1")</f>
        <v>0</v>
      </c>
      <c r="AI237" s="157">
        <f>SUMIFS('Historical Orders'!$G237, 'Historical Orders'!$D237, "4", 'Historical Orders'!$C237, "B", 'Historical Orders'!$B237, "1")</f>
        <v>0</v>
      </c>
      <c r="AJ237" s="157">
        <f>SUMIFS('Historical Orders'!$E237, 'Historical Orders'!$D237, "4", 'Historical Orders'!$C237, "A", 'Historical Orders'!$B237, "2")</f>
        <v>0</v>
      </c>
      <c r="AK237" s="157">
        <f>SUMIFS('Historical Orders'!$G237, 'Historical Orders'!$D237, "4", 'Historical Orders'!$C237, "A", 'Historical Orders'!$B237, "2")</f>
        <v>0</v>
      </c>
      <c r="AL237" s="171">
        <f>SUMIFS('Historical Orders'!$E237, 'Historical Orders'!$D237, "4", 'Historical Orders'!$C237, "B", 'Historical Orders'!$B237, "2")</f>
        <v>0</v>
      </c>
      <c r="AM237" s="171">
        <f>SUMIFS('Historical Orders'!$G237, 'Historical Orders'!$D237, "4", 'Historical Orders'!$C237, "B", 'Historical Orders'!$B237, "2")</f>
        <v>0</v>
      </c>
      <c r="AN237" s="171">
        <f>SUMIFS('Historical Orders'!$G237, 'Historical Orders'!$C237, "A", 'Historical Orders'!$B237, "1")</f>
        <v>6553.2</v>
      </c>
      <c r="AO237" s="171">
        <f>SUMIFS('Historical Orders'!$G237, 'Historical Orders'!$C237, "B", 'Historical Orders'!$B237, "1")</f>
        <v>0</v>
      </c>
      <c r="AP237" s="171">
        <f>SUMIFS('Historical Orders'!$G237, 'Historical Orders'!$C237, "A", 'Historical Orders'!$B237, "2")</f>
        <v>0</v>
      </c>
      <c r="AQ237" s="171">
        <f>SUMIFS('Historical Orders'!$G237, 'Historical Orders'!$C237, "B", 'Historical Orders'!$B237, "2")</f>
        <v>0</v>
      </c>
      <c r="AR237" s="145"/>
      <c r="AS237" s="172"/>
      <c r="AT237" s="172"/>
      <c r="AU237" s="172"/>
      <c r="AV237" s="172"/>
      <c r="AW237" s="172"/>
      <c r="AX237" s="172"/>
      <c r="AY237" s="172"/>
      <c r="AZ237" s="172"/>
      <c r="BA237" s="172"/>
      <c r="BB237" s="172"/>
      <c r="BC237" s="172"/>
      <c r="BD237" s="172"/>
      <c r="BE237" s="172"/>
      <c r="BF237" s="172"/>
      <c r="BG237" s="172"/>
      <c r="BH237" s="172"/>
      <c r="BI237" s="172"/>
      <c r="BJ237" s="172"/>
      <c r="BK237" s="172"/>
      <c r="BL237" s="172"/>
      <c r="BM237" s="172"/>
      <c r="BN237" s="172"/>
      <c r="BO237" s="172"/>
      <c r="BP237" s="172"/>
      <c r="BQ237" s="172"/>
      <c r="BR237" s="172"/>
      <c r="BS237" s="172"/>
      <c r="BT237" s="172"/>
      <c r="BU237" s="172"/>
      <c r="BV237" s="179"/>
      <c r="BW237" s="179"/>
      <c r="BX237" s="179"/>
      <c r="BY237" s="179"/>
      <c r="BZ237" s="179"/>
      <c r="CA237" s="179"/>
      <c r="CB237" s="179"/>
      <c r="CC237" s="179"/>
      <c r="CD237" s="179"/>
      <c r="CE237" s="179"/>
    </row>
    <row r="238" ht="15.75" customHeight="1">
      <c r="A238" s="151">
        <v>42128.0</v>
      </c>
      <c r="B238" s="152">
        <v>2.0</v>
      </c>
      <c r="C238" s="152" t="s">
        <v>45</v>
      </c>
      <c r="D238" s="152">
        <v>1.0</v>
      </c>
      <c r="E238" s="153">
        <v>3714.0</v>
      </c>
      <c r="F238" s="154">
        <v>2.2</v>
      </c>
      <c r="G238" s="155">
        <v>8170.800000000001</v>
      </c>
      <c r="H238" s="159">
        <f>SUMIFS('Historical Orders'!$E238, 'Historical Orders'!$D238, "1", 'Historical Orders'!$C238, "A", 'Historical Orders'!$B238, "1")</f>
        <v>0</v>
      </c>
      <c r="I238" s="157">
        <f>SUMIFS('Historical Orders'!$G238, 'Historical Orders'!$D238, "1", 'Historical Orders'!$C238, "A", 'Historical Orders'!$B238, "1")</f>
        <v>0</v>
      </c>
      <c r="J238" s="157">
        <f>SUMIFS('Historical Orders'!$E238, 'Historical Orders'!$D238, "1", 'Historical Orders'!$C238, "B", 'Historical Orders'!$B238, "1")</f>
        <v>0</v>
      </c>
      <c r="K238" s="157">
        <f>SUMIFS('Historical Orders'!$G238, 'Historical Orders'!$D238, "1", 'Historical Orders'!$C238, "B", 'Historical Orders'!$B238, "1")</f>
        <v>0</v>
      </c>
      <c r="L238" s="159">
        <f>SUMIFS('Historical Orders'!$E238, 'Historical Orders'!$D238, "1", 'Historical Orders'!$C238, "A", 'Historical Orders'!$B238, "2")</f>
        <v>3714</v>
      </c>
      <c r="M238" s="157">
        <f>SUMIFS('Historical Orders'!$G238, 'Historical Orders'!$D238, "1", 'Historical Orders'!$C238, "A", 'Historical Orders'!$B238, "2")</f>
        <v>8170.8</v>
      </c>
      <c r="N238" s="157">
        <f>SUMIFS('Historical Orders'!$E238, 'Historical Orders'!$D238, "1", 'Historical Orders'!$C238, "B", 'Historical Orders'!$B238, "2")</f>
        <v>0</v>
      </c>
      <c r="O238" s="157">
        <f>SUMIFS('Historical Orders'!$G238, 'Historical Orders'!$D238, "1", 'Historical Orders'!$C238, "B", 'Historical Orders'!$B238, "2")</f>
        <v>0</v>
      </c>
      <c r="P238" s="159">
        <f>SUMIFS('Historical Orders'!$E238, 'Historical Orders'!$D238, "2", 'Historical Orders'!$C238, "A", 'Historical Orders'!$B238, "1")</f>
        <v>0</v>
      </c>
      <c r="Q238" s="157">
        <f>SUMIFS('Historical Orders'!$G238, 'Historical Orders'!$D238, "2", 'Historical Orders'!$C238, "A", 'Historical Orders'!$B238, "1")</f>
        <v>0</v>
      </c>
      <c r="R238" s="159">
        <f>SUMIFS('Historical Orders'!$E238, 'Historical Orders'!$D238, "2", 'Historical Orders'!$C238, "B", 'Historical Orders'!$B238, "1")</f>
        <v>0</v>
      </c>
      <c r="S238" s="157">
        <f>SUMIFS('Historical Orders'!$G238, 'Historical Orders'!$D238, "2", 'Historical Orders'!$C238, "B", 'Historical Orders'!$B238, "1")</f>
        <v>0</v>
      </c>
      <c r="T238" s="159">
        <f>SUMIFS('Historical Orders'!$E238, 'Historical Orders'!$D238, "2", 'Historical Orders'!$C238, "A", 'Historical Orders'!$B238, "2")</f>
        <v>0</v>
      </c>
      <c r="U238" s="157">
        <f>SUMIFS('Historical Orders'!$G238, 'Historical Orders'!$D238, "2", 'Historical Orders'!$C238, "A", 'Historical Orders'!$B238, "2")</f>
        <v>0</v>
      </c>
      <c r="V238" s="159">
        <f>SUMIFS('Historical Orders'!$E238, 'Historical Orders'!$D238, "2", 'Historical Orders'!$C238, "B", 'Historical Orders'!$B238, "2")</f>
        <v>0</v>
      </c>
      <c r="W238" s="159">
        <f>SUMIFS('Historical Orders'!$G238, 'Historical Orders'!$D238, "2", 'Historical Orders'!$C238, "B", 'Historical Orders'!$B238, "2")</f>
        <v>0</v>
      </c>
      <c r="X238" s="159">
        <f>SUMIFS('Historical Orders'!$E238, 'Historical Orders'!$D238, "3", 'Historical Orders'!$C238, "A", 'Historical Orders'!$B238, "1")</f>
        <v>0</v>
      </c>
      <c r="Y238" s="159">
        <f>SUMIFS('Historical Orders'!$G238, 'Historical Orders'!$D238, "3", 'Historical Orders'!$C238, "A", 'Historical Orders'!$B238, "1")</f>
        <v>0</v>
      </c>
      <c r="Z238" s="159">
        <f>SUMIFS('Historical Orders'!$E238, 'Historical Orders'!$D238, "3", 'Historical Orders'!$C238, "B", 'Historical Orders'!$B238, "1")</f>
        <v>0</v>
      </c>
      <c r="AA238" s="159">
        <f>SUMIFS('Historical Orders'!$G238, 'Historical Orders'!$D238, "3", 'Historical Orders'!$C238, "B", 'Historical Orders'!$B238, "1")</f>
        <v>0</v>
      </c>
      <c r="AB238" s="159">
        <f>SUMIFS('Historical Orders'!$E238, 'Historical Orders'!$D238, "3", 'Historical Orders'!$C238, "A", 'Historical Orders'!$B238, "2")</f>
        <v>0</v>
      </c>
      <c r="AC238" s="159">
        <f>SUMIFS('Historical Orders'!$G238, 'Historical Orders'!$D238, "3", 'Historical Orders'!$C238, "A", 'Historical Orders'!$B238, "2")</f>
        <v>0</v>
      </c>
      <c r="AD238" s="159">
        <f>SUMIFS('Historical Orders'!$E238, 'Historical Orders'!$D238, "3", 'Historical Orders'!$C238, "B", 'Historical Orders'!$B238, "2")</f>
        <v>0</v>
      </c>
      <c r="AE238" s="157">
        <f>SUMIFS('Historical Orders'!$G238, 'Historical Orders'!$D238, "3", 'Historical Orders'!$C238, "B", 'Historical Orders'!$B238, "2")</f>
        <v>0</v>
      </c>
      <c r="AF238" s="157">
        <f>SUMIFS('Historical Orders'!$E238, 'Historical Orders'!$D238, "4", 'Historical Orders'!$C238, "A", 'Historical Orders'!$B238, "1")</f>
        <v>0</v>
      </c>
      <c r="AG238" s="157">
        <f>SUMIFS('Historical Orders'!$G238, 'Historical Orders'!$D238, "4", 'Historical Orders'!$C238, "A", 'Historical Orders'!$B238, "1")</f>
        <v>0</v>
      </c>
      <c r="AH238" s="157">
        <f>SUMIFS('Historical Orders'!$E238, 'Historical Orders'!$D238, "4", 'Historical Orders'!$C238, "B", 'Historical Orders'!$B238, "1")</f>
        <v>0</v>
      </c>
      <c r="AI238" s="157">
        <f>SUMIFS('Historical Orders'!$G238, 'Historical Orders'!$D238, "4", 'Historical Orders'!$C238, "B", 'Historical Orders'!$B238, "1")</f>
        <v>0</v>
      </c>
      <c r="AJ238" s="157">
        <f>SUMIFS('Historical Orders'!$E238, 'Historical Orders'!$D238, "4", 'Historical Orders'!$C238, "A", 'Historical Orders'!$B238, "2")</f>
        <v>0</v>
      </c>
      <c r="AK238" s="157">
        <f>SUMIFS('Historical Orders'!$G238, 'Historical Orders'!$D238, "4", 'Historical Orders'!$C238, "A", 'Historical Orders'!$B238, "2")</f>
        <v>0</v>
      </c>
      <c r="AL238" s="171">
        <f>SUMIFS('Historical Orders'!$E238, 'Historical Orders'!$D238, "4", 'Historical Orders'!$C238, "B", 'Historical Orders'!$B238, "2")</f>
        <v>0</v>
      </c>
      <c r="AM238" s="171">
        <f>SUMIFS('Historical Orders'!$G238, 'Historical Orders'!$D238, "4", 'Historical Orders'!$C238, "B", 'Historical Orders'!$B238, "2")</f>
        <v>0</v>
      </c>
      <c r="AN238" s="171">
        <f>SUMIFS('Historical Orders'!$G238, 'Historical Orders'!$C238, "A", 'Historical Orders'!$B238, "1")</f>
        <v>0</v>
      </c>
      <c r="AO238" s="171">
        <f>SUMIFS('Historical Orders'!$G238, 'Historical Orders'!$C238, "B", 'Historical Orders'!$B238, "1")</f>
        <v>0</v>
      </c>
      <c r="AP238" s="171">
        <f>SUMIFS('Historical Orders'!$G238, 'Historical Orders'!$C238, "A", 'Historical Orders'!$B238, "2")</f>
        <v>8170.8</v>
      </c>
      <c r="AQ238" s="171">
        <f>SUMIFS('Historical Orders'!$G238, 'Historical Orders'!$C238, "B", 'Historical Orders'!$B238, "2")</f>
        <v>0</v>
      </c>
      <c r="AR238" s="145"/>
      <c r="AS238" s="172"/>
      <c r="AT238" s="172"/>
      <c r="AU238" s="172"/>
      <c r="AV238" s="172"/>
      <c r="AW238" s="172"/>
      <c r="AX238" s="172"/>
      <c r="AY238" s="172"/>
      <c r="AZ238" s="172"/>
      <c r="BA238" s="172"/>
      <c r="BB238" s="172"/>
      <c r="BC238" s="172"/>
      <c r="BD238" s="172"/>
      <c r="BE238" s="172"/>
      <c r="BF238" s="172"/>
      <c r="BG238" s="172"/>
      <c r="BH238" s="172"/>
      <c r="BI238" s="172"/>
      <c r="BJ238" s="172"/>
      <c r="BK238" s="172"/>
      <c r="BL238" s="172"/>
      <c r="BM238" s="172"/>
      <c r="BN238" s="172"/>
      <c r="BO238" s="172"/>
      <c r="BP238" s="172"/>
      <c r="BQ238" s="172"/>
      <c r="BR238" s="172"/>
      <c r="BS238" s="172"/>
      <c r="BT238" s="172"/>
      <c r="BU238" s="172"/>
      <c r="BV238" s="179"/>
      <c r="BW238" s="179"/>
      <c r="BX238" s="179"/>
      <c r="BY238" s="179"/>
      <c r="BZ238" s="179"/>
      <c r="CA238" s="179"/>
      <c r="CB238" s="179"/>
      <c r="CC238" s="179"/>
      <c r="CD238" s="179"/>
      <c r="CE238" s="179"/>
    </row>
    <row r="239" ht="15.75" customHeight="1">
      <c r="A239" s="151">
        <v>42128.0</v>
      </c>
      <c r="B239" s="152">
        <v>2.0</v>
      </c>
      <c r="C239" s="152" t="s">
        <v>45</v>
      </c>
      <c r="D239" s="152">
        <v>2.0</v>
      </c>
      <c r="E239" s="153">
        <v>5770.0</v>
      </c>
      <c r="F239" s="154">
        <v>1.2</v>
      </c>
      <c r="G239" s="155">
        <v>6924.0</v>
      </c>
      <c r="H239" s="159">
        <f>SUMIFS('Historical Orders'!$E239, 'Historical Orders'!$D239, "1", 'Historical Orders'!$C239, "A", 'Historical Orders'!$B239, "1")</f>
        <v>0</v>
      </c>
      <c r="I239" s="157">
        <f>SUMIFS('Historical Orders'!$G239, 'Historical Orders'!$D239, "1", 'Historical Orders'!$C239, "A", 'Historical Orders'!$B239, "1")</f>
        <v>0</v>
      </c>
      <c r="J239" s="157">
        <f>SUMIFS('Historical Orders'!$E239, 'Historical Orders'!$D239, "1", 'Historical Orders'!$C239, "B", 'Historical Orders'!$B239, "1")</f>
        <v>0</v>
      </c>
      <c r="K239" s="157">
        <f>SUMIFS('Historical Orders'!$G239, 'Historical Orders'!$D239, "1", 'Historical Orders'!$C239, "B", 'Historical Orders'!$B239, "1")</f>
        <v>0</v>
      </c>
      <c r="L239" s="159">
        <f>SUMIFS('Historical Orders'!$E239, 'Historical Orders'!$D239, "1", 'Historical Orders'!$C239, "A", 'Historical Orders'!$B239, "2")</f>
        <v>0</v>
      </c>
      <c r="M239" s="157">
        <f>SUMIFS('Historical Orders'!$G239, 'Historical Orders'!$D239, "1", 'Historical Orders'!$C239, "A", 'Historical Orders'!$B239, "2")</f>
        <v>0</v>
      </c>
      <c r="N239" s="157">
        <f>SUMIFS('Historical Orders'!$E239, 'Historical Orders'!$D239, "1", 'Historical Orders'!$C239, "B", 'Historical Orders'!$B239, "2")</f>
        <v>0</v>
      </c>
      <c r="O239" s="157">
        <f>SUMIFS('Historical Orders'!$G239, 'Historical Orders'!$D239, "1", 'Historical Orders'!$C239, "B", 'Historical Orders'!$B239, "2")</f>
        <v>0</v>
      </c>
      <c r="P239" s="159">
        <f>SUMIFS('Historical Orders'!$E239, 'Historical Orders'!$D239, "2", 'Historical Orders'!$C239, "A", 'Historical Orders'!$B239, "1")</f>
        <v>0</v>
      </c>
      <c r="Q239" s="157">
        <f>SUMIFS('Historical Orders'!$G239, 'Historical Orders'!$D239, "2", 'Historical Orders'!$C239, "A", 'Historical Orders'!$B239, "1")</f>
        <v>0</v>
      </c>
      <c r="R239" s="159">
        <f>SUMIFS('Historical Orders'!$E239, 'Historical Orders'!$D239, "2", 'Historical Orders'!$C239, "B", 'Historical Orders'!$B239, "1")</f>
        <v>0</v>
      </c>
      <c r="S239" s="157">
        <f>SUMIFS('Historical Orders'!$G239, 'Historical Orders'!$D239, "2", 'Historical Orders'!$C239, "B", 'Historical Orders'!$B239, "1")</f>
        <v>0</v>
      </c>
      <c r="T239" s="159">
        <f>SUMIFS('Historical Orders'!$E239, 'Historical Orders'!$D239, "2", 'Historical Orders'!$C239, "A", 'Historical Orders'!$B239, "2")</f>
        <v>5770</v>
      </c>
      <c r="U239" s="157">
        <f>SUMIFS('Historical Orders'!$G239, 'Historical Orders'!$D239, "2", 'Historical Orders'!$C239, "A", 'Historical Orders'!$B239, "2")</f>
        <v>6924</v>
      </c>
      <c r="V239" s="159">
        <f>SUMIFS('Historical Orders'!$E239, 'Historical Orders'!$D239, "2", 'Historical Orders'!$C239, "B", 'Historical Orders'!$B239, "2")</f>
        <v>0</v>
      </c>
      <c r="W239" s="159">
        <f>SUMIFS('Historical Orders'!$G239, 'Historical Orders'!$D239, "2", 'Historical Orders'!$C239, "B", 'Historical Orders'!$B239, "2")</f>
        <v>0</v>
      </c>
      <c r="X239" s="159">
        <f>SUMIFS('Historical Orders'!$E239, 'Historical Orders'!$D239, "3", 'Historical Orders'!$C239, "A", 'Historical Orders'!$B239, "1")</f>
        <v>0</v>
      </c>
      <c r="Y239" s="159">
        <f>SUMIFS('Historical Orders'!$G239, 'Historical Orders'!$D239, "3", 'Historical Orders'!$C239, "A", 'Historical Orders'!$B239, "1")</f>
        <v>0</v>
      </c>
      <c r="Z239" s="159">
        <f>SUMIFS('Historical Orders'!$E239, 'Historical Orders'!$D239, "3", 'Historical Orders'!$C239, "B", 'Historical Orders'!$B239, "1")</f>
        <v>0</v>
      </c>
      <c r="AA239" s="159">
        <f>SUMIFS('Historical Orders'!$G239, 'Historical Orders'!$D239, "3", 'Historical Orders'!$C239, "B", 'Historical Orders'!$B239, "1")</f>
        <v>0</v>
      </c>
      <c r="AB239" s="159">
        <f>SUMIFS('Historical Orders'!$E239, 'Historical Orders'!$D239, "3", 'Historical Orders'!$C239, "A", 'Historical Orders'!$B239, "2")</f>
        <v>0</v>
      </c>
      <c r="AC239" s="159">
        <f>SUMIFS('Historical Orders'!$G239, 'Historical Orders'!$D239, "3", 'Historical Orders'!$C239, "A", 'Historical Orders'!$B239, "2")</f>
        <v>0</v>
      </c>
      <c r="AD239" s="159">
        <f>SUMIFS('Historical Orders'!$E239, 'Historical Orders'!$D239, "3", 'Historical Orders'!$C239, "B", 'Historical Orders'!$B239, "2")</f>
        <v>0</v>
      </c>
      <c r="AE239" s="157">
        <f>SUMIFS('Historical Orders'!$G239, 'Historical Orders'!$D239, "3", 'Historical Orders'!$C239, "B", 'Historical Orders'!$B239, "2")</f>
        <v>0</v>
      </c>
      <c r="AF239" s="157">
        <f>SUMIFS('Historical Orders'!$E239, 'Historical Orders'!$D239, "4", 'Historical Orders'!$C239, "A", 'Historical Orders'!$B239, "1")</f>
        <v>0</v>
      </c>
      <c r="AG239" s="157">
        <f>SUMIFS('Historical Orders'!$G239, 'Historical Orders'!$D239, "4", 'Historical Orders'!$C239, "A", 'Historical Orders'!$B239, "1")</f>
        <v>0</v>
      </c>
      <c r="AH239" s="157">
        <f>SUMIFS('Historical Orders'!$E239, 'Historical Orders'!$D239, "4", 'Historical Orders'!$C239, "B", 'Historical Orders'!$B239, "1")</f>
        <v>0</v>
      </c>
      <c r="AI239" s="157">
        <f>SUMIFS('Historical Orders'!$G239, 'Historical Orders'!$D239, "4", 'Historical Orders'!$C239, "B", 'Historical Orders'!$B239, "1")</f>
        <v>0</v>
      </c>
      <c r="AJ239" s="157">
        <f>SUMIFS('Historical Orders'!$E239, 'Historical Orders'!$D239, "4", 'Historical Orders'!$C239, "A", 'Historical Orders'!$B239, "2")</f>
        <v>0</v>
      </c>
      <c r="AK239" s="157">
        <f>SUMIFS('Historical Orders'!$G239, 'Historical Orders'!$D239, "4", 'Historical Orders'!$C239, "A", 'Historical Orders'!$B239, "2")</f>
        <v>0</v>
      </c>
      <c r="AL239" s="171">
        <f>SUMIFS('Historical Orders'!$E239, 'Historical Orders'!$D239, "4", 'Historical Orders'!$C239, "B", 'Historical Orders'!$B239, "2")</f>
        <v>0</v>
      </c>
      <c r="AM239" s="171">
        <f>SUMIFS('Historical Orders'!$G239, 'Historical Orders'!$D239, "4", 'Historical Orders'!$C239, "B", 'Historical Orders'!$B239, "2")</f>
        <v>0</v>
      </c>
      <c r="AN239" s="171">
        <f>SUMIFS('Historical Orders'!$G239, 'Historical Orders'!$C239, "A", 'Historical Orders'!$B239, "1")</f>
        <v>0</v>
      </c>
      <c r="AO239" s="171">
        <f>SUMIFS('Historical Orders'!$G239, 'Historical Orders'!$C239, "B", 'Historical Orders'!$B239, "1")</f>
        <v>0</v>
      </c>
      <c r="AP239" s="171">
        <f>SUMIFS('Historical Orders'!$G239, 'Historical Orders'!$C239, "A", 'Historical Orders'!$B239, "2")</f>
        <v>6924</v>
      </c>
      <c r="AQ239" s="171">
        <f>SUMIFS('Historical Orders'!$G239, 'Historical Orders'!$C239, "B", 'Historical Orders'!$B239, "2")</f>
        <v>0</v>
      </c>
      <c r="AR239" s="145"/>
      <c r="AS239" s="172"/>
      <c r="AT239" s="172"/>
      <c r="AU239" s="172"/>
      <c r="AV239" s="172"/>
      <c r="AW239" s="172"/>
      <c r="AX239" s="172"/>
      <c r="AY239" s="172"/>
      <c r="AZ239" s="172"/>
      <c r="BA239" s="172"/>
      <c r="BB239" s="172"/>
      <c r="BC239" s="172"/>
      <c r="BD239" s="172"/>
      <c r="BE239" s="172"/>
      <c r="BF239" s="172"/>
      <c r="BG239" s="172"/>
      <c r="BH239" s="172"/>
      <c r="BI239" s="172"/>
      <c r="BJ239" s="172"/>
      <c r="BK239" s="172"/>
      <c r="BL239" s="172"/>
      <c r="BM239" s="172"/>
      <c r="BN239" s="172"/>
      <c r="BO239" s="172"/>
      <c r="BP239" s="172"/>
      <c r="BQ239" s="172"/>
      <c r="BR239" s="172"/>
      <c r="BS239" s="172"/>
      <c r="BT239" s="172"/>
      <c r="BU239" s="172"/>
      <c r="BV239" s="179"/>
      <c r="BW239" s="179"/>
      <c r="BX239" s="179"/>
      <c r="BY239" s="179"/>
      <c r="BZ239" s="179"/>
      <c r="CA239" s="179"/>
      <c r="CB239" s="179"/>
      <c r="CC239" s="179"/>
      <c r="CD239" s="179"/>
      <c r="CE239" s="179"/>
    </row>
    <row r="240" ht="15.75" customHeight="1">
      <c r="A240" s="151">
        <v>42128.0</v>
      </c>
      <c r="B240" s="152">
        <v>1.0</v>
      </c>
      <c r="C240" s="152" t="s">
        <v>46</v>
      </c>
      <c r="D240" s="152">
        <v>3.0</v>
      </c>
      <c r="E240" s="153">
        <v>2422.0</v>
      </c>
      <c r="F240" s="154">
        <v>8.3</v>
      </c>
      <c r="G240" s="155">
        <v>20102.600000000002</v>
      </c>
      <c r="H240" s="159">
        <f>SUMIFS('Historical Orders'!$E240, 'Historical Orders'!$D240, "1", 'Historical Orders'!$C240, "A", 'Historical Orders'!$B240, "1")</f>
        <v>0</v>
      </c>
      <c r="I240" s="157">
        <f>SUMIFS('Historical Orders'!$G240, 'Historical Orders'!$D240, "1", 'Historical Orders'!$C240, "A", 'Historical Orders'!$B240, "1")</f>
        <v>0</v>
      </c>
      <c r="J240" s="157">
        <f>SUMIFS('Historical Orders'!$E240, 'Historical Orders'!$D240, "1", 'Historical Orders'!$C240, "B", 'Historical Orders'!$B240, "1")</f>
        <v>0</v>
      </c>
      <c r="K240" s="157">
        <f>SUMIFS('Historical Orders'!$G240, 'Historical Orders'!$D240, "1", 'Historical Orders'!$C240, "B", 'Historical Orders'!$B240, "1")</f>
        <v>0</v>
      </c>
      <c r="L240" s="159">
        <f>SUMIFS('Historical Orders'!$E240, 'Historical Orders'!$D240, "1", 'Historical Orders'!$C240, "A", 'Historical Orders'!$B240, "2")</f>
        <v>0</v>
      </c>
      <c r="M240" s="157">
        <f>SUMIFS('Historical Orders'!$G240, 'Historical Orders'!$D240, "1", 'Historical Orders'!$C240, "A", 'Historical Orders'!$B240, "2")</f>
        <v>0</v>
      </c>
      <c r="N240" s="157">
        <f>SUMIFS('Historical Orders'!$E240, 'Historical Orders'!$D240, "1", 'Historical Orders'!$C240, "B", 'Historical Orders'!$B240, "2")</f>
        <v>0</v>
      </c>
      <c r="O240" s="157">
        <f>SUMIFS('Historical Orders'!$G240, 'Historical Orders'!$D240, "1", 'Historical Orders'!$C240, "B", 'Historical Orders'!$B240, "2")</f>
        <v>0</v>
      </c>
      <c r="P240" s="159">
        <f>SUMIFS('Historical Orders'!$E240, 'Historical Orders'!$D240, "2", 'Historical Orders'!$C240, "A", 'Historical Orders'!$B240, "1")</f>
        <v>0</v>
      </c>
      <c r="Q240" s="157">
        <f>SUMIFS('Historical Orders'!$G240, 'Historical Orders'!$D240, "2", 'Historical Orders'!$C240, "A", 'Historical Orders'!$B240, "1")</f>
        <v>0</v>
      </c>
      <c r="R240" s="159">
        <f>SUMIFS('Historical Orders'!$E240, 'Historical Orders'!$D240, "2", 'Historical Orders'!$C240, "B", 'Historical Orders'!$B240, "1")</f>
        <v>0</v>
      </c>
      <c r="S240" s="157">
        <f>SUMIFS('Historical Orders'!$G240, 'Historical Orders'!$D240, "2", 'Historical Orders'!$C240, "B", 'Historical Orders'!$B240, "1")</f>
        <v>0</v>
      </c>
      <c r="T240" s="159">
        <f>SUMIFS('Historical Orders'!$E240, 'Historical Orders'!$D240, "2", 'Historical Orders'!$C240, "A", 'Historical Orders'!$B240, "2")</f>
        <v>0</v>
      </c>
      <c r="U240" s="157">
        <f>SUMIFS('Historical Orders'!$G240, 'Historical Orders'!$D240, "2", 'Historical Orders'!$C240, "A", 'Historical Orders'!$B240, "2")</f>
        <v>0</v>
      </c>
      <c r="V240" s="159">
        <f>SUMIFS('Historical Orders'!$E240, 'Historical Orders'!$D240, "2", 'Historical Orders'!$C240, "B", 'Historical Orders'!$B240, "2")</f>
        <v>0</v>
      </c>
      <c r="W240" s="159">
        <f>SUMIFS('Historical Orders'!$G240, 'Historical Orders'!$D240, "2", 'Historical Orders'!$C240, "B", 'Historical Orders'!$B240, "2")</f>
        <v>0</v>
      </c>
      <c r="X240" s="159">
        <f>SUMIFS('Historical Orders'!$E240, 'Historical Orders'!$D240, "3", 'Historical Orders'!$C240, "A", 'Historical Orders'!$B240, "1")</f>
        <v>0</v>
      </c>
      <c r="Y240" s="159">
        <f>SUMIFS('Historical Orders'!$G240, 'Historical Orders'!$D240, "3", 'Historical Orders'!$C240, "A", 'Historical Orders'!$B240, "1")</f>
        <v>0</v>
      </c>
      <c r="Z240" s="159">
        <f>SUMIFS('Historical Orders'!$E240, 'Historical Orders'!$D240, "3", 'Historical Orders'!$C240, "B", 'Historical Orders'!$B240, "1")</f>
        <v>2422</v>
      </c>
      <c r="AA240" s="159">
        <f>SUMIFS('Historical Orders'!$G240, 'Historical Orders'!$D240, "3", 'Historical Orders'!$C240, "B", 'Historical Orders'!$B240, "1")</f>
        <v>20102.6</v>
      </c>
      <c r="AB240" s="159">
        <f>SUMIFS('Historical Orders'!$E240, 'Historical Orders'!$D240, "3", 'Historical Orders'!$C240, "A", 'Historical Orders'!$B240, "2")</f>
        <v>0</v>
      </c>
      <c r="AC240" s="159">
        <f>SUMIFS('Historical Orders'!$G240, 'Historical Orders'!$D240, "3", 'Historical Orders'!$C240, "A", 'Historical Orders'!$B240, "2")</f>
        <v>0</v>
      </c>
      <c r="AD240" s="159">
        <f>SUMIFS('Historical Orders'!$E240, 'Historical Orders'!$D240, "3", 'Historical Orders'!$C240, "B", 'Historical Orders'!$B240, "2")</f>
        <v>0</v>
      </c>
      <c r="AE240" s="157">
        <f>SUMIFS('Historical Orders'!$G240, 'Historical Orders'!$D240, "3", 'Historical Orders'!$C240, "B", 'Historical Orders'!$B240, "2")</f>
        <v>0</v>
      </c>
      <c r="AF240" s="157">
        <f>SUMIFS('Historical Orders'!$E240, 'Historical Orders'!$D240, "4", 'Historical Orders'!$C240, "A", 'Historical Orders'!$B240, "1")</f>
        <v>0</v>
      </c>
      <c r="AG240" s="157">
        <f>SUMIFS('Historical Orders'!$G240, 'Historical Orders'!$D240, "4", 'Historical Orders'!$C240, "A", 'Historical Orders'!$B240, "1")</f>
        <v>0</v>
      </c>
      <c r="AH240" s="157">
        <f>SUMIFS('Historical Orders'!$E240, 'Historical Orders'!$D240, "4", 'Historical Orders'!$C240, "B", 'Historical Orders'!$B240, "1")</f>
        <v>0</v>
      </c>
      <c r="AI240" s="157">
        <f>SUMIFS('Historical Orders'!$G240, 'Historical Orders'!$D240, "4", 'Historical Orders'!$C240, "B", 'Historical Orders'!$B240, "1")</f>
        <v>0</v>
      </c>
      <c r="AJ240" s="157">
        <f>SUMIFS('Historical Orders'!$E240, 'Historical Orders'!$D240, "4", 'Historical Orders'!$C240, "A", 'Historical Orders'!$B240, "2")</f>
        <v>0</v>
      </c>
      <c r="AK240" s="157">
        <f>SUMIFS('Historical Orders'!$G240, 'Historical Orders'!$D240, "4", 'Historical Orders'!$C240, "A", 'Historical Orders'!$B240, "2")</f>
        <v>0</v>
      </c>
      <c r="AL240" s="171">
        <f>SUMIFS('Historical Orders'!$E240, 'Historical Orders'!$D240, "4", 'Historical Orders'!$C240, "B", 'Historical Orders'!$B240, "2")</f>
        <v>0</v>
      </c>
      <c r="AM240" s="171">
        <f>SUMIFS('Historical Orders'!$G240, 'Historical Orders'!$D240, "4", 'Historical Orders'!$C240, "B", 'Historical Orders'!$B240, "2")</f>
        <v>0</v>
      </c>
      <c r="AN240" s="171">
        <f>SUMIFS('Historical Orders'!$G240, 'Historical Orders'!$C240, "A", 'Historical Orders'!$B240, "1")</f>
        <v>0</v>
      </c>
      <c r="AO240" s="171">
        <f>SUMIFS('Historical Orders'!$G240, 'Historical Orders'!$C240, "B", 'Historical Orders'!$B240, "1")</f>
        <v>20102.6</v>
      </c>
      <c r="AP240" s="171">
        <f>SUMIFS('Historical Orders'!$G240, 'Historical Orders'!$C240, "A", 'Historical Orders'!$B240, "2")</f>
        <v>0</v>
      </c>
      <c r="AQ240" s="171">
        <f>SUMIFS('Historical Orders'!$G240, 'Historical Orders'!$C240, "B", 'Historical Orders'!$B240, "2")</f>
        <v>0</v>
      </c>
      <c r="AR240" s="145"/>
      <c r="AS240" s="172"/>
      <c r="AT240" s="172"/>
      <c r="AU240" s="172"/>
      <c r="AV240" s="172"/>
      <c r="AW240" s="172"/>
      <c r="AX240" s="172"/>
      <c r="AY240" s="172"/>
      <c r="AZ240" s="172"/>
      <c r="BA240" s="172"/>
      <c r="BB240" s="172"/>
      <c r="BC240" s="172"/>
      <c r="BD240" s="172"/>
      <c r="BE240" s="172"/>
      <c r="BF240" s="172"/>
      <c r="BG240" s="172"/>
      <c r="BH240" s="172"/>
      <c r="BI240" s="172"/>
      <c r="BJ240" s="172"/>
      <c r="BK240" s="172"/>
      <c r="BL240" s="172"/>
      <c r="BM240" s="172"/>
      <c r="BN240" s="172"/>
      <c r="BO240" s="172"/>
      <c r="BP240" s="172"/>
      <c r="BQ240" s="172"/>
      <c r="BR240" s="172"/>
      <c r="BS240" s="172"/>
      <c r="BT240" s="172"/>
      <c r="BU240" s="172"/>
      <c r="BV240" s="179"/>
      <c r="BW240" s="179"/>
      <c r="BX240" s="179"/>
      <c r="BY240" s="179"/>
      <c r="BZ240" s="179"/>
      <c r="CA240" s="179"/>
      <c r="CB240" s="179"/>
      <c r="CC240" s="179"/>
      <c r="CD240" s="179"/>
      <c r="CE240" s="179"/>
    </row>
    <row r="241" ht="15.75" customHeight="1">
      <c r="A241" s="151">
        <v>42128.0</v>
      </c>
      <c r="B241" s="152">
        <v>2.0</v>
      </c>
      <c r="C241" s="152" t="s">
        <v>46</v>
      </c>
      <c r="D241" s="152">
        <v>3.0</v>
      </c>
      <c r="E241" s="153">
        <v>2740.0</v>
      </c>
      <c r="F241" s="154">
        <v>8.3</v>
      </c>
      <c r="G241" s="155">
        <v>22742.000000000004</v>
      </c>
      <c r="H241" s="159">
        <f>SUMIFS('Historical Orders'!$E241, 'Historical Orders'!$D241, "1", 'Historical Orders'!$C241, "A", 'Historical Orders'!$B241, "1")</f>
        <v>0</v>
      </c>
      <c r="I241" s="157">
        <f>SUMIFS('Historical Orders'!$G241, 'Historical Orders'!$D241, "1", 'Historical Orders'!$C241, "A", 'Historical Orders'!$B241, "1")</f>
        <v>0</v>
      </c>
      <c r="J241" s="157">
        <f>SUMIFS('Historical Orders'!$E241, 'Historical Orders'!$D241, "1", 'Historical Orders'!$C241, "B", 'Historical Orders'!$B241, "1")</f>
        <v>0</v>
      </c>
      <c r="K241" s="157">
        <f>SUMIFS('Historical Orders'!$G241, 'Historical Orders'!$D241, "1", 'Historical Orders'!$C241, "B", 'Historical Orders'!$B241, "1")</f>
        <v>0</v>
      </c>
      <c r="L241" s="159">
        <f>SUMIFS('Historical Orders'!$E241, 'Historical Orders'!$D241, "1", 'Historical Orders'!$C241, "A", 'Historical Orders'!$B241, "2")</f>
        <v>0</v>
      </c>
      <c r="M241" s="157">
        <f>SUMIFS('Historical Orders'!$G241, 'Historical Orders'!$D241, "1", 'Historical Orders'!$C241, "A", 'Historical Orders'!$B241, "2")</f>
        <v>0</v>
      </c>
      <c r="N241" s="157">
        <f>SUMIFS('Historical Orders'!$E241, 'Historical Orders'!$D241, "1", 'Historical Orders'!$C241, "B", 'Historical Orders'!$B241, "2")</f>
        <v>0</v>
      </c>
      <c r="O241" s="157">
        <f>SUMIFS('Historical Orders'!$G241, 'Historical Orders'!$D241, "1", 'Historical Orders'!$C241, "B", 'Historical Orders'!$B241, "2")</f>
        <v>0</v>
      </c>
      <c r="P241" s="159">
        <f>SUMIFS('Historical Orders'!$E241, 'Historical Orders'!$D241, "2", 'Historical Orders'!$C241, "A", 'Historical Orders'!$B241, "1")</f>
        <v>0</v>
      </c>
      <c r="Q241" s="157">
        <f>SUMIFS('Historical Orders'!$G241, 'Historical Orders'!$D241, "2", 'Historical Orders'!$C241, "A", 'Historical Orders'!$B241, "1")</f>
        <v>0</v>
      </c>
      <c r="R241" s="159">
        <f>SUMIFS('Historical Orders'!$E241, 'Historical Orders'!$D241, "2", 'Historical Orders'!$C241, "B", 'Historical Orders'!$B241, "1")</f>
        <v>0</v>
      </c>
      <c r="S241" s="157">
        <f>SUMIFS('Historical Orders'!$G241, 'Historical Orders'!$D241, "2", 'Historical Orders'!$C241, "B", 'Historical Orders'!$B241, "1")</f>
        <v>0</v>
      </c>
      <c r="T241" s="159">
        <f>SUMIFS('Historical Orders'!$E241, 'Historical Orders'!$D241, "2", 'Historical Orders'!$C241, "A", 'Historical Orders'!$B241, "2")</f>
        <v>0</v>
      </c>
      <c r="U241" s="157">
        <f>SUMIFS('Historical Orders'!$G241, 'Historical Orders'!$D241, "2", 'Historical Orders'!$C241, "A", 'Historical Orders'!$B241, "2")</f>
        <v>0</v>
      </c>
      <c r="V241" s="159">
        <f>SUMIFS('Historical Orders'!$E241, 'Historical Orders'!$D241, "2", 'Historical Orders'!$C241, "B", 'Historical Orders'!$B241, "2")</f>
        <v>0</v>
      </c>
      <c r="W241" s="159">
        <f>SUMIFS('Historical Orders'!$G241, 'Historical Orders'!$D241, "2", 'Historical Orders'!$C241, "B", 'Historical Orders'!$B241, "2")</f>
        <v>0</v>
      </c>
      <c r="X241" s="159">
        <f>SUMIFS('Historical Orders'!$E241, 'Historical Orders'!$D241, "3", 'Historical Orders'!$C241, "A", 'Historical Orders'!$B241, "1")</f>
        <v>0</v>
      </c>
      <c r="Y241" s="159">
        <f>SUMIFS('Historical Orders'!$G241, 'Historical Orders'!$D241, "3", 'Historical Orders'!$C241, "A", 'Historical Orders'!$B241, "1")</f>
        <v>0</v>
      </c>
      <c r="Z241" s="159">
        <f>SUMIFS('Historical Orders'!$E241, 'Historical Orders'!$D241, "3", 'Historical Orders'!$C241, "B", 'Historical Orders'!$B241, "1")</f>
        <v>0</v>
      </c>
      <c r="AA241" s="159">
        <f>SUMIFS('Historical Orders'!$G241, 'Historical Orders'!$D241, "3", 'Historical Orders'!$C241, "B", 'Historical Orders'!$B241, "1")</f>
        <v>0</v>
      </c>
      <c r="AB241" s="159">
        <f>SUMIFS('Historical Orders'!$E241, 'Historical Orders'!$D241, "3", 'Historical Orders'!$C241, "A", 'Historical Orders'!$B241, "2")</f>
        <v>0</v>
      </c>
      <c r="AC241" s="159">
        <f>SUMIFS('Historical Orders'!$G241, 'Historical Orders'!$D241, "3", 'Historical Orders'!$C241, "A", 'Historical Orders'!$B241, "2")</f>
        <v>0</v>
      </c>
      <c r="AD241" s="159">
        <f>SUMIFS('Historical Orders'!$E241, 'Historical Orders'!$D241, "3", 'Historical Orders'!$C241, "B", 'Historical Orders'!$B241, "2")</f>
        <v>2740</v>
      </c>
      <c r="AE241" s="157">
        <f>SUMIFS('Historical Orders'!$G241, 'Historical Orders'!$D241, "3", 'Historical Orders'!$C241, "B", 'Historical Orders'!$B241, "2")</f>
        <v>22742</v>
      </c>
      <c r="AF241" s="157">
        <f>SUMIFS('Historical Orders'!$E241, 'Historical Orders'!$D241, "4", 'Historical Orders'!$C241, "A", 'Historical Orders'!$B241, "1")</f>
        <v>0</v>
      </c>
      <c r="AG241" s="157">
        <f>SUMIFS('Historical Orders'!$G241, 'Historical Orders'!$D241, "4", 'Historical Orders'!$C241, "A", 'Historical Orders'!$B241, "1")</f>
        <v>0</v>
      </c>
      <c r="AH241" s="157">
        <f>SUMIFS('Historical Orders'!$E241, 'Historical Orders'!$D241, "4", 'Historical Orders'!$C241, "B", 'Historical Orders'!$B241, "1")</f>
        <v>0</v>
      </c>
      <c r="AI241" s="157">
        <f>SUMIFS('Historical Orders'!$G241, 'Historical Orders'!$D241, "4", 'Historical Orders'!$C241, "B", 'Historical Orders'!$B241, "1")</f>
        <v>0</v>
      </c>
      <c r="AJ241" s="157">
        <f>SUMIFS('Historical Orders'!$E241, 'Historical Orders'!$D241, "4", 'Historical Orders'!$C241, "A", 'Historical Orders'!$B241, "2")</f>
        <v>0</v>
      </c>
      <c r="AK241" s="157">
        <f>SUMIFS('Historical Orders'!$G241, 'Historical Orders'!$D241, "4", 'Historical Orders'!$C241, "A", 'Historical Orders'!$B241, "2")</f>
        <v>0</v>
      </c>
      <c r="AL241" s="171">
        <f>SUMIFS('Historical Orders'!$E241, 'Historical Orders'!$D241, "4", 'Historical Orders'!$C241, "B", 'Historical Orders'!$B241, "2")</f>
        <v>0</v>
      </c>
      <c r="AM241" s="171">
        <f>SUMIFS('Historical Orders'!$G241, 'Historical Orders'!$D241, "4", 'Historical Orders'!$C241, "B", 'Historical Orders'!$B241, "2")</f>
        <v>0</v>
      </c>
      <c r="AN241" s="171">
        <f>SUMIFS('Historical Orders'!$G241, 'Historical Orders'!$C241, "A", 'Historical Orders'!$B241, "1")</f>
        <v>0</v>
      </c>
      <c r="AO241" s="171">
        <f>SUMIFS('Historical Orders'!$G241, 'Historical Orders'!$C241, "B", 'Historical Orders'!$B241, "1")</f>
        <v>0</v>
      </c>
      <c r="AP241" s="171">
        <f>SUMIFS('Historical Orders'!$G241, 'Historical Orders'!$C241, "A", 'Historical Orders'!$B241, "2")</f>
        <v>0</v>
      </c>
      <c r="AQ241" s="171">
        <f>SUMIFS('Historical Orders'!$G241, 'Historical Orders'!$C241, "B", 'Historical Orders'!$B241, "2")</f>
        <v>22742</v>
      </c>
      <c r="AR241" s="145"/>
      <c r="AS241" s="172"/>
      <c r="AT241" s="172"/>
      <c r="AU241" s="172"/>
      <c r="AV241" s="172"/>
      <c r="AW241" s="172"/>
      <c r="AX241" s="172"/>
      <c r="AY241" s="172"/>
      <c r="AZ241" s="172"/>
      <c r="BA241" s="172"/>
      <c r="BB241" s="172"/>
      <c r="BC241" s="172"/>
      <c r="BD241" s="172"/>
      <c r="BE241" s="172"/>
      <c r="BF241" s="172"/>
      <c r="BG241" s="172"/>
      <c r="BH241" s="172"/>
      <c r="BI241" s="172"/>
      <c r="BJ241" s="172"/>
      <c r="BK241" s="172"/>
      <c r="BL241" s="172"/>
      <c r="BM241" s="172"/>
      <c r="BN241" s="172"/>
      <c r="BO241" s="172"/>
      <c r="BP241" s="172"/>
      <c r="BQ241" s="172"/>
      <c r="BR241" s="172"/>
      <c r="BS241" s="172"/>
      <c r="BT241" s="172"/>
      <c r="BU241" s="172"/>
      <c r="BV241" s="179"/>
      <c r="BW241" s="179"/>
      <c r="BX241" s="179"/>
      <c r="BY241" s="179"/>
      <c r="BZ241" s="179"/>
      <c r="CA241" s="179"/>
      <c r="CB241" s="179"/>
      <c r="CC241" s="179"/>
      <c r="CD241" s="179"/>
      <c r="CE241" s="179"/>
    </row>
    <row r="242" ht="15.75" customHeight="1">
      <c r="A242" s="151">
        <v>42135.0</v>
      </c>
      <c r="B242" s="152">
        <v>1.0</v>
      </c>
      <c r="C242" s="152" t="s">
        <v>45</v>
      </c>
      <c r="D242" s="152">
        <v>1.0</v>
      </c>
      <c r="E242" s="153">
        <v>5394.0</v>
      </c>
      <c r="F242" s="154">
        <v>2.2</v>
      </c>
      <c r="G242" s="155">
        <v>11866.800000000001</v>
      </c>
      <c r="H242" s="159">
        <f>SUMIFS('Historical Orders'!$E242, 'Historical Orders'!$D242, "1", 'Historical Orders'!$C242, "A", 'Historical Orders'!$B242, "1")</f>
        <v>5394</v>
      </c>
      <c r="I242" s="157">
        <f>SUMIFS('Historical Orders'!$G242, 'Historical Orders'!$D242, "1", 'Historical Orders'!$C242, "A", 'Historical Orders'!$B242, "1")</f>
        <v>11866.8</v>
      </c>
      <c r="J242" s="157">
        <f>SUMIFS('Historical Orders'!$E242, 'Historical Orders'!$D242, "1", 'Historical Orders'!$C242, "B", 'Historical Orders'!$B242, "1")</f>
        <v>0</v>
      </c>
      <c r="K242" s="157">
        <f>SUMIFS('Historical Orders'!$G242, 'Historical Orders'!$D242, "1", 'Historical Orders'!$C242, "B", 'Historical Orders'!$B242, "1")</f>
        <v>0</v>
      </c>
      <c r="L242" s="159">
        <f>SUMIFS('Historical Orders'!$E242, 'Historical Orders'!$D242, "1", 'Historical Orders'!$C242, "A", 'Historical Orders'!$B242, "2")</f>
        <v>0</v>
      </c>
      <c r="M242" s="157">
        <f>SUMIFS('Historical Orders'!$G242, 'Historical Orders'!$D242, "1", 'Historical Orders'!$C242, "A", 'Historical Orders'!$B242, "2")</f>
        <v>0</v>
      </c>
      <c r="N242" s="157">
        <f>SUMIFS('Historical Orders'!$E242, 'Historical Orders'!$D242, "1", 'Historical Orders'!$C242, "B", 'Historical Orders'!$B242, "2")</f>
        <v>0</v>
      </c>
      <c r="O242" s="157">
        <f>SUMIFS('Historical Orders'!$G242, 'Historical Orders'!$D242, "1", 'Historical Orders'!$C242, "B", 'Historical Orders'!$B242, "2")</f>
        <v>0</v>
      </c>
      <c r="P242" s="159">
        <f>SUMIFS('Historical Orders'!$E242, 'Historical Orders'!$D242, "2", 'Historical Orders'!$C242, "A", 'Historical Orders'!$B242, "1")</f>
        <v>0</v>
      </c>
      <c r="Q242" s="157">
        <f>SUMIFS('Historical Orders'!$G242, 'Historical Orders'!$D242, "2", 'Historical Orders'!$C242, "A", 'Historical Orders'!$B242, "1")</f>
        <v>0</v>
      </c>
      <c r="R242" s="159">
        <f>SUMIFS('Historical Orders'!$E242, 'Historical Orders'!$D242, "2", 'Historical Orders'!$C242, "B", 'Historical Orders'!$B242, "1")</f>
        <v>0</v>
      </c>
      <c r="S242" s="157">
        <f>SUMIFS('Historical Orders'!$G242, 'Historical Orders'!$D242, "2", 'Historical Orders'!$C242, "B", 'Historical Orders'!$B242, "1")</f>
        <v>0</v>
      </c>
      <c r="T242" s="159">
        <f>SUMIFS('Historical Orders'!$E242, 'Historical Orders'!$D242, "2", 'Historical Orders'!$C242, "A", 'Historical Orders'!$B242, "2")</f>
        <v>0</v>
      </c>
      <c r="U242" s="157">
        <f>SUMIFS('Historical Orders'!$G242, 'Historical Orders'!$D242, "2", 'Historical Orders'!$C242, "A", 'Historical Orders'!$B242, "2")</f>
        <v>0</v>
      </c>
      <c r="V242" s="159">
        <f>SUMIFS('Historical Orders'!$E242, 'Historical Orders'!$D242, "2", 'Historical Orders'!$C242, "B", 'Historical Orders'!$B242, "2")</f>
        <v>0</v>
      </c>
      <c r="W242" s="159">
        <f>SUMIFS('Historical Orders'!$G242, 'Historical Orders'!$D242, "2", 'Historical Orders'!$C242, "B", 'Historical Orders'!$B242, "2")</f>
        <v>0</v>
      </c>
      <c r="X242" s="159">
        <f>SUMIFS('Historical Orders'!$E242, 'Historical Orders'!$D242, "3", 'Historical Orders'!$C242, "A", 'Historical Orders'!$B242, "1")</f>
        <v>0</v>
      </c>
      <c r="Y242" s="159">
        <f>SUMIFS('Historical Orders'!$G242, 'Historical Orders'!$D242, "3", 'Historical Orders'!$C242, "A", 'Historical Orders'!$B242, "1")</f>
        <v>0</v>
      </c>
      <c r="Z242" s="159">
        <f>SUMIFS('Historical Orders'!$E242, 'Historical Orders'!$D242, "3", 'Historical Orders'!$C242, "B", 'Historical Orders'!$B242, "1")</f>
        <v>0</v>
      </c>
      <c r="AA242" s="159">
        <f>SUMIFS('Historical Orders'!$G242, 'Historical Orders'!$D242, "3", 'Historical Orders'!$C242, "B", 'Historical Orders'!$B242, "1")</f>
        <v>0</v>
      </c>
      <c r="AB242" s="159">
        <f>SUMIFS('Historical Orders'!$E242, 'Historical Orders'!$D242, "3", 'Historical Orders'!$C242, "A", 'Historical Orders'!$B242, "2")</f>
        <v>0</v>
      </c>
      <c r="AC242" s="159">
        <f>SUMIFS('Historical Orders'!$G242, 'Historical Orders'!$D242, "3", 'Historical Orders'!$C242, "A", 'Historical Orders'!$B242, "2")</f>
        <v>0</v>
      </c>
      <c r="AD242" s="159">
        <f>SUMIFS('Historical Orders'!$E242, 'Historical Orders'!$D242, "3", 'Historical Orders'!$C242, "B", 'Historical Orders'!$B242, "2")</f>
        <v>0</v>
      </c>
      <c r="AE242" s="157">
        <f>SUMIFS('Historical Orders'!$G242, 'Historical Orders'!$D242, "3", 'Historical Orders'!$C242, "B", 'Historical Orders'!$B242, "2")</f>
        <v>0</v>
      </c>
      <c r="AF242" s="157">
        <f>SUMIFS('Historical Orders'!$E242, 'Historical Orders'!$D242, "4", 'Historical Orders'!$C242, "A", 'Historical Orders'!$B242, "1")</f>
        <v>0</v>
      </c>
      <c r="AG242" s="157">
        <f>SUMIFS('Historical Orders'!$G242, 'Historical Orders'!$D242, "4", 'Historical Orders'!$C242, "A", 'Historical Orders'!$B242, "1")</f>
        <v>0</v>
      </c>
      <c r="AH242" s="157">
        <f>SUMIFS('Historical Orders'!$E242, 'Historical Orders'!$D242, "4", 'Historical Orders'!$C242, "B", 'Historical Orders'!$B242, "1")</f>
        <v>0</v>
      </c>
      <c r="AI242" s="157">
        <f>SUMIFS('Historical Orders'!$G242, 'Historical Orders'!$D242, "4", 'Historical Orders'!$C242, "B", 'Historical Orders'!$B242, "1")</f>
        <v>0</v>
      </c>
      <c r="AJ242" s="157">
        <f>SUMIFS('Historical Orders'!$E242, 'Historical Orders'!$D242, "4", 'Historical Orders'!$C242, "A", 'Historical Orders'!$B242, "2")</f>
        <v>0</v>
      </c>
      <c r="AK242" s="157">
        <f>SUMIFS('Historical Orders'!$G242, 'Historical Orders'!$D242, "4", 'Historical Orders'!$C242, "A", 'Historical Orders'!$B242, "2")</f>
        <v>0</v>
      </c>
      <c r="AL242" s="171">
        <f>SUMIFS('Historical Orders'!$E242, 'Historical Orders'!$D242, "4", 'Historical Orders'!$C242, "B", 'Historical Orders'!$B242, "2")</f>
        <v>0</v>
      </c>
      <c r="AM242" s="171">
        <f>SUMIFS('Historical Orders'!$G242, 'Historical Orders'!$D242, "4", 'Historical Orders'!$C242, "B", 'Historical Orders'!$B242, "2")</f>
        <v>0</v>
      </c>
      <c r="AN242" s="171">
        <f>SUMIFS('Historical Orders'!$G242, 'Historical Orders'!$C242, "A", 'Historical Orders'!$B242, "1")</f>
        <v>11866.8</v>
      </c>
      <c r="AO242" s="171">
        <f>SUMIFS('Historical Orders'!$G242, 'Historical Orders'!$C242, "B", 'Historical Orders'!$B242, "1")</f>
        <v>0</v>
      </c>
      <c r="AP242" s="171">
        <f>SUMIFS('Historical Orders'!$G242, 'Historical Orders'!$C242, "A", 'Historical Orders'!$B242, "2")</f>
        <v>0</v>
      </c>
      <c r="AQ242" s="171">
        <f>SUMIFS('Historical Orders'!$G242, 'Historical Orders'!$C242, "B", 'Historical Orders'!$B242, "2")</f>
        <v>0</v>
      </c>
      <c r="AR242" s="145"/>
      <c r="AS242" s="172"/>
      <c r="AT242" s="172"/>
      <c r="AU242" s="172"/>
      <c r="AV242" s="172"/>
      <c r="AW242" s="172"/>
      <c r="AX242" s="172"/>
      <c r="AY242" s="172"/>
      <c r="AZ242" s="172"/>
      <c r="BA242" s="172"/>
      <c r="BB242" s="172"/>
      <c r="BC242" s="172"/>
      <c r="BD242" s="172"/>
      <c r="BE242" s="172"/>
      <c r="BF242" s="172"/>
      <c r="BG242" s="172"/>
      <c r="BH242" s="172"/>
      <c r="BI242" s="172"/>
      <c r="BJ242" s="172"/>
      <c r="BK242" s="172"/>
      <c r="BL242" s="172"/>
      <c r="BM242" s="172"/>
      <c r="BN242" s="172"/>
      <c r="BO242" s="172"/>
      <c r="BP242" s="172"/>
      <c r="BQ242" s="172"/>
      <c r="BR242" s="172"/>
      <c r="BS242" s="172"/>
      <c r="BT242" s="172"/>
      <c r="BU242" s="172"/>
      <c r="BV242" s="179"/>
      <c r="BW242" s="179"/>
      <c r="BX242" s="179"/>
      <c r="BY242" s="179"/>
      <c r="BZ242" s="179"/>
      <c r="CA242" s="179"/>
      <c r="CB242" s="179"/>
      <c r="CC242" s="179"/>
      <c r="CD242" s="179"/>
      <c r="CE242" s="179"/>
    </row>
    <row r="243" ht="15.75" customHeight="1">
      <c r="A243" s="151">
        <v>42135.0</v>
      </c>
      <c r="B243" s="152">
        <v>1.0</v>
      </c>
      <c r="C243" s="152" t="s">
        <v>45</v>
      </c>
      <c r="D243" s="152">
        <v>2.0</v>
      </c>
      <c r="E243" s="153">
        <v>6538.0</v>
      </c>
      <c r="F243" s="154">
        <v>1.2</v>
      </c>
      <c r="G243" s="155">
        <v>7845.599999999999</v>
      </c>
      <c r="H243" s="159">
        <f>SUMIFS('Historical Orders'!$E243, 'Historical Orders'!$D243, "1", 'Historical Orders'!$C243, "A", 'Historical Orders'!$B243, "1")</f>
        <v>0</v>
      </c>
      <c r="I243" s="157">
        <f>SUMIFS('Historical Orders'!$G243, 'Historical Orders'!$D243, "1", 'Historical Orders'!$C243, "A", 'Historical Orders'!$B243, "1")</f>
        <v>0</v>
      </c>
      <c r="J243" s="157">
        <f>SUMIFS('Historical Orders'!$E243, 'Historical Orders'!$D243, "1", 'Historical Orders'!$C243, "B", 'Historical Orders'!$B243, "1")</f>
        <v>0</v>
      </c>
      <c r="K243" s="157">
        <f>SUMIFS('Historical Orders'!$G243, 'Historical Orders'!$D243, "1", 'Historical Orders'!$C243, "B", 'Historical Orders'!$B243, "1")</f>
        <v>0</v>
      </c>
      <c r="L243" s="159">
        <f>SUMIFS('Historical Orders'!$E243, 'Historical Orders'!$D243, "1", 'Historical Orders'!$C243, "A", 'Historical Orders'!$B243, "2")</f>
        <v>0</v>
      </c>
      <c r="M243" s="157">
        <f>SUMIFS('Historical Orders'!$G243, 'Historical Orders'!$D243, "1", 'Historical Orders'!$C243, "A", 'Historical Orders'!$B243, "2")</f>
        <v>0</v>
      </c>
      <c r="N243" s="157">
        <f>SUMIFS('Historical Orders'!$E243, 'Historical Orders'!$D243, "1", 'Historical Orders'!$C243, "B", 'Historical Orders'!$B243, "2")</f>
        <v>0</v>
      </c>
      <c r="O243" s="157">
        <f>SUMIFS('Historical Orders'!$G243, 'Historical Orders'!$D243, "1", 'Historical Orders'!$C243, "B", 'Historical Orders'!$B243, "2")</f>
        <v>0</v>
      </c>
      <c r="P243" s="159">
        <f>SUMIFS('Historical Orders'!$E243, 'Historical Orders'!$D243, "2", 'Historical Orders'!$C243, "A", 'Historical Orders'!$B243, "1")</f>
        <v>6538</v>
      </c>
      <c r="Q243" s="157">
        <f>SUMIFS('Historical Orders'!$G243, 'Historical Orders'!$D243, "2", 'Historical Orders'!$C243, "A", 'Historical Orders'!$B243, "1")</f>
        <v>7845.6</v>
      </c>
      <c r="R243" s="159">
        <f>SUMIFS('Historical Orders'!$E243, 'Historical Orders'!$D243, "2", 'Historical Orders'!$C243, "B", 'Historical Orders'!$B243, "1")</f>
        <v>0</v>
      </c>
      <c r="S243" s="157">
        <f>SUMIFS('Historical Orders'!$G243, 'Historical Orders'!$D243, "2", 'Historical Orders'!$C243, "B", 'Historical Orders'!$B243, "1")</f>
        <v>0</v>
      </c>
      <c r="T243" s="159">
        <f>SUMIFS('Historical Orders'!$E243, 'Historical Orders'!$D243, "2", 'Historical Orders'!$C243, "A", 'Historical Orders'!$B243, "2")</f>
        <v>0</v>
      </c>
      <c r="U243" s="157">
        <f>SUMIFS('Historical Orders'!$G243, 'Historical Orders'!$D243, "2", 'Historical Orders'!$C243, "A", 'Historical Orders'!$B243, "2")</f>
        <v>0</v>
      </c>
      <c r="V243" s="159">
        <f>SUMIFS('Historical Orders'!$E243, 'Historical Orders'!$D243, "2", 'Historical Orders'!$C243, "B", 'Historical Orders'!$B243, "2")</f>
        <v>0</v>
      </c>
      <c r="W243" s="159">
        <f>SUMIFS('Historical Orders'!$G243, 'Historical Orders'!$D243, "2", 'Historical Orders'!$C243, "B", 'Historical Orders'!$B243, "2")</f>
        <v>0</v>
      </c>
      <c r="X243" s="159">
        <f>SUMIFS('Historical Orders'!$E243, 'Historical Orders'!$D243, "3", 'Historical Orders'!$C243, "A", 'Historical Orders'!$B243, "1")</f>
        <v>0</v>
      </c>
      <c r="Y243" s="159">
        <f>SUMIFS('Historical Orders'!$G243, 'Historical Orders'!$D243, "3", 'Historical Orders'!$C243, "A", 'Historical Orders'!$B243, "1")</f>
        <v>0</v>
      </c>
      <c r="Z243" s="159">
        <f>SUMIFS('Historical Orders'!$E243, 'Historical Orders'!$D243, "3", 'Historical Orders'!$C243, "B", 'Historical Orders'!$B243, "1")</f>
        <v>0</v>
      </c>
      <c r="AA243" s="159">
        <f>SUMIFS('Historical Orders'!$G243, 'Historical Orders'!$D243, "3", 'Historical Orders'!$C243, "B", 'Historical Orders'!$B243, "1")</f>
        <v>0</v>
      </c>
      <c r="AB243" s="159">
        <f>SUMIFS('Historical Orders'!$E243, 'Historical Orders'!$D243, "3", 'Historical Orders'!$C243, "A", 'Historical Orders'!$B243, "2")</f>
        <v>0</v>
      </c>
      <c r="AC243" s="159">
        <f>SUMIFS('Historical Orders'!$G243, 'Historical Orders'!$D243, "3", 'Historical Orders'!$C243, "A", 'Historical Orders'!$B243, "2")</f>
        <v>0</v>
      </c>
      <c r="AD243" s="159">
        <f>SUMIFS('Historical Orders'!$E243, 'Historical Orders'!$D243, "3", 'Historical Orders'!$C243, "B", 'Historical Orders'!$B243, "2")</f>
        <v>0</v>
      </c>
      <c r="AE243" s="157">
        <f>SUMIFS('Historical Orders'!$G243, 'Historical Orders'!$D243, "3", 'Historical Orders'!$C243, "B", 'Historical Orders'!$B243, "2")</f>
        <v>0</v>
      </c>
      <c r="AF243" s="157">
        <f>SUMIFS('Historical Orders'!$E243, 'Historical Orders'!$D243, "4", 'Historical Orders'!$C243, "A", 'Historical Orders'!$B243, "1")</f>
        <v>0</v>
      </c>
      <c r="AG243" s="157">
        <f>SUMIFS('Historical Orders'!$G243, 'Historical Orders'!$D243, "4", 'Historical Orders'!$C243, "A", 'Historical Orders'!$B243, "1")</f>
        <v>0</v>
      </c>
      <c r="AH243" s="157">
        <f>SUMIFS('Historical Orders'!$E243, 'Historical Orders'!$D243, "4", 'Historical Orders'!$C243, "B", 'Historical Orders'!$B243, "1")</f>
        <v>0</v>
      </c>
      <c r="AI243" s="157">
        <f>SUMIFS('Historical Orders'!$G243, 'Historical Orders'!$D243, "4", 'Historical Orders'!$C243, "B", 'Historical Orders'!$B243, "1")</f>
        <v>0</v>
      </c>
      <c r="AJ243" s="157">
        <f>SUMIFS('Historical Orders'!$E243, 'Historical Orders'!$D243, "4", 'Historical Orders'!$C243, "A", 'Historical Orders'!$B243, "2")</f>
        <v>0</v>
      </c>
      <c r="AK243" s="157">
        <f>SUMIFS('Historical Orders'!$G243, 'Historical Orders'!$D243, "4", 'Historical Orders'!$C243, "A", 'Historical Orders'!$B243, "2")</f>
        <v>0</v>
      </c>
      <c r="AL243" s="171">
        <f>SUMIFS('Historical Orders'!$E243, 'Historical Orders'!$D243, "4", 'Historical Orders'!$C243, "B", 'Historical Orders'!$B243, "2")</f>
        <v>0</v>
      </c>
      <c r="AM243" s="171">
        <f>SUMIFS('Historical Orders'!$G243, 'Historical Orders'!$D243, "4", 'Historical Orders'!$C243, "B", 'Historical Orders'!$B243, "2")</f>
        <v>0</v>
      </c>
      <c r="AN243" s="171">
        <f>SUMIFS('Historical Orders'!$G243, 'Historical Orders'!$C243, "A", 'Historical Orders'!$B243, "1")</f>
        <v>7845.6</v>
      </c>
      <c r="AO243" s="171">
        <f>SUMIFS('Historical Orders'!$G243, 'Historical Orders'!$C243, "B", 'Historical Orders'!$B243, "1")</f>
        <v>0</v>
      </c>
      <c r="AP243" s="171">
        <f>SUMIFS('Historical Orders'!$G243, 'Historical Orders'!$C243, "A", 'Historical Orders'!$B243, "2")</f>
        <v>0</v>
      </c>
      <c r="AQ243" s="171">
        <f>SUMIFS('Historical Orders'!$G243, 'Historical Orders'!$C243, "B", 'Historical Orders'!$B243, "2")</f>
        <v>0</v>
      </c>
      <c r="AR243" s="145"/>
      <c r="AS243" s="172"/>
      <c r="AT243" s="172"/>
      <c r="AU243" s="172"/>
      <c r="AV243" s="172"/>
      <c r="AW243" s="172"/>
      <c r="AX243" s="172"/>
      <c r="AY243" s="172"/>
      <c r="AZ243" s="172"/>
      <c r="BA243" s="172"/>
      <c r="BB243" s="172"/>
      <c r="BC243" s="172"/>
      <c r="BD243" s="172"/>
      <c r="BE243" s="172"/>
      <c r="BF243" s="172"/>
      <c r="BG243" s="172"/>
      <c r="BH243" s="172"/>
      <c r="BI243" s="172"/>
      <c r="BJ243" s="172"/>
      <c r="BK243" s="172"/>
      <c r="BL243" s="172"/>
      <c r="BM243" s="172"/>
      <c r="BN243" s="172"/>
      <c r="BO243" s="172"/>
      <c r="BP243" s="172"/>
      <c r="BQ243" s="172"/>
      <c r="BR243" s="172"/>
      <c r="BS243" s="172"/>
      <c r="BT243" s="172"/>
      <c r="BU243" s="172"/>
      <c r="BV243" s="179"/>
      <c r="BW243" s="179"/>
      <c r="BX243" s="179"/>
      <c r="BY243" s="179"/>
      <c r="BZ243" s="179"/>
      <c r="CA243" s="179"/>
      <c r="CB243" s="179"/>
      <c r="CC243" s="179"/>
      <c r="CD243" s="179"/>
      <c r="CE243" s="179"/>
    </row>
    <row r="244" ht="15.75" customHeight="1">
      <c r="A244" s="151">
        <v>42135.0</v>
      </c>
      <c r="B244" s="152">
        <v>2.0</v>
      </c>
      <c r="C244" s="152" t="s">
        <v>45</v>
      </c>
      <c r="D244" s="152">
        <v>1.0</v>
      </c>
      <c r="E244" s="153">
        <v>3944.0</v>
      </c>
      <c r="F244" s="154">
        <v>2.2</v>
      </c>
      <c r="G244" s="155">
        <v>8676.800000000001</v>
      </c>
      <c r="H244" s="159">
        <f>SUMIFS('Historical Orders'!$E244, 'Historical Orders'!$D244, "1", 'Historical Orders'!$C244, "A", 'Historical Orders'!$B244, "1")</f>
        <v>0</v>
      </c>
      <c r="I244" s="157">
        <f>SUMIFS('Historical Orders'!$G244, 'Historical Orders'!$D244, "1", 'Historical Orders'!$C244, "A", 'Historical Orders'!$B244, "1")</f>
        <v>0</v>
      </c>
      <c r="J244" s="157">
        <f>SUMIFS('Historical Orders'!$E244, 'Historical Orders'!$D244, "1", 'Historical Orders'!$C244, "B", 'Historical Orders'!$B244, "1")</f>
        <v>0</v>
      </c>
      <c r="K244" s="157">
        <f>SUMIFS('Historical Orders'!$G244, 'Historical Orders'!$D244, "1", 'Historical Orders'!$C244, "B", 'Historical Orders'!$B244, "1")</f>
        <v>0</v>
      </c>
      <c r="L244" s="159">
        <f>SUMIFS('Historical Orders'!$E244, 'Historical Orders'!$D244, "1", 'Historical Orders'!$C244, "A", 'Historical Orders'!$B244, "2")</f>
        <v>3944</v>
      </c>
      <c r="M244" s="157">
        <f>SUMIFS('Historical Orders'!$G244, 'Historical Orders'!$D244, "1", 'Historical Orders'!$C244, "A", 'Historical Orders'!$B244, "2")</f>
        <v>8676.8</v>
      </c>
      <c r="N244" s="157">
        <f>SUMIFS('Historical Orders'!$E244, 'Historical Orders'!$D244, "1", 'Historical Orders'!$C244, "B", 'Historical Orders'!$B244, "2")</f>
        <v>0</v>
      </c>
      <c r="O244" s="157">
        <f>SUMIFS('Historical Orders'!$G244, 'Historical Orders'!$D244, "1", 'Historical Orders'!$C244, "B", 'Historical Orders'!$B244, "2")</f>
        <v>0</v>
      </c>
      <c r="P244" s="159">
        <f>SUMIFS('Historical Orders'!$E244, 'Historical Orders'!$D244, "2", 'Historical Orders'!$C244, "A", 'Historical Orders'!$B244, "1")</f>
        <v>0</v>
      </c>
      <c r="Q244" s="157">
        <f>SUMIFS('Historical Orders'!$G244, 'Historical Orders'!$D244, "2", 'Historical Orders'!$C244, "A", 'Historical Orders'!$B244, "1")</f>
        <v>0</v>
      </c>
      <c r="R244" s="159">
        <f>SUMIFS('Historical Orders'!$E244, 'Historical Orders'!$D244, "2", 'Historical Orders'!$C244, "B", 'Historical Orders'!$B244, "1")</f>
        <v>0</v>
      </c>
      <c r="S244" s="157">
        <f>SUMIFS('Historical Orders'!$G244, 'Historical Orders'!$D244, "2", 'Historical Orders'!$C244, "B", 'Historical Orders'!$B244, "1")</f>
        <v>0</v>
      </c>
      <c r="T244" s="159">
        <f>SUMIFS('Historical Orders'!$E244, 'Historical Orders'!$D244, "2", 'Historical Orders'!$C244, "A", 'Historical Orders'!$B244, "2")</f>
        <v>0</v>
      </c>
      <c r="U244" s="157">
        <f>SUMIFS('Historical Orders'!$G244, 'Historical Orders'!$D244, "2", 'Historical Orders'!$C244, "A", 'Historical Orders'!$B244, "2")</f>
        <v>0</v>
      </c>
      <c r="V244" s="159">
        <f>SUMIFS('Historical Orders'!$E244, 'Historical Orders'!$D244, "2", 'Historical Orders'!$C244, "B", 'Historical Orders'!$B244, "2")</f>
        <v>0</v>
      </c>
      <c r="W244" s="159">
        <f>SUMIFS('Historical Orders'!$G244, 'Historical Orders'!$D244, "2", 'Historical Orders'!$C244, "B", 'Historical Orders'!$B244, "2")</f>
        <v>0</v>
      </c>
      <c r="X244" s="159">
        <f>SUMIFS('Historical Orders'!$E244, 'Historical Orders'!$D244, "3", 'Historical Orders'!$C244, "A", 'Historical Orders'!$B244, "1")</f>
        <v>0</v>
      </c>
      <c r="Y244" s="159">
        <f>SUMIFS('Historical Orders'!$G244, 'Historical Orders'!$D244, "3", 'Historical Orders'!$C244, "A", 'Historical Orders'!$B244, "1")</f>
        <v>0</v>
      </c>
      <c r="Z244" s="159">
        <f>SUMIFS('Historical Orders'!$E244, 'Historical Orders'!$D244, "3", 'Historical Orders'!$C244, "B", 'Historical Orders'!$B244, "1")</f>
        <v>0</v>
      </c>
      <c r="AA244" s="159">
        <f>SUMIFS('Historical Orders'!$G244, 'Historical Orders'!$D244, "3", 'Historical Orders'!$C244, "B", 'Historical Orders'!$B244, "1")</f>
        <v>0</v>
      </c>
      <c r="AB244" s="159">
        <f>SUMIFS('Historical Orders'!$E244, 'Historical Orders'!$D244, "3", 'Historical Orders'!$C244, "A", 'Historical Orders'!$B244, "2")</f>
        <v>0</v>
      </c>
      <c r="AC244" s="159">
        <f>SUMIFS('Historical Orders'!$G244, 'Historical Orders'!$D244, "3", 'Historical Orders'!$C244, "A", 'Historical Orders'!$B244, "2")</f>
        <v>0</v>
      </c>
      <c r="AD244" s="159">
        <f>SUMIFS('Historical Orders'!$E244, 'Historical Orders'!$D244, "3", 'Historical Orders'!$C244, "B", 'Historical Orders'!$B244, "2")</f>
        <v>0</v>
      </c>
      <c r="AE244" s="157">
        <f>SUMIFS('Historical Orders'!$G244, 'Historical Orders'!$D244, "3", 'Historical Orders'!$C244, "B", 'Historical Orders'!$B244, "2")</f>
        <v>0</v>
      </c>
      <c r="AF244" s="157">
        <f>SUMIFS('Historical Orders'!$E244, 'Historical Orders'!$D244, "4", 'Historical Orders'!$C244, "A", 'Historical Orders'!$B244, "1")</f>
        <v>0</v>
      </c>
      <c r="AG244" s="157">
        <f>SUMIFS('Historical Orders'!$G244, 'Historical Orders'!$D244, "4", 'Historical Orders'!$C244, "A", 'Historical Orders'!$B244, "1")</f>
        <v>0</v>
      </c>
      <c r="AH244" s="157">
        <f>SUMIFS('Historical Orders'!$E244, 'Historical Orders'!$D244, "4", 'Historical Orders'!$C244, "B", 'Historical Orders'!$B244, "1")</f>
        <v>0</v>
      </c>
      <c r="AI244" s="157">
        <f>SUMIFS('Historical Orders'!$G244, 'Historical Orders'!$D244, "4", 'Historical Orders'!$C244, "B", 'Historical Orders'!$B244, "1")</f>
        <v>0</v>
      </c>
      <c r="AJ244" s="157">
        <f>SUMIFS('Historical Orders'!$E244, 'Historical Orders'!$D244, "4", 'Historical Orders'!$C244, "A", 'Historical Orders'!$B244, "2")</f>
        <v>0</v>
      </c>
      <c r="AK244" s="157">
        <f>SUMIFS('Historical Orders'!$G244, 'Historical Orders'!$D244, "4", 'Historical Orders'!$C244, "A", 'Historical Orders'!$B244, "2")</f>
        <v>0</v>
      </c>
      <c r="AL244" s="171">
        <f>SUMIFS('Historical Orders'!$E244, 'Historical Orders'!$D244, "4", 'Historical Orders'!$C244, "B", 'Historical Orders'!$B244, "2")</f>
        <v>0</v>
      </c>
      <c r="AM244" s="171">
        <f>SUMIFS('Historical Orders'!$G244, 'Historical Orders'!$D244, "4", 'Historical Orders'!$C244, "B", 'Historical Orders'!$B244, "2")</f>
        <v>0</v>
      </c>
      <c r="AN244" s="171">
        <f>SUMIFS('Historical Orders'!$G244, 'Historical Orders'!$C244, "A", 'Historical Orders'!$B244, "1")</f>
        <v>0</v>
      </c>
      <c r="AO244" s="171">
        <f>SUMIFS('Historical Orders'!$G244, 'Historical Orders'!$C244, "B", 'Historical Orders'!$B244, "1")</f>
        <v>0</v>
      </c>
      <c r="AP244" s="171">
        <f>SUMIFS('Historical Orders'!$G244, 'Historical Orders'!$C244, "A", 'Historical Orders'!$B244, "2")</f>
        <v>8676.8</v>
      </c>
      <c r="AQ244" s="171">
        <f>SUMIFS('Historical Orders'!$G244, 'Historical Orders'!$C244, "B", 'Historical Orders'!$B244, "2")</f>
        <v>0</v>
      </c>
      <c r="AR244" s="145"/>
      <c r="AS244" s="172"/>
      <c r="AT244" s="172"/>
      <c r="AU244" s="172"/>
      <c r="AV244" s="172"/>
      <c r="AW244" s="172"/>
      <c r="AX244" s="172"/>
      <c r="AY244" s="172"/>
      <c r="AZ244" s="172"/>
      <c r="BA244" s="172"/>
      <c r="BB244" s="172"/>
      <c r="BC244" s="172"/>
      <c r="BD244" s="172"/>
      <c r="BE244" s="172"/>
      <c r="BF244" s="172"/>
      <c r="BG244" s="172"/>
      <c r="BH244" s="172"/>
      <c r="BI244" s="172"/>
      <c r="BJ244" s="172"/>
      <c r="BK244" s="172"/>
      <c r="BL244" s="172"/>
      <c r="BM244" s="172"/>
      <c r="BN244" s="172"/>
      <c r="BO244" s="172"/>
      <c r="BP244" s="172"/>
      <c r="BQ244" s="172"/>
      <c r="BR244" s="172"/>
      <c r="BS244" s="172"/>
      <c r="BT244" s="172"/>
      <c r="BU244" s="172"/>
      <c r="BV244" s="179"/>
      <c r="BW244" s="179"/>
      <c r="BX244" s="179"/>
      <c r="BY244" s="179"/>
      <c r="BZ244" s="179"/>
      <c r="CA244" s="179"/>
      <c r="CB244" s="179"/>
      <c r="CC244" s="179"/>
      <c r="CD244" s="179"/>
      <c r="CE244" s="179"/>
    </row>
    <row r="245" ht="15.75" customHeight="1">
      <c r="A245" s="151">
        <v>42135.0</v>
      </c>
      <c r="B245" s="152">
        <v>2.0</v>
      </c>
      <c r="C245" s="152" t="s">
        <v>45</v>
      </c>
      <c r="D245" s="152">
        <v>2.0</v>
      </c>
      <c r="E245" s="153">
        <v>7169.0</v>
      </c>
      <c r="F245" s="154">
        <v>1.2</v>
      </c>
      <c r="G245" s="155">
        <v>8602.8</v>
      </c>
      <c r="H245" s="159">
        <f>SUMIFS('Historical Orders'!$E245, 'Historical Orders'!$D245, "1", 'Historical Orders'!$C245, "A", 'Historical Orders'!$B245, "1")</f>
        <v>0</v>
      </c>
      <c r="I245" s="157">
        <f>SUMIFS('Historical Orders'!$G245, 'Historical Orders'!$D245, "1", 'Historical Orders'!$C245, "A", 'Historical Orders'!$B245, "1")</f>
        <v>0</v>
      </c>
      <c r="J245" s="157">
        <f>SUMIFS('Historical Orders'!$E245, 'Historical Orders'!$D245, "1", 'Historical Orders'!$C245, "B", 'Historical Orders'!$B245, "1")</f>
        <v>0</v>
      </c>
      <c r="K245" s="157">
        <f>SUMIFS('Historical Orders'!$G245, 'Historical Orders'!$D245, "1", 'Historical Orders'!$C245, "B", 'Historical Orders'!$B245, "1")</f>
        <v>0</v>
      </c>
      <c r="L245" s="159">
        <f>SUMIFS('Historical Orders'!$E245, 'Historical Orders'!$D245, "1", 'Historical Orders'!$C245, "A", 'Historical Orders'!$B245, "2")</f>
        <v>0</v>
      </c>
      <c r="M245" s="157">
        <f>SUMIFS('Historical Orders'!$G245, 'Historical Orders'!$D245, "1", 'Historical Orders'!$C245, "A", 'Historical Orders'!$B245, "2")</f>
        <v>0</v>
      </c>
      <c r="N245" s="157">
        <f>SUMIFS('Historical Orders'!$E245, 'Historical Orders'!$D245, "1", 'Historical Orders'!$C245, "B", 'Historical Orders'!$B245, "2")</f>
        <v>0</v>
      </c>
      <c r="O245" s="157">
        <f>SUMIFS('Historical Orders'!$G245, 'Historical Orders'!$D245, "1", 'Historical Orders'!$C245, "B", 'Historical Orders'!$B245, "2")</f>
        <v>0</v>
      </c>
      <c r="P245" s="159">
        <f>SUMIFS('Historical Orders'!$E245, 'Historical Orders'!$D245, "2", 'Historical Orders'!$C245, "A", 'Historical Orders'!$B245, "1")</f>
        <v>0</v>
      </c>
      <c r="Q245" s="157">
        <f>SUMIFS('Historical Orders'!$G245, 'Historical Orders'!$D245, "2", 'Historical Orders'!$C245, "A", 'Historical Orders'!$B245, "1")</f>
        <v>0</v>
      </c>
      <c r="R245" s="159">
        <f>SUMIFS('Historical Orders'!$E245, 'Historical Orders'!$D245, "2", 'Historical Orders'!$C245, "B", 'Historical Orders'!$B245, "1")</f>
        <v>0</v>
      </c>
      <c r="S245" s="157">
        <f>SUMIFS('Historical Orders'!$G245, 'Historical Orders'!$D245, "2", 'Historical Orders'!$C245, "B", 'Historical Orders'!$B245, "1")</f>
        <v>0</v>
      </c>
      <c r="T245" s="159">
        <f>SUMIFS('Historical Orders'!$E245, 'Historical Orders'!$D245, "2", 'Historical Orders'!$C245, "A", 'Historical Orders'!$B245, "2")</f>
        <v>7169</v>
      </c>
      <c r="U245" s="157">
        <f>SUMIFS('Historical Orders'!$G245, 'Historical Orders'!$D245, "2", 'Historical Orders'!$C245, "A", 'Historical Orders'!$B245, "2")</f>
        <v>8602.8</v>
      </c>
      <c r="V245" s="159">
        <f>SUMIFS('Historical Orders'!$E245, 'Historical Orders'!$D245, "2", 'Historical Orders'!$C245, "B", 'Historical Orders'!$B245, "2")</f>
        <v>0</v>
      </c>
      <c r="W245" s="159">
        <f>SUMIFS('Historical Orders'!$G245, 'Historical Orders'!$D245, "2", 'Historical Orders'!$C245, "B", 'Historical Orders'!$B245, "2")</f>
        <v>0</v>
      </c>
      <c r="X245" s="159">
        <f>SUMIFS('Historical Orders'!$E245, 'Historical Orders'!$D245, "3", 'Historical Orders'!$C245, "A", 'Historical Orders'!$B245, "1")</f>
        <v>0</v>
      </c>
      <c r="Y245" s="159">
        <f>SUMIFS('Historical Orders'!$G245, 'Historical Orders'!$D245, "3", 'Historical Orders'!$C245, "A", 'Historical Orders'!$B245, "1")</f>
        <v>0</v>
      </c>
      <c r="Z245" s="159">
        <f>SUMIFS('Historical Orders'!$E245, 'Historical Orders'!$D245, "3", 'Historical Orders'!$C245, "B", 'Historical Orders'!$B245, "1")</f>
        <v>0</v>
      </c>
      <c r="AA245" s="159">
        <f>SUMIFS('Historical Orders'!$G245, 'Historical Orders'!$D245, "3", 'Historical Orders'!$C245, "B", 'Historical Orders'!$B245, "1")</f>
        <v>0</v>
      </c>
      <c r="AB245" s="159">
        <f>SUMIFS('Historical Orders'!$E245, 'Historical Orders'!$D245, "3", 'Historical Orders'!$C245, "A", 'Historical Orders'!$B245, "2")</f>
        <v>0</v>
      </c>
      <c r="AC245" s="159">
        <f>SUMIFS('Historical Orders'!$G245, 'Historical Orders'!$D245, "3", 'Historical Orders'!$C245, "A", 'Historical Orders'!$B245, "2")</f>
        <v>0</v>
      </c>
      <c r="AD245" s="159">
        <f>SUMIFS('Historical Orders'!$E245, 'Historical Orders'!$D245, "3", 'Historical Orders'!$C245, "B", 'Historical Orders'!$B245, "2")</f>
        <v>0</v>
      </c>
      <c r="AE245" s="157">
        <f>SUMIFS('Historical Orders'!$G245, 'Historical Orders'!$D245, "3", 'Historical Orders'!$C245, "B", 'Historical Orders'!$B245, "2")</f>
        <v>0</v>
      </c>
      <c r="AF245" s="157">
        <f>SUMIFS('Historical Orders'!$E245, 'Historical Orders'!$D245, "4", 'Historical Orders'!$C245, "A", 'Historical Orders'!$B245, "1")</f>
        <v>0</v>
      </c>
      <c r="AG245" s="157">
        <f>SUMIFS('Historical Orders'!$G245, 'Historical Orders'!$D245, "4", 'Historical Orders'!$C245, "A", 'Historical Orders'!$B245, "1")</f>
        <v>0</v>
      </c>
      <c r="AH245" s="157">
        <f>SUMIFS('Historical Orders'!$E245, 'Historical Orders'!$D245, "4", 'Historical Orders'!$C245, "B", 'Historical Orders'!$B245, "1")</f>
        <v>0</v>
      </c>
      <c r="AI245" s="157">
        <f>SUMIFS('Historical Orders'!$G245, 'Historical Orders'!$D245, "4", 'Historical Orders'!$C245, "B", 'Historical Orders'!$B245, "1")</f>
        <v>0</v>
      </c>
      <c r="AJ245" s="157">
        <f>SUMIFS('Historical Orders'!$E245, 'Historical Orders'!$D245, "4", 'Historical Orders'!$C245, "A", 'Historical Orders'!$B245, "2")</f>
        <v>0</v>
      </c>
      <c r="AK245" s="157">
        <f>SUMIFS('Historical Orders'!$G245, 'Historical Orders'!$D245, "4", 'Historical Orders'!$C245, "A", 'Historical Orders'!$B245, "2")</f>
        <v>0</v>
      </c>
      <c r="AL245" s="171">
        <f>SUMIFS('Historical Orders'!$E245, 'Historical Orders'!$D245, "4", 'Historical Orders'!$C245, "B", 'Historical Orders'!$B245, "2")</f>
        <v>0</v>
      </c>
      <c r="AM245" s="171">
        <f>SUMIFS('Historical Orders'!$G245, 'Historical Orders'!$D245, "4", 'Historical Orders'!$C245, "B", 'Historical Orders'!$B245, "2")</f>
        <v>0</v>
      </c>
      <c r="AN245" s="171">
        <f>SUMIFS('Historical Orders'!$G245, 'Historical Orders'!$C245, "A", 'Historical Orders'!$B245, "1")</f>
        <v>0</v>
      </c>
      <c r="AO245" s="171">
        <f>SUMIFS('Historical Orders'!$G245, 'Historical Orders'!$C245, "B", 'Historical Orders'!$B245, "1")</f>
        <v>0</v>
      </c>
      <c r="AP245" s="171">
        <f>SUMIFS('Historical Orders'!$G245, 'Historical Orders'!$C245, "A", 'Historical Orders'!$B245, "2")</f>
        <v>8602.8</v>
      </c>
      <c r="AQ245" s="171">
        <f>SUMIFS('Historical Orders'!$G245, 'Historical Orders'!$C245, "B", 'Historical Orders'!$B245, "2")</f>
        <v>0</v>
      </c>
      <c r="AR245" s="145"/>
      <c r="AS245" s="172"/>
      <c r="AT245" s="172"/>
      <c r="AU245" s="172"/>
      <c r="AV245" s="172"/>
      <c r="AW245" s="172"/>
      <c r="AX245" s="172"/>
      <c r="AY245" s="172"/>
      <c r="AZ245" s="172"/>
      <c r="BA245" s="172"/>
      <c r="BB245" s="172"/>
      <c r="BC245" s="172"/>
      <c r="BD245" s="172"/>
      <c r="BE245" s="172"/>
      <c r="BF245" s="172"/>
      <c r="BG245" s="172"/>
      <c r="BH245" s="172"/>
      <c r="BI245" s="172"/>
      <c r="BJ245" s="172"/>
      <c r="BK245" s="172"/>
      <c r="BL245" s="172"/>
      <c r="BM245" s="172"/>
      <c r="BN245" s="172"/>
      <c r="BO245" s="172"/>
      <c r="BP245" s="172"/>
      <c r="BQ245" s="172"/>
      <c r="BR245" s="172"/>
      <c r="BS245" s="172"/>
      <c r="BT245" s="172"/>
      <c r="BU245" s="172"/>
      <c r="BV245" s="179"/>
      <c r="BW245" s="179"/>
      <c r="BX245" s="179"/>
      <c r="BY245" s="179"/>
      <c r="BZ245" s="179"/>
      <c r="CA245" s="179"/>
      <c r="CB245" s="179"/>
      <c r="CC245" s="179"/>
      <c r="CD245" s="179"/>
      <c r="CE245" s="179"/>
    </row>
    <row r="246" ht="15.75" customHeight="1">
      <c r="A246" s="151">
        <v>42135.0</v>
      </c>
      <c r="B246" s="152">
        <v>1.0</v>
      </c>
      <c r="C246" s="152" t="s">
        <v>46</v>
      </c>
      <c r="D246" s="152">
        <v>3.0</v>
      </c>
      <c r="E246" s="153">
        <v>2442.0</v>
      </c>
      <c r="F246" s="154">
        <v>8.3</v>
      </c>
      <c r="G246" s="155">
        <v>20268.600000000002</v>
      </c>
      <c r="H246" s="159">
        <f>SUMIFS('Historical Orders'!$E246, 'Historical Orders'!$D246, "1", 'Historical Orders'!$C246, "A", 'Historical Orders'!$B246, "1")</f>
        <v>0</v>
      </c>
      <c r="I246" s="157">
        <f>SUMIFS('Historical Orders'!$G246, 'Historical Orders'!$D246, "1", 'Historical Orders'!$C246, "A", 'Historical Orders'!$B246, "1")</f>
        <v>0</v>
      </c>
      <c r="J246" s="157">
        <f>SUMIFS('Historical Orders'!$E246, 'Historical Orders'!$D246, "1", 'Historical Orders'!$C246, "B", 'Historical Orders'!$B246, "1")</f>
        <v>0</v>
      </c>
      <c r="K246" s="157">
        <f>SUMIFS('Historical Orders'!$G246, 'Historical Orders'!$D246, "1", 'Historical Orders'!$C246, "B", 'Historical Orders'!$B246, "1")</f>
        <v>0</v>
      </c>
      <c r="L246" s="159">
        <f>SUMIFS('Historical Orders'!$E246, 'Historical Orders'!$D246, "1", 'Historical Orders'!$C246, "A", 'Historical Orders'!$B246, "2")</f>
        <v>0</v>
      </c>
      <c r="M246" s="157">
        <f>SUMIFS('Historical Orders'!$G246, 'Historical Orders'!$D246, "1", 'Historical Orders'!$C246, "A", 'Historical Orders'!$B246, "2")</f>
        <v>0</v>
      </c>
      <c r="N246" s="157">
        <f>SUMIFS('Historical Orders'!$E246, 'Historical Orders'!$D246, "1", 'Historical Orders'!$C246, "B", 'Historical Orders'!$B246, "2")</f>
        <v>0</v>
      </c>
      <c r="O246" s="157">
        <f>SUMIFS('Historical Orders'!$G246, 'Historical Orders'!$D246, "1", 'Historical Orders'!$C246, "B", 'Historical Orders'!$B246, "2")</f>
        <v>0</v>
      </c>
      <c r="P246" s="159">
        <f>SUMIFS('Historical Orders'!$E246, 'Historical Orders'!$D246, "2", 'Historical Orders'!$C246, "A", 'Historical Orders'!$B246, "1")</f>
        <v>0</v>
      </c>
      <c r="Q246" s="157">
        <f>SUMIFS('Historical Orders'!$G246, 'Historical Orders'!$D246, "2", 'Historical Orders'!$C246, "A", 'Historical Orders'!$B246, "1")</f>
        <v>0</v>
      </c>
      <c r="R246" s="159">
        <f>SUMIFS('Historical Orders'!$E246, 'Historical Orders'!$D246, "2", 'Historical Orders'!$C246, "B", 'Historical Orders'!$B246, "1")</f>
        <v>0</v>
      </c>
      <c r="S246" s="157">
        <f>SUMIFS('Historical Orders'!$G246, 'Historical Orders'!$D246, "2", 'Historical Orders'!$C246, "B", 'Historical Orders'!$B246, "1")</f>
        <v>0</v>
      </c>
      <c r="T246" s="159">
        <f>SUMIFS('Historical Orders'!$E246, 'Historical Orders'!$D246, "2", 'Historical Orders'!$C246, "A", 'Historical Orders'!$B246, "2")</f>
        <v>0</v>
      </c>
      <c r="U246" s="157">
        <f>SUMIFS('Historical Orders'!$G246, 'Historical Orders'!$D246, "2", 'Historical Orders'!$C246, "A", 'Historical Orders'!$B246, "2")</f>
        <v>0</v>
      </c>
      <c r="V246" s="159">
        <f>SUMIFS('Historical Orders'!$E246, 'Historical Orders'!$D246, "2", 'Historical Orders'!$C246, "B", 'Historical Orders'!$B246, "2")</f>
        <v>0</v>
      </c>
      <c r="W246" s="159">
        <f>SUMIFS('Historical Orders'!$G246, 'Historical Orders'!$D246, "2", 'Historical Orders'!$C246, "B", 'Historical Orders'!$B246, "2")</f>
        <v>0</v>
      </c>
      <c r="X246" s="159">
        <f>SUMIFS('Historical Orders'!$E246, 'Historical Orders'!$D246, "3", 'Historical Orders'!$C246, "A", 'Historical Orders'!$B246, "1")</f>
        <v>0</v>
      </c>
      <c r="Y246" s="159">
        <f>SUMIFS('Historical Orders'!$G246, 'Historical Orders'!$D246, "3", 'Historical Orders'!$C246, "A", 'Historical Orders'!$B246, "1")</f>
        <v>0</v>
      </c>
      <c r="Z246" s="159">
        <f>SUMIFS('Historical Orders'!$E246, 'Historical Orders'!$D246, "3", 'Historical Orders'!$C246, "B", 'Historical Orders'!$B246, "1")</f>
        <v>2442</v>
      </c>
      <c r="AA246" s="159">
        <f>SUMIFS('Historical Orders'!$G246, 'Historical Orders'!$D246, "3", 'Historical Orders'!$C246, "B", 'Historical Orders'!$B246, "1")</f>
        <v>20268.6</v>
      </c>
      <c r="AB246" s="159">
        <f>SUMIFS('Historical Orders'!$E246, 'Historical Orders'!$D246, "3", 'Historical Orders'!$C246, "A", 'Historical Orders'!$B246, "2")</f>
        <v>0</v>
      </c>
      <c r="AC246" s="159">
        <f>SUMIFS('Historical Orders'!$G246, 'Historical Orders'!$D246, "3", 'Historical Orders'!$C246, "A", 'Historical Orders'!$B246, "2")</f>
        <v>0</v>
      </c>
      <c r="AD246" s="159">
        <f>SUMIFS('Historical Orders'!$E246, 'Historical Orders'!$D246, "3", 'Historical Orders'!$C246, "B", 'Historical Orders'!$B246, "2")</f>
        <v>0</v>
      </c>
      <c r="AE246" s="157">
        <f>SUMIFS('Historical Orders'!$G246, 'Historical Orders'!$D246, "3", 'Historical Orders'!$C246, "B", 'Historical Orders'!$B246, "2")</f>
        <v>0</v>
      </c>
      <c r="AF246" s="157">
        <f>SUMIFS('Historical Orders'!$E246, 'Historical Orders'!$D246, "4", 'Historical Orders'!$C246, "A", 'Historical Orders'!$B246, "1")</f>
        <v>0</v>
      </c>
      <c r="AG246" s="157">
        <f>SUMIFS('Historical Orders'!$G246, 'Historical Orders'!$D246, "4", 'Historical Orders'!$C246, "A", 'Historical Orders'!$B246, "1")</f>
        <v>0</v>
      </c>
      <c r="AH246" s="157">
        <f>SUMIFS('Historical Orders'!$E246, 'Historical Orders'!$D246, "4", 'Historical Orders'!$C246, "B", 'Historical Orders'!$B246, "1")</f>
        <v>0</v>
      </c>
      <c r="AI246" s="157">
        <f>SUMIFS('Historical Orders'!$G246, 'Historical Orders'!$D246, "4", 'Historical Orders'!$C246, "B", 'Historical Orders'!$B246, "1")</f>
        <v>0</v>
      </c>
      <c r="AJ246" s="157">
        <f>SUMIFS('Historical Orders'!$E246, 'Historical Orders'!$D246, "4", 'Historical Orders'!$C246, "A", 'Historical Orders'!$B246, "2")</f>
        <v>0</v>
      </c>
      <c r="AK246" s="157">
        <f>SUMIFS('Historical Orders'!$G246, 'Historical Orders'!$D246, "4", 'Historical Orders'!$C246, "A", 'Historical Orders'!$B246, "2")</f>
        <v>0</v>
      </c>
      <c r="AL246" s="171">
        <f>SUMIFS('Historical Orders'!$E246, 'Historical Orders'!$D246, "4", 'Historical Orders'!$C246, "B", 'Historical Orders'!$B246, "2")</f>
        <v>0</v>
      </c>
      <c r="AM246" s="171">
        <f>SUMIFS('Historical Orders'!$G246, 'Historical Orders'!$D246, "4", 'Historical Orders'!$C246, "B", 'Historical Orders'!$B246, "2")</f>
        <v>0</v>
      </c>
      <c r="AN246" s="171">
        <f>SUMIFS('Historical Orders'!$G246, 'Historical Orders'!$C246, "A", 'Historical Orders'!$B246, "1")</f>
        <v>0</v>
      </c>
      <c r="AO246" s="171">
        <f>SUMIFS('Historical Orders'!$G246, 'Historical Orders'!$C246, "B", 'Historical Orders'!$B246, "1")</f>
        <v>20268.6</v>
      </c>
      <c r="AP246" s="171">
        <f>SUMIFS('Historical Orders'!$G246, 'Historical Orders'!$C246, "A", 'Historical Orders'!$B246, "2")</f>
        <v>0</v>
      </c>
      <c r="AQ246" s="171">
        <f>SUMIFS('Historical Orders'!$G246, 'Historical Orders'!$C246, "B", 'Historical Orders'!$B246, "2")</f>
        <v>0</v>
      </c>
      <c r="AR246" s="145"/>
      <c r="AS246" s="172"/>
      <c r="AT246" s="172"/>
      <c r="AU246" s="172"/>
      <c r="AV246" s="172"/>
      <c r="AW246" s="172"/>
      <c r="AX246" s="172"/>
      <c r="AY246" s="172"/>
      <c r="AZ246" s="172"/>
      <c r="BA246" s="172"/>
      <c r="BB246" s="172"/>
      <c r="BC246" s="172"/>
      <c r="BD246" s="172"/>
      <c r="BE246" s="172"/>
      <c r="BF246" s="172"/>
      <c r="BG246" s="172"/>
      <c r="BH246" s="172"/>
      <c r="BI246" s="172"/>
      <c r="BJ246" s="172"/>
      <c r="BK246" s="172"/>
      <c r="BL246" s="172"/>
      <c r="BM246" s="172"/>
      <c r="BN246" s="172"/>
      <c r="BO246" s="172"/>
      <c r="BP246" s="172"/>
      <c r="BQ246" s="172"/>
      <c r="BR246" s="172"/>
      <c r="BS246" s="172"/>
      <c r="BT246" s="172"/>
      <c r="BU246" s="172"/>
      <c r="BV246" s="179"/>
      <c r="BW246" s="179"/>
      <c r="BX246" s="179"/>
      <c r="BY246" s="179"/>
      <c r="BZ246" s="179"/>
      <c r="CA246" s="179"/>
      <c r="CB246" s="179"/>
      <c r="CC246" s="179"/>
      <c r="CD246" s="179"/>
      <c r="CE246" s="179"/>
    </row>
    <row r="247" ht="15.75" customHeight="1">
      <c r="A247" s="151">
        <v>42135.0</v>
      </c>
      <c r="B247" s="152">
        <v>2.0</v>
      </c>
      <c r="C247" s="152" t="s">
        <v>46</v>
      </c>
      <c r="D247" s="152">
        <v>3.0</v>
      </c>
      <c r="E247" s="153">
        <v>3071.0</v>
      </c>
      <c r="F247" s="154">
        <v>8.3</v>
      </c>
      <c r="G247" s="155">
        <v>25489.300000000003</v>
      </c>
      <c r="H247" s="159">
        <f>SUMIFS('Historical Orders'!$E247, 'Historical Orders'!$D247, "1", 'Historical Orders'!$C247, "A", 'Historical Orders'!$B247, "1")</f>
        <v>0</v>
      </c>
      <c r="I247" s="157">
        <f>SUMIFS('Historical Orders'!$G247, 'Historical Orders'!$D247, "1", 'Historical Orders'!$C247, "A", 'Historical Orders'!$B247, "1")</f>
        <v>0</v>
      </c>
      <c r="J247" s="157">
        <f>SUMIFS('Historical Orders'!$E247, 'Historical Orders'!$D247, "1", 'Historical Orders'!$C247, "B", 'Historical Orders'!$B247, "1")</f>
        <v>0</v>
      </c>
      <c r="K247" s="157">
        <f>SUMIFS('Historical Orders'!$G247, 'Historical Orders'!$D247, "1", 'Historical Orders'!$C247, "B", 'Historical Orders'!$B247, "1")</f>
        <v>0</v>
      </c>
      <c r="L247" s="159">
        <f>SUMIFS('Historical Orders'!$E247, 'Historical Orders'!$D247, "1", 'Historical Orders'!$C247, "A", 'Historical Orders'!$B247, "2")</f>
        <v>0</v>
      </c>
      <c r="M247" s="157">
        <f>SUMIFS('Historical Orders'!$G247, 'Historical Orders'!$D247, "1", 'Historical Orders'!$C247, "A", 'Historical Orders'!$B247, "2")</f>
        <v>0</v>
      </c>
      <c r="N247" s="157">
        <f>SUMIFS('Historical Orders'!$E247, 'Historical Orders'!$D247, "1", 'Historical Orders'!$C247, "B", 'Historical Orders'!$B247, "2")</f>
        <v>0</v>
      </c>
      <c r="O247" s="157">
        <f>SUMIFS('Historical Orders'!$G247, 'Historical Orders'!$D247, "1", 'Historical Orders'!$C247, "B", 'Historical Orders'!$B247, "2")</f>
        <v>0</v>
      </c>
      <c r="P247" s="159">
        <f>SUMIFS('Historical Orders'!$E247, 'Historical Orders'!$D247, "2", 'Historical Orders'!$C247, "A", 'Historical Orders'!$B247, "1")</f>
        <v>0</v>
      </c>
      <c r="Q247" s="157">
        <f>SUMIFS('Historical Orders'!$G247, 'Historical Orders'!$D247, "2", 'Historical Orders'!$C247, "A", 'Historical Orders'!$B247, "1")</f>
        <v>0</v>
      </c>
      <c r="R247" s="159">
        <f>SUMIFS('Historical Orders'!$E247, 'Historical Orders'!$D247, "2", 'Historical Orders'!$C247, "B", 'Historical Orders'!$B247, "1")</f>
        <v>0</v>
      </c>
      <c r="S247" s="157">
        <f>SUMIFS('Historical Orders'!$G247, 'Historical Orders'!$D247, "2", 'Historical Orders'!$C247, "B", 'Historical Orders'!$B247, "1")</f>
        <v>0</v>
      </c>
      <c r="T247" s="159">
        <f>SUMIFS('Historical Orders'!$E247, 'Historical Orders'!$D247, "2", 'Historical Orders'!$C247, "A", 'Historical Orders'!$B247, "2")</f>
        <v>0</v>
      </c>
      <c r="U247" s="157">
        <f>SUMIFS('Historical Orders'!$G247, 'Historical Orders'!$D247, "2", 'Historical Orders'!$C247, "A", 'Historical Orders'!$B247, "2")</f>
        <v>0</v>
      </c>
      <c r="V247" s="159">
        <f>SUMIFS('Historical Orders'!$E247, 'Historical Orders'!$D247, "2", 'Historical Orders'!$C247, "B", 'Historical Orders'!$B247, "2")</f>
        <v>0</v>
      </c>
      <c r="W247" s="159">
        <f>SUMIFS('Historical Orders'!$G247, 'Historical Orders'!$D247, "2", 'Historical Orders'!$C247, "B", 'Historical Orders'!$B247, "2")</f>
        <v>0</v>
      </c>
      <c r="X247" s="159">
        <f>SUMIFS('Historical Orders'!$E247, 'Historical Orders'!$D247, "3", 'Historical Orders'!$C247, "A", 'Historical Orders'!$B247, "1")</f>
        <v>0</v>
      </c>
      <c r="Y247" s="159">
        <f>SUMIFS('Historical Orders'!$G247, 'Historical Orders'!$D247, "3", 'Historical Orders'!$C247, "A", 'Historical Orders'!$B247, "1")</f>
        <v>0</v>
      </c>
      <c r="Z247" s="159">
        <f>SUMIFS('Historical Orders'!$E247, 'Historical Orders'!$D247, "3", 'Historical Orders'!$C247, "B", 'Historical Orders'!$B247, "1")</f>
        <v>0</v>
      </c>
      <c r="AA247" s="159">
        <f>SUMIFS('Historical Orders'!$G247, 'Historical Orders'!$D247, "3", 'Historical Orders'!$C247, "B", 'Historical Orders'!$B247, "1")</f>
        <v>0</v>
      </c>
      <c r="AB247" s="159">
        <f>SUMIFS('Historical Orders'!$E247, 'Historical Orders'!$D247, "3", 'Historical Orders'!$C247, "A", 'Historical Orders'!$B247, "2")</f>
        <v>0</v>
      </c>
      <c r="AC247" s="159">
        <f>SUMIFS('Historical Orders'!$G247, 'Historical Orders'!$D247, "3", 'Historical Orders'!$C247, "A", 'Historical Orders'!$B247, "2")</f>
        <v>0</v>
      </c>
      <c r="AD247" s="159">
        <f>SUMIFS('Historical Orders'!$E247, 'Historical Orders'!$D247, "3", 'Historical Orders'!$C247, "B", 'Historical Orders'!$B247, "2")</f>
        <v>3071</v>
      </c>
      <c r="AE247" s="157">
        <f>SUMIFS('Historical Orders'!$G247, 'Historical Orders'!$D247, "3", 'Historical Orders'!$C247, "B", 'Historical Orders'!$B247, "2")</f>
        <v>25489.3</v>
      </c>
      <c r="AF247" s="157">
        <f>SUMIFS('Historical Orders'!$E247, 'Historical Orders'!$D247, "4", 'Historical Orders'!$C247, "A", 'Historical Orders'!$B247, "1")</f>
        <v>0</v>
      </c>
      <c r="AG247" s="157">
        <f>SUMIFS('Historical Orders'!$G247, 'Historical Orders'!$D247, "4", 'Historical Orders'!$C247, "A", 'Historical Orders'!$B247, "1")</f>
        <v>0</v>
      </c>
      <c r="AH247" s="157">
        <f>SUMIFS('Historical Orders'!$E247, 'Historical Orders'!$D247, "4", 'Historical Orders'!$C247, "B", 'Historical Orders'!$B247, "1")</f>
        <v>0</v>
      </c>
      <c r="AI247" s="157">
        <f>SUMIFS('Historical Orders'!$G247, 'Historical Orders'!$D247, "4", 'Historical Orders'!$C247, "B", 'Historical Orders'!$B247, "1")</f>
        <v>0</v>
      </c>
      <c r="AJ247" s="157">
        <f>SUMIFS('Historical Orders'!$E247, 'Historical Orders'!$D247, "4", 'Historical Orders'!$C247, "A", 'Historical Orders'!$B247, "2")</f>
        <v>0</v>
      </c>
      <c r="AK247" s="157">
        <f>SUMIFS('Historical Orders'!$G247, 'Historical Orders'!$D247, "4", 'Historical Orders'!$C247, "A", 'Historical Orders'!$B247, "2")</f>
        <v>0</v>
      </c>
      <c r="AL247" s="171">
        <f>SUMIFS('Historical Orders'!$E247, 'Historical Orders'!$D247, "4", 'Historical Orders'!$C247, "B", 'Historical Orders'!$B247, "2")</f>
        <v>0</v>
      </c>
      <c r="AM247" s="171">
        <f>SUMIFS('Historical Orders'!$G247, 'Historical Orders'!$D247, "4", 'Historical Orders'!$C247, "B", 'Historical Orders'!$B247, "2")</f>
        <v>0</v>
      </c>
      <c r="AN247" s="171">
        <f>SUMIFS('Historical Orders'!$G247, 'Historical Orders'!$C247, "A", 'Historical Orders'!$B247, "1")</f>
        <v>0</v>
      </c>
      <c r="AO247" s="171">
        <f>SUMIFS('Historical Orders'!$G247, 'Historical Orders'!$C247, "B", 'Historical Orders'!$B247, "1")</f>
        <v>0</v>
      </c>
      <c r="AP247" s="171">
        <f>SUMIFS('Historical Orders'!$G247, 'Historical Orders'!$C247, "A", 'Historical Orders'!$B247, "2")</f>
        <v>0</v>
      </c>
      <c r="AQ247" s="171">
        <f>SUMIFS('Historical Orders'!$G247, 'Historical Orders'!$C247, "B", 'Historical Orders'!$B247, "2")</f>
        <v>25489.3</v>
      </c>
      <c r="AR247" s="145"/>
      <c r="AS247" s="172"/>
      <c r="AT247" s="172"/>
      <c r="AU247" s="172"/>
      <c r="AV247" s="172"/>
      <c r="AW247" s="172"/>
      <c r="AX247" s="172"/>
      <c r="AY247" s="172"/>
      <c r="AZ247" s="172"/>
      <c r="BA247" s="172"/>
      <c r="BB247" s="172"/>
      <c r="BC247" s="172"/>
      <c r="BD247" s="172"/>
      <c r="BE247" s="172"/>
      <c r="BF247" s="172"/>
      <c r="BG247" s="172"/>
      <c r="BH247" s="172"/>
      <c r="BI247" s="172"/>
      <c r="BJ247" s="172"/>
      <c r="BK247" s="172"/>
      <c r="BL247" s="172"/>
      <c r="BM247" s="172"/>
      <c r="BN247" s="172"/>
      <c r="BO247" s="172"/>
      <c r="BP247" s="172"/>
      <c r="BQ247" s="172"/>
      <c r="BR247" s="172"/>
      <c r="BS247" s="172"/>
      <c r="BT247" s="172"/>
      <c r="BU247" s="172"/>
      <c r="BV247" s="179"/>
      <c r="BW247" s="179"/>
      <c r="BX247" s="179"/>
      <c r="BY247" s="179"/>
      <c r="BZ247" s="179"/>
      <c r="CA247" s="179"/>
      <c r="CB247" s="179"/>
      <c r="CC247" s="179"/>
      <c r="CD247" s="179"/>
      <c r="CE247" s="179"/>
    </row>
    <row r="248" ht="15.75" customHeight="1">
      <c r="A248" s="151">
        <v>42142.0</v>
      </c>
      <c r="B248" s="152">
        <v>1.0</v>
      </c>
      <c r="C248" s="152" t="s">
        <v>45</v>
      </c>
      <c r="D248" s="152">
        <v>1.0</v>
      </c>
      <c r="E248" s="153">
        <v>5205.0</v>
      </c>
      <c r="F248" s="154">
        <v>2.2</v>
      </c>
      <c r="G248" s="155">
        <v>11451.000000000002</v>
      </c>
      <c r="H248" s="159">
        <f>SUMIFS('Historical Orders'!$E248, 'Historical Orders'!$D248, "1", 'Historical Orders'!$C248, "A", 'Historical Orders'!$B248, "1")</f>
        <v>5205</v>
      </c>
      <c r="I248" s="157">
        <f>SUMIFS('Historical Orders'!$G248, 'Historical Orders'!$D248, "1", 'Historical Orders'!$C248, "A", 'Historical Orders'!$B248, "1")</f>
        <v>11451</v>
      </c>
      <c r="J248" s="157">
        <f>SUMIFS('Historical Orders'!$E248, 'Historical Orders'!$D248, "1", 'Historical Orders'!$C248, "B", 'Historical Orders'!$B248, "1")</f>
        <v>0</v>
      </c>
      <c r="K248" s="157">
        <f>SUMIFS('Historical Orders'!$G248, 'Historical Orders'!$D248, "1", 'Historical Orders'!$C248, "B", 'Historical Orders'!$B248, "1")</f>
        <v>0</v>
      </c>
      <c r="L248" s="159">
        <f>SUMIFS('Historical Orders'!$E248, 'Historical Orders'!$D248, "1", 'Historical Orders'!$C248, "A", 'Historical Orders'!$B248, "2")</f>
        <v>0</v>
      </c>
      <c r="M248" s="157">
        <f>SUMIFS('Historical Orders'!$G248, 'Historical Orders'!$D248, "1", 'Historical Orders'!$C248, "A", 'Historical Orders'!$B248, "2")</f>
        <v>0</v>
      </c>
      <c r="N248" s="157">
        <f>SUMIFS('Historical Orders'!$E248, 'Historical Orders'!$D248, "1", 'Historical Orders'!$C248, "B", 'Historical Orders'!$B248, "2")</f>
        <v>0</v>
      </c>
      <c r="O248" s="157">
        <f>SUMIFS('Historical Orders'!$G248, 'Historical Orders'!$D248, "1", 'Historical Orders'!$C248, "B", 'Historical Orders'!$B248, "2")</f>
        <v>0</v>
      </c>
      <c r="P248" s="159">
        <f>SUMIFS('Historical Orders'!$E248, 'Historical Orders'!$D248, "2", 'Historical Orders'!$C248, "A", 'Historical Orders'!$B248, "1")</f>
        <v>0</v>
      </c>
      <c r="Q248" s="157">
        <f>SUMIFS('Historical Orders'!$G248, 'Historical Orders'!$D248, "2", 'Historical Orders'!$C248, "A", 'Historical Orders'!$B248, "1")</f>
        <v>0</v>
      </c>
      <c r="R248" s="159">
        <f>SUMIFS('Historical Orders'!$E248, 'Historical Orders'!$D248, "2", 'Historical Orders'!$C248, "B", 'Historical Orders'!$B248, "1")</f>
        <v>0</v>
      </c>
      <c r="S248" s="157">
        <f>SUMIFS('Historical Orders'!$G248, 'Historical Orders'!$D248, "2", 'Historical Orders'!$C248, "B", 'Historical Orders'!$B248, "1")</f>
        <v>0</v>
      </c>
      <c r="T248" s="159">
        <f>SUMIFS('Historical Orders'!$E248, 'Historical Orders'!$D248, "2", 'Historical Orders'!$C248, "A", 'Historical Orders'!$B248, "2")</f>
        <v>0</v>
      </c>
      <c r="U248" s="157">
        <f>SUMIFS('Historical Orders'!$G248, 'Historical Orders'!$D248, "2", 'Historical Orders'!$C248, "A", 'Historical Orders'!$B248, "2")</f>
        <v>0</v>
      </c>
      <c r="V248" s="159">
        <f>SUMIFS('Historical Orders'!$E248, 'Historical Orders'!$D248, "2", 'Historical Orders'!$C248, "B", 'Historical Orders'!$B248, "2")</f>
        <v>0</v>
      </c>
      <c r="W248" s="159">
        <f>SUMIFS('Historical Orders'!$G248, 'Historical Orders'!$D248, "2", 'Historical Orders'!$C248, "B", 'Historical Orders'!$B248, "2")</f>
        <v>0</v>
      </c>
      <c r="X248" s="159">
        <f>SUMIFS('Historical Orders'!$E248, 'Historical Orders'!$D248, "3", 'Historical Orders'!$C248, "A", 'Historical Orders'!$B248, "1")</f>
        <v>0</v>
      </c>
      <c r="Y248" s="159">
        <f>SUMIFS('Historical Orders'!$G248, 'Historical Orders'!$D248, "3", 'Historical Orders'!$C248, "A", 'Historical Orders'!$B248, "1")</f>
        <v>0</v>
      </c>
      <c r="Z248" s="159">
        <f>SUMIFS('Historical Orders'!$E248, 'Historical Orders'!$D248, "3", 'Historical Orders'!$C248, "B", 'Historical Orders'!$B248, "1")</f>
        <v>0</v>
      </c>
      <c r="AA248" s="159">
        <f>SUMIFS('Historical Orders'!$G248, 'Historical Orders'!$D248, "3", 'Historical Orders'!$C248, "B", 'Historical Orders'!$B248, "1")</f>
        <v>0</v>
      </c>
      <c r="AB248" s="159">
        <f>SUMIFS('Historical Orders'!$E248, 'Historical Orders'!$D248, "3", 'Historical Orders'!$C248, "A", 'Historical Orders'!$B248, "2")</f>
        <v>0</v>
      </c>
      <c r="AC248" s="159">
        <f>SUMIFS('Historical Orders'!$G248, 'Historical Orders'!$D248, "3", 'Historical Orders'!$C248, "A", 'Historical Orders'!$B248, "2")</f>
        <v>0</v>
      </c>
      <c r="AD248" s="159">
        <f>SUMIFS('Historical Orders'!$E248, 'Historical Orders'!$D248, "3", 'Historical Orders'!$C248, "B", 'Historical Orders'!$B248, "2")</f>
        <v>0</v>
      </c>
      <c r="AE248" s="157">
        <f>SUMIFS('Historical Orders'!$G248, 'Historical Orders'!$D248, "3", 'Historical Orders'!$C248, "B", 'Historical Orders'!$B248, "2")</f>
        <v>0</v>
      </c>
      <c r="AF248" s="157">
        <f>SUMIFS('Historical Orders'!$E248, 'Historical Orders'!$D248, "4", 'Historical Orders'!$C248, "A", 'Historical Orders'!$B248, "1")</f>
        <v>0</v>
      </c>
      <c r="AG248" s="157">
        <f>SUMIFS('Historical Orders'!$G248, 'Historical Orders'!$D248, "4", 'Historical Orders'!$C248, "A", 'Historical Orders'!$B248, "1")</f>
        <v>0</v>
      </c>
      <c r="AH248" s="157">
        <f>SUMIFS('Historical Orders'!$E248, 'Historical Orders'!$D248, "4", 'Historical Orders'!$C248, "B", 'Historical Orders'!$B248, "1")</f>
        <v>0</v>
      </c>
      <c r="AI248" s="157">
        <f>SUMIFS('Historical Orders'!$G248, 'Historical Orders'!$D248, "4", 'Historical Orders'!$C248, "B", 'Historical Orders'!$B248, "1")</f>
        <v>0</v>
      </c>
      <c r="AJ248" s="157">
        <f>SUMIFS('Historical Orders'!$E248, 'Historical Orders'!$D248, "4", 'Historical Orders'!$C248, "A", 'Historical Orders'!$B248, "2")</f>
        <v>0</v>
      </c>
      <c r="AK248" s="157">
        <f>SUMIFS('Historical Orders'!$G248, 'Historical Orders'!$D248, "4", 'Historical Orders'!$C248, "A", 'Historical Orders'!$B248, "2")</f>
        <v>0</v>
      </c>
      <c r="AL248" s="171">
        <f>SUMIFS('Historical Orders'!$E248, 'Historical Orders'!$D248, "4", 'Historical Orders'!$C248, "B", 'Historical Orders'!$B248, "2")</f>
        <v>0</v>
      </c>
      <c r="AM248" s="171">
        <f>SUMIFS('Historical Orders'!$G248, 'Historical Orders'!$D248, "4", 'Historical Orders'!$C248, "B", 'Historical Orders'!$B248, "2")</f>
        <v>0</v>
      </c>
      <c r="AN248" s="171">
        <f>SUMIFS('Historical Orders'!$G248, 'Historical Orders'!$C248, "A", 'Historical Orders'!$B248, "1")</f>
        <v>11451</v>
      </c>
      <c r="AO248" s="171">
        <f>SUMIFS('Historical Orders'!$G248, 'Historical Orders'!$C248, "B", 'Historical Orders'!$B248, "1")</f>
        <v>0</v>
      </c>
      <c r="AP248" s="171">
        <f>SUMIFS('Historical Orders'!$G248, 'Historical Orders'!$C248, "A", 'Historical Orders'!$B248, "2")</f>
        <v>0</v>
      </c>
      <c r="AQ248" s="171">
        <f>SUMIFS('Historical Orders'!$G248, 'Historical Orders'!$C248, "B", 'Historical Orders'!$B248, "2")</f>
        <v>0</v>
      </c>
      <c r="AR248" s="145"/>
      <c r="AS248" s="172"/>
      <c r="AT248" s="172"/>
      <c r="AU248" s="172"/>
      <c r="AV248" s="172"/>
      <c r="AW248" s="172"/>
      <c r="AX248" s="172"/>
      <c r="AY248" s="172"/>
      <c r="AZ248" s="172"/>
      <c r="BA248" s="172"/>
      <c r="BB248" s="172"/>
      <c r="BC248" s="172"/>
      <c r="BD248" s="172"/>
      <c r="BE248" s="172"/>
      <c r="BF248" s="172"/>
      <c r="BG248" s="172"/>
      <c r="BH248" s="172"/>
      <c r="BI248" s="172"/>
      <c r="BJ248" s="172"/>
      <c r="BK248" s="172"/>
      <c r="BL248" s="172"/>
      <c r="BM248" s="172"/>
      <c r="BN248" s="172"/>
      <c r="BO248" s="172"/>
      <c r="BP248" s="172"/>
      <c r="BQ248" s="172"/>
      <c r="BR248" s="172"/>
      <c r="BS248" s="172"/>
      <c r="BT248" s="172"/>
      <c r="BU248" s="172"/>
      <c r="BV248" s="179"/>
      <c r="BW248" s="179"/>
      <c r="BX248" s="179"/>
      <c r="BY248" s="179"/>
      <c r="BZ248" s="179"/>
      <c r="CA248" s="179"/>
      <c r="CB248" s="179"/>
      <c r="CC248" s="179"/>
      <c r="CD248" s="179"/>
      <c r="CE248" s="179"/>
    </row>
    <row r="249" ht="15.75" customHeight="1">
      <c r="A249" s="151">
        <v>42142.0</v>
      </c>
      <c r="B249" s="152">
        <v>1.0</v>
      </c>
      <c r="C249" s="152" t="s">
        <v>45</v>
      </c>
      <c r="D249" s="152">
        <v>2.0</v>
      </c>
      <c r="E249" s="153">
        <v>6630.0</v>
      </c>
      <c r="F249" s="154">
        <v>1.2</v>
      </c>
      <c r="G249" s="155">
        <v>7956.0</v>
      </c>
      <c r="H249" s="159">
        <f>SUMIFS('Historical Orders'!$E249, 'Historical Orders'!$D249, "1", 'Historical Orders'!$C249, "A", 'Historical Orders'!$B249, "1")</f>
        <v>0</v>
      </c>
      <c r="I249" s="157">
        <f>SUMIFS('Historical Orders'!$G249, 'Historical Orders'!$D249, "1", 'Historical Orders'!$C249, "A", 'Historical Orders'!$B249, "1")</f>
        <v>0</v>
      </c>
      <c r="J249" s="157">
        <f>SUMIFS('Historical Orders'!$E249, 'Historical Orders'!$D249, "1", 'Historical Orders'!$C249, "B", 'Historical Orders'!$B249, "1")</f>
        <v>0</v>
      </c>
      <c r="K249" s="157">
        <f>SUMIFS('Historical Orders'!$G249, 'Historical Orders'!$D249, "1", 'Historical Orders'!$C249, "B", 'Historical Orders'!$B249, "1")</f>
        <v>0</v>
      </c>
      <c r="L249" s="159">
        <f>SUMIFS('Historical Orders'!$E249, 'Historical Orders'!$D249, "1", 'Historical Orders'!$C249, "A", 'Historical Orders'!$B249, "2")</f>
        <v>0</v>
      </c>
      <c r="M249" s="157">
        <f>SUMIFS('Historical Orders'!$G249, 'Historical Orders'!$D249, "1", 'Historical Orders'!$C249, "A", 'Historical Orders'!$B249, "2")</f>
        <v>0</v>
      </c>
      <c r="N249" s="157">
        <f>SUMIFS('Historical Orders'!$E249, 'Historical Orders'!$D249, "1", 'Historical Orders'!$C249, "B", 'Historical Orders'!$B249, "2")</f>
        <v>0</v>
      </c>
      <c r="O249" s="157">
        <f>SUMIFS('Historical Orders'!$G249, 'Historical Orders'!$D249, "1", 'Historical Orders'!$C249, "B", 'Historical Orders'!$B249, "2")</f>
        <v>0</v>
      </c>
      <c r="P249" s="159">
        <f>SUMIFS('Historical Orders'!$E249, 'Historical Orders'!$D249, "2", 'Historical Orders'!$C249, "A", 'Historical Orders'!$B249, "1")</f>
        <v>6630</v>
      </c>
      <c r="Q249" s="157">
        <f>SUMIFS('Historical Orders'!$G249, 'Historical Orders'!$D249, "2", 'Historical Orders'!$C249, "A", 'Historical Orders'!$B249, "1")</f>
        <v>7956</v>
      </c>
      <c r="R249" s="159">
        <f>SUMIFS('Historical Orders'!$E249, 'Historical Orders'!$D249, "2", 'Historical Orders'!$C249, "B", 'Historical Orders'!$B249, "1")</f>
        <v>0</v>
      </c>
      <c r="S249" s="157">
        <f>SUMIFS('Historical Orders'!$G249, 'Historical Orders'!$D249, "2", 'Historical Orders'!$C249, "B", 'Historical Orders'!$B249, "1")</f>
        <v>0</v>
      </c>
      <c r="T249" s="159">
        <f>SUMIFS('Historical Orders'!$E249, 'Historical Orders'!$D249, "2", 'Historical Orders'!$C249, "A", 'Historical Orders'!$B249, "2")</f>
        <v>0</v>
      </c>
      <c r="U249" s="157">
        <f>SUMIFS('Historical Orders'!$G249, 'Historical Orders'!$D249, "2", 'Historical Orders'!$C249, "A", 'Historical Orders'!$B249, "2")</f>
        <v>0</v>
      </c>
      <c r="V249" s="159">
        <f>SUMIFS('Historical Orders'!$E249, 'Historical Orders'!$D249, "2", 'Historical Orders'!$C249, "B", 'Historical Orders'!$B249, "2")</f>
        <v>0</v>
      </c>
      <c r="W249" s="159">
        <f>SUMIFS('Historical Orders'!$G249, 'Historical Orders'!$D249, "2", 'Historical Orders'!$C249, "B", 'Historical Orders'!$B249, "2")</f>
        <v>0</v>
      </c>
      <c r="X249" s="159">
        <f>SUMIFS('Historical Orders'!$E249, 'Historical Orders'!$D249, "3", 'Historical Orders'!$C249, "A", 'Historical Orders'!$B249, "1")</f>
        <v>0</v>
      </c>
      <c r="Y249" s="159">
        <f>SUMIFS('Historical Orders'!$G249, 'Historical Orders'!$D249, "3", 'Historical Orders'!$C249, "A", 'Historical Orders'!$B249, "1")</f>
        <v>0</v>
      </c>
      <c r="Z249" s="159">
        <f>SUMIFS('Historical Orders'!$E249, 'Historical Orders'!$D249, "3", 'Historical Orders'!$C249, "B", 'Historical Orders'!$B249, "1")</f>
        <v>0</v>
      </c>
      <c r="AA249" s="159">
        <f>SUMIFS('Historical Orders'!$G249, 'Historical Orders'!$D249, "3", 'Historical Orders'!$C249, "B", 'Historical Orders'!$B249, "1")</f>
        <v>0</v>
      </c>
      <c r="AB249" s="159">
        <f>SUMIFS('Historical Orders'!$E249, 'Historical Orders'!$D249, "3", 'Historical Orders'!$C249, "A", 'Historical Orders'!$B249, "2")</f>
        <v>0</v>
      </c>
      <c r="AC249" s="159">
        <f>SUMIFS('Historical Orders'!$G249, 'Historical Orders'!$D249, "3", 'Historical Orders'!$C249, "A", 'Historical Orders'!$B249, "2")</f>
        <v>0</v>
      </c>
      <c r="AD249" s="159">
        <f>SUMIFS('Historical Orders'!$E249, 'Historical Orders'!$D249, "3", 'Historical Orders'!$C249, "B", 'Historical Orders'!$B249, "2")</f>
        <v>0</v>
      </c>
      <c r="AE249" s="157">
        <f>SUMIFS('Historical Orders'!$G249, 'Historical Orders'!$D249, "3", 'Historical Orders'!$C249, "B", 'Historical Orders'!$B249, "2")</f>
        <v>0</v>
      </c>
      <c r="AF249" s="157">
        <f>SUMIFS('Historical Orders'!$E249, 'Historical Orders'!$D249, "4", 'Historical Orders'!$C249, "A", 'Historical Orders'!$B249, "1")</f>
        <v>0</v>
      </c>
      <c r="AG249" s="157">
        <f>SUMIFS('Historical Orders'!$G249, 'Historical Orders'!$D249, "4", 'Historical Orders'!$C249, "A", 'Historical Orders'!$B249, "1")</f>
        <v>0</v>
      </c>
      <c r="AH249" s="157">
        <f>SUMIFS('Historical Orders'!$E249, 'Historical Orders'!$D249, "4", 'Historical Orders'!$C249, "B", 'Historical Orders'!$B249, "1")</f>
        <v>0</v>
      </c>
      <c r="AI249" s="157">
        <f>SUMIFS('Historical Orders'!$G249, 'Historical Orders'!$D249, "4", 'Historical Orders'!$C249, "B", 'Historical Orders'!$B249, "1")</f>
        <v>0</v>
      </c>
      <c r="AJ249" s="157">
        <f>SUMIFS('Historical Orders'!$E249, 'Historical Orders'!$D249, "4", 'Historical Orders'!$C249, "A", 'Historical Orders'!$B249, "2")</f>
        <v>0</v>
      </c>
      <c r="AK249" s="157">
        <f>SUMIFS('Historical Orders'!$G249, 'Historical Orders'!$D249, "4", 'Historical Orders'!$C249, "A", 'Historical Orders'!$B249, "2")</f>
        <v>0</v>
      </c>
      <c r="AL249" s="171">
        <f>SUMIFS('Historical Orders'!$E249, 'Historical Orders'!$D249, "4", 'Historical Orders'!$C249, "B", 'Historical Orders'!$B249, "2")</f>
        <v>0</v>
      </c>
      <c r="AM249" s="171">
        <f>SUMIFS('Historical Orders'!$G249, 'Historical Orders'!$D249, "4", 'Historical Orders'!$C249, "B", 'Historical Orders'!$B249, "2")</f>
        <v>0</v>
      </c>
      <c r="AN249" s="171">
        <f>SUMIFS('Historical Orders'!$G249, 'Historical Orders'!$C249, "A", 'Historical Orders'!$B249, "1")</f>
        <v>7956</v>
      </c>
      <c r="AO249" s="171">
        <f>SUMIFS('Historical Orders'!$G249, 'Historical Orders'!$C249, "B", 'Historical Orders'!$B249, "1")</f>
        <v>0</v>
      </c>
      <c r="AP249" s="171">
        <f>SUMIFS('Historical Orders'!$G249, 'Historical Orders'!$C249, "A", 'Historical Orders'!$B249, "2")</f>
        <v>0</v>
      </c>
      <c r="AQ249" s="171">
        <f>SUMIFS('Historical Orders'!$G249, 'Historical Orders'!$C249, "B", 'Historical Orders'!$B249, "2")</f>
        <v>0</v>
      </c>
      <c r="AR249" s="145"/>
      <c r="AS249" s="172"/>
      <c r="AT249" s="172"/>
      <c r="AU249" s="172"/>
      <c r="AV249" s="172"/>
      <c r="AW249" s="172"/>
      <c r="AX249" s="172"/>
      <c r="AY249" s="172"/>
      <c r="AZ249" s="172"/>
      <c r="BA249" s="172"/>
      <c r="BB249" s="172"/>
      <c r="BC249" s="172"/>
      <c r="BD249" s="172"/>
      <c r="BE249" s="172"/>
      <c r="BF249" s="172"/>
      <c r="BG249" s="172"/>
      <c r="BH249" s="172"/>
      <c r="BI249" s="172"/>
      <c r="BJ249" s="172"/>
      <c r="BK249" s="172"/>
      <c r="BL249" s="172"/>
      <c r="BM249" s="172"/>
      <c r="BN249" s="172"/>
      <c r="BO249" s="172"/>
      <c r="BP249" s="172"/>
      <c r="BQ249" s="172"/>
      <c r="BR249" s="172"/>
      <c r="BS249" s="172"/>
      <c r="BT249" s="172"/>
      <c r="BU249" s="172"/>
      <c r="BV249" s="179"/>
      <c r="BW249" s="179"/>
      <c r="BX249" s="179"/>
      <c r="BY249" s="179"/>
      <c r="BZ249" s="179"/>
      <c r="CA249" s="179"/>
      <c r="CB249" s="179"/>
      <c r="CC249" s="179"/>
      <c r="CD249" s="179"/>
      <c r="CE249" s="179"/>
    </row>
    <row r="250" ht="15.75" customHeight="1">
      <c r="A250" s="151">
        <v>42142.0</v>
      </c>
      <c r="B250" s="152">
        <v>2.0</v>
      </c>
      <c r="C250" s="152" t="s">
        <v>45</v>
      </c>
      <c r="D250" s="152">
        <v>1.0</v>
      </c>
      <c r="E250" s="153">
        <v>3778.0</v>
      </c>
      <c r="F250" s="154">
        <v>2.2</v>
      </c>
      <c r="G250" s="155">
        <v>8311.6</v>
      </c>
      <c r="H250" s="159">
        <f>SUMIFS('Historical Orders'!$E250, 'Historical Orders'!$D250, "1", 'Historical Orders'!$C250, "A", 'Historical Orders'!$B250, "1")</f>
        <v>0</v>
      </c>
      <c r="I250" s="157">
        <f>SUMIFS('Historical Orders'!$G250, 'Historical Orders'!$D250, "1", 'Historical Orders'!$C250, "A", 'Historical Orders'!$B250, "1")</f>
        <v>0</v>
      </c>
      <c r="J250" s="157">
        <f>SUMIFS('Historical Orders'!$E250, 'Historical Orders'!$D250, "1", 'Historical Orders'!$C250, "B", 'Historical Orders'!$B250, "1")</f>
        <v>0</v>
      </c>
      <c r="K250" s="157">
        <f>SUMIFS('Historical Orders'!$G250, 'Historical Orders'!$D250, "1", 'Historical Orders'!$C250, "B", 'Historical Orders'!$B250, "1")</f>
        <v>0</v>
      </c>
      <c r="L250" s="159">
        <f>SUMIFS('Historical Orders'!$E250, 'Historical Orders'!$D250, "1", 'Historical Orders'!$C250, "A", 'Historical Orders'!$B250, "2")</f>
        <v>3778</v>
      </c>
      <c r="M250" s="157">
        <f>SUMIFS('Historical Orders'!$G250, 'Historical Orders'!$D250, "1", 'Historical Orders'!$C250, "A", 'Historical Orders'!$B250, "2")</f>
        <v>8311.6</v>
      </c>
      <c r="N250" s="157">
        <f>SUMIFS('Historical Orders'!$E250, 'Historical Orders'!$D250, "1", 'Historical Orders'!$C250, "B", 'Historical Orders'!$B250, "2")</f>
        <v>0</v>
      </c>
      <c r="O250" s="157">
        <f>SUMIFS('Historical Orders'!$G250, 'Historical Orders'!$D250, "1", 'Historical Orders'!$C250, "B", 'Historical Orders'!$B250, "2")</f>
        <v>0</v>
      </c>
      <c r="P250" s="159">
        <f>SUMIFS('Historical Orders'!$E250, 'Historical Orders'!$D250, "2", 'Historical Orders'!$C250, "A", 'Historical Orders'!$B250, "1")</f>
        <v>0</v>
      </c>
      <c r="Q250" s="157">
        <f>SUMIFS('Historical Orders'!$G250, 'Historical Orders'!$D250, "2", 'Historical Orders'!$C250, "A", 'Historical Orders'!$B250, "1")</f>
        <v>0</v>
      </c>
      <c r="R250" s="159">
        <f>SUMIFS('Historical Orders'!$E250, 'Historical Orders'!$D250, "2", 'Historical Orders'!$C250, "B", 'Historical Orders'!$B250, "1")</f>
        <v>0</v>
      </c>
      <c r="S250" s="157">
        <f>SUMIFS('Historical Orders'!$G250, 'Historical Orders'!$D250, "2", 'Historical Orders'!$C250, "B", 'Historical Orders'!$B250, "1")</f>
        <v>0</v>
      </c>
      <c r="T250" s="159">
        <f>SUMIFS('Historical Orders'!$E250, 'Historical Orders'!$D250, "2", 'Historical Orders'!$C250, "A", 'Historical Orders'!$B250, "2")</f>
        <v>0</v>
      </c>
      <c r="U250" s="157">
        <f>SUMIFS('Historical Orders'!$G250, 'Historical Orders'!$D250, "2", 'Historical Orders'!$C250, "A", 'Historical Orders'!$B250, "2")</f>
        <v>0</v>
      </c>
      <c r="V250" s="159">
        <f>SUMIFS('Historical Orders'!$E250, 'Historical Orders'!$D250, "2", 'Historical Orders'!$C250, "B", 'Historical Orders'!$B250, "2")</f>
        <v>0</v>
      </c>
      <c r="W250" s="159">
        <f>SUMIFS('Historical Orders'!$G250, 'Historical Orders'!$D250, "2", 'Historical Orders'!$C250, "B", 'Historical Orders'!$B250, "2")</f>
        <v>0</v>
      </c>
      <c r="X250" s="159">
        <f>SUMIFS('Historical Orders'!$E250, 'Historical Orders'!$D250, "3", 'Historical Orders'!$C250, "A", 'Historical Orders'!$B250, "1")</f>
        <v>0</v>
      </c>
      <c r="Y250" s="159">
        <f>SUMIFS('Historical Orders'!$G250, 'Historical Orders'!$D250, "3", 'Historical Orders'!$C250, "A", 'Historical Orders'!$B250, "1")</f>
        <v>0</v>
      </c>
      <c r="Z250" s="159">
        <f>SUMIFS('Historical Orders'!$E250, 'Historical Orders'!$D250, "3", 'Historical Orders'!$C250, "B", 'Historical Orders'!$B250, "1")</f>
        <v>0</v>
      </c>
      <c r="AA250" s="159">
        <f>SUMIFS('Historical Orders'!$G250, 'Historical Orders'!$D250, "3", 'Historical Orders'!$C250, "B", 'Historical Orders'!$B250, "1")</f>
        <v>0</v>
      </c>
      <c r="AB250" s="159">
        <f>SUMIFS('Historical Orders'!$E250, 'Historical Orders'!$D250, "3", 'Historical Orders'!$C250, "A", 'Historical Orders'!$B250, "2")</f>
        <v>0</v>
      </c>
      <c r="AC250" s="159">
        <f>SUMIFS('Historical Orders'!$G250, 'Historical Orders'!$D250, "3", 'Historical Orders'!$C250, "A", 'Historical Orders'!$B250, "2")</f>
        <v>0</v>
      </c>
      <c r="AD250" s="159">
        <f>SUMIFS('Historical Orders'!$E250, 'Historical Orders'!$D250, "3", 'Historical Orders'!$C250, "B", 'Historical Orders'!$B250, "2")</f>
        <v>0</v>
      </c>
      <c r="AE250" s="157">
        <f>SUMIFS('Historical Orders'!$G250, 'Historical Orders'!$D250, "3", 'Historical Orders'!$C250, "B", 'Historical Orders'!$B250, "2")</f>
        <v>0</v>
      </c>
      <c r="AF250" s="157">
        <f>SUMIFS('Historical Orders'!$E250, 'Historical Orders'!$D250, "4", 'Historical Orders'!$C250, "A", 'Historical Orders'!$B250, "1")</f>
        <v>0</v>
      </c>
      <c r="AG250" s="157">
        <f>SUMIFS('Historical Orders'!$G250, 'Historical Orders'!$D250, "4", 'Historical Orders'!$C250, "A", 'Historical Orders'!$B250, "1")</f>
        <v>0</v>
      </c>
      <c r="AH250" s="157">
        <f>SUMIFS('Historical Orders'!$E250, 'Historical Orders'!$D250, "4", 'Historical Orders'!$C250, "B", 'Historical Orders'!$B250, "1")</f>
        <v>0</v>
      </c>
      <c r="AI250" s="157">
        <f>SUMIFS('Historical Orders'!$G250, 'Historical Orders'!$D250, "4", 'Historical Orders'!$C250, "B", 'Historical Orders'!$B250, "1")</f>
        <v>0</v>
      </c>
      <c r="AJ250" s="157">
        <f>SUMIFS('Historical Orders'!$E250, 'Historical Orders'!$D250, "4", 'Historical Orders'!$C250, "A", 'Historical Orders'!$B250, "2")</f>
        <v>0</v>
      </c>
      <c r="AK250" s="157">
        <f>SUMIFS('Historical Orders'!$G250, 'Historical Orders'!$D250, "4", 'Historical Orders'!$C250, "A", 'Historical Orders'!$B250, "2")</f>
        <v>0</v>
      </c>
      <c r="AL250" s="171">
        <f>SUMIFS('Historical Orders'!$E250, 'Historical Orders'!$D250, "4", 'Historical Orders'!$C250, "B", 'Historical Orders'!$B250, "2")</f>
        <v>0</v>
      </c>
      <c r="AM250" s="171">
        <f>SUMIFS('Historical Orders'!$G250, 'Historical Orders'!$D250, "4", 'Historical Orders'!$C250, "B", 'Historical Orders'!$B250, "2")</f>
        <v>0</v>
      </c>
      <c r="AN250" s="171">
        <f>SUMIFS('Historical Orders'!$G250, 'Historical Orders'!$C250, "A", 'Historical Orders'!$B250, "1")</f>
        <v>0</v>
      </c>
      <c r="AO250" s="171">
        <f>SUMIFS('Historical Orders'!$G250, 'Historical Orders'!$C250, "B", 'Historical Orders'!$B250, "1")</f>
        <v>0</v>
      </c>
      <c r="AP250" s="171">
        <f>SUMIFS('Historical Orders'!$G250, 'Historical Orders'!$C250, "A", 'Historical Orders'!$B250, "2")</f>
        <v>8311.6</v>
      </c>
      <c r="AQ250" s="171">
        <f>SUMIFS('Historical Orders'!$G250, 'Historical Orders'!$C250, "B", 'Historical Orders'!$B250, "2")</f>
        <v>0</v>
      </c>
      <c r="AR250" s="145"/>
      <c r="AS250" s="172"/>
      <c r="AT250" s="172"/>
      <c r="AU250" s="172"/>
      <c r="AV250" s="172"/>
      <c r="AW250" s="172"/>
      <c r="AX250" s="172"/>
      <c r="AY250" s="172"/>
      <c r="AZ250" s="172"/>
      <c r="BA250" s="172"/>
      <c r="BB250" s="172"/>
      <c r="BC250" s="172"/>
      <c r="BD250" s="172"/>
      <c r="BE250" s="172"/>
      <c r="BF250" s="172"/>
      <c r="BG250" s="172"/>
      <c r="BH250" s="172"/>
      <c r="BI250" s="172"/>
      <c r="BJ250" s="172"/>
      <c r="BK250" s="172"/>
      <c r="BL250" s="172"/>
      <c r="BM250" s="172"/>
      <c r="BN250" s="172"/>
      <c r="BO250" s="172"/>
      <c r="BP250" s="172"/>
      <c r="BQ250" s="172"/>
      <c r="BR250" s="172"/>
      <c r="BS250" s="172"/>
      <c r="BT250" s="172"/>
      <c r="BU250" s="172"/>
      <c r="BV250" s="179"/>
      <c r="BW250" s="179"/>
      <c r="BX250" s="179"/>
      <c r="BY250" s="179"/>
      <c r="BZ250" s="179"/>
      <c r="CA250" s="179"/>
      <c r="CB250" s="179"/>
      <c r="CC250" s="179"/>
      <c r="CD250" s="179"/>
      <c r="CE250" s="179"/>
    </row>
    <row r="251" ht="15.75" customHeight="1">
      <c r="A251" s="151">
        <v>42142.0</v>
      </c>
      <c r="B251" s="152">
        <v>2.0</v>
      </c>
      <c r="C251" s="152" t="s">
        <v>45</v>
      </c>
      <c r="D251" s="152">
        <v>2.0</v>
      </c>
      <c r="E251" s="153">
        <v>7998.0</v>
      </c>
      <c r="F251" s="154">
        <v>1.2</v>
      </c>
      <c r="G251" s="155">
        <v>9597.6</v>
      </c>
      <c r="H251" s="159">
        <f>SUMIFS('Historical Orders'!$E251, 'Historical Orders'!$D251, "1", 'Historical Orders'!$C251, "A", 'Historical Orders'!$B251, "1")</f>
        <v>0</v>
      </c>
      <c r="I251" s="157">
        <f>SUMIFS('Historical Orders'!$G251, 'Historical Orders'!$D251, "1", 'Historical Orders'!$C251, "A", 'Historical Orders'!$B251, "1")</f>
        <v>0</v>
      </c>
      <c r="J251" s="157">
        <f>SUMIFS('Historical Orders'!$E251, 'Historical Orders'!$D251, "1", 'Historical Orders'!$C251, "B", 'Historical Orders'!$B251, "1")</f>
        <v>0</v>
      </c>
      <c r="K251" s="157">
        <f>SUMIFS('Historical Orders'!$G251, 'Historical Orders'!$D251, "1", 'Historical Orders'!$C251, "B", 'Historical Orders'!$B251, "1")</f>
        <v>0</v>
      </c>
      <c r="L251" s="159">
        <f>SUMIFS('Historical Orders'!$E251, 'Historical Orders'!$D251, "1", 'Historical Orders'!$C251, "A", 'Historical Orders'!$B251, "2")</f>
        <v>0</v>
      </c>
      <c r="M251" s="157">
        <f>SUMIFS('Historical Orders'!$G251, 'Historical Orders'!$D251, "1", 'Historical Orders'!$C251, "A", 'Historical Orders'!$B251, "2")</f>
        <v>0</v>
      </c>
      <c r="N251" s="157">
        <f>SUMIFS('Historical Orders'!$E251, 'Historical Orders'!$D251, "1", 'Historical Orders'!$C251, "B", 'Historical Orders'!$B251, "2")</f>
        <v>0</v>
      </c>
      <c r="O251" s="157">
        <f>SUMIFS('Historical Orders'!$G251, 'Historical Orders'!$D251, "1", 'Historical Orders'!$C251, "B", 'Historical Orders'!$B251, "2")</f>
        <v>0</v>
      </c>
      <c r="P251" s="159">
        <f>SUMIFS('Historical Orders'!$E251, 'Historical Orders'!$D251, "2", 'Historical Orders'!$C251, "A", 'Historical Orders'!$B251, "1")</f>
        <v>0</v>
      </c>
      <c r="Q251" s="157">
        <f>SUMIFS('Historical Orders'!$G251, 'Historical Orders'!$D251, "2", 'Historical Orders'!$C251, "A", 'Historical Orders'!$B251, "1")</f>
        <v>0</v>
      </c>
      <c r="R251" s="159">
        <f>SUMIFS('Historical Orders'!$E251, 'Historical Orders'!$D251, "2", 'Historical Orders'!$C251, "B", 'Historical Orders'!$B251, "1")</f>
        <v>0</v>
      </c>
      <c r="S251" s="157">
        <f>SUMIFS('Historical Orders'!$G251, 'Historical Orders'!$D251, "2", 'Historical Orders'!$C251, "B", 'Historical Orders'!$B251, "1")</f>
        <v>0</v>
      </c>
      <c r="T251" s="159">
        <f>SUMIFS('Historical Orders'!$E251, 'Historical Orders'!$D251, "2", 'Historical Orders'!$C251, "A", 'Historical Orders'!$B251, "2")</f>
        <v>7998</v>
      </c>
      <c r="U251" s="157">
        <f>SUMIFS('Historical Orders'!$G251, 'Historical Orders'!$D251, "2", 'Historical Orders'!$C251, "A", 'Historical Orders'!$B251, "2")</f>
        <v>9597.6</v>
      </c>
      <c r="V251" s="159">
        <f>SUMIFS('Historical Orders'!$E251, 'Historical Orders'!$D251, "2", 'Historical Orders'!$C251, "B", 'Historical Orders'!$B251, "2")</f>
        <v>0</v>
      </c>
      <c r="W251" s="159">
        <f>SUMIFS('Historical Orders'!$G251, 'Historical Orders'!$D251, "2", 'Historical Orders'!$C251, "B", 'Historical Orders'!$B251, "2")</f>
        <v>0</v>
      </c>
      <c r="X251" s="159">
        <f>SUMIFS('Historical Orders'!$E251, 'Historical Orders'!$D251, "3", 'Historical Orders'!$C251, "A", 'Historical Orders'!$B251, "1")</f>
        <v>0</v>
      </c>
      <c r="Y251" s="159">
        <f>SUMIFS('Historical Orders'!$G251, 'Historical Orders'!$D251, "3", 'Historical Orders'!$C251, "A", 'Historical Orders'!$B251, "1")</f>
        <v>0</v>
      </c>
      <c r="Z251" s="159">
        <f>SUMIFS('Historical Orders'!$E251, 'Historical Orders'!$D251, "3", 'Historical Orders'!$C251, "B", 'Historical Orders'!$B251, "1")</f>
        <v>0</v>
      </c>
      <c r="AA251" s="159">
        <f>SUMIFS('Historical Orders'!$G251, 'Historical Orders'!$D251, "3", 'Historical Orders'!$C251, "B", 'Historical Orders'!$B251, "1")</f>
        <v>0</v>
      </c>
      <c r="AB251" s="159">
        <f>SUMIFS('Historical Orders'!$E251, 'Historical Orders'!$D251, "3", 'Historical Orders'!$C251, "A", 'Historical Orders'!$B251, "2")</f>
        <v>0</v>
      </c>
      <c r="AC251" s="159">
        <f>SUMIFS('Historical Orders'!$G251, 'Historical Orders'!$D251, "3", 'Historical Orders'!$C251, "A", 'Historical Orders'!$B251, "2")</f>
        <v>0</v>
      </c>
      <c r="AD251" s="159">
        <f>SUMIFS('Historical Orders'!$E251, 'Historical Orders'!$D251, "3", 'Historical Orders'!$C251, "B", 'Historical Orders'!$B251, "2")</f>
        <v>0</v>
      </c>
      <c r="AE251" s="157">
        <f>SUMIFS('Historical Orders'!$G251, 'Historical Orders'!$D251, "3", 'Historical Orders'!$C251, "B", 'Historical Orders'!$B251, "2")</f>
        <v>0</v>
      </c>
      <c r="AF251" s="157">
        <f>SUMIFS('Historical Orders'!$E251, 'Historical Orders'!$D251, "4", 'Historical Orders'!$C251, "A", 'Historical Orders'!$B251, "1")</f>
        <v>0</v>
      </c>
      <c r="AG251" s="157">
        <f>SUMIFS('Historical Orders'!$G251, 'Historical Orders'!$D251, "4", 'Historical Orders'!$C251, "A", 'Historical Orders'!$B251, "1")</f>
        <v>0</v>
      </c>
      <c r="AH251" s="157">
        <f>SUMIFS('Historical Orders'!$E251, 'Historical Orders'!$D251, "4", 'Historical Orders'!$C251, "B", 'Historical Orders'!$B251, "1")</f>
        <v>0</v>
      </c>
      <c r="AI251" s="157">
        <f>SUMIFS('Historical Orders'!$G251, 'Historical Orders'!$D251, "4", 'Historical Orders'!$C251, "B", 'Historical Orders'!$B251, "1")</f>
        <v>0</v>
      </c>
      <c r="AJ251" s="157">
        <f>SUMIFS('Historical Orders'!$E251, 'Historical Orders'!$D251, "4", 'Historical Orders'!$C251, "A", 'Historical Orders'!$B251, "2")</f>
        <v>0</v>
      </c>
      <c r="AK251" s="157">
        <f>SUMIFS('Historical Orders'!$G251, 'Historical Orders'!$D251, "4", 'Historical Orders'!$C251, "A", 'Historical Orders'!$B251, "2")</f>
        <v>0</v>
      </c>
      <c r="AL251" s="171">
        <f>SUMIFS('Historical Orders'!$E251, 'Historical Orders'!$D251, "4", 'Historical Orders'!$C251, "B", 'Historical Orders'!$B251, "2")</f>
        <v>0</v>
      </c>
      <c r="AM251" s="171">
        <f>SUMIFS('Historical Orders'!$G251, 'Historical Orders'!$D251, "4", 'Historical Orders'!$C251, "B", 'Historical Orders'!$B251, "2")</f>
        <v>0</v>
      </c>
      <c r="AN251" s="171">
        <f>SUMIFS('Historical Orders'!$G251, 'Historical Orders'!$C251, "A", 'Historical Orders'!$B251, "1")</f>
        <v>0</v>
      </c>
      <c r="AO251" s="171">
        <f>SUMIFS('Historical Orders'!$G251, 'Historical Orders'!$C251, "B", 'Historical Orders'!$B251, "1")</f>
        <v>0</v>
      </c>
      <c r="AP251" s="171">
        <f>SUMIFS('Historical Orders'!$G251, 'Historical Orders'!$C251, "A", 'Historical Orders'!$B251, "2")</f>
        <v>9597.6</v>
      </c>
      <c r="AQ251" s="171">
        <f>SUMIFS('Historical Orders'!$G251, 'Historical Orders'!$C251, "B", 'Historical Orders'!$B251, "2")</f>
        <v>0</v>
      </c>
      <c r="AR251" s="145"/>
      <c r="AS251" s="172"/>
      <c r="AT251" s="172"/>
      <c r="AU251" s="172"/>
      <c r="AV251" s="172"/>
      <c r="AW251" s="172"/>
      <c r="AX251" s="172"/>
      <c r="AY251" s="172"/>
      <c r="AZ251" s="172"/>
      <c r="BA251" s="172"/>
      <c r="BB251" s="172"/>
      <c r="BC251" s="172"/>
      <c r="BD251" s="172"/>
      <c r="BE251" s="172"/>
      <c r="BF251" s="172"/>
      <c r="BG251" s="172"/>
      <c r="BH251" s="172"/>
      <c r="BI251" s="172"/>
      <c r="BJ251" s="172"/>
      <c r="BK251" s="172"/>
      <c r="BL251" s="172"/>
      <c r="BM251" s="172"/>
      <c r="BN251" s="172"/>
      <c r="BO251" s="172"/>
      <c r="BP251" s="172"/>
      <c r="BQ251" s="172"/>
      <c r="BR251" s="172"/>
      <c r="BS251" s="172"/>
      <c r="BT251" s="172"/>
      <c r="BU251" s="172"/>
      <c r="BV251" s="179"/>
      <c r="BW251" s="179"/>
      <c r="BX251" s="179"/>
      <c r="BY251" s="179"/>
      <c r="BZ251" s="179"/>
      <c r="CA251" s="179"/>
      <c r="CB251" s="179"/>
      <c r="CC251" s="179"/>
      <c r="CD251" s="179"/>
      <c r="CE251" s="179"/>
    </row>
    <row r="252" ht="15.75" customHeight="1">
      <c r="A252" s="151">
        <v>42142.0</v>
      </c>
      <c r="B252" s="152">
        <v>1.0</v>
      </c>
      <c r="C252" s="152" t="s">
        <v>46</v>
      </c>
      <c r="D252" s="152">
        <v>3.0</v>
      </c>
      <c r="E252" s="153">
        <v>2201.0</v>
      </c>
      <c r="F252" s="154">
        <v>8.3</v>
      </c>
      <c r="G252" s="155">
        <v>18268.300000000003</v>
      </c>
      <c r="H252" s="159">
        <f>SUMIFS('Historical Orders'!$E252, 'Historical Orders'!$D252, "1", 'Historical Orders'!$C252, "A", 'Historical Orders'!$B252, "1")</f>
        <v>0</v>
      </c>
      <c r="I252" s="157">
        <f>SUMIFS('Historical Orders'!$G252, 'Historical Orders'!$D252, "1", 'Historical Orders'!$C252, "A", 'Historical Orders'!$B252, "1")</f>
        <v>0</v>
      </c>
      <c r="J252" s="157">
        <f>SUMIFS('Historical Orders'!$E252, 'Historical Orders'!$D252, "1", 'Historical Orders'!$C252, "B", 'Historical Orders'!$B252, "1")</f>
        <v>0</v>
      </c>
      <c r="K252" s="157">
        <f>SUMIFS('Historical Orders'!$G252, 'Historical Orders'!$D252, "1", 'Historical Orders'!$C252, "B", 'Historical Orders'!$B252, "1")</f>
        <v>0</v>
      </c>
      <c r="L252" s="159">
        <f>SUMIFS('Historical Orders'!$E252, 'Historical Orders'!$D252, "1", 'Historical Orders'!$C252, "A", 'Historical Orders'!$B252, "2")</f>
        <v>0</v>
      </c>
      <c r="M252" s="157">
        <f>SUMIFS('Historical Orders'!$G252, 'Historical Orders'!$D252, "1", 'Historical Orders'!$C252, "A", 'Historical Orders'!$B252, "2")</f>
        <v>0</v>
      </c>
      <c r="N252" s="157">
        <f>SUMIFS('Historical Orders'!$E252, 'Historical Orders'!$D252, "1", 'Historical Orders'!$C252, "B", 'Historical Orders'!$B252, "2")</f>
        <v>0</v>
      </c>
      <c r="O252" s="157">
        <f>SUMIFS('Historical Orders'!$G252, 'Historical Orders'!$D252, "1", 'Historical Orders'!$C252, "B", 'Historical Orders'!$B252, "2")</f>
        <v>0</v>
      </c>
      <c r="P252" s="159">
        <f>SUMIFS('Historical Orders'!$E252, 'Historical Orders'!$D252, "2", 'Historical Orders'!$C252, "A", 'Historical Orders'!$B252, "1")</f>
        <v>0</v>
      </c>
      <c r="Q252" s="157">
        <f>SUMIFS('Historical Orders'!$G252, 'Historical Orders'!$D252, "2", 'Historical Orders'!$C252, "A", 'Historical Orders'!$B252, "1")</f>
        <v>0</v>
      </c>
      <c r="R252" s="159">
        <f>SUMIFS('Historical Orders'!$E252, 'Historical Orders'!$D252, "2", 'Historical Orders'!$C252, "B", 'Historical Orders'!$B252, "1")</f>
        <v>0</v>
      </c>
      <c r="S252" s="157">
        <f>SUMIFS('Historical Orders'!$G252, 'Historical Orders'!$D252, "2", 'Historical Orders'!$C252, "B", 'Historical Orders'!$B252, "1")</f>
        <v>0</v>
      </c>
      <c r="T252" s="159">
        <f>SUMIFS('Historical Orders'!$E252, 'Historical Orders'!$D252, "2", 'Historical Orders'!$C252, "A", 'Historical Orders'!$B252, "2")</f>
        <v>0</v>
      </c>
      <c r="U252" s="157">
        <f>SUMIFS('Historical Orders'!$G252, 'Historical Orders'!$D252, "2", 'Historical Orders'!$C252, "A", 'Historical Orders'!$B252, "2")</f>
        <v>0</v>
      </c>
      <c r="V252" s="159">
        <f>SUMIFS('Historical Orders'!$E252, 'Historical Orders'!$D252, "2", 'Historical Orders'!$C252, "B", 'Historical Orders'!$B252, "2")</f>
        <v>0</v>
      </c>
      <c r="W252" s="159">
        <f>SUMIFS('Historical Orders'!$G252, 'Historical Orders'!$D252, "2", 'Historical Orders'!$C252, "B", 'Historical Orders'!$B252, "2")</f>
        <v>0</v>
      </c>
      <c r="X252" s="159">
        <f>SUMIFS('Historical Orders'!$E252, 'Historical Orders'!$D252, "3", 'Historical Orders'!$C252, "A", 'Historical Orders'!$B252, "1")</f>
        <v>0</v>
      </c>
      <c r="Y252" s="159">
        <f>SUMIFS('Historical Orders'!$G252, 'Historical Orders'!$D252, "3", 'Historical Orders'!$C252, "A", 'Historical Orders'!$B252, "1")</f>
        <v>0</v>
      </c>
      <c r="Z252" s="159">
        <f>SUMIFS('Historical Orders'!$E252, 'Historical Orders'!$D252, "3", 'Historical Orders'!$C252, "B", 'Historical Orders'!$B252, "1")</f>
        <v>2201</v>
      </c>
      <c r="AA252" s="159">
        <f>SUMIFS('Historical Orders'!$G252, 'Historical Orders'!$D252, "3", 'Historical Orders'!$C252, "B", 'Historical Orders'!$B252, "1")</f>
        <v>18268.3</v>
      </c>
      <c r="AB252" s="159">
        <f>SUMIFS('Historical Orders'!$E252, 'Historical Orders'!$D252, "3", 'Historical Orders'!$C252, "A", 'Historical Orders'!$B252, "2")</f>
        <v>0</v>
      </c>
      <c r="AC252" s="159">
        <f>SUMIFS('Historical Orders'!$G252, 'Historical Orders'!$D252, "3", 'Historical Orders'!$C252, "A", 'Historical Orders'!$B252, "2")</f>
        <v>0</v>
      </c>
      <c r="AD252" s="159">
        <f>SUMIFS('Historical Orders'!$E252, 'Historical Orders'!$D252, "3", 'Historical Orders'!$C252, "B", 'Historical Orders'!$B252, "2")</f>
        <v>0</v>
      </c>
      <c r="AE252" s="157">
        <f>SUMIFS('Historical Orders'!$G252, 'Historical Orders'!$D252, "3", 'Historical Orders'!$C252, "B", 'Historical Orders'!$B252, "2")</f>
        <v>0</v>
      </c>
      <c r="AF252" s="157">
        <f>SUMIFS('Historical Orders'!$E252, 'Historical Orders'!$D252, "4", 'Historical Orders'!$C252, "A", 'Historical Orders'!$B252, "1")</f>
        <v>0</v>
      </c>
      <c r="AG252" s="157">
        <f>SUMIFS('Historical Orders'!$G252, 'Historical Orders'!$D252, "4", 'Historical Orders'!$C252, "A", 'Historical Orders'!$B252, "1")</f>
        <v>0</v>
      </c>
      <c r="AH252" s="157">
        <f>SUMIFS('Historical Orders'!$E252, 'Historical Orders'!$D252, "4", 'Historical Orders'!$C252, "B", 'Historical Orders'!$B252, "1")</f>
        <v>0</v>
      </c>
      <c r="AI252" s="157">
        <f>SUMIFS('Historical Orders'!$G252, 'Historical Orders'!$D252, "4", 'Historical Orders'!$C252, "B", 'Historical Orders'!$B252, "1")</f>
        <v>0</v>
      </c>
      <c r="AJ252" s="157">
        <f>SUMIFS('Historical Orders'!$E252, 'Historical Orders'!$D252, "4", 'Historical Orders'!$C252, "A", 'Historical Orders'!$B252, "2")</f>
        <v>0</v>
      </c>
      <c r="AK252" s="157">
        <f>SUMIFS('Historical Orders'!$G252, 'Historical Orders'!$D252, "4", 'Historical Orders'!$C252, "A", 'Historical Orders'!$B252, "2")</f>
        <v>0</v>
      </c>
      <c r="AL252" s="171">
        <f>SUMIFS('Historical Orders'!$E252, 'Historical Orders'!$D252, "4", 'Historical Orders'!$C252, "B", 'Historical Orders'!$B252, "2")</f>
        <v>0</v>
      </c>
      <c r="AM252" s="171">
        <f>SUMIFS('Historical Orders'!$G252, 'Historical Orders'!$D252, "4", 'Historical Orders'!$C252, "B", 'Historical Orders'!$B252, "2")</f>
        <v>0</v>
      </c>
      <c r="AN252" s="171">
        <f>SUMIFS('Historical Orders'!$G252, 'Historical Orders'!$C252, "A", 'Historical Orders'!$B252, "1")</f>
        <v>0</v>
      </c>
      <c r="AO252" s="171">
        <f>SUMIFS('Historical Orders'!$G252, 'Historical Orders'!$C252, "B", 'Historical Orders'!$B252, "1")</f>
        <v>18268.3</v>
      </c>
      <c r="AP252" s="171">
        <f>SUMIFS('Historical Orders'!$G252, 'Historical Orders'!$C252, "A", 'Historical Orders'!$B252, "2")</f>
        <v>0</v>
      </c>
      <c r="AQ252" s="171">
        <f>SUMIFS('Historical Orders'!$G252, 'Historical Orders'!$C252, "B", 'Historical Orders'!$B252, "2")</f>
        <v>0</v>
      </c>
      <c r="AR252" s="145"/>
      <c r="AS252" s="172"/>
      <c r="AT252" s="172"/>
      <c r="AU252" s="172"/>
      <c r="AV252" s="172"/>
      <c r="AW252" s="172"/>
      <c r="AX252" s="172"/>
      <c r="AY252" s="172"/>
      <c r="AZ252" s="172"/>
      <c r="BA252" s="172"/>
      <c r="BB252" s="172"/>
      <c r="BC252" s="172"/>
      <c r="BD252" s="172"/>
      <c r="BE252" s="172"/>
      <c r="BF252" s="172"/>
      <c r="BG252" s="172"/>
      <c r="BH252" s="172"/>
      <c r="BI252" s="172"/>
      <c r="BJ252" s="172"/>
      <c r="BK252" s="172"/>
      <c r="BL252" s="172"/>
      <c r="BM252" s="172"/>
      <c r="BN252" s="172"/>
      <c r="BO252" s="172"/>
      <c r="BP252" s="172"/>
      <c r="BQ252" s="172"/>
      <c r="BR252" s="172"/>
      <c r="BS252" s="172"/>
      <c r="BT252" s="172"/>
      <c r="BU252" s="172"/>
      <c r="BV252" s="179"/>
      <c r="BW252" s="179"/>
      <c r="BX252" s="179"/>
      <c r="BY252" s="179"/>
      <c r="BZ252" s="179"/>
      <c r="CA252" s="179"/>
      <c r="CB252" s="179"/>
      <c r="CC252" s="179"/>
      <c r="CD252" s="179"/>
      <c r="CE252" s="179"/>
    </row>
    <row r="253" ht="15.75" customHeight="1">
      <c r="A253" s="151">
        <v>42142.0</v>
      </c>
      <c r="B253" s="152">
        <v>2.0</v>
      </c>
      <c r="C253" s="152" t="s">
        <v>46</v>
      </c>
      <c r="D253" s="152">
        <v>3.0</v>
      </c>
      <c r="E253" s="153">
        <v>3006.0</v>
      </c>
      <c r="F253" s="154">
        <v>8.3</v>
      </c>
      <c r="G253" s="155">
        <v>24949.800000000003</v>
      </c>
      <c r="H253" s="159">
        <f>SUMIFS('Historical Orders'!$E253, 'Historical Orders'!$D253, "1", 'Historical Orders'!$C253, "A", 'Historical Orders'!$B253, "1")</f>
        <v>0</v>
      </c>
      <c r="I253" s="157">
        <f>SUMIFS('Historical Orders'!$G253, 'Historical Orders'!$D253, "1", 'Historical Orders'!$C253, "A", 'Historical Orders'!$B253, "1")</f>
        <v>0</v>
      </c>
      <c r="J253" s="157">
        <f>SUMIFS('Historical Orders'!$E253, 'Historical Orders'!$D253, "1", 'Historical Orders'!$C253, "B", 'Historical Orders'!$B253, "1")</f>
        <v>0</v>
      </c>
      <c r="K253" s="157">
        <f>SUMIFS('Historical Orders'!$G253, 'Historical Orders'!$D253, "1", 'Historical Orders'!$C253, "B", 'Historical Orders'!$B253, "1")</f>
        <v>0</v>
      </c>
      <c r="L253" s="159">
        <f>SUMIFS('Historical Orders'!$E253, 'Historical Orders'!$D253, "1", 'Historical Orders'!$C253, "A", 'Historical Orders'!$B253, "2")</f>
        <v>0</v>
      </c>
      <c r="M253" s="157">
        <f>SUMIFS('Historical Orders'!$G253, 'Historical Orders'!$D253, "1", 'Historical Orders'!$C253, "A", 'Historical Orders'!$B253, "2")</f>
        <v>0</v>
      </c>
      <c r="N253" s="157">
        <f>SUMIFS('Historical Orders'!$E253, 'Historical Orders'!$D253, "1", 'Historical Orders'!$C253, "B", 'Historical Orders'!$B253, "2")</f>
        <v>0</v>
      </c>
      <c r="O253" s="157">
        <f>SUMIFS('Historical Orders'!$G253, 'Historical Orders'!$D253, "1", 'Historical Orders'!$C253, "B", 'Historical Orders'!$B253, "2")</f>
        <v>0</v>
      </c>
      <c r="P253" s="159">
        <f>SUMIFS('Historical Orders'!$E253, 'Historical Orders'!$D253, "2", 'Historical Orders'!$C253, "A", 'Historical Orders'!$B253, "1")</f>
        <v>0</v>
      </c>
      <c r="Q253" s="157">
        <f>SUMIFS('Historical Orders'!$G253, 'Historical Orders'!$D253, "2", 'Historical Orders'!$C253, "A", 'Historical Orders'!$B253, "1")</f>
        <v>0</v>
      </c>
      <c r="R253" s="159">
        <f>SUMIFS('Historical Orders'!$E253, 'Historical Orders'!$D253, "2", 'Historical Orders'!$C253, "B", 'Historical Orders'!$B253, "1")</f>
        <v>0</v>
      </c>
      <c r="S253" s="157">
        <f>SUMIFS('Historical Orders'!$G253, 'Historical Orders'!$D253, "2", 'Historical Orders'!$C253, "B", 'Historical Orders'!$B253, "1")</f>
        <v>0</v>
      </c>
      <c r="T253" s="159">
        <f>SUMIFS('Historical Orders'!$E253, 'Historical Orders'!$D253, "2", 'Historical Orders'!$C253, "A", 'Historical Orders'!$B253, "2")</f>
        <v>0</v>
      </c>
      <c r="U253" s="157">
        <f>SUMIFS('Historical Orders'!$G253, 'Historical Orders'!$D253, "2", 'Historical Orders'!$C253, "A", 'Historical Orders'!$B253, "2")</f>
        <v>0</v>
      </c>
      <c r="V253" s="159">
        <f>SUMIFS('Historical Orders'!$E253, 'Historical Orders'!$D253, "2", 'Historical Orders'!$C253, "B", 'Historical Orders'!$B253, "2")</f>
        <v>0</v>
      </c>
      <c r="W253" s="159">
        <f>SUMIFS('Historical Orders'!$G253, 'Historical Orders'!$D253, "2", 'Historical Orders'!$C253, "B", 'Historical Orders'!$B253, "2")</f>
        <v>0</v>
      </c>
      <c r="X253" s="159">
        <f>SUMIFS('Historical Orders'!$E253, 'Historical Orders'!$D253, "3", 'Historical Orders'!$C253, "A", 'Historical Orders'!$B253, "1")</f>
        <v>0</v>
      </c>
      <c r="Y253" s="159">
        <f>SUMIFS('Historical Orders'!$G253, 'Historical Orders'!$D253, "3", 'Historical Orders'!$C253, "A", 'Historical Orders'!$B253, "1")</f>
        <v>0</v>
      </c>
      <c r="Z253" s="159">
        <f>SUMIFS('Historical Orders'!$E253, 'Historical Orders'!$D253, "3", 'Historical Orders'!$C253, "B", 'Historical Orders'!$B253, "1")</f>
        <v>0</v>
      </c>
      <c r="AA253" s="159">
        <f>SUMIFS('Historical Orders'!$G253, 'Historical Orders'!$D253, "3", 'Historical Orders'!$C253, "B", 'Historical Orders'!$B253, "1")</f>
        <v>0</v>
      </c>
      <c r="AB253" s="159">
        <f>SUMIFS('Historical Orders'!$E253, 'Historical Orders'!$D253, "3", 'Historical Orders'!$C253, "A", 'Historical Orders'!$B253, "2")</f>
        <v>0</v>
      </c>
      <c r="AC253" s="159">
        <f>SUMIFS('Historical Orders'!$G253, 'Historical Orders'!$D253, "3", 'Historical Orders'!$C253, "A", 'Historical Orders'!$B253, "2")</f>
        <v>0</v>
      </c>
      <c r="AD253" s="159">
        <f>SUMIFS('Historical Orders'!$E253, 'Historical Orders'!$D253, "3", 'Historical Orders'!$C253, "B", 'Historical Orders'!$B253, "2")</f>
        <v>3006</v>
      </c>
      <c r="AE253" s="157">
        <f>SUMIFS('Historical Orders'!$G253, 'Historical Orders'!$D253, "3", 'Historical Orders'!$C253, "B", 'Historical Orders'!$B253, "2")</f>
        <v>24949.8</v>
      </c>
      <c r="AF253" s="157">
        <f>SUMIFS('Historical Orders'!$E253, 'Historical Orders'!$D253, "4", 'Historical Orders'!$C253, "A", 'Historical Orders'!$B253, "1")</f>
        <v>0</v>
      </c>
      <c r="AG253" s="157">
        <f>SUMIFS('Historical Orders'!$G253, 'Historical Orders'!$D253, "4", 'Historical Orders'!$C253, "A", 'Historical Orders'!$B253, "1")</f>
        <v>0</v>
      </c>
      <c r="AH253" s="157">
        <f>SUMIFS('Historical Orders'!$E253, 'Historical Orders'!$D253, "4", 'Historical Orders'!$C253, "B", 'Historical Orders'!$B253, "1")</f>
        <v>0</v>
      </c>
      <c r="AI253" s="157">
        <f>SUMIFS('Historical Orders'!$G253, 'Historical Orders'!$D253, "4", 'Historical Orders'!$C253, "B", 'Historical Orders'!$B253, "1")</f>
        <v>0</v>
      </c>
      <c r="AJ253" s="157">
        <f>SUMIFS('Historical Orders'!$E253, 'Historical Orders'!$D253, "4", 'Historical Orders'!$C253, "A", 'Historical Orders'!$B253, "2")</f>
        <v>0</v>
      </c>
      <c r="AK253" s="157">
        <f>SUMIFS('Historical Orders'!$G253, 'Historical Orders'!$D253, "4", 'Historical Orders'!$C253, "A", 'Historical Orders'!$B253, "2")</f>
        <v>0</v>
      </c>
      <c r="AL253" s="171">
        <f>SUMIFS('Historical Orders'!$E253, 'Historical Orders'!$D253, "4", 'Historical Orders'!$C253, "B", 'Historical Orders'!$B253, "2")</f>
        <v>0</v>
      </c>
      <c r="AM253" s="171">
        <f>SUMIFS('Historical Orders'!$G253, 'Historical Orders'!$D253, "4", 'Historical Orders'!$C253, "B", 'Historical Orders'!$B253, "2")</f>
        <v>0</v>
      </c>
      <c r="AN253" s="171">
        <f>SUMIFS('Historical Orders'!$G253, 'Historical Orders'!$C253, "A", 'Historical Orders'!$B253, "1")</f>
        <v>0</v>
      </c>
      <c r="AO253" s="171">
        <f>SUMIFS('Historical Orders'!$G253, 'Historical Orders'!$C253, "B", 'Historical Orders'!$B253, "1")</f>
        <v>0</v>
      </c>
      <c r="AP253" s="171">
        <f>SUMIFS('Historical Orders'!$G253, 'Historical Orders'!$C253, "A", 'Historical Orders'!$B253, "2")</f>
        <v>0</v>
      </c>
      <c r="AQ253" s="171">
        <f>SUMIFS('Historical Orders'!$G253, 'Historical Orders'!$C253, "B", 'Historical Orders'!$B253, "2")</f>
        <v>24949.8</v>
      </c>
      <c r="AR253" s="145"/>
      <c r="AS253" s="172"/>
      <c r="AT253" s="172"/>
      <c r="AU253" s="172"/>
      <c r="AV253" s="172"/>
      <c r="AW253" s="172"/>
      <c r="AX253" s="172"/>
      <c r="AY253" s="172"/>
      <c r="AZ253" s="172"/>
      <c r="BA253" s="172"/>
      <c r="BB253" s="172"/>
      <c r="BC253" s="172"/>
      <c r="BD253" s="172"/>
      <c r="BE253" s="172"/>
      <c r="BF253" s="172"/>
      <c r="BG253" s="172"/>
      <c r="BH253" s="172"/>
      <c r="BI253" s="172"/>
      <c r="BJ253" s="172"/>
      <c r="BK253" s="172"/>
      <c r="BL253" s="172"/>
      <c r="BM253" s="172"/>
      <c r="BN253" s="172"/>
      <c r="BO253" s="172"/>
      <c r="BP253" s="172"/>
      <c r="BQ253" s="172"/>
      <c r="BR253" s="172"/>
      <c r="BS253" s="172"/>
      <c r="BT253" s="172"/>
      <c r="BU253" s="172"/>
      <c r="BV253" s="179"/>
      <c r="BW253" s="179"/>
      <c r="BX253" s="179"/>
      <c r="BY253" s="179"/>
      <c r="BZ253" s="179"/>
      <c r="CA253" s="179"/>
      <c r="CB253" s="179"/>
      <c r="CC253" s="179"/>
      <c r="CD253" s="179"/>
      <c r="CE253" s="179"/>
    </row>
    <row r="254" ht="15.75" customHeight="1">
      <c r="A254" s="151">
        <v>42149.0</v>
      </c>
      <c r="B254" s="152">
        <v>1.0</v>
      </c>
      <c r="C254" s="152" t="s">
        <v>45</v>
      </c>
      <c r="D254" s="152">
        <v>1.0</v>
      </c>
      <c r="E254" s="153">
        <v>5253.0</v>
      </c>
      <c r="F254" s="154">
        <v>2.2</v>
      </c>
      <c r="G254" s="155">
        <v>11556.6</v>
      </c>
      <c r="H254" s="159">
        <f>SUMIFS('Historical Orders'!$E254, 'Historical Orders'!$D254, "1", 'Historical Orders'!$C254, "A", 'Historical Orders'!$B254, "1")</f>
        <v>5253</v>
      </c>
      <c r="I254" s="157">
        <f>SUMIFS('Historical Orders'!$G254, 'Historical Orders'!$D254, "1", 'Historical Orders'!$C254, "A", 'Historical Orders'!$B254, "1")</f>
        <v>11556.6</v>
      </c>
      <c r="J254" s="157">
        <f>SUMIFS('Historical Orders'!$E254, 'Historical Orders'!$D254, "1", 'Historical Orders'!$C254, "B", 'Historical Orders'!$B254, "1")</f>
        <v>0</v>
      </c>
      <c r="K254" s="157">
        <f>SUMIFS('Historical Orders'!$G254, 'Historical Orders'!$D254, "1", 'Historical Orders'!$C254, "B", 'Historical Orders'!$B254, "1")</f>
        <v>0</v>
      </c>
      <c r="L254" s="159">
        <f>SUMIFS('Historical Orders'!$E254, 'Historical Orders'!$D254, "1", 'Historical Orders'!$C254, "A", 'Historical Orders'!$B254, "2")</f>
        <v>0</v>
      </c>
      <c r="M254" s="157">
        <f>SUMIFS('Historical Orders'!$G254, 'Historical Orders'!$D254, "1", 'Historical Orders'!$C254, "A", 'Historical Orders'!$B254, "2")</f>
        <v>0</v>
      </c>
      <c r="N254" s="157">
        <f>SUMIFS('Historical Orders'!$E254, 'Historical Orders'!$D254, "1", 'Historical Orders'!$C254, "B", 'Historical Orders'!$B254, "2")</f>
        <v>0</v>
      </c>
      <c r="O254" s="157">
        <f>SUMIFS('Historical Orders'!$G254, 'Historical Orders'!$D254, "1", 'Historical Orders'!$C254, "B", 'Historical Orders'!$B254, "2")</f>
        <v>0</v>
      </c>
      <c r="P254" s="159">
        <f>SUMIFS('Historical Orders'!$E254, 'Historical Orders'!$D254, "2", 'Historical Orders'!$C254, "A", 'Historical Orders'!$B254, "1")</f>
        <v>0</v>
      </c>
      <c r="Q254" s="157">
        <f>SUMIFS('Historical Orders'!$G254, 'Historical Orders'!$D254, "2", 'Historical Orders'!$C254, "A", 'Historical Orders'!$B254, "1")</f>
        <v>0</v>
      </c>
      <c r="R254" s="159">
        <f>SUMIFS('Historical Orders'!$E254, 'Historical Orders'!$D254, "2", 'Historical Orders'!$C254, "B", 'Historical Orders'!$B254, "1")</f>
        <v>0</v>
      </c>
      <c r="S254" s="157">
        <f>SUMIFS('Historical Orders'!$G254, 'Historical Orders'!$D254, "2", 'Historical Orders'!$C254, "B", 'Historical Orders'!$B254, "1")</f>
        <v>0</v>
      </c>
      <c r="T254" s="159">
        <f>SUMIFS('Historical Orders'!$E254, 'Historical Orders'!$D254, "2", 'Historical Orders'!$C254, "A", 'Historical Orders'!$B254, "2")</f>
        <v>0</v>
      </c>
      <c r="U254" s="157">
        <f>SUMIFS('Historical Orders'!$G254, 'Historical Orders'!$D254, "2", 'Historical Orders'!$C254, "A", 'Historical Orders'!$B254, "2")</f>
        <v>0</v>
      </c>
      <c r="V254" s="159">
        <f>SUMIFS('Historical Orders'!$E254, 'Historical Orders'!$D254, "2", 'Historical Orders'!$C254, "B", 'Historical Orders'!$B254, "2")</f>
        <v>0</v>
      </c>
      <c r="W254" s="159">
        <f>SUMIFS('Historical Orders'!$G254, 'Historical Orders'!$D254, "2", 'Historical Orders'!$C254, "B", 'Historical Orders'!$B254, "2")</f>
        <v>0</v>
      </c>
      <c r="X254" s="159">
        <f>SUMIFS('Historical Orders'!$E254, 'Historical Orders'!$D254, "3", 'Historical Orders'!$C254, "A", 'Historical Orders'!$B254, "1")</f>
        <v>0</v>
      </c>
      <c r="Y254" s="159">
        <f>SUMIFS('Historical Orders'!$G254, 'Historical Orders'!$D254, "3", 'Historical Orders'!$C254, "A", 'Historical Orders'!$B254, "1")</f>
        <v>0</v>
      </c>
      <c r="Z254" s="159">
        <f>SUMIFS('Historical Orders'!$E254, 'Historical Orders'!$D254, "3", 'Historical Orders'!$C254, "B", 'Historical Orders'!$B254, "1")</f>
        <v>0</v>
      </c>
      <c r="AA254" s="159">
        <f>SUMIFS('Historical Orders'!$G254, 'Historical Orders'!$D254, "3", 'Historical Orders'!$C254, "B", 'Historical Orders'!$B254, "1")</f>
        <v>0</v>
      </c>
      <c r="AB254" s="159">
        <f>SUMIFS('Historical Orders'!$E254, 'Historical Orders'!$D254, "3", 'Historical Orders'!$C254, "A", 'Historical Orders'!$B254, "2")</f>
        <v>0</v>
      </c>
      <c r="AC254" s="159">
        <f>SUMIFS('Historical Orders'!$G254, 'Historical Orders'!$D254, "3", 'Historical Orders'!$C254, "A", 'Historical Orders'!$B254, "2")</f>
        <v>0</v>
      </c>
      <c r="AD254" s="159">
        <f>SUMIFS('Historical Orders'!$E254, 'Historical Orders'!$D254, "3", 'Historical Orders'!$C254, "B", 'Historical Orders'!$B254, "2")</f>
        <v>0</v>
      </c>
      <c r="AE254" s="157">
        <f>SUMIFS('Historical Orders'!$G254, 'Historical Orders'!$D254, "3", 'Historical Orders'!$C254, "B", 'Historical Orders'!$B254, "2")</f>
        <v>0</v>
      </c>
      <c r="AF254" s="157">
        <f>SUMIFS('Historical Orders'!$E254, 'Historical Orders'!$D254, "4", 'Historical Orders'!$C254, "A", 'Historical Orders'!$B254, "1")</f>
        <v>0</v>
      </c>
      <c r="AG254" s="157">
        <f>SUMIFS('Historical Orders'!$G254, 'Historical Orders'!$D254, "4", 'Historical Orders'!$C254, "A", 'Historical Orders'!$B254, "1")</f>
        <v>0</v>
      </c>
      <c r="AH254" s="157">
        <f>SUMIFS('Historical Orders'!$E254, 'Historical Orders'!$D254, "4", 'Historical Orders'!$C254, "B", 'Historical Orders'!$B254, "1")</f>
        <v>0</v>
      </c>
      <c r="AI254" s="157">
        <f>SUMIFS('Historical Orders'!$G254, 'Historical Orders'!$D254, "4", 'Historical Orders'!$C254, "B", 'Historical Orders'!$B254, "1")</f>
        <v>0</v>
      </c>
      <c r="AJ254" s="157">
        <f>SUMIFS('Historical Orders'!$E254, 'Historical Orders'!$D254, "4", 'Historical Orders'!$C254, "A", 'Historical Orders'!$B254, "2")</f>
        <v>0</v>
      </c>
      <c r="AK254" s="157">
        <f>SUMIFS('Historical Orders'!$G254, 'Historical Orders'!$D254, "4", 'Historical Orders'!$C254, "A", 'Historical Orders'!$B254, "2")</f>
        <v>0</v>
      </c>
      <c r="AL254" s="171">
        <f>SUMIFS('Historical Orders'!$E254, 'Historical Orders'!$D254, "4", 'Historical Orders'!$C254, "B", 'Historical Orders'!$B254, "2")</f>
        <v>0</v>
      </c>
      <c r="AM254" s="171">
        <f>SUMIFS('Historical Orders'!$G254, 'Historical Orders'!$D254, "4", 'Historical Orders'!$C254, "B", 'Historical Orders'!$B254, "2")</f>
        <v>0</v>
      </c>
      <c r="AN254" s="171">
        <f>SUMIFS('Historical Orders'!$G254, 'Historical Orders'!$C254, "A", 'Historical Orders'!$B254, "1")</f>
        <v>11556.6</v>
      </c>
      <c r="AO254" s="171">
        <f>SUMIFS('Historical Orders'!$G254, 'Historical Orders'!$C254, "B", 'Historical Orders'!$B254, "1")</f>
        <v>0</v>
      </c>
      <c r="AP254" s="171">
        <f>SUMIFS('Historical Orders'!$G254, 'Historical Orders'!$C254, "A", 'Historical Orders'!$B254, "2")</f>
        <v>0</v>
      </c>
      <c r="AQ254" s="171">
        <f>SUMIFS('Historical Orders'!$G254, 'Historical Orders'!$C254, "B", 'Historical Orders'!$B254, "2")</f>
        <v>0</v>
      </c>
      <c r="AR254" s="145"/>
      <c r="AS254" s="172"/>
      <c r="AT254" s="172"/>
      <c r="AU254" s="172"/>
      <c r="AV254" s="172"/>
      <c r="AW254" s="172"/>
      <c r="AX254" s="172"/>
      <c r="AY254" s="172"/>
      <c r="AZ254" s="172"/>
      <c r="BA254" s="172"/>
      <c r="BB254" s="172"/>
      <c r="BC254" s="172"/>
      <c r="BD254" s="172"/>
      <c r="BE254" s="172"/>
      <c r="BF254" s="172"/>
      <c r="BG254" s="172"/>
      <c r="BH254" s="172"/>
      <c r="BI254" s="172"/>
      <c r="BJ254" s="172"/>
      <c r="BK254" s="172"/>
      <c r="BL254" s="172"/>
      <c r="BM254" s="172"/>
      <c r="BN254" s="172"/>
      <c r="BO254" s="172"/>
      <c r="BP254" s="172"/>
      <c r="BQ254" s="172"/>
      <c r="BR254" s="172"/>
      <c r="BS254" s="172"/>
      <c r="BT254" s="172"/>
      <c r="BU254" s="172"/>
      <c r="BV254" s="179"/>
      <c r="BW254" s="179"/>
      <c r="BX254" s="179"/>
      <c r="BY254" s="179"/>
      <c r="BZ254" s="179"/>
      <c r="CA254" s="179"/>
      <c r="CB254" s="179"/>
      <c r="CC254" s="179"/>
      <c r="CD254" s="179"/>
      <c r="CE254" s="179"/>
    </row>
    <row r="255" ht="15.75" customHeight="1">
      <c r="A255" s="151">
        <v>42149.0</v>
      </c>
      <c r="B255" s="152">
        <v>1.0</v>
      </c>
      <c r="C255" s="152" t="s">
        <v>45</v>
      </c>
      <c r="D255" s="152">
        <v>2.0</v>
      </c>
      <c r="E255" s="153">
        <v>6050.0</v>
      </c>
      <c r="F255" s="154">
        <v>1.2</v>
      </c>
      <c r="G255" s="155">
        <v>7260.0</v>
      </c>
      <c r="H255" s="159">
        <f>SUMIFS('Historical Orders'!$E255, 'Historical Orders'!$D255, "1", 'Historical Orders'!$C255, "A", 'Historical Orders'!$B255, "1")</f>
        <v>0</v>
      </c>
      <c r="I255" s="157">
        <f>SUMIFS('Historical Orders'!$G255, 'Historical Orders'!$D255, "1", 'Historical Orders'!$C255, "A", 'Historical Orders'!$B255, "1")</f>
        <v>0</v>
      </c>
      <c r="J255" s="157">
        <f>SUMIFS('Historical Orders'!$E255, 'Historical Orders'!$D255, "1", 'Historical Orders'!$C255, "B", 'Historical Orders'!$B255, "1")</f>
        <v>0</v>
      </c>
      <c r="K255" s="157">
        <f>SUMIFS('Historical Orders'!$G255, 'Historical Orders'!$D255, "1", 'Historical Orders'!$C255, "B", 'Historical Orders'!$B255, "1")</f>
        <v>0</v>
      </c>
      <c r="L255" s="159">
        <f>SUMIFS('Historical Orders'!$E255, 'Historical Orders'!$D255, "1", 'Historical Orders'!$C255, "A", 'Historical Orders'!$B255, "2")</f>
        <v>0</v>
      </c>
      <c r="M255" s="157">
        <f>SUMIFS('Historical Orders'!$G255, 'Historical Orders'!$D255, "1", 'Historical Orders'!$C255, "A", 'Historical Orders'!$B255, "2")</f>
        <v>0</v>
      </c>
      <c r="N255" s="157">
        <f>SUMIFS('Historical Orders'!$E255, 'Historical Orders'!$D255, "1", 'Historical Orders'!$C255, "B", 'Historical Orders'!$B255, "2")</f>
        <v>0</v>
      </c>
      <c r="O255" s="157">
        <f>SUMIFS('Historical Orders'!$G255, 'Historical Orders'!$D255, "1", 'Historical Orders'!$C255, "B", 'Historical Orders'!$B255, "2")</f>
        <v>0</v>
      </c>
      <c r="P255" s="159">
        <f>SUMIFS('Historical Orders'!$E255, 'Historical Orders'!$D255, "2", 'Historical Orders'!$C255, "A", 'Historical Orders'!$B255, "1")</f>
        <v>6050</v>
      </c>
      <c r="Q255" s="157">
        <f>SUMIFS('Historical Orders'!$G255, 'Historical Orders'!$D255, "2", 'Historical Orders'!$C255, "A", 'Historical Orders'!$B255, "1")</f>
        <v>7260</v>
      </c>
      <c r="R255" s="159">
        <f>SUMIFS('Historical Orders'!$E255, 'Historical Orders'!$D255, "2", 'Historical Orders'!$C255, "B", 'Historical Orders'!$B255, "1")</f>
        <v>0</v>
      </c>
      <c r="S255" s="157">
        <f>SUMIFS('Historical Orders'!$G255, 'Historical Orders'!$D255, "2", 'Historical Orders'!$C255, "B", 'Historical Orders'!$B255, "1")</f>
        <v>0</v>
      </c>
      <c r="T255" s="159">
        <f>SUMIFS('Historical Orders'!$E255, 'Historical Orders'!$D255, "2", 'Historical Orders'!$C255, "A", 'Historical Orders'!$B255, "2")</f>
        <v>0</v>
      </c>
      <c r="U255" s="157">
        <f>SUMIFS('Historical Orders'!$G255, 'Historical Orders'!$D255, "2", 'Historical Orders'!$C255, "A", 'Historical Orders'!$B255, "2")</f>
        <v>0</v>
      </c>
      <c r="V255" s="159">
        <f>SUMIFS('Historical Orders'!$E255, 'Historical Orders'!$D255, "2", 'Historical Orders'!$C255, "B", 'Historical Orders'!$B255, "2")</f>
        <v>0</v>
      </c>
      <c r="W255" s="159">
        <f>SUMIFS('Historical Orders'!$G255, 'Historical Orders'!$D255, "2", 'Historical Orders'!$C255, "B", 'Historical Orders'!$B255, "2")</f>
        <v>0</v>
      </c>
      <c r="X255" s="159">
        <f>SUMIFS('Historical Orders'!$E255, 'Historical Orders'!$D255, "3", 'Historical Orders'!$C255, "A", 'Historical Orders'!$B255, "1")</f>
        <v>0</v>
      </c>
      <c r="Y255" s="159">
        <f>SUMIFS('Historical Orders'!$G255, 'Historical Orders'!$D255, "3", 'Historical Orders'!$C255, "A", 'Historical Orders'!$B255, "1")</f>
        <v>0</v>
      </c>
      <c r="Z255" s="159">
        <f>SUMIFS('Historical Orders'!$E255, 'Historical Orders'!$D255, "3", 'Historical Orders'!$C255, "B", 'Historical Orders'!$B255, "1")</f>
        <v>0</v>
      </c>
      <c r="AA255" s="159">
        <f>SUMIFS('Historical Orders'!$G255, 'Historical Orders'!$D255, "3", 'Historical Orders'!$C255, "B", 'Historical Orders'!$B255, "1")</f>
        <v>0</v>
      </c>
      <c r="AB255" s="159">
        <f>SUMIFS('Historical Orders'!$E255, 'Historical Orders'!$D255, "3", 'Historical Orders'!$C255, "A", 'Historical Orders'!$B255, "2")</f>
        <v>0</v>
      </c>
      <c r="AC255" s="159">
        <f>SUMIFS('Historical Orders'!$G255, 'Historical Orders'!$D255, "3", 'Historical Orders'!$C255, "A", 'Historical Orders'!$B255, "2")</f>
        <v>0</v>
      </c>
      <c r="AD255" s="159">
        <f>SUMIFS('Historical Orders'!$E255, 'Historical Orders'!$D255, "3", 'Historical Orders'!$C255, "B", 'Historical Orders'!$B255, "2")</f>
        <v>0</v>
      </c>
      <c r="AE255" s="157">
        <f>SUMIFS('Historical Orders'!$G255, 'Historical Orders'!$D255, "3", 'Historical Orders'!$C255, "B", 'Historical Orders'!$B255, "2")</f>
        <v>0</v>
      </c>
      <c r="AF255" s="157">
        <f>SUMIFS('Historical Orders'!$E255, 'Historical Orders'!$D255, "4", 'Historical Orders'!$C255, "A", 'Historical Orders'!$B255, "1")</f>
        <v>0</v>
      </c>
      <c r="AG255" s="157">
        <f>SUMIFS('Historical Orders'!$G255, 'Historical Orders'!$D255, "4", 'Historical Orders'!$C255, "A", 'Historical Orders'!$B255, "1")</f>
        <v>0</v>
      </c>
      <c r="AH255" s="157">
        <f>SUMIFS('Historical Orders'!$E255, 'Historical Orders'!$D255, "4", 'Historical Orders'!$C255, "B", 'Historical Orders'!$B255, "1")</f>
        <v>0</v>
      </c>
      <c r="AI255" s="157">
        <f>SUMIFS('Historical Orders'!$G255, 'Historical Orders'!$D255, "4", 'Historical Orders'!$C255, "B", 'Historical Orders'!$B255, "1")</f>
        <v>0</v>
      </c>
      <c r="AJ255" s="157">
        <f>SUMIFS('Historical Orders'!$E255, 'Historical Orders'!$D255, "4", 'Historical Orders'!$C255, "A", 'Historical Orders'!$B255, "2")</f>
        <v>0</v>
      </c>
      <c r="AK255" s="157">
        <f>SUMIFS('Historical Orders'!$G255, 'Historical Orders'!$D255, "4", 'Historical Orders'!$C255, "A", 'Historical Orders'!$B255, "2")</f>
        <v>0</v>
      </c>
      <c r="AL255" s="171">
        <f>SUMIFS('Historical Orders'!$E255, 'Historical Orders'!$D255, "4", 'Historical Orders'!$C255, "B", 'Historical Orders'!$B255, "2")</f>
        <v>0</v>
      </c>
      <c r="AM255" s="171">
        <f>SUMIFS('Historical Orders'!$G255, 'Historical Orders'!$D255, "4", 'Historical Orders'!$C255, "B", 'Historical Orders'!$B255, "2")</f>
        <v>0</v>
      </c>
      <c r="AN255" s="171">
        <f>SUMIFS('Historical Orders'!$G255, 'Historical Orders'!$C255, "A", 'Historical Orders'!$B255, "1")</f>
        <v>7260</v>
      </c>
      <c r="AO255" s="171">
        <f>SUMIFS('Historical Orders'!$G255, 'Historical Orders'!$C255, "B", 'Historical Orders'!$B255, "1")</f>
        <v>0</v>
      </c>
      <c r="AP255" s="171">
        <f>SUMIFS('Historical Orders'!$G255, 'Historical Orders'!$C255, "A", 'Historical Orders'!$B255, "2")</f>
        <v>0</v>
      </c>
      <c r="AQ255" s="171">
        <f>SUMIFS('Historical Orders'!$G255, 'Historical Orders'!$C255, "B", 'Historical Orders'!$B255, "2")</f>
        <v>0</v>
      </c>
      <c r="AR255" s="145"/>
      <c r="AS255" s="172"/>
      <c r="AT255" s="172"/>
      <c r="AU255" s="172"/>
      <c r="AV255" s="172"/>
      <c r="AW255" s="172"/>
      <c r="AX255" s="172"/>
      <c r="AY255" s="172"/>
      <c r="AZ255" s="172"/>
      <c r="BA255" s="172"/>
      <c r="BB255" s="172"/>
      <c r="BC255" s="172"/>
      <c r="BD255" s="172"/>
      <c r="BE255" s="172"/>
      <c r="BF255" s="172"/>
      <c r="BG255" s="172"/>
      <c r="BH255" s="172"/>
      <c r="BI255" s="172"/>
      <c r="BJ255" s="172"/>
      <c r="BK255" s="172"/>
      <c r="BL255" s="172"/>
      <c r="BM255" s="172"/>
      <c r="BN255" s="172"/>
      <c r="BO255" s="172"/>
      <c r="BP255" s="172"/>
      <c r="BQ255" s="172"/>
      <c r="BR255" s="172"/>
      <c r="BS255" s="172"/>
      <c r="BT255" s="172"/>
      <c r="BU255" s="172"/>
      <c r="BV255" s="179"/>
      <c r="BW255" s="179"/>
      <c r="BX255" s="179"/>
      <c r="BY255" s="179"/>
      <c r="BZ255" s="179"/>
      <c r="CA255" s="179"/>
      <c r="CB255" s="179"/>
      <c r="CC255" s="179"/>
      <c r="CD255" s="179"/>
      <c r="CE255" s="179"/>
    </row>
    <row r="256" ht="15.75" customHeight="1">
      <c r="A256" s="151">
        <v>42149.0</v>
      </c>
      <c r="B256" s="152">
        <v>2.0</v>
      </c>
      <c r="C256" s="152" t="s">
        <v>45</v>
      </c>
      <c r="D256" s="152">
        <v>1.0</v>
      </c>
      <c r="E256" s="153">
        <v>4415.0</v>
      </c>
      <c r="F256" s="154">
        <v>2.2</v>
      </c>
      <c r="G256" s="155">
        <v>9713.0</v>
      </c>
      <c r="H256" s="159">
        <f>SUMIFS('Historical Orders'!$E256, 'Historical Orders'!$D256, "1", 'Historical Orders'!$C256, "A", 'Historical Orders'!$B256, "1")</f>
        <v>0</v>
      </c>
      <c r="I256" s="157">
        <f>SUMIFS('Historical Orders'!$G256, 'Historical Orders'!$D256, "1", 'Historical Orders'!$C256, "A", 'Historical Orders'!$B256, "1")</f>
        <v>0</v>
      </c>
      <c r="J256" s="157">
        <f>SUMIFS('Historical Orders'!$E256, 'Historical Orders'!$D256, "1", 'Historical Orders'!$C256, "B", 'Historical Orders'!$B256, "1")</f>
        <v>0</v>
      </c>
      <c r="K256" s="157">
        <f>SUMIFS('Historical Orders'!$G256, 'Historical Orders'!$D256, "1", 'Historical Orders'!$C256, "B", 'Historical Orders'!$B256, "1")</f>
        <v>0</v>
      </c>
      <c r="L256" s="159">
        <f>SUMIFS('Historical Orders'!$E256, 'Historical Orders'!$D256, "1", 'Historical Orders'!$C256, "A", 'Historical Orders'!$B256, "2")</f>
        <v>4415</v>
      </c>
      <c r="M256" s="157">
        <f>SUMIFS('Historical Orders'!$G256, 'Historical Orders'!$D256, "1", 'Historical Orders'!$C256, "A", 'Historical Orders'!$B256, "2")</f>
        <v>9713</v>
      </c>
      <c r="N256" s="157">
        <f>SUMIFS('Historical Orders'!$E256, 'Historical Orders'!$D256, "1", 'Historical Orders'!$C256, "B", 'Historical Orders'!$B256, "2")</f>
        <v>0</v>
      </c>
      <c r="O256" s="157">
        <f>SUMIFS('Historical Orders'!$G256, 'Historical Orders'!$D256, "1", 'Historical Orders'!$C256, "B", 'Historical Orders'!$B256, "2")</f>
        <v>0</v>
      </c>
      <c r="P256" s="159">
        <f>SUMIFS('Historical Orders'!$E256, 'Historical Orders'!$D256, "2", 'Historical Orders'!$C256, "A", 'Historical Orders'!$B256, "1")</f>
        <v>0</v>
      </c>
      <c r="Q256" s="157">
        <f>SUMIFS('Historical Orders'!$G256, 'Historical Orders'!$D256, "2", 'Historical Orders'!$C256, "A", 'Historical Orders'!$B256, "1")</f>
        <v>0</v>
      </c>
      <c r="R256" s="159">
        <f>SUMIFS('Historical Orders'!$E256, 'Historical Orders'!$D256, "2", 'Historical Orders'!$C256, "B", 'Historical Orders'!$B256, "1")</f>
        <v>0</v>
      </c>
      <c r="S256" s="157">
        <f>SUMIFS('Historical Orders'!$G256, 'Historical Orders'!$D256, "2", 'Historical Orders'!$C256, "B", 'Historical Orders'!$B256, "1")</f>
        <v>0</v>
      </c>
      <c r="T256" s="159">
        <f>SUMIFS('Historical Orders'!$E256, 'Historical Orders'!$D256, "2", 'Historical Orders'!$C256, "A", 'Historical Orders'!$B256, "2")</f>
        <v>0</v>
      </c>
      <c r="U256" s="157">
        <f>SUMIFS('Historical Orders'!$G256, 'Historical Orders'!$D256, "2", 'Historical Orders'!$C256, "A", 'Historical Orders'!$B256, "2")</f>
        <v>0</v>
      </c>
      <c r="V256" s="159">
        <f>SUMIFS('Historical Orders'!$E256, 'Historical Orders'!$D256, "2", 'Historical Orders'!$C256, "B", 'Historical Orders'!$B256, "2")</f>
        <v>0</v>
      </c>
      <c r="W256" s="159">
        <f>SUMIFS('Historical Orders'!$G256, 'Historical Orders'!$D256, "2", 'Historical Orders'!$C256, "B", 'Historical Orders'!$B256, "2")</f>
        <v>0</v>
      </c>
      <c r="X256" s="159">
        <f>SUMIFS('Historical Orders'!$E256, 'Historical Orders'!$D256, "3", 'Historical Orders'!$C256, "A", 'Historical Orders'!$B256, "1")</f>
        <v>0</v>
      </c>
      <c r="Y256" s="159">
        <f>SUMIFS('Historical Orders'!$G256, 'Historical Orders'!$D256, "3", 'Historical Orders'!$C256, "A", 'Historical Orders'!$B256, "1")</f>
        <v>0</v>
      </c>
      <c r="Z256" s="159">
        <f>SUMIFS('Historical Orders'!$E256, 'Historical Orders'!$D256, "3", 'Historical Orders'!$C256, "B", 'Historical Orders'!$B256, "1")</f>
        <v>0</v>
      </c>
      <c r="AA256" s="159">
        <f>SUMIFS('Historical Orders'!$G256, 'Historical Orders'!$D256, "3", 'Historical Orders'!$C256, "B", 'Historical Orders'!$B256, "1")</f>
        <v>0</v>
      </c>
      <c r="AB256" s="159">
        <f>SUMIFS('Historical Orders'!$E256, 'Historical Orders'!$D256, "3", 'Historical Orders'!$C256, "A", 'Historical Orders'!$B256, "2")</f>
        <v>0</v>
      </c>
      <c r="AC256" s="159">
        <f>SUMIFS('Historical Orders'!$G256, 'Historical Orders'!$D256, "3", 'Historical Orders'!$C256, "A", 'Historical Orders'!$B256, "2")</f>
        <v>0</v>
      </c>
      <c r="AD256" s="159">
        <f>SUMIFS('Historical Orders'!$E256, 'Historical Orders'!$D256, "3", 'Historical Orders'!$C256, "B", 'Historical Orders'!$B256, "2")</f>
        <v>0</v>
      </c>
      <c r="AE256" s="157">
        <f>SUMIFS('Historical Orders'!$G256, 'Historical Orders'!$D256, "3", 'Historical Orders'!$C256, "B", 'Historical Orders'!$B256, "2")</f>
        <v>0</v>
      </c>
      <c r="AF256" s="157">
        <f>SUMIFS('Historical Orders'!$E256, 'Historical Orders'!$D256, "4", 'Historical Orders'!$C256, "A", 'Historical Orders'!$B256, "1")</f>
        <v>0</v>
      </c>
      <c r="AG256" s="157">
        <f>SUMIFS('Historical Orders'!$G256, 'Historical Orders'!$D256, "4", 'Historical Orders'!$C256, "A", 'Historical Orders'!$B256, "1")</f>
        <v>0</v>
      </c>
      <c r="AH256" s="157">
        <f>SUMIFS('Historical Orders'!$E256, 'Historical Orders'!$D256, "4", 'Historical Orders'!$C256, "B", 'Historical Orders'!$B256, "1")</f>
        <v>0</v>
      </c>
      <c r="AI256" s="157">
        <f>SUMIFS('Historical Orders'!$G256, 'Historical Orders'!$D256, "4", 'Historical Orders'!$C256, "B", 'Historical Orders'!$B256, "1")</f>
        <v>0</v>
      </c>
      <c r="AJ256" s="157">
        <f>SUMIFS('Historical Orders'!$E256, 'Historical Orders'!$D256, "4", 'Historical Orders'!$C256, "A", 'Historical Orders'!$B256, "2")</f>
        <v>0</v>
      </c>
      <c r="AK256" s="157">
        <f>SUMIFS('Historical Orders'!$G256, 'Historical Orders'!$D256, "4", 'Historical Orders'!$C256, "A", 'Historical Orders'!$B256, "2")</f>
        <v>0</v>
      </c>
      <c r="AL256" s="171">
        <f>SUMIFS('Historical Orders'!$E256, 'Historical Orders'!$D256, "4", 'Historical Orders'!$C256, "B", 'Historical Orders'!$B256, "2")</f>
        <v>0</v>
      </c>
      <c r="AM256" s="171">
        <f>SUMIFS('Historical Orders'!$G256, 'Historical Orders'!$D256, "4", 'Historical Orders'!$C256, "B", 'Historical Orders'!$B256, "2")</f>
        <v>0</v>
      </c>
      <c r="AN256" s="171">
        <f>SUMIFS('Historical Orders'!$G256, 'Historical Orders'!$C256, "A", 'Historical Orders'!$B256, "1")</f>
        <v>0</v>
      </c>
      <c r="AO256" s="171">
        <f>SUMIFS('Historical Orders'!$G256, 'Historical Orders'!$C256, "B", 'Historical Orders'!$B256, "1")</f>
        <v>0</v>
      </c>
      <c r="AP256" s="171">
        <f>SUMIFS('Historical Orders'!$G256, 'Historical Orders'!$C256, "A", 'Historical Orders'!$B256, "2")</f>
        <v>9713</v>
      </c>
      <c r="AQ256" s="171">
        <f>SUMIFS('Historical Orders'!$G256, 'Historical Orders'!$C256, "B", 'Historical Orders'!$B256, "2")</f>
        <v>0</v>
      </c>
      <c r="AR256" s="145"/>
      <c r="AS256" s="172"/>
      <c r="AT256" s="172"/>
      <c r="AU256" s="172"/>
      <c r="AV256" s="172"/>
      <c r="AW256" s="172"/>
      <c r="AX256" s="172"/>
      <c r="AY256" s="172"/>
      <c r="AZ256" s="172"/>
      <c r="BA256" s="172"/>
      <c r="BB256" s="172"/>
      <c r="BC256" s="172"/>
      <c r="BD256" s="172"/>
      <c r="BE256" s="172"/>
      <c r="BF256" s="172"/>
      <c r="BG256" s="172"/>
      <c r="BH256" s="172"/>
      <c r="BI256" s="172"/>
      <c r="BJ256" s="172"/>
      <c r="BK256" s="172"/>
      <c r="BL256" s="172"/>
      <c r="BM256" s="172"/>
      <c r="BN256" s="172"/>
      <c r="BO256" s="172"/>
      <c r="BP256" s="172"/>
      <c r="BQ256" s="172"/>
      <c r="BR256" s="172"/>
      <c r="BS256" s="172"/>
      <c r="BT256" s="172"/>
      <c r="BU256" s="172"/>
      <c r="BV256" s="179"/>
      <c r="BW256" s="179"/>
      <c r="BX256" s="179"/>
      <c r="BY256" s="179"/>
      <c r="BZ256" s="179"/>
      <c r="CA256" s="179"/>
      <c r="CB256" s="179"/>
      <c r="CC256" s="179"/>
      <c r="CD256" s="179"/>
      <c r="CE256" s="179"/>
    </row>
    <row r="257" ht="15.75" customHeight="1">
      <c r="A257" s="151">
        <v>42149.0</v>
      </c>
      <c r="B257" s="152">
        <v>2.0</v>
      </c>
      <c r="C257" s="152" t="s">
        <v>45</v>
      </c>
      <c r="D257" s="152">
        <v>2.0</v>
      </c>
      <c r="E257" s="153">
        <v>6536.0</v>
      </c>
      <c r="F257" s="154">
        <v>1.2</v>
      </c>
      <c r="G257" s="155">
        <v>7843.2</v>
      </c>
      <c r="H257" s="159">
        <f>SUMIFS('Historical Orders'!$E257, 'Historical Orders'!$D257, "1", 'Historical Orders'!$C257, "A", 'Historical Orders'!$B257, "1")</f>
        <v>0</v>
      </c>
      <c r="I257" s="157">
        <f>SUMIFS('Historical Orders'!$G257, 'Historical Orders'!$D257, "1", 'Historical Orders'!$C257, "A", 'Historical Orders'!$B257, "1")</f>
        <v>0</v>
      </c>
      <c r="J257" s="157">
        <f>SUMIFS('Historical Orders'!$E257, 'Historical Orders'!$D257, "1", 'Historical Orders'!$C257, "B", 'Historical Orders'!$B257, "1")</f>
        <v>0</v>
      </c>
      <c r="K257" s="157">
        <f>SUMIFS('Historical Orders'!$G257, 'Historical Orders'!$D257, "1", 'Historical Orders'!$C257, "B", 'Historical Orders'!$B257, "1")</f>
        <v>0</v>
      </c>
      <c r="L257" s="159">
        <f>SUMIFS('Historical Orders'!$E257, 'Historical Orders'!$D257, "1", 'Historical Orders'!$C257, "A", 'Historical Orders'!$B257, "2")</f>
        <v>0</v>
      </c>
      <c r="M257" s="157">
        <f>SUMIFS('Historical Orders'!$G257, 'Historical Orders'!$D257, "1", 'Historical Orders'!$C257, "A", 'Historical Orders'!$B257, "2")</f>
        <v>0</v>
      </c>
      <c r="N257" s="157">
        <f>SUMIFS('Historical Orders'!$E257, 'Historical Orders'!$D257, "1", 'Historical Orders'!$C257, "B", 'Historical Orders'!$B257, "2")</f>
        <v>0</v>
      </c>
      <c r="O257" s="157">
        <f>SUMIFS('Historical Orders'!$G257, 'Historical Orders'!$D257, "1", 'Historical Orders'!$C257, "B", 'Historical Orders'!$B257, "2")</f>
        <v>0</v>
      </c>
      <c r="P257" s="159">
        <f>SUMIFS('Historical Orders'!$E257, 'Historical Orders'!$D257, "2", 'Historical Orders'!$C257, "A", 'Historical Orders'!$B257, "1")</f>
        <v>0</v>
      </c>
      <c r="Q257" s="157">
        <f>SUMIFS('Historical Orders'!$G257, 'Historical Orders'!$D257, "2", 'Historical Orders'!$C257, "A", 'Historical Orders'!$B257, "1")</f>
        <v>0</v>
      </c>
      <c r="R257" s="159">
        <f>SUMIFS('Historical Orders'!$E257, 'Historical Orders'!$D257, "2", 'Historical Orders'!$C257, "B", 'Historical Orders'!$B257, "1")</f>
        <v>0</v>
      </c>
      <c r="S257" s="157">
        <f>SUMIFS('Historical Orders'!$G257, 'Historical Orders'!$D257, "2", 'Historical Orders'!$C257, "B", 'Historical Orders'!$B257, "1")</f>
        <v>0</v>
      </c>
      <c r="T257" s="159">
        <f>SUMIFS('Historical Orders'!$E257, 'Historical Orders'!$D257, "2", 'Historical Orders'!$C257, "A", 'Historical Orders'!$B257, "2")</f>
        <v>6536</v>
      </c>
      <c r="U257" s="157">
        <f>SUMIFS('Historical Orders'!$G257, 'Historical Orders'!$D257, "2", 'Historical Orders'!$C257, "A", 'Historical Orders'!$B257, "2")</f>
        <v>7843.2</v>
      </c>
      <c r="V257" s="159">
        <f>SUMIFS('Historical Orders'!$E257, 'Historical Orders'!$D257, "2", 'Historical Orders'!$C257, "B", 'Historical Orders'!$B257, "2")</f>
        <v>0</v>
      </c>
      <c r="W257" s="159">
        <f>SUMIFS('Historical Orders'!$G257, 'Historical Orders'!$D257, "2", 'Historical Orders'!$C257, "B", 'Historical Orders'!$B257, "2")</f>
        <v>0</v>
      </c>
      <c r="X257" s="159">
        <f>SUMIFS('Historical Orders'!$E257, 'Historical Orders'!$D257, "3", 'Historical Orders'!$C257, "A", 'Historical Orders'!$B257, "1")</f>
        <v>0</v>
      </c>
      <c r="Y257" s="159">
        <f>SUMIFS('Historical Orders'!$G257, 'Historical Orders'!$D257, "3", 'Historical Orders'!$C257, "A", 'Historical Orders'!$B257, "1")</f>
        <v>0</v>
      </c>
      <c r="Z257" s="159">
        <f>SUMIFS('Historical Orders'!$E257, 'Historical Orders'!$D257, "3", 'Historical Orders'!$C257, "B", 'Historical Orders'!$B257, "1")</f>
        <v>0</v>
      </c>
      <c r="AA257" s="159">
        <f>SUMIFS('Historical Orders'!$G257, 'Historical Orders'!$D257, "3", 'Historical Orders'!$C257, "B", 'Historical Orders'!$B257, "1")</f>
        <v>0</v>
      </c>
      <c r="AB257" s="159">
        <f>SUMIFS('Historical Orders'!$E257, 'Historical Orders'!$D257, "3", 'Historical Orders'!$C257, "A", 'Historical Orders'!$B257, "2")</f>
        <v>0</v>
      </c>
      <c r="AC257" s="159">
        <f>SUMIFS('Historical Orders'!$G257, 'Historical Orders'!$D257, "3", 'Historical Orders'!$C257, "A", 'Historical Orders'!$B257, "2")</f>
        <v>0</v>
      </c>
      <c r="AD257" s="159">
        <f>SUMIFS('Historical Orders'!$E257, 'Historical Orders'!$D257, "3", 'Historical Orders'!$C257, "B", 'Historical Orders'!$B257, "2")</f>
        <v>0</v>
      </c>
      <c r="AE257" s="157">
        <f>SUMIFS('Historical Orders'!$G257, 'Historical Orders'!$D257, "3", 'Historical Orders'!$C257, "B", 'Historical Orders'!$B257, "2")</f>
        <v>0</v>
      </c>
      <c r="AF257" s="157">
        <f>SUMIFS('Historical Orders'!$E257, 'Historical Orders'!$D257, "4", 'Historical Orders'!$C257, "A", 'Historical Orders'!$B257, "1")</f>
        <v>0</v>
      </c>
      <c r="AG257" s="157">
        <f>SUMIFS('Historical Orders'!$G257, 'Historical Orders'!$D257, "4", 'Historical Orders'!$C257, "A", 'Historical Orders'!$B257, "1")</f>
        <v>0</v>
      </c>
      <c r="AH257" s="157">
        <f>SUMIFS('Historical Orders'!$E257, 'Historical Orders'!$D257, "4", 'Historical Orders'!$C257, "B", 'Historical Orders'!$B257, "1")</f>
        <v>0</v>
      </c>
      <c r="AI257" s="157">
        <f>SUMIFS('Historical Orders'!$G257, 'Historical Orders'!$D257, "4", 'Historical Orders'!$C257, "B", 'Historical Orders'!$B257, "1")</f>
        <v>0</v>
      </c>
      <c r="AJ257" s="157">
        <f>SUMIFS('Historical Orders'!$E257, 'Historical Orders'!$D257, "4", 'Historical Orders'!$C257, "A", 'Historical Orders'!$B257, "2")</f>
        <v>0</v>
      </c>
      <c r="AK257" s="157">
        <f>SUMIFS('Historical Orders'!$G257, 'Historical Orders'!$D257, "4", 'Historical Orders'!$C257, "A", 'Historical Orders'!$B257, "2")</f>
        <v>0</v>
      </c>
      <c r="AL257" s="171">
        <f>SUMIFS('Historical Orders'!$E257, 'Historical Orders'!$D257, "4", 'Historical Orders'!$C257, "B", 'Historical Orders'!$B257, "2")</f>
        <v>0</v>
      </c>
      <c r="AM257" s="171">
        <f>SUMIFS('Historical Orders'!$G257, 'Historical Orders'!$D257, "4", 'Historical Orders'!$C257, "B", 'Historical Orders'!$B257, "2")</f>
        <v>0</v>
      </c>
      <c r="AN257" s="171">
        <f>SUMIFS('Historical Orders'!$G257, 'Historical Orders'!$C257, "A", 'Historical Orders'!$B257, "1")</f>
        <v>0</v>
      </c>
      <c r="AO257" s="171">
        <f>SUMIFS('Historical Orders'!$G257, 'Historical Orders'!$C257, "B", 'Historical Orders'!$B257, "1")</f>
        <v>0</v>
      </c>
      <c r="AP257" s="171">
        <f>SUMIFS('Historical Orders'!$G257, 'Historical Orders'!$C257, "A", 'Historical Orders'!$B257, "2")</f>
        <v>7843.2</v>
      </c>
      <c r="AQ257" s="171">
        <f>SUMIFS('Historical Orders'!$G257, 'Historical Orders'!$C257, "B", 'Historical Orders'!$B257, "2")</f>
        <v>0</v>
      </c>
      <c r="AR257" s="145"/>
      <c r="AS257" s="172"/>
      <c r="AT257" s="172"/>
      <c r="AU257" s="172"/>
      <c r="AV257" s="172"/>
      <c r="AW257" s="172"/>
      <c r="AX257" s="172"/>
      <c r="AY257" s="172"/>
      <c r="AZ257" s="172"/>
      <c r="BA257" s="172"/>
      <c r="BB257" s="172"/>
      <c r="BC257" s="172"/>
      <c r="BD257" s="172"/>
      <c r="BE257" s="172"/>
      <c r="BF257" s="172"/>
      <c r="BG257" s="172"/>
      <c r="BH257" s="172"/>
      <c r="BI257" s="172"/>
      <c r="BJ257" s="172"/>
      <c r="BK257" s="172"/>
      <c r="BL257" s="172"/>
      <c r="BM257" s="172"/>
      <c r="BN257" s="172"/>
      <c r="BO257" s="172"/>
      <c r="BP257" s="172"/>
      <c r="BQ257" s="172"/>
      <c r="BR257" s="172"/>
      <c r="BS257" s="172"/>
      <c r="BT257" s="172"/>
      <c r="BU257" s="172"/>
      <c r="BV257" s="179"/>
      <c r="BW257" s="179"/>
      <c r="BX257" s="179"/>
      <c r="BY257" s="179"/>
      <c r="BZ257" s="179"/>
      <c r="CA257" s="179"/>
      <c r="CB257" s="179"/>
      <c r="CC257" s="179"/>
      <c r="CD257" s="179"/>
      <c r="CE257" s="179"/>
    </row>
    <row r="258" ht="15.75" customHeight="1">
      <c r="A258" s="151">
        <v>42149.0</v>
      </c>
      <c r="B258" s="152">
        <v>1.0</v>
      </c>
      <c r="C258" s="152" t="s">
        <v>46</v>
      </c>
      <c r="D258" s="152">
        <v>3.0</v>
      </c>
      <c r="E258" s="153">
        <v>2289.0</v>
      </c>
      <c r="F258" s="154">
        <v>8.3</v>
      </c>
      <c r="G258" s="155">
        <v>18998.7</v>
      </c>
      <c r="H258" s="159">
        <f>SUMIFS('Historical Orders'!$E258, 'Historical Orders'!$D258, "1", 'Historical Orders'!$C258, "A", 'Historical Orders'!$B258, "1")</f>
        <v>0</v>
      </c>
      <c r="I258" s="157">
        <f>SUMIFS('Historical Orders'!$G258, 'Historical Orders'!$D258, "1", 'Historical Orders'!$C258, "A", 'Historical Orders'!$B258, "1")</f>
        <v>0</v>
      </c>
      <c r="J258" s="157">
        <f>SUMIFS('Historical Orders'!$E258, 'Historical Orders'!$D258, "1", 'Historical Orders'!$C258, "B", 'Historical Orders'!$B258, "1")</f>
        <v>0</v>
      </c>
      <c r="K258" s="157">
        <f>SUMIFS('Historical Orders'!$G258, 'Historical Orders'!$D258, "1", 'Historical Orders'!$C258, "B", 'Historical Orders'!$B258, "1")</f>
        <v>0</v>
      </c>
      <c r="L258" s="159">
        <f>SUMIFS('Historical Orders'!$E258, 'Historical Orders'!$D258, "1", 'Historical Orders'!$C258, "A", 'Historical Orders'!$B258, "2")</f>
        <v>0</v>
      </c>
      <c r="M258" s="157">
        <f>SUMIFS('Historical Orders'!$G258, 'Historical Orders'!$D258, "1", 'Historical Orders'!$C258, "A", 'Historical Orders'!$B258, "2")</f>
        <v>0</v>
      </c>
      <c r="N258" s="157">
        <f>SUMIFS('Historical Orders'!$E258, 'Historical Orders'!$D258, "1", 'Historical Orders'!$C258, "B", 'Historical Orders'!$B258, "2")</f>
        <v>0</v>
      </c>
      <c r="O258" s="157">
        <f>SUMIFS('Historical Orders'!$G258, 'Historical Orders'!$D258, "1", 'Historical Orders'!$C258, "B", 'Historical Orders'!$B258, "2")</f>
        <v>0</v>
      </c>
      <c r="P258" s="159">
        <f>SUMIFS('Historical Orders'!$E258, 'Historical Orders'!$D258, "2", 'Historical Orders'!$C258, "A", 'Historical Orders'!$B258, "1")</f>
        <v>0</v>
      </c>
      <c r="Q258" s="157">
        <f>SUMIFS('Historical Orders'!$G258, 'Historical Orders'!$D258, "2", 'Historical Orders'!$C258, "A", 'Historical Orders'!$B258, "1")</f>
        <v>0</v>
      </c>
      <c r="R258" s="159">
        <f>SUMIFS('Historical Orders'!$E258, 'Historical Orders'!$D258, "2", 'Historical Orders'!$C258, "B", 'Historical Orders'!$B258, "1")</f>
        <v>0</v>
      </c>
      <c r="S258" s="157">
        <f>SUMIFS('Historical Orders'!$G258, 'Historical Orders'!$D258, "2", 'Historical Orders'!$C258, "B", 'Historical Orders'!$B258, "1")</f>
        <v>0</v>
      </c>
      <c r="T258" s="159">
        <f>SUMIFS('Historical Orders'!$E258, 'Historical Orders'!$D258, "2", 'Historical Orders'!$C258, "A", 'Historical Orders'!$B258, "2")</f>
        <v>0</v>
      </c>
      <c r="U258" s="157">
        <f>SUMIFS('Historical Orders'!$G258, 'Historical Orders'!$D258, "2", 'Historical Orders'!$C258, "A", 'Historical Orders'!$B258, "2")</f>
        <v>0</v>
      </c>
      <c r="V258" s="159">
        <f>SUMIFS('Historical Orders'!$E258, 'Historical Orders'!$D258, "2", 'Historical Orders'!$C258, "B", 'Historical Orders'!$B258, "2")</f>
        <v>0</v>
      </c>
      <c r="W258" s="159">
        <f>SUMIFS('Historical Orders'!$G258, 'Historical Orders'!$D258, "2", 'Historical Orders'!$C258, "B", 'Historical Orders'!$B258, "2")</f>
        <v>0</v>
      </c>
      <c r="X258" s="159">
        <f>SUMIFS('Historical Orders'!$E258, 'Historical Orders'!$D258, "3", 'Historical Orders'!$C258, "A", 'Historical Orders'!$B258, "1")</f>
        <v>0</v>
      </c>
      <c r="Y258" s="159">
        <f>SUMIFS('Historical Orders'!$G258, 'Historical Orders'!$D258, "3", 'Historical Orders'!$C258, "A", 'Historical Orders'!$B258, "1")</f>
        <v>0</v>
      </c>
      <c r="Z258" s="159">
        <f>SUMIFS('Historical Orders'!$E258, 'Historical Orders'!$D258, "3", 'Historical Orders'!$C258, "B", 'Historical Orders'!$B258, "1")</f>
        <v>2289</v>
      </c>
      <c r="AA258" s="159">
        <f>SUMIFS('Historical Orders'!$G258, 'Historical Orders'!$D258, "3", 'Historical Orders'!$C258, "B", 'Historical Orders'!$B258, "1")</f>
        <v>18998.7</v>
      </c>
      <c r="AB258" s="159">
        <f>SUMIFS('Historical Orders'!$E258, 'Historical Orders'!$D258, "3", 'Historical Orders'!$C258, "A", 'Historical Orders'!$B258, "2")</f>
        <v>0</v>
      </c>
      <c r="AC258" s="159">
        <f>SUMIFS('Historical Orders'!$G258, 'Historical Orders'!$D258, "3", 'Historical Orders'!$C258, "A", 'Historical Orders'!$B258, "2")</f>
        <v>0</v>
      </c>
      <c r="AD258" s="159">
        <f>SUMIFS('Historical Orders'!$E258, 'Historical Orders'!$D258, "3", 'Historical Orders'!$C258, "B", 'Historical Orders'!$B258, "2")</f>
        <v>0</v>
      </c>
      <c r="AE258" s="157">
        <f>SUMIFS('Historical Orders'!$G258, 'Historical Orders'!$D258, "3", 'Historical Orders'!$C258, "B", 'Historical Orders'!$B258, "2")</f>
        <v>0</v>
      </c>
      <c r="AF258" s="157">
        <f>SUMIFS('Historical Orders'!$E258, 'Historical Orders'!$D258, "4", 'Historical Orders'!$C258, "A", 'Historical Orders'!$B258, "1")</f>
        <v>0</v>
      </c>
      <c r="AG258" s="157">
        <f>SUMIFS('Historical Orders'!$G258, 'Historical Orders'!$D258, "4", 'Historical Orders'!$C258, "A", 'Historical Orders'!$B258, "1")</f>
        <v>0</v>
      </c>
      <c r="AH258" s="157">
        <f>SUMIFS('Historical Orders'!$E258, 'Historical Orders'!$D258, "4", 'Historical Orders'!$C258, "B", 'Historical Orders'!$B258, "1")</f>
        <v>0</v>
      </c>
      <c r="AI258" s="157">
        <f>SUMIFS('Historical Orders'!$G258, 'Historical Orders'!$D258, "4", 'Historical Orders'!$C258, "B", 'Historical Orders'!$B258, "1")</f>
        <v>0</v>
      </c>
      <c r="AJ258" s="157">
        <f>SUMIFS('Historical Orders'!$E258, 'Historical Orders'!$D258, "4", 'Historical Orders'!$C258, "A", 'Historical Orders'!$B258, "2")</f>
        <v>0</v>
      </c>
      <c r="AK258" s="157">
        <f>SUMIFS('Historical Orders'!$G258, 'Historical Orders'!$D258, "4", 'Historical Orders'!$C258, "A", 'Historical Orders'!$B258, "2")</f>
        <v>0</v>
      </c>
      <c r="AL258" s="171">
        <f>SUMIFS('Historical Orders'!$E258, 'Historical Orders'!$D258, "4", 'Historical Orders'!$C258, "B", 'Historical Orders'!$B258, "2")</f>
        <v>0</v>
      </c>
      <c r="AM258" s="171">
        <f>SUMIFS('Historical Orders'!$G258, 'Historical Orders'!$D258, "4", 'Historical Orders'!$C258, "B", 'Historical Orders'!$B258, "2")</f>
        <v>0</v>
      </c>
      <c r="AN258" s="171">
        <f>SUMIFS('Historical Orders'!$G258, 'Historical Orders'!$C258, "A", 'Historical Orders'!$B258, "1")</f>
        <v>0</v>
      </c>
      <c r="AO258" s="171">
        <f>SUMIFS('Historical Orders'!$G258, 'Historical Orders'!$C258, "B", 'Historical Orders'!$B258, "1")</f>
        <v>18998.7</v>
      </c>
      <c r="AP258" s="171">
        <f>SUMIFS('Historical Orders'!$G258, 'Historical Orders'!$C258, "A", 'Historical Orders'!$B258, "2")</f>
        <v>0</v>
      </c>
      <c r="AQ258" s="171">
        <f>SUMIFS('Historical Orders'!$G258, 'Historical Orders'!$C258, "B", 'Historical Orders'!$B258, "2")</f>
        <v>0</v>
      </c>
      <c r="AR258" s="145"/>
      <c r="AS258" s="172"/>
      <c r="AT258" s="172"/>
      <c r="AU258" s="172"/>
      <c r="AV258" s="172"/>
      <c r="AW258" s="172"/>
      <c r="AX258" s="172"/>
      <c r="AY258" s="172"/>
      <c r="AZ258" s="172"/>
      <c r="BA258" s="172"/>
      <c r="BB258" s="172"/>
      <c r="BC258" s="172"/>
      <c r="BD258" s="172"/>
      <c r="BE258" s="172"/>
      <c r="BF258" s="172"/>
      <c r="BG258" s="172"/>
      <c r="BH258" s="172"/>
      <c r="BI258" s="172"/>
      <c r="BJ258" s="172"/>
      <c r="BK258" s="172"/>
      <c r="BL258" s="172"/>
      <c r="BM258" s="172"/>
      <c r="BN258" s="172"/>
      <c r="BO258" s="172"/>
      <c r="BP258" s="172"/>
      <c r="BQ258" s="172"/>
      <c r="BR258" s="172"/>
      <c r="BS258" s="172"/>
      <c r="BT258" s="172"/>
      <c r="BU258" s="172"/>
      <c r="BV258" s="179"/>
      <c r="BW258" s="179"/>
      <c r="BX258" s="179"/>
      <c r="BY258" s="179"/>
      <c r="BZ258" s="179"/>
      <c r="CA258" s="179"/>
      <c r="CB258" s="179"/>
      <c r="CC258" s="179"/>
      <c r="CD258" s="179"/>
      <c r="CE258" s="179"/>
    </row>
    <row r="259" ht="15.75" customHeight="1">
      <c r="A259" s="151">
        <v>42149.0</v>
      </c>
      <c r="B259" s="152">
        <v>2.0</v>
      </c>
      <c r="C259" s="152" t="s">
        <v>46</v>
      </c>
      <c r="D259" s="152">
        <v>3.0</v>
      </c>
      <c r="E259" s="153">
        <v>3138.0</v>
      </c>
      <c r="F259" s="154">
        <v>8.3</v>
      </c>
      <c r="G259" s="155">
        <v>26045.4</v>
      </c>
      <c r="H259" s="159">
        <f>SUMIFS('Historical Orders'!$E259, 'Historical Orders'!$D259, "1", 'Historical Orders'!$C259, "A", 'Historical Orders'!$B259, "1")</f>
        <v>0</v>
      </c>
      <c r="I259" s="157">
        <f>SUMIFS('Historical Orders'!$G259, 'Historical Orders'!$D259, "1", 'Historical Orders'!$C259, "A", 'Historical Orders'!$B259, "1")</f>
        <v>0</v>
      </c>
      <c r="J259" s="157">
        <f>SUMIFS('Historical Orders'!$E259, 'Historical Orders'!$D259, "1", 'Historical Orders'!$C259, "B", 'Historical Orders'!$B259, "1")</f>
        <v>0</v>
      </c>
      <c r="K259" s="157">
        <f>SUMIFS('Historical Orders'!$G259, 'Historical Orders'!$D259, "1", 'Historical Orders'!$C259, "B", 'Historical Orders'!$B259, "1")</f>
        <v>0</v>
      </c>
      <c r="L259" s="159">
        <f>SUMIFS('Historical Orders'!$E259, 'Historical Orders'!$D259, "1", 'Historical Orders'!$C259, "A", 'Historical Orders'!$B259, "2")</f>
        <v>0</v>
      </c>
      <c r="M259" s="157">
        <f>SUMIFS('Historical Orders'!$G259, 'Historical Orders'!$D259, "1", 'Historical Orders'!$C259, "A", 'Historical Orders'!$B259, "2")</f>
        <v>0</v>
      </c>
      <c r="N259" s="157">
        <f>SUMIFS('Historical Orders'!$E259, 'Historical Orders'!$D259, "1", 'Historical Orders'!$C259, "B", 'Historical Orders'!$B259, "2")</f>
        <v>0</v>
      </c>
      <c r="O259" s="157">
        <f>SUMIFS('Historical Orders'!$G259, 'Historical Orders'!$D259, "1", 'Historical Orders'!$C259, "B", 'Historical Orders'!$B259, "2")</f>
        <v>0</v>
      </c>
      <c r="P259" s="159">
        <f>SUMIFS('Historical Orders'!$E259, 'Historical Orders'!$D259, "2", 'Historical Orders'!$C259, "A", 'Historical Orders'!$B259, "1")</f>
        <v>0</v>
      </c>
      <c r="Q259" s="157">
        <f>SUMIFS('Historical Orders'!$G259, 'Historical Orders'!$D259, "2", 'Historical Orders'!$C259, "A", 'Historical Orders'!$B259, "1")</f>
        <v>0</v>
      </c>
      <c r="R259" s="159">
        <f>SUMIFS('Historical Orders'!$E259, 'Historical Orders'!$D259, "2", 'Historical Orders'!$C259, "B", 'Historical Orders'!$B259, "1")</f>
        <v>0</v>
      </c>
      <c r="S259" s="157">
        <f>SUMIFS('Historical Orders'!$G259, 'Historical Orders'!$D259, "2", 'Historical Orders'!$C259, "B", 'Historical Orders'!$B259, "1")</f>
        <v>0</v>
      </c>
      <c r="T259" s="159">
        <f>SUMIFS('Historical Orders'!$E259, 'Historical Orders'!$D259, "2", 'Historical Orders'!$C259, "A", 'Historical Orders'!$B259, "2")</f>
        <v>0</v>
      </c>
      <c r="U259" s="157">
        <f>SUMIFS('Historical Orders'!$G259, 'Historical Orders'!$D259, "2", 'Historical Orders'!$C259, "A", 'Historical Orders'!$B259, "2")</f>
        <v>0</v>
      </c>
      <c r="V259" s="159">
        <f>SUMIFS('Historical Orders'!$E259, 'Historical Orders'!$D259, "2", 'Historical Orders'!$C259, "B", 'Historical Orders'!$B259, "2")</f>
        <v>0</v>
      </c>
      <c r="W259" s="159">
        <f>SUMIFS('Historical Orders'!$G259, 'Historical Orders'!$D259, "2", 'Historical Orders'!$C259, "B", 'Historical Orders'!$B259, "2")</f>
        <v>0</v>
      </c>
      <c r="X259" s="159">
        <f>SUMIFS('Historical Orders'!$E259, 'Historical Orders'!$D259, "3", 'Historical Orders'!$C259, "A", 'Historical Orders'!$B259, "1")</f>
        <v>0</v>
      </c>
      <c r="Y259" s="159">
        <f>SUMIFS('Historical Orders'!$G259, 'Historical Orders'!$D259, "3", 'Historical Orders'!$C259, "A", 'Historical Orders'!$B259, "1")</f>
        <v>0</v>
      </c>
      <c r="Z259" s="159">
        <f>SUMIFS('Historical Orders'!$E259, 'Historical Orders'!$D259, "3", 'Historical Orders'!$C259, "B", 'Historical Orders'!$B259, "1")</f>
        <v>0</v>
      </c>
      <c r="AA259" s="159">
        <f>SUMIFS('Historical Orders'!$G259, 'Historical Orders'!$D259, "3", 'Historical Orders'!$C259, "B", 'Historical Orders'!$B259, "1")</f>
        <v>0</v>
      </c>
      <c r="AB259" s="159">
        <f>SUMIFS('Historical Orders'!$E259, 'Historical Orders'!$D259, "3", 'Historical Orders'!$C259, "A", 'Historical Orders'!$B259, "2")</f>
        <v>0</v>
      </c>
      <c r="AC259" s="159">
        <f>SUMIFS('Historical Orders'!$G259, 'Historical Orders'!$D259, "3", 'Historical Orders'!$C259, "A", 'Historical Orders'!$B259, "2")</f>
        <v>0</v>
      </c>
      <c r="AD259" s="159">
        <f>SUMIFS('Historical Orders'!$E259, 'Historical Orders'!$D259, "3", 'Historical Orders'!$C259, "B", 'Historical Orders'!$B259, "2")</f>
        <v>3138</v>
      </c>
      <c r="AE259" s="157">
        <f>SUMIFS('Historical Orders'!$G259, 'Historical Orders'!$D259, "3", 'Historical Orders'!$C259, "B", 'Historical Orders'!$B259, "2")</f>
        <v>26045.4</v>
      </c>
      <c r="AF259" s="157">
        <f>SUMIFS('Historical Orders'!$E259, 'Historical Orders'!$D259, "4", 'Historical Orders'!$C259, "A", 'Historical Orders'!$B259, "1")</f>
        <v>0</v>
      </c>
      <c r="AG259" s="157">
        <f>SUMIFS('Historical Orders'!$G259, 'Historical Orders'!$D259, "4", 'Historical Orders'!$C259, "A", 'Historical Orders'!$B259, "1")</f>
        <v>0</v>
      </c>
      <c r="AH259" s="157">
        <f>SUMIFS('Historical Orders'!$E259, 'Historical Orders'!$D259, "4", 'Historical Orders'!$C259, "B", 'Historical Orders'!$B259, "1")</f>
        <v>0</v>
      </c>
      <c r="AI259" s="157">
        <f>SUMIFS('Historical Orders'!$G259, 'Historical Orders'!$D259, "4", 'Historical Orders'!$C259, "B", 'Historical Orders'!$B259, "1")</f>
        <v>0</v>
      </c>
      <c r="AJ259" s="157">
        <f>SUMIFS('Historical Orders'!$E259, 'Historical Orders'!$D259, "4", 'Historical Orders'!$C259, "A", 'Historical Orders'!$B259, "2")</f>
        <v>0</v>
      </c>
      <c r="AK259" s="157">
        <f>SUMIFS('Historical Orders'!$G259, 'Historical Orders'!$D259, "4", 'Historical Orders'!$C259, "A", 'Historical Orders'!$B259, "2")</f>
        <v>0</v>
      </c>
      <c r="AL259" s="171">
        <f>SUMIFS('Historical Orders'!$E259, 'Historical Orders'!$D259, "4", 'Historical Orders'!$C259, "B", 'Historical Orders'!$B259, "2")</f>
        <v>0</v>
      </c>
      <c r="AM259" s="171">
        <f>SUMIFS('Historical Orders'!$G259, 'Historical Orders'!$D259, "4", 'Historical Orders'!$C259, "B", 'Historical Orders'!$B259, "2")</f>
        <v>0</v>
      </c>
      <c r="AN259" s="171">
        <f>SUMIFS('Historical Orders'!$G259, 'Historical Orders'!$C259, "A", 'Historical Orders'!$B259, "1")</f>
        <v>0</v>
      </c>
      <c r="AO259" s="171">
        <f>SUMIFS('Historical Orders'!$G259, 'Historical Orders'!$C259, "B", 'Historical Orders'!$B259, "1")</f>
        <v>0</v>
      </c>
      <c r="AP259" s="171">
        <f>SUMIFS('Historical Orders'!$G259, 'Historical Orders'!$C259, "A", 'Historical Orders'!$B259, "2")</f>
        <v>0</v>
      </c>
      <c r="AQ259" s="171">
        <f>SUMIFS('Historical Orders'!$G259, 'Historical Orders'!$C259, "B", 'Historical Orders'!$B259, "2")</f>
        <v>26045.4</v>
      </c>
      <c r="AR259" s="145"/>
      <c r="AS259" s="172"/>
      <c r="AT259" s="172"/>
      <c r="AU259" s="172"/>
      <c r="AV259" s="172"/>
      <c r="AW259" s="172"/>
      <c r="AX259" s="172"/>
      <c r="AY259" s="172"/>
      <c r="AZ259" s="172"/>
      <c r="BA259" s="172"/>
      <c r="BB259" s="172"/>
      <c r="BC259" s="172"/>
      <c r="BD259" s="172"/>
      <c r="BE259" s="172"/>
      <c r="BF259" s="172"/>
      <c r="BG259" s="172"/>
      <c r="BH259" s="172"/>
      <c r="BI259" s="172"/>
      <c r="BJ259" s="172"/>
      <c r="BK259" s="172"/>
      <c r="BL259" s="172"/>
      <c r="BM259" s="172"/>
      <c r="BN259" s="172"/>
      <c r="BO259" s="172"/>
      <c r="BP259" s="172"/>
      <c r="BQ259" s="172"/>
      <c r="BR259" s="172"/>
      <c r="BS259" s="172"/>
      <c r="BT259" s="172"/>
      <c r="BU259" s="172"/>
      <c r="BV259" s="179"/>
      <c r="BW259" s="179"/>
      <c r="BX259" s="179"/>
      <c r="BY259" s="179"/>
      <c r="BZ259" s="179"/>
      <c r="CA259" s="179"/>
      <c r="CB259" s="179"/>
      <c r="CC259" s="179"/>
      <c r="CD259" s="179"/>
      <c r="CE259" s="179"/>
    </row>
    <row r="260" ht="15.75" customHeight="1">
      <c r="A260" s="151">
        <v>42156.0</v>
      </c>
      <c r="B260" s="152">
        <v>1.0</v>
      </c>
      <c r="C260" s="152" t="s">
        <v>45</v>
      </c>
      <c r="D260" s="152">
        <v>1.0</v>
      </c>
      <c r="E260" s="153">
        <v>5281.0</v>
      </c>
      <c r="F260" s="154">
        <v>2.2</v>
      </c>
      <c r="G260" s="155">
        <v>11618.2</v>
      </c>
      <c r="H260" s="159">
        <f>SUMIFS('Historical Orders'!$E260, 'Historical Orders'!$D260, "1", 'Historical Orders'!$C260, "A", 'Historical Orders'!$B260, "1")</f>
        <v>5281</v>
      </c>
      <c r="I260" s="157">
        <f>SUMIFS('Historical Orders'!$G260, 'Historical Orders'!$D260, "1", 'Historical Orders'!$C260, "A", 'Historical Orders'!$B260, "1")</f>
        <v>11618.2</v>
      </c>
      <c r="J260" s="157">
        <f>SUMIFS('Historical Orders'!$E260, 'Historical Orders'!$D260, "1", 'Historical Orders'!$C260, "B", 'Historical Orders'!$B260, "1")</f>
        <v>0</v>
      </c>
      <c r="K260" s="157">
        <f>SUMIFS('Historical Orders'!$G260, 'Historical Orders'!$D260, "1", 'Historical Orders'!$C260, "B", 'Historical Orders'!$B260, "1")</f>
        <v>0</v>
      </c>
      <c r="L260" s="159">
        <f>SUMIFS('Historical Orders'!$E260, 'Historical Orders'!$D260, "1", 'Historical Orders'!$C260, "A", 'Historical Orders'!$B260, "2")</f>
        <v>0</v>
      </c>
      <c r="M260" s="157">
        <f>SUMIFS('Historical Orders'!$G260, 'Historical Orders'!$D260, "1", 'Historical Orders'!$C260, "A", 'Historical Orders'!$B260, "2")</f>
        <v>0</v>
      </c>
      <c r="N260" s="157">
        <f>SUMIFS('Historical Orders'!$E260, 'Historical Orders'!$D260, "1", 'Historical Orders'!$C260, "B", 'Historical Orders'!$B260, "2")</f>
        <v>0</v>
      </c>
      <c r="O260" s="157">
        <f>SUMIFS('Historical Orders'!$G260, 'Historical Orders'!$D260, "1", 'Historical Orders'!$C260, "B", 'Historical Orders'!$B260, "2")</f>
        <v>0</v>
      </c>
      <c r="P260" s="159">
        <f>SUMIFS('Historical Orders'!$E260, 'Historical Orders'!$D260, "2", 'Historical Orders'!$C260, "A", 'Historical Orders'!$B260, "1")</f>
        <v>0</v>
      </c>
      <c r="Q260" s="157">
        <f>SUMIFS('Historical Orders'!$G260, 'Historical Orders'!$D260, "2", 'Historical Orders'!$C260, "A", 'Historical Orders'!$B260, "1")</f>
        <v>0</v>
      </c>
      <c r="R260" s="159">
        <f>SUMIFS('Historical Orders'!$E260, 'Historical Orders'!$D260, "2", 'Historical Orders'!$C260, "B", 'Historical Orders'!$B260, "1")</f>
        <v>0</v>
      </c>
      <c r="S260" s="157">
        <f>SUMIFS('Historical Orders'!$G260, 'Historical Orders'!$D260, "2", 'Historical Orders'!$C260, "B", 'Historical Orders'!$B260, "1")</f>
        <v>0</v>
      </c>
      <c r="T260" s="159">
        <f>SUMIFS('Historical Orders'!$E260, 'Historical Orders'!$D260, "2", 'Historical Orders'!$C260, "A", 'Historical Orders'!$B260, "2")</f>
        <v>0</v>
      </c>
      <c r="U260" s="157">
        <f>SUMIFS('Historical Orders'!$G260, 'Historical Orders'!$D260, "2", 'Historical Orders'!$C260, "A", 'Historical Orders'!$B260, "2")</f>
        <v>0</v>
      </c>
      <c r="V260" s="159">
        <f>SUMIFS('Historical Orders'!$E260, 'Historical Orders'!$D260, "2", 'Historical Orders'!$C260, "B", 'Historical Orders'!$B260, "2")</f>
        <v>0</v>
      </c>
      <c r="W260" s="159">
        <f>SUMIFS('Historical Orders'!$G260, 'Historical Orders'!$D260, "2", 'Historical Orders'!$C260, "B", 'Historical Orders'!$B260, "2")</f>
        <v>0</v>
      </c>
      <c r="X260" s="159">
        <f>SUMIFS('Historical Orders'!$E260, 'Historical Orders'!$D260, "3", 'Historical Orders'!$C260, "A", 'Historical Orders'!$B260, "1")</f>
        <v>0</v>
      </c>
      <c r="Y260" s="159">
        <f>SUMIFS('Historical Orders'!$G260, 'Historical Orders'!$D260, "3", 'Historical Orders'!$C260, "A", 'Historical Orders'!$B260, "1")</f>
        <v>0</v>
      </c>
      <c r="Z260" s="159">
        <f>SUMIFS('Historical Orders'!$E260, 'Historical Orders'!$D260, "3", 'Historical Orders'!$C260, "B", 'Historical Orders'!$B260, "1")</f>
        <v>0</v>
      </c>
      <c r="AA260" s="159">
        <f>SUMIFS('Historical Orders'!$G260, 'Historical Orders'!$D260, "3", 'Historical Orders'!$C260, "B", 'Historical Orders'!$B260, "1")</f>
        <v>0</v>
      </c>
      <c r="AB260" s="159">
        <f>SUMIFS('Historical Orders'!$E260, 'Historical Orders'!$D260, "3", 'Historical Orders'!$C260, "A", 'Historical Orders'!$B260, "2")</f>
        <v>0</v>
      </c>
      <c r="AC260" s="159">
        <f>SUMIFS('Historical Orders'!$G260, 'Historical Orders'!$D260, "3", 'Historical Orders'!$C260, "A", 'Historical Orders'!$B260, "2")</f>
        <v>0</v>
      </c>
      <c r="AD260" s="159">
        <f>SUMIFS('Historical Orders'!$E260, 'Historical Orders'!$D260, "3", 'Historical Orders'!$C260, "B", 'Historical Orders'!$B260, "2")</f>
        <v>0</v>
      </c>
      <c r="AE260" s="157">
        <f>SUMIFS('Historical Orders'!$G260, 'Historical Orders'!$D260, "3", 'Historical Orders'!$C260, "B", 'Historical Orders'!$B260, "2")</f>
        <v>0</v>
      </c>
      <c r="AF260" s="157">
        <f>SUMIFS('Historical Orders'!$E260, 'Historical Orders'!$D260, "4", 'Historical Orders'!$C260, "A", 'Historical Orders'!$B260, "1")</f>
        <v>0</v>
      </c>
      <c r="AG260" s="157">
        <f>SUMIFS('Historical Orders'!$G260, 'Historical Orders'!$D260, "4", 'Historical Orders'!$C260, "A", 'Historical Orders'!$B260, "1")</f>
        <v>0</v>
      </c>
      <c r="AH260" s="157">
        <f>SUMIFS('Historical Orders'!$E260, 'Historical Orders'!$D260, "4", 'Historical Orders'!$C260, "B", 'Historical Orders'!$B260, "1")</f>
        <v>0</v>
      </c>
      <c r="AI260" s="157">
        <f>SUMIFS('Historical Orders'!$G260, 'Historical Orders'!$D260, "4", 'Historical Orders'!$C260, "B", 'Historical Orders'!$B260, "1")</f>
        <v>0</v>
      </c>
      <c r="AJ260" s="157">
        <f>SUMIFS('Historical Orders'!$E260, 'Historical Orders'!$D260, "4", 'Historical Orders'!$C260, "A", 'Historical Orders'!$B260, "2")</f>
        <v>0</v>
      </c>
      <c r="AK260" s="157">
        <f>SUMIFS('Historical Orders'!$G260, 'Historical Orders'!$D260, "4", 'Historical Orders'!$C260, "A", 'Historical Orders'!$B260, "2")</f>
        <v>0</v>
      </c>
      <c r="AL260" s="171">
        <f>SUMIFS('Historical Orders'!$E260, 'Historical Orders'!$D260, "4", 'Historical Orders'!$C260, "B", 'Historical Orders'!$B260, "2")</f>
        <v>0</v>
      </c>
      <c r="AM260" s="171">
        <f>SUMIFS('Historical Orders'!$G260, 'Historical Orders'!$D260, "4", 'Historical Orders'!$C260, "B", 'Historical Orders'!$B260, "2")</f>
        <v>0</v>
      </c>
      <c r="AN260" s="171">
        <f>SUMIFS('Historical Orders'!$G260, 'Historical Orders'!$C260, "A", 'Historical Orders'!$B260, "1")</f>
        <v>11618.2</v>
      </c>
      <c r="AO260" s="171">
        <f>SUMIFS('Historical Orders'!$G260, 'Historical Orders'!$C260, "B", 'Historical Orders'!$B260, "1")</f>
        <v>0</v>
      </c>
      <c r="AP260" s="171">
        <f>SUMIFS('Historical Orders'!$G260, 'Historical Orders'!$C260, "A", 'Historical Orders'!$B260, "2")</f>
        <v>0</v>
      </c>
      <c r="AQ260" s="171">
        <f>SUMIFS('Historical Orders'!$G260, 'Historical Orders'!$C260, "B", 'Historical Orders'!$B260, "2")</f>
        <v>0</v>
      </c>
      <c r="AR260" s="145"/>
      <c r="AS260" s="172"/>
      <c r="AT260" s="172"/>
      <c r="AU260" s="172"/>
      <c r="AV260" s="172"/>
      <c r="AW260" s="172"/>
      <c r="AX260" s="172"/>
      <c r="AY260" s="172"/>
      <c r="AZ260" s="172"/>
      <c r="BA260" s="172"/>
      <c r="BB260" s="172"/>
      <c r="BC260" s="172"/>
      <c r="BD260" s="172"/>
      <c r="BE260" s="172"/>
      <c r="BF260" s="172"/>
      <c r="BG260" s="172"/>
      <c r="BH260" s="172"/>
      <c r="BI260" s="172"/>
      <c r="BJ260" s="172"/>
      <c r="BK260" s="172"/>
      <c r="BL260" s="172"/>
      <c r="BM260" s="172"/>
      <c r="BN260" s="172"/>
      <c r="BO260" s="172"/>
      <c r="BP260" s="172"/>
      <c r="BQ260" s="172"/>
      <c r="BR260" s="172"/>
      <c r="BS260" s="172"/>
      <c r="BT260" s="172"/>
      <c r="BU260" s="172"/>
      <c r="BV260" s="179"/>
      <c r="BW260" s="179"/>
      <c r="BX260" s="179"/>
      <c r="BY260" s="179"/>
      <c r="BZ260" s="179"/>
      <c r="CA260" s="179"/>
      <c r="CB260" s="179"/>
      <c r="CC260" s="179"/>
      <c r="CD260" s="179"/>
      <c r="CE260" s="179"/>
    </row>
    <row r="261" ht="15.75" customHeight="1">
      <c r="A261" s="151">
        <v>42156.0</v>
      </c>
      <c r="B261" s="152">
        <v>1.0</v>
      </c>
      <c r="C261" s="152" t="s">
        <v>45</v>
      </c>
      <c r="D261" s="152">
        <v>2.0</v>
      </c>
      <c r="E261" s="153">
        <v>5825.0</v>
      </c>
      <c r="F261" s="154">
        <v>1.2</v>
      </c>
      <c r="G261" s="155">
        <v>6990.0</v>
      </c>
      <c r="H261" s="159">
        <f>SUMIFS('Historical Orders'!$E261, 'Historical Orders'!$D261, "1", 'Historical Orders'!$C261, "A", 'Historical Orders'!$B261, "1")</f>
        <v>0</v>
      </c>
      <c r="I261" s="157">
        <f>SUMIFS('Historical Orders'!$G261, 'Historical Orders'!$D261, "1", 'Historical Orders'!$C261, "A", 'Historical Orders'!$B261, "1")</f>
        <v>0</v>
      </c>
      <c r="J261" s="157">
        <f>SUMIFS('Historical Orders'!$E261, 'Historical Orders'!$D261, "1", 'Historical Orders'!$C261, "B", 'Historical Orders'!$B261, "1")</f>
        <v>0</v>
      </c>
      <c r="K261" s="157">
        <f>SUMIFS('Historical Orders'!$G261, 'Historical Orders'!$D261, "1", 'Historical Orders'!$C261, "B", 'Historical Orders'!$B261, "1")</f>
        <v>0</v>
      </c>
      <c r="L261" s="159">
        <f>SUMIFS('Historical Orders'!$E261, 'Historical Orders'!$D261, "1", 'Historical Orders'!$C261, "A", 'Historical Orders'!$B261, "2")</f>
        <v>0</v>
      </c>
      <c r="M261" s="157">
        <f>SUMIFS('Historical Orders'!$G261, 'Historical Orders'!$D261, "1", 'Historical Orders'!$C261, "A", 'Historical Orders'!$B261, "2")</f>
        <v>0</v>
      </c>
      <c r="N261" s="157">
        <f>SUMIFS('Historical Orders'!$E261, 'Historical Orders'!$D261, "1", 'Historical Orders'!$C261, "B", 'Historical Orders'!$B261, "2")</f>
        <v>0</v>
      </c>
      <c r="O261" s="157">
        <f>SUMIFS('Historical Orders'!$G261, 'Historical Orders'!$D261, "1", 'Historical Orders'!$C261, "B", 'Historical Orders'!$B261, "2")</f>
        <v>0</v>
      </c>
      <c r="P261" s="159">
        <f>SUMIFS('Historical Orders'!$E261, 'Historical Orders'!$D261, "2", 'Historical Orders'!$C261, "A", 'Historical Orders'!$B261, "1")</f>
        <v>5825</v>
      </c>
      <c r="Q261" s="157">
        <f>SUMIFS('Historical Orders'!$G261, 'Historical Orders'!$D261, "2", 'Historical Orders'!$C261, "A", 'Historical Orders'!$B261, "1")</f>
        <v>6990</v>
      </c>
      <c r="R261" s="159">
        <f>SUMIFS('Historical Orders'!$E261, 'Historical Orders'!$D261, "2", 'Historical Orders'!$C261, "B", 'Historical Orders'!$B261, "1")</f>
        <v>0</v>
      </c>
      <c r="S261" s="157">
        <f>SUMIFS('Historical Orders'!$G261, 'Historical Orders'!$D261, "2", 'Historical Orders'!$C261, "B", 'Historical Orders'!$B261, "1")</f>
        <v>0</v>
      </c>
      <c r="T261" s="159">
        <f>SUMIFS('Historical Orders'!$E261, 'Historical Orders'!$D261, "2", 'Historical Orders'!$C261, "A", 'Historical Orders'!$B261, "2")</f>
        <v>0</v>
      </c>
      <c r="U261" s="157">
        <f>SUMIFS('Historical Orders'!$G261, 'Historical Orders'!$D261, "2", 'Historical Orders'!$C261, "A", 'Historical Orders'!$B261, "2")</f>
        <v>0</v>
      </c>
      <c r="V261" s="159">
        <f>SUMIFS('Historical Orders'!$E261, 'Historical Orders'!$D261, "2", 'Historical Orders'!$C261, "B", 'Historical Orders'!$B261, "2")</f>
        <v>0</v>
      </c>
      <c r="W261" s="159">
        <f>SUMIFS('Historical Orders'!$G261, 'Historical Orders'!$D261, "2", 'Historical Orders'!$C261, "B", 'Historical Orders'!$B261, "2")</f>
        <v>0</v>
      </c>
      <c r="X261" s="159">
        <f>SUMIFS('Historical Orders'!$E261, 'Historical Orders'!$D261, "3", 'Historical Orders'!$C261, "A", 'Historical Orders'!$B261, "1")</f>
        <v>0</v>
      </c>
      <c r="Y261" s="159">
        <f>SUMIFS('Historical Orders'!$G261, 'Historical Orders'!$D261, "3", 'Historical Orders'!$C261, "A", 'Historical Orders'!$B261, "1")</f>
        <v>0</v>
      </c>
      <c r="Z261" s="159">
        <f>SUMIFS('Historical Orders'!$E261, 'Historical Orders'!$D261, "3", 'Historical Orders'!$C261, "B", 'Historical Orders'!$B261, "1")</f>
        <v>0</v>
      </c>
      <c r="AA261" s="159">
        <f>SUMIFS('Historical Orders'!$G261, 'Historical Orders'!$D261, "3", 'Historical Orders'!$C261, "B", 'Historical Orders'!$B261, "1")</f>
        <v>0</v>
      </c>
      <c r="AB261" s="159">
        <f>SUMIFS('Historical Orders'!$E261, 'Historical Orders'!$D261, "3", 'Historical Orders'!$C261, "A", 'Historical Orders'!$B261, "2")</f>
        <v>0</v>
      </c>
      <c r="AC261" s="159">
        <f>SUMIFS('Historical Orders'!$G261, 'Historical Orders'!$D261, "3", 'Historical Orders'!$C261, "A", 'Historical Orders'!$B261, "2")</f>
        <v>0</v>
      </c>
      <c r="AD261" s="159">
        <f>SUMIFS('Historical Orders'!$E261, 'Historical Orders'!$D261, "3", 'Historical Orders'!$C261, "B", 'Historical Orders'!$B261, "2")</f>
        <v>0</v>
      </c>
      <c r="AE261" s="157">
        <f>SUMIFS('Historical Orders'!$G261, 'Historical Orders'!$D261, "3", 'Historical Orders'!$C261, "B", 'Historical Orders'!$B261, "2")</f>
        <v>0</v>
      </c>
      <c r="AF261" s="157">
        <f>SUMIFS('Historical Orders'!$E261, 'Historical Orders'!$D261, "4", 'Historical Orders'!$C261, "A", 'Historical Orders'!$B261, "1")</f>
        <v>0</v>
      </c>
      <c r="AG261" s="157">
        <f>SUMIFS('Historical Orders'!$G261, 'Historical Orders'!$D261, "4", 'Historical Orders'!$C261, "A", 'Historical Orders'!$B261, "1")</f>
        <v>0</v>
      </c>
      <c r="AH261" s="157">
        <f>SUMIFS('Historical Orders'!$E261, 'Historical Orders'!$D261, "4", 'Historical Orders'!$C261, "B", 'Historical Orders'!$B261, "1")</f>
        <v>0</v>
      </c>
      <c r="AI261" s="157">
        <f>SUMIFS('Historical Orders'!$G261, 'Historical Orders'!$D261, "4", 'Historical Orders'!$C261, "B", 'Historical Orders'!$B261, "1")</f>
        <v>0</v>
      </c>
      <c r="AJ261" s="157">
        <f>SUMIFS('Historical Orders'!$E261, 'Historical Orders'!$D261, "4", 'Historical Orders'!$C261, "A", 'Historical Orders'!$B261, "2")</f>
        <v>0</v>
      </c>
      <c r="AK261" s="157">
        <f>SUMIFS('Historical Orders'!$G261, 'Historical Orders'!$D261, "4", 'Historical Orders'!$C261, "A", 'Historical Orders'!$B261, "2")</f>
        <v>0</v>
      </c>
      <c r="AL261" s="171">
        <f>SUMIFS('Historical Orders'!$E261, 'Historical Orders'!$D261, "4", 'Historical Orders'!$C261, "B", 'Historical Orders'!$B261, "2")</f>
        <v>0</v>
      </c>
      <c r="AM261" s="171">
        <f>SUMIFS('Historical Orders'!$G261, 'Historical Orders'!$D261, "4", 'Historical Orders'!$C261, "B", 'Historical Orders'!$B261, "2")</f>
        <v>0</v>
      </c>
      <c r="AN261" s="171">
        <f>SUMIFS('Historical Orders'!$G261, 'Historical Orders'!$C261, "A", 'Historical Orders'!$B261, "1")</f>
        <v>6990</v>
      </c>
      <c r="AO261" s="171">
        <f>SUMIFS('Historical Orders'!$G261, 'Historical Orders'!$C261, "B", 'Historical Orders'!$B261, "1")</f>
        <v>0</v>
      </c>
      <c r="AP261" s="171">
        <f>SUMIFS('Historical Orders'!$G261, 'Historical Orders'!$C261, "A", 'Historical Orders'!$B261, "2")</f>
        <v>0</v>
      </c>
      <c r="AQ261" s="171">
        <f>SUMIFS('Historical Orders'!$G261, 'Historical Orders'!$C261, "B", 'Historical Orders'!$B261, "2")</f>
        <v>0</v>
      </c>
      <c r="AR261" s="145"/>
      <c r="AS261" s="172"/>
      <c r="AT261" s="172"/>
      <c r="AU261" s="172"/>
      <c r="AV261" s="172"/>
      <c r="AW261" s="172"/>
      <c r="AX261" s="172"/>
      <c r="AY261" s="172"/>
      <c r="AZ261" s="172"/>
      <c r="BA261" s="172"/>
      <c r="BB261" s="172"/>
      <c r="BC261" s="172"/>
      <c r="BD261" s="172"/>
      <c r="BE261" s="172"/>
      <c r="BF261" s="172"/>
      <c r="BG261" s="172"/>
      <c r="BH261" s="172"/>
      <c r="BI261" s="172"/>
      <c r="BJ261" s="172"/>
      <c r="BK261" s="172"/>
      <c r="BL261" s="172"/>
      <c r="BM261" s="172"/>
      <c r="BN261" s="172"/>
      <c r="BO261" s="172"/>
      <c r="BP261" s="172"/>
      <c r="BQ261" s="172"/>
      <c r="BR261" s="172"/>
      <c r="BS261" s="172"/>
      <c r="BT261" s="172"/>
      <c r="BU261" s="172"/>
      <c r="BV261" s="179"/>
      <c r="BW261" s="179"/>
      <c r="BX261" s="179"/>
      <c r="BY261" s="179"/>
      <c r="BZ261" s="179"/>
      <c r="CA261" s="179"/>
      <c r="CB261" s="179"/>
      <c r="CC261" s="179"/>
      <c r="CD261" s="179"/>
      <c r="CE261" s="179"/>
    </row>
    <row r="262" ht="15.75" customHeight="1">
      <c r="A262" s="151">
        <v>42156.0</v>
      </c>
      <c r="B262" s="152">
        <v>2.0</v>
      </c>
      <c r="C262" s="152" t="s">
        <v>45</v>
      </c>
      <c r="D262" s="152">
        <v>1.0</v>
      </c>
      <c r="E262" s="153">
        <v>4453.0</v>
      </c>
      <c r="F262" s="154">
        <v>2.2</v>
      </c>
      <c r="G262" s="155">
        <v>9796.6</v>
      </c>
      <c r="H262" s="159">
        <f>SUMIFS('Historical Orders'!$E262, 'Historical Orders'!$D262, "1", 'Historical Orders'!$C262, "A", 'Historical Orders'!$B262, "1")</f>
        <v>0</v>
      </c>
      <c r="I262" s="157">
        <f>SUMIFS('Historical Orders'!$G262, 'Historical Orders'!$D262, "1", 'Historical Orders'!$C262, "A", 'Historical Orders'!$B262, "1")</f>
        <v>0</v>
      </c>
      <c r="J262" s="157">
        <f>SUMIFS('Historical Orders'!$E262, 'Historical Orders'!$D262, "1", 'Historical Orders'!$C262, "B", 'Historical Orders'!$B262, "1")</f>
        <v>0</v>
      </c>
      <c r="K262" s="157">
        <f>SUMIFS('Historical Orders'!$G262, 'Historical Orders'!$D262, "1", 'Historical Orders'!$C262, "B", 'Historical Orders'!$B262, "1")</f>
        <v>0</v>
      </c>
      <c r="L262" s="159">
        <f>SUMIFS('Historical Orders'!$E262, 'Historical Orders'!$D262, "1", 'Historical Orders'!$C262, "A", 'Historical Orders'!$B262, "2")</f>
        <v>4453</v>
      </c>
      <c r="M262" s="157">
        <f>SUMIFS('Historical Orders'!$G262, 'Historical Orders'!$D262, "1", 'Historical Orders'!$C262, "A", 'Historical Orders'!$B262, "2")</f>
        <v>9796.6</v>
      </c>
      <c r="N262" s="157">
        <f>SUMIFS('Historical Orders'!$E262, 'Historical Orders'!$D262, "1", 'Historical Orders'!$C262, "B", 'Historical Orders'!$B262, "2")</f>
        <v>0</v>
      </c>
      <c r="O262" s="157">
        <f>SUMIFS('Historical Orders'!$G262, 'Historical Orders'!$D262, "1", 'Historical Orders'!$C262, "B", 'Historical Orders'!$B262, "2")</f>
        <v>0</v>
      </c>
      <c r="P262" s="159">
        <f>SUMIFS('Historical Orders'!$E262, 'Historical Orders'!$D262, "2", 'Historical Orders'!$C262, "A", 'Historical Orders'!$B262, "1")</f>
        <v>0</v>
      </c>
      <c r="Q262" s="157">
        <f>SUMIFS('Historical Orders'!$G262, 'Historical Orders'!$D262, "2", 'Historical Orders'!$C262, "A", 'Historical Orders'!$B262, "1")</f>
        <v>0</v>
      </c>
      <c r="R262" s="159">
        <f>SUMIFS('Historical Orders'!$E262, 'Historical Orders'!$D262, "2", 'Historical Orders'!$C262, "B", 'Historical Orders'!$B262, "1")</f>
        <v>0</v>
      </c>
      <c r="S262" s="157">
        <f>SUMIFS('Historical Orders'!$G262, 'Historical Orders'!$D262, "2", 'Historical Orders'!$C262, "B", 'Historical Orders'!$B262, "1")</f>
        <v>0</v>
      </c>
      <c r="T262" s="159">
        <f>SUMIFS('Historical Orders'!$E262, 'Historical Orders'!$D262, "2", 'Historical Orders'!$C262, "A", 'Historical Orders'!$B262, "2")</f>
        <v>0</v>
      </c>
      <c r="U262" s="157">
        <f>SUMIFS('Historical Orders'!$G262, 'Historical Orders'!$D262, "2", 'Historical Orders'!$C262, "A", 'Historical Orders'!$B262, "2")</f>
        <v>0</v>
      </c>
      <c r="V262" s="159">
        <f>SUMIFS('Historical Orders'!$E262, 'Historical Orders'!$D262, "2", 'Historical Orders'!$C262, "B", 'Historical Orders'!$B262, "2")</f>
        <v>0</v>
      </c>
      <c r="W262" s="159">
        <f>SUMIFS('Historical Orders'!$G262, 'Historical Orders'!$D262, "2", 'Historical Orders'!$C262, "B", 'Historical Orders'!$B262, "2")</f>
        <v>0</v>
      </c>
      <c r="X262" s="159">
        <f>SUMIFS('Historical Orders'!$E262, 'Historical Orders'!$D262, "3", 'Historical Orders'!$C262, "A", 'Historical Orders'!$B262, "1")</f>
        <v>0</v>
      </c>
      <c r="Y262" s="159">
        <f>SUMIFS('Historical Orders'!$G262, 'Historical Orders'!$D262, "3", 'Historical Orders'!$C262, "A", 'Historical Orders'!$B262, "1")</f>
        <v>0</v>
      </c>
      <c r="Z262" s="159">
        <f>SUMIFS('Historical Orders'!$E262, 'Historical Orders'!$D262, "3", 'Historical Orders'!$C262, "B", 'Historical Orders'!$B262, "1")</f>
        <v>0</v>
      </c>
      <c r="AA262" s="159">
        <f>SUMIFS('Historical Orders'!$G262, 'Historical Orders'!$D262, "3", 'Historical Orders'!$C262, "B", 'Historical Orders'!$B262, "1")</f>
        <v>0</v>
      </c>
      <c r="AB262" s="159">
        <f>SUMIFS('Historical Orders'!$E262, 'Historical Orders'!$D262, "3", 'Historical Orders'!$C262, "A", 'Historical Orders'!$B262, "2")</f>
        <v>0</v>
      </c>
      <c r="AC262" s="159">
        <f>SUMIFS('Historical Orders'!$G262, 'Historical Orders'!$D262, "3", 'Historical Orders'!$C262, "A", 'Historical Orders'!$B262, "2")</f>
        <v>0</v>
      </c>
      <c r="AD262" s="159">
        <f>SUMIFS('Historical Orders'!$E262, 'Historical Orders'!$D262, "3", 'Historical Orders'!$C262, "B", 'Historical Orders'!$B262, "2")</f>
        <v>0</v>
      </c>
      <c r="AE262" s="157">
        <f>SUMIFS('Historical Orders'!$G262, 'Historical Orders'!$D262, "3", 'Historical Orders'!$C262, "B", 'Historical Orders'!$B262, "2")</f>
        <v>0</v>
      </c>
      <c r="AF262" s="157">
        <f>SUMIFS('Historical Orders'!$E262, 'Historical Orders'!$D262, "4", 'Historical Orders'!$C262, "A", 'Historical Orders'!$B262, "1")</f>
        <v>0</v>
      </c>
      <c r="AG262" s="157">
        <f>SUMIFS('Historical Orders'!$G262, 'Historical Orders'!$D262, "4", 'Historical Orders'!$C262, "A", 'Historical Orders'!$B262, "1")</f>
        <v>0</v>
      </c>
      <c r="AH262" s="157">
        <f>SUMIFS('Historical Orders'!$E262, 'Historical Orders'!$D262, "4", 'Historical Orders'!$C262, "B", 'Historical Orders'!$B262, "1")</f>
        <v>0</v>
      </c>
      <c r="AI262" s="157">
        <f>SUMIFS('Historical Orders'!$G262, 'Historical Orders'!$D262, "4", 'Historical Orders'!$C262, "B", 'Historical Orders'!$B262, "1")</f>
        <v>0</v>
      </c>
      <c r="AJ262" s="157">
        <f>SUMIFS('Historical Orders'!$E262, 'Historical Orders'!$D262, "4", 'Historical Orders'!$C262, "A", 'Historical Orders'!$B262, "2")</f>
        <v>0</v>
      </c>
      <c r="AK262" s="157">
        <f>SUMIFS('Historical Orders'!$G262, 'Historical Orders'!$D262, "4", 'Historical Orders'!$C262, "A", 'Historical Orders'!$B262, "2")</f>
        <v>0</v>
      </c>
      <c r="AL262" s="171">
        <f>SUMIFS('Historical Orders'!$E262, 'Historical Orders'!$D262, "4", 'Historical Orders'!$C262, "B", 'Historical Orders'!$B262, "2")</f>
        <v>0</v>
      </c>
      <c r="AM262" s="171">
        <f>SUMIFS('Historical Orders'!$G262, 'Historical Orders'!$D262, "4", 'Historical Orders'!$C262, "B", 'Historical Orders'!$B262, "2")</f>
        <v>0</v>
      </c>
      <c r="AN262" s="171">
        <f>SUMIFS('Historical Orders'!$G262, 'Historical Orders'!$C262, "A", 'Historical Orders'!$B262, "1")</f>
        <v>0</v>
      </c>
      <c r="AO262" s="171">
        <f>SUMIFS('Historical Orders'!$G262, 'Historical Orders'!$C262, "B", 'Historical Orders'!$B262, "1")</f>
        <v>0</v>
      </c>
      <c r="AP262" s="171">
        <f>SUMIFS('Historical Orders'!$G262, 'Historical Orders'!$C262, "A", 'Historical Orders'!$B262, "2")</f>
        <v>9796.6</v>
      </c>
      <c r="AQ262" s="171">
        <f>SUMIFS('Historical Orders'!$G262, 'Historical Orders'!$C262, "B", 'Historical Orders'!$B262, "2")</f>
        <v>0</v>
      </c>
      <c r="AR262" s="145"/>
      <c r="AS262" s="172"/>
      <c r="AT262" s="172"/>
      <c r="AU262" s="172"/>
      <c r="AV262" s="172"/>
      <c r="AW262" s="172"/>
      <c r="AX262" s="172"/>
      <c r="AY262" s="172"/>
      <c r="AZ262" s="172"/>
      <c r="BA262" s="172"/>
      <c r="BB262" s="172"/>
      <c r="BC262" s="172"/>
      <c r="BD262" s="172"/>
      <c r="BE262" s="172"/>
      <c r="BF262" s="172"/>
      <c r="BG262" s="172"/>
      <c r="BH262" s="172"/>
      <c r="BI262" s="172"/>
      <c r="BJ262" s="172"/>
      <c r="BK262" s="172"/>
      <c r="BL262" s="172"/>
      <c r="BM262" s="172"/>
      <c r="BN262" s="172"/>
      <c r="BO262" s="172"/>
      <c r="BP262" s="172"/>
      <c r="BQ262" s="172"/>
      <c r="BR262" s="172"/>
      <c r="BS262" s="172"/>
      <c r="BT262" s="172"/>
      <c r="BU262" s="172"/>
      <c r="BV262" s="179"/>
      <c r="BW262" s="179"/>
      <c r="BX262" s="179"/>
      <c r="BY262" s="179"/>
      <c r="BZ262" s="179"/>
      <c r="CA262" s="179"/>
      <c r="CB262" s="179"/>
      <c r="CC262" s="179"/>
      <c r="CD262" s="179"/>
      <c r="CE262" s="179"/>
    </row>
    <row r="263" ht="15.75" customHeight="1">
      <c r="A263" s="151">
        <v>42156.0</v>
      </c>
      <c r="B263" s="152">
        <v>2.0</v>
      </c>
      <c r="C263" s="152" t="s">
        <v>45</v>
      </c>
      <c r="D263" s="152">
        <v>2.0</v>
      </c>
      <c r="E263" s="153">
        <v>5519.0</v>
      </c>
      <c r="F263" s="154">
        <v>1.2</v>
      </c>
      <c r="G263" s="155">
        <v>6622.8</v>
      </c>
      <c r="H263" s="159">
        <f>SUMIFS('Historical Orders'!$E263, 'Historical Orders'!$D263, "1", 'Historical Orders'!$C263, "A", 'Historical Orders'!$B263, "1")</f>
        <v>0</v>
      </c>
      <c r="I263" s="157">
        <f>SUMIFS('Historical Orders'!$G263, 'Historical Orders'!$D263, "1", 'Historical Orders'!$C263, "A", 'Historical Orders'!$B263, "1")</f>
        <v>0</v>
      </c>
      <c r="J263" s="157">
        <f>SUMIFS('Historical Orders'!$E263, 'Historical Orders'!$D263, "1", 'Historical Orders'!$C263, "B", 'Historical Orders'!$B263, "1")</f>
        <v>0</v>
      </c>
      <c r="K263" s="157">
        <f>SUMIFS('Historical Orders'!$G263, 'Historical Orders'!$D263, "1", 'Historical Orders'!$C263, "B", 'Historical Orders'!$B263, "1")</f>
        <v>0</v>
      </c>
      <c r="L263" s="159">
        <f>SUMIFS('Historical Orders'!$E263, 'Historical Orders'!$D263, "1", 'Historical Orders'!$C263, "A", 'Historical Orders'!$B263, "2")</f>
        <v>0</v>
      </c>
      <c r="M263" s="157">
        <f>SUMIFS('Historical Orders'!$G263, 'Historical Orders'!$D263, "1", 'Historical Orders'!$C263, "A", 'Historical Orders'!$B263, "2")</f>
        <v>0</v>
      </c>
      <c r="N263" s="157">
        <f>SUMIFS('Historical Orders'!$E263, 'Historical Orders'!$D263, "1", 'Historical Orders'!$C263, "B", 'Historical Orders'!$B263, "2")</f>
        <v>0</v>
      </c>
      <c r="O263" s="157">
        <f>SUMIFS('Historical Orders'!$G263, 'Historical Orders'!$D263, "1", 'Historical Orders'!$C263, "B", 'Historical Orders'!$B263, "2")</f>
        <v>0</v>
      </c>
      <c r="P263" s="159">
        <f>SUMIFS('Historical Orders'!$E263, 'Historical Orders'!$D263, "2", 'Historical Orders'!$C263, "A", 'Historical Orders'!$B263, "1")</f>
        <v>0</v>
      </c>
      <c r="Q263" s="157">
        <f>SUMIFS('Historical Orders'!$G263, 'Historical Orders'!$D263, "2", 'Historical Orders'!$C263, "A", 'Historical Orders'!$B263, "1")</f>
        <v>0</v>
      </c>
      <c r="R263" s="159">
        <f>SUMIFS('Historical Orders'!$E263, 'Historical Orders'!$D263, "2", 'Historical Orders'!$C263, "B", 'Historical Orders'!$B263, "1")</f>
        <v>0</v>
      </c>
      <c r="S263" s="157">
        <f>SUMIFS('Historical Orders'!$G263, 'Historical Orders'!$D263, "2", 'Historical Orders'!$C263, "B", 'Historical Orders'!$B263, "1")</f>
        <v>0</v>
      </c>
      <c r="T263" s="159">
        <f>SUMIFS('Historical Orders'!$E263, 'Historical Orders'!$D263, "2", 'Historical Orders'!$C263, "A", 'Historical Orders'!$B263, "2")</f>
        <v>5519</v>
      </c>
      <c r="U263" s="157">
        <f>SUMIFS('Historical Orders'!$G263, 'Historical Orders'!$D263, "2", 'Historical Orders'!$C263, "A", 'Historical Orders'!$B263, "2")</f>
        <v>6622.8</v>
      </c>
      <c r="V263" s="159">
        <f>SUMIFS('Historical Orders'!$E263, 'Historical Orders'!$D263, "2", 'Historical Orders'!$C263, "B", 'Historical Orders'!$B263, "2")</f>
        <v>0</v>
      </c>
      <c r="W263" s="159">
        <f>SUMIFS('Historical Orders'!$G263, 'Historical Orders'!$D263, "2", 'Historical Orders'!$C263, "B", 'Historical Orders'!$B263, "2")</f>
        <v>0</v>
      </c>
      <c r="X263" s="159">
        <f>SUMIFS('Historical Orders'!$E263, 'Historical Orders'!$D263, "3", 'Historical Orders'!$C263, "A", 'Historical Orders'!$B263, "1")</f>
        <v>0</v>
      </c>
      <c r="Y263" s="159">
        <f>SUMIFS('Historical Orders'!$G263, 'Historical Orders'!$D263, "3", 'Historical Orders'!$C263, "A", 'Historical Orders'!$B263, "1")</f>
        <v>0</v>
      </c>
      <c r="Z263" s="159">
        <f>SUMIFS('Historical Orders'!$E263, 'Historical Orders'!$D263, "3", 'Historical Orders'!$C263, "B", 'Historical Orders'!$B263, "1")</f>
        <v>0</v>
      </c>
      <c r="AA263" s="159">
        <f>SUMIFS('Historical Orders'!$G263, 'Historical Orders'!$D263, "3", 'Historical Orders'!$C263, "B", 'Historical Orders'!$B263, "1")</f>
        <v>0</v>
      </c>
      <c r="AB263" s="159">
        <f>SUMIFS('Historical Orders'!$E263, 'Historical Orders'!$D263, "3", 'Historical Orders'!$C263, "A", 'Historical Orders'!$B263, "2")</f>
        <v>0</v>
      </c>
      <c r="AC263" s="159">
        <f>SUMIFS('Historical Orders'!$G263, 'Historical Orders'!$D263, "3", 'Historical Orders'!$C263, "A", 'Historical Orders'!$B263, "2")</f>
        <v>0</v>
      </c>
      <c r="AD263" s="159">
        <f>SUMIFS('Historical Orders'!$E263, 'Historical Orders'!$D263, "3", 'Historical Orders'!$C263, "B", 'Historical Orders'!$B263, "2")</f>
        <v>0</v>
      </c>
      <c r="AE263" s="157">
        <f>SUMIFS('Historical Orders'!$G263, 'Historical Orders'!$D263, "3", 'Historical Orders'!$C263, "B", 'Historical Orders'!$B263, "2")</f>
        <v>0</v>
      </c>
      <c r="AF263" s="157">
        <f>SUMIFS('Historical Orders'!$E263, 'Historical Orders'!$D263, "4", 'Historical Orders'!$C263, "A", 'Historical Orders'!$B263, "1")</f>
        <v>0</v>
      </c>
      <c r="AG263" s="157">
        <f>SUMIFS('Historical Orders'!$G263, 'Historical Orders'!$D263, "4", 'Historical Orders'!$C263, "A", 'Historical Orders'!$B263, "1")</f>
        <v>0</v>
      </c>
      <c r="AH263" s="157">
        <f>SUMIFS('Historical Orders'!$E263, 'Historical Orders'!$D263, "4", 'Historical Orders'!$C263, "B", 'Historical Orders'!$B263, "1")</f>
        <v>0</v>
      </c>
      <c r="AI263" s="157">
        <f>SUMIFS('Historical Orders'!$G263, 'Historical Orders'!$D263, "4", 'Historical Orders'!$C263, "B", 'Historical Orders'!$B263, "1")</f>
        <v>0</v>
      </c>
      <c r="AJ263" s="157">
        <f>SUMIFS('Historical Orders'!$E263, 'Historical Orders'!$D263, "4", 'Historical Orders'!$C263, "A", 'Historical Orders'!$B263, "2")</f>
        <v>0</v>
      </c>
      <c r="AK263" s="157">
        <f>SUMIFS('Historical Orders'!$G263, 'Historical Orders'!$D263, "4", 'Historical Orders'!$C263, "A", 'Historical Orders'!$B263, "2")</f>
        <v>0</v>
      </c>
      <c r="AL263" s="171">
        <f>SUMIFS('Historical Orders'!$E263, 'Historical Orders'!$D263, "4", 'Historical Orders'!$C263, "B", 'Historical Orders'!$B263, "2")</f>
        <v>0</v>
      </c>
      <c r="AM263" s="171">
        <f>SUMIFS('Historical Orders'!$G263, 'Historical Orders'!$D263, "4", 'Historical Orders'!$C263, "B", 'Historical Orders'!$B263, "2")</f>
        <v>0</v>
      </c>
      <c r="AN263" s="171">
        <f>SUMIFS('Historical Orders'!$G263, 'Historical Orders'!$C263, "A", 'Historical Orders'!$B263, "1")</f>
        <v>0</v>
      </c>
      <c r="AO263" s="171">
        <f>SUMIFS('Historical Orders'!$G263, 'Historical Orders'!$C263, "B", 'Historical Orders'!$B263, "1")</f>
        <v>0</v>
      </c>
      <c r="AP263" s="171">
        <f>SUMIFS('Historical Orders'!$G263, 'Historical Orders'!$C263, "A", 'Historical Orders'!$B263, "2")</f>
        <v>6622.8</v>
      </c>
      <c r="AQ263" s="171">
        <f>SUMIFS('Historical Orders'!$G263, 'Historical Orders'!$C263, "B", 'Historical Orders'!$B263, "2")</f>
        <v>0</v>
      </c>
      <c r="AR263" s="145"/>
      <c r="AS263" s="172"/>
      <c r="AT263" s="172"/>
      <c r="AU263" s="172"/>
      <c r="AV263" s="172"/>
      <c r="AW263" s="172"/>
      <c r="AX263" s="172"/>
      <c r="AY263" s="172"/>
      <c r="AZ263" s="172"/>
      <c r="BA263" s="172"/>
      <c r="BB263" s="172"/>
      <c r="BC263" s="172"/>
      <c r="BD263" s="172"/>
      <c r="BE263" s="172"/>
      <c r="BF263" s="172"/>
      <c r="BG263" s="172"/>
      <c r="BH263" s="172"/>
      <c r="BI263" s="172"/>
      <c r="BJ263" s="172"/>
      <c r="BK263" s="172"/>
      <c r="BL263" s="172"/>
      <c r="BM263" s="172"/>
      <c r="BN263" s="172"/>
      <c r="BO263" s="172"/>
      <c r="BP263" s="172"/>
      <c r="BQ263" s="172"/>
      <c r="BR263" s="172"/>
      <c r="BS263" s="172"/>
      <c r="BT263" s="172"/>
      <c r="BU263" s="172"/>
      <c r="BV263" s="179"/>
      <c r="BW263" s="179"/>
      <c r="BX263" s="179"/>
      <c r="BY263" s="179"/>
      <c r="BZ263" s="179"/>
      <c r="CA263" s="179"/>
      <c r="CB263" s="179"/>
      <c r="CC263" s="179"/>
      <c r="CD263" s="179"/>
      <c r="CE263" s="179"/>
    </row>
    <row r="264" ht="15.75" customHeight="1">
      <c r="A264" s="151">
        <v>42156.0</v>
      </c>
      <c r="B264" s="152">
        <v>1.0</v>
      </c>
      <c r="C264" s="152" t="s">
        <v>46</v>
      </c>
      <c r="D264" s="152">
        <v>3.0</v>
      </c>
      <c r="E264" s="153">
        <v>2298.0</v>
      </c>
      <c r="F264" s="154">
        <v>8.3</v>
      </c>
      <c r="G264" s="155">
        <v>19073.4</v>
      </c>
      <c r="H264" s="159">
        <f>SUMIFS('Historical Orders'!$E264, 'Historical Orders'!$D264, "1", 'Historical Orders'!$C264, "A", 'Historical Orders'!$B264, "1")</f>
        <v>0</v>
      </c>
      <c r="I264" s="157">
        <f>SUMIFS('Historical Orders'!$G264, 'Historical Orders'!$D264, "1", 'Historical Orders'!$C264, "A", 'Historical Orders'!$B264, "1")</f>
        <v>0</v>
      </c>
      <c r="J264" s="157">
        <f>SUMIFS('Historical Orders'!$E264, 'Historical Orders'!$D264, "1", 'Historical Orders'!$C264, "B", 'Historical Orders'!$B264, "1")</f>
        <v>0</v>
      </c>
      <c r="K264" s="157">
        <f>SUMIFS('Historical Orders'!$G264, 'Historical Orders'!$D264, "1", 'Historical Orders'!$C264, "B", 'Historical Orders'!$B264, "1")</f>
        <v>0</v>
      </c>
      <c r="L264" s="159">
        <f>SUMIFS('Historical Orders'!$E264, 'Historical Orders'!$D264, "1", 'Historical Orders'!$C264, "A", 'Historical Orders'!$B264, "2")</f>
        <v>0</v>
      </c>
      <c r="M264" s="157">
        <f>SUMIFS('Historical Orders'!$G264, 'Historical Orders'!$D264, "1", 'Historical Orders'!$C264, "A", 'Historical Orders'!$B264, "2")</f>
        <v>0</v>
      </c>
      <c r="N264" s="157">
        <f>SUMIFS('Historical Orders'!$E264, 'Historical Orders'!$D264, "1", 'Historical Orders'!$C264, "B", 'Historical Orders'!$B264, "2")</f>
        <v>0</v>
      </c>
      <c r="O264" s="157">
        <f>SUMIFS('Historical Orders'!$G264, 'Historical Orders'!$D264, "1", 'Historical Orders'!$C264, "B", 'Historical Orders'!$B264, "2")</f>
        <v>0</v>
      </c>
      <c r="P264" s="159">
        <f>SUMIFS('Historical Orders'!$E264, 'Historical Orders'!$D264, "2", 'Historical Orders'!$C264, "A", 'Historical Orders'!$B264, "1")</f>
        <v>0</v>
      </c>
      <c r="Q264" s="157">
        <f>SUMIFS('Historical Orders'!$G264, 'Historical Orders'!$D264, "2", 'Historical Orders'!$C264, "A", 'Historical Orders'!$B264, "1")</f>
        <v>0</v>
      </c>
      <c r="R264" s="159">
        <f>SUMIFS('Historical Orders'!$E264, 'Historical Orders'!$D264, "2", 'Historical Orders'!$C264, "B", 'Historical Orders'!$B264, "1")</f>
        <v>0</v>
      </c>
      <c r="S264" s="157">
        <f>SUMIFS('Historical Orders'!$G264, 'Historical Orders'!$D264, "2", 'Historical Orders'!$C264, "B", 'Historical Orders'!$B264, "1")</f>
        <v>0</v>
      </c>
      <c r="T264" s="159">
        <f>SUMIFS('Historical Orders'!$E264, 'Historical Orders'!$D264, "2", 'Historical Orders'!$C264, "A", 'Historical Orders'!$B264, "2")</f>
        <v>0</v>
      </c>
      <c r="U264" s="157">
        <f>SUMIFS('Historical Orders'!$G264, 'Historical Orders'!$D264, "2", 'Historical Orders'!$C264, "A", 'Historical Orders'!$B264, "2")</f>
        <v>0</v>
      </c>
      <c r="V264" s="159">
        <f>SUMIFS('Historical Orders'!$E264, 'Historical Orders'!$D264, "2", 'Historical Orders'!$C264, "B", 'Historical Orders'!$B264, "2")</f>
        <v>0</v>
      </c>
      <c r="W264" s="159">
        <f>SUMIFS('Historical Orders'!$G264, 'Historical Orders'!$D264, "2", 'Historical Orders'!$C264, "B", 'Historical Orders'!$B264, "2")</f>
        <v>0</v>
      </c>
      <c r="X264" s="159">
        <f>SUMIFS('Historical Orders'!$E264, 'Historical Orders'!$D264, "3", 'Historical Orders'!$C264, "A", 'Historical Orders'!$B264, "1")</f>
        <v>0</v>
      </c>
      <c r="Y264" s="159">
        <f>SUMIFS('Historical Orders'!$G264, 'Historical Orders'!$D264, "3", 'Historical Orders'!$C264, "A", 'Historical Orders'!$B264, "1")</f>
        <v>0</v>
      </c>
      <c r="Z264" s="159">
        <f>SUMIFS('Historical Orders'!$E264, 'Historical Orders'!$D264, "3", 'Historical Orders'!$C264, "B", 'Historical Orders'!$B264, "1")</f>
        <v>2298</v>
      </c>
      <c r="AA264" s="159">
        <f>SUMIFS('Historical Orders'!$G264, 'Historical Orders'!$D264, "3", 'Historical Orders'!$C264, "B", 'Historical Orders'!$B264, "1")</f>
        <v>19073.4</v>
      </c>
      <c r="AB264" s="159">
        <f>SUMIFS('Historical Orders'!$E264, 'Historical Orders'!$D264, "3", 'Historical Orders'!$C264, "A", 'Historical Orders'!$B264, "2")</f>
        <v>0</v>
      </c>
      <c r="AC264" s="159">
        <f>SUMIFS('Historical Orders'!$G264, 'Historical Orders'!$D264, "3", 'Historical Orders'!$C264, "A", 'Historical Orders'!$B264, "2")</f>
        <v>0</v>
      </c>
      <c r="AD264" s="159">
        <f>SUMIFS('Historical Orders'!$E264, 'Historical Orders'!$D264, "3", 'Historical Orders'!$C264, "B", 'Historical Orders'!$B264, "2")</f>
        <v>0</v>
      </c>
      <c r="AE264" s="157">
        <f>SUMIFS('Historical Orders'!$G264, 'Historical Orders'!$D264, "3", 'Historical Orders'!$C264, "B", 'Historical Orders'!$B264, "2")</f>
        <v>0</v>
      </c>
      <c r="AF264" s="157">
        <f>SUMIFS('Historical Orders'!$E264, 'Historical Orders'!$D264, "4", 'Historical Orders'!$C264, "A", 'Historical Orders'!$B264, "1")</f>
        <v>0</v>
      </c>
      <c r="AG264" s="157">
        <f>SUMIFS('Historical Orders'!$G264, 'Historical Orders'!$D264, "4", 'Historical Orders'!$C264, "A", 'Historical Orders'!$B264, "1")</f>
        <v>0</v>
      </c>
      <c r="AH264" s="157">
        <f>SUMIFS('Historical Orders'!$E264, 'Historical Orders'!$D264, "4", 'Historical Orders'!$C264, "B", 'Historical Orders'!$B264, "1")</f>
        <v>0</v>
      </c>
      <c r="AI264" s="157">
        <f>SUMIFS('Historical Orders'!$G264, 'Historical Orders'!$D264, "4", 'Historical Orders'!$C264, "B", 'Historical Orders'!$B264, "1")</f>
        <v>0</v>
      </c>
      <c r="AJ264" s="157">
        <f>SUMIFS('Historical Orders'!$E264, 'Historical Orders'!$D264, "4", 'Historical Orders'!$C264, "A", 'Historical Orders'!$B264, "2")</f>
        <v>0</v>
      </c>
      <c r="AK264" s="157">
        <f>SUMIFS('Historical Orders'!$G264, 'Historical Orders'!$D264, "4", 'Historical Orders'!$C264, "A", 'Historical Orders'!$B264, "2")</f>
        <v>0</v>
      </c>
      <c r="AL264" s="171">
        <f>SUMIFS('Historical Orders'!$E264, 'Historical Orders'!$D264, "4", 'Historical Orders'!$C264, "B", 'Historical Orders'!$B264, "2")</f>
        <v>0</v>
      </c>
      <c r="AM264" s="171">
        <f>SUMIFS('Historical Orders'!$G264, 'Historical Orders'!$D264, "4", 'Historical Orders'!$C264, "B", 'Historical Orders'!$B264, "2")</f>
        <v>0</v>
      </c>
      <c r="AN264" s="171">
        <f>SUMIFS('Historical Orders'!$G264, 'Historical Orders'!$C264, "A", 'Historical Orders'!$B264, "1")</f>
        <v>0</v>
      </c>
      <c r="AO264" s="171">
        <f>SUMIFS('Historical Orders'!$G264, 'Historical Orders'!$C264, "B", 'Historical Orders'!$B264, "1")</f>
        <v>19073.4</v>
      </c>
      <c r="AP264" s="171">
        <f>SUMIFS('Historical Orders'!$G264, 'Historical Orders'!$C264, "A", 'Historical Orders'!$B264, "2")</f>
        <v>0</v>
      </c>
      <c r="AQ264" s="171">
        <f>SUMIFS('Historical Orders'!$G264, 'Historical Orders'!$C264, "B", 'Historical Orders'!$B264, "2")</f>
        <v>0</v>
      </c>
      <c r="AR264" s="145"/>
      <c r="AS264" s="172"/>
      <c r="AT264" s="172"/>
      <c r="AU264" s="172"/>
      <c r="AV264" s="172"/>
      <c r="AW264" s="172"/>
      <c r="AX264" s="172"/>
      <c r="AY264" s="172"/>
      <c r="AZ264" s="172"/>
      <c r="BA264" s="172"/>
      <c r="BB264" s="172"/>
      <c r="BC264" s="172"/>
      <c r="BD264" s="172"/>
      <c r="BE264" s="172"/>
      <c r="BF264" s="172"/>
      <c r="BG264" s="172"/>
      <c r="BH264" s="172"/>
      <c r="BI264" s="172"/>
      <c r="BJ264" s="172"/>
      <c r="BK264" s="172"/>
      <c r="BL264" s="172"/>
      <c r="BM264" s="172"/>
      <c r="BN264" s="172"/>
      <c r="BO264" s="172"/>
      <c r="BP264" s="172"/>
      <c r="BQ264" s="172"/>
      <c r="BR264" s="172"/>
      <c r="BS264" s="172"/>
      <c r="BT264" s="172"/>
      <c r="BU264" s="172"/>
      <c r="BV264" s="179"/>
      <c r="BW264" s="179"/>
      <c r="BX264" s="179"/>
      <c r="BY264" s="179"/>
      <c r="BZ264" s="179"/>
      <c r="CA264" s="179"/>
      <c r="CB264" s="179"/>
      <c r="CC264" s="179"/>
      <c r="CD264" s="179"/>
      <c r="CE264" s="179"/>
    </row>
    <row r="265" ht="15.75" customHeight="1">
      <c r="A265" s="151">
        <v>42156.0</v>
      </c>
      <c r="B265" s="152">
        <v>2.0</v>
      </c>
      <c r="C265" s="152" t="s">
        <v>46</v>
      </c>
      <c r="D265" s="152">
        <v>3.0</v>
      </c>
      <c r="E265" s="153">
        <v>3149.0</v>
      </c>
      <c r="F265" s="154">
        <v>8.3</v>
      </c>
      <c r="G265" s="155">
        <v>26136.7</v>
      </c>
      <c r="H265" s="159">
        <f>SUMIFS('Historical Orders'!$E265, 'Historical Orders'!$D265, "1", 'Historical Orders'!$C265, "A", 'Historical Orders'!$B265, "1")</f>
        <v>0</v>
      </c>
      <c r="I265" s="157">
        <f>SUMIFS('Historical Orders'!$G265, 'Historical Orders'!$D265, "1", 'Historical Orders'!$C265, "A", 'Historical Orders'!$B265, "1")</f>
        <v>0</v>
      </c>
      <c r="J265" s="157">
        <f>SUMIFS('Historical Orders'!$E265, 'Historical Orders'!$D265, "1", 'Historical Orders'!$C265, "B", 'Historical Orders'!$B265, "1")</f>
        <v>0</v>
      </c>
      <c r="K265" s="157">
        <f>SUMIFS('Historical Orders'!$G265, 'Historical Orders'!$D265, "1", 'Historical Orders'!$C265, "B", 'Historical Orders'!$B265, "1")</f>
        <v>0</v>
      </c>
      <c r="L265" s="159">
        <f>SUMIFS('Historical Orders'!$E265, 'Historical Orders'!$D265, "1", 'Historical Orders'!$C265, "A", 'Historical Orders'!$B265, "2")</f>
        <v>0</v>
      </c>
      <c r="M265" s="157">
        <f>SUMIFS('Historical Orders'!$G265, 'Historical Orders'!$D265, "1", 'Historical Orders'!$C265, "A", 'Historical Orders'!$B265, "2")</f>
        <v>0</v>
      </c>
      <c r="N265" s="157">
        <f>SUMIFS('Historical Orders'!$E265, 'Historical Orders'!$D265, "1", 'Historical Orders'!$C265, "B", 'Historical Orders'!$B265, "2")</f>
        <v>0</v>
      </c>
      <c r="O265" s="157">
        <f>SUMIFS('Historical Orders'!$G265, 'Historical Orders'!$D265, "1", 'Historical Orders'!$C265, "B", 'Historical Orders'!$B265, "2")</f>
        <v>0</v>
      </c>
      <c r="P265" s="159">
        <f>SUMIFS('Historical Orders'!$E265, 'Historical Orders'!$D265, "2", 'Historical Orders'!$C265, "A", 'Historical Orders'!$B265, "1")</f>
        <v>0</v>
      </c>
      <c r="Q265" s="157">
        <f>SUMIFS('Historical Orders'!$G265, 'Historical Orders'!$D265, "2", 'Historical Orders'!$C265, "A", 'Historical Orders'!$B265, "1")</f>
        <v>0</v>
      </c>
      <c r="R265" s="159">
        <f>SUMIFS('Historical Orders'!$E265, 'Historical Orders'!$D265, "2", 'Historical Orders'!$C265, "B", 'Historical Orders'!$B265, "1")</f>
        <v>0</v>
      </c>
      <c r="S265" s="157">
        <f>SUMIFS('Historical Orders'!$G265, 'Historical Orders'!$D265, "2", 'Historical Orders'!$C265, "B", 'Historical Orders'!$B265, "1")</f>
        <v>0</v>
      </c>
      <c r="T265" s="159">
        <f>SUMIFS('Historical Orders'!$E265, 'Historical Orders'!$D265, "2", 'Historical Orders'!$C265, "A", 'Historical Orders'!$B265, "2")</f>
        <v>0</v>
      </c>
      <c r="U265" s="157">
        <f>SUMIFS('Historical Orders'!$G265, 'Historical Orders'!$D265, "2", 'Historical Orders'!$C265, "A", 'Historical Orders'!$B265, "2")</f>
        <v>0</v>
      </c>
      <c r="V265" s="159">
        <f>SUMIFS('Historical Orders'!$E265, 'Historical Orders'!$D265, "2", 'Historical Orders'!$C265, "B", 'Historical Orders'!$B265, "2")</f>
        <v>0</v>
      </c>
      <c r="W265" s="159">
        <f>SUMIFS('Historical Orders'!$G265, 'Historical Orders'!$D265, "2", 'Historical Orders'!$C265, "B", 'Historical Orders'!$B265, "2")</f>
        <v>0</v>
      </c>
      <c r="X265" s="159">
        <f>SUMIFS('Historical Orders'!$E265, 'Historical Orders'!$D265, "3", 'Historical Orders'!$C265, "A", 'Historical Orders'!$B265, "1")</f>
        <v>0</v>
      </c>
      <c r="Y265" s="159">
        <f>SUMIFS('Historical Orders'!$G265, 'Historical Orders'!$D265, "3", 'Historical Orders'!$C265, "A", 'Historical Orders'!$B265, "1")</f>
        <v>0</v>
      </c>
      <c r="Z265" s="159">
        <f>SUMIFS('Historical Orders'!$E265, 'Historical Orders'!$D265, "3", 'Historical Orders'!$C265, "B", 'Historical Orders'!$B265, "1")</f>
        <v>0</v>
      </c>
      <c r="AA265" s="159">
        <f>SUMIFS('Historical Orders'!$G265, 'Historical Orders'!$D265, "3", 'Historical Orders'!$C265, "B", 'Historical Orders'!$B265, "1")</f>
        <v>0</v>
      </c>
      <c r="AB265" s="159">
        <f>SUMIFS('Historical Orders'!$E265, 'Historical Orders'!$D265, "3", 'Historical Orders'!$C265, "A", 'Historical Orders'!$B265, "2")</f>
        <v>0</v>
      </c>
      <c r="AC265" s="159">
        <f>SUMIFS('Historical Orders'!$G265, 'Historical Orders'!$D265, "3", 'Historical Orders'!$C265, "A", 'Historical Orders'!$B265, "2")</f>
        <v>0</v>
      </c>
      <c r="AD265" s="159">
        <f>SUMIFS('Historical Orders'!$E265, 'Historical Orders'!$D265, "3", 'Historical Orders'!$C265, "B", 'Historical Orders'!$B265, "2")</f>
        <v>3149</v>
      </c>
      <c r="AE265" s="157">
        <f>SUMIFS('Historical Orders'!$G265, 'Historical Orders'!$D265, "3", 'Historical Orders'!$C265, "B", 'Historical Orders'!$B265, "2")</f>
        <v>26136.7</v>
      </c>
      <c r="AF265" s="157">
        <f>SUMIFS('Historical Orders'!$E265, 'Historical Orders'!$D265, "4", 'Historical Orders'!$C265, "A", 'Historical Orders'!$B265, "1")</f>
        <v>0</v>
      </c>
      <c r="AG265" s="157">
        <f>SUMIFS('Historical Orders'!$G265, 'Historical Orders'!$D265, "4", 'Historical Orders'!$C265, "A", 'Historical Orders'!$B265, "1")</f>
        <v>0</v>
      </c>
      <c r="AH265" s="157">
        <f>SUMIFS('Historical Orders'!$E265, 'Historical Orders'!$D265, "4", 'Historical Orders'!$C265, "B", 'Historical Orders'!$B265, "1")</f>
        <v>0</v>
      </c>
      <c r="AI265" s="157">
        <f>SUMIFS('Historical Orders'!$G265, 'Historical Orders'!$D265, "4", 'Historical Orders'!$C265, "B", 'Historical Orders'!$B265, "1")</f>
        <v>0</v>
      </c>
      <c r="AJ265" s="157">
        <f>SUMIFS('Historical Orders'!$E265, 'Historical Orders'!$D265, "4", 'Historical Orders'!$C265, "A", 'Historical Orders'!$B265, "2")</f>
        <v>0</v>
      </c>
      <c r="AK265" s="157">
        <f>SUMIFS('Historical Orders'!$G265, 'Historical Orders'!$D265, "4", 'Historical Orders'!$C265, "A", 'Historical Orders'!$B265, "2")</f>
        <v>0</v>
      </c>
      <c r="AL265" s="171">
        <f>SUMIFS('Historical Orders'!$E265, 'Historical Orders'!$D265, "4", 'Historical Orders'!$C265, "B", 'Historical Orders'!$B265, "2")</f>
        <v>0</v>
      </c>
      <c r="AM265" s="171">
        <f>SUMIFS('Historical Orders'!$G265, 'Historical Orders'!$D265, "4", 'Historical Orders'!$C265, "B", 'Historical Orders'!$B265, "2")</f>
        <v>0</v>
      </c>
      <c r="AN265" s="171">
        <f>SUMIFS('Historical Orders'!$G265, 'Historical Orders'!$C265, "A", 'Historical Orders'!$B265, "1")</f>
        <v>0</v>
      </c>
      <c r="AO265" s="171">
        <f>SUMIFS('Historical Orders'!$G265, 'Historical Orders'!$C265, "B", 'Historical Orders'!$B265, "1")</f>
        <v>0</v>
      </c>
      <c r="AP265" s="171">
        <f>SUMIFS('Historical Orders'!$G265, 'Historical Orders'!$C265, "A", 'Historical Orders'!$B265, "2")</f>
        <v>0</v>
      </c>
      <c r="AQ265" s="171">
        <f>SUMIFS('Historical Orders'!$G265, 'Historical Orders'!$C265, "B", 'Historical Orders'!$B265, "2")</f>
        <v>26136.7</v>
      </c>
      <c r="AR265" s="145"/>
      <c r="AS265" s="172"/>
      <c r="AT265" s="172"/>
      <c r="AU265" s="172"/>
      <c r="AV265" s="172"/>
      <c r="AW265" s="172"/>
      <c r="AX265" s="172"/>
      <c r="AY265" s="172"/>
      <c r="AZ265" s="172"/>
      <c r="BA265" s="172"/>
      <c r="BB265" s="172"/>
      <c r="BC265" s="172"/>
      <c r="BD265" s="172"/>
      <c r="BE265" s="172"/>
      <c r="BF265" s="172"/>
      <c r="BG265" s="172"/>
      <c r="BH265" s="172"/>
      <c r="BI265" s="172"/>
      <c r="BJ265" s="172"/>
      <c r="BK265" s="172"/>
      <c r="BL265" s="172"/>
      <c r="BM265" s="172"/>
      <c r="BN265" s="172"/>
      <c r="BO265" s="172"/>
      <c r="BP265" s="172"/>
      <c r="BQ265" s="172"/>
      <c r="BR265" s="172"/>
      <c r="BS265" s="172"/>
      <c r="BT265" s="172"/>
      <c r="BU265" s="172"/>
      <c r="BV265" s="179"/>
      <c r="BW265" s="179"/>
      <c r="BX265" s="179"/>
      <c r="BY265" s="179"/>
      <c r="BZ265" s="179"/>
      <c r="CA265" s="179"/>
      <c r="CB265" s="179"/>
      <c r="CC265" s="179"/>
      <c r="CD265" s="179"/>
      <c r="CE265" s="179"/>
    </row>
    <row r="266" ht="15.75" customHeight="1">
      <c r="A266" s="151">
        <v>42163.0</v>
      </c>
      <c r="B266" s="152">
        <v>1.0</v>
      </c>
      <c r="C266" s="152" t="s">
        <v>45</v>
      </c>
      <c r="D266" s="152">
        <v>1.0</v>
      </c>
      <c r="E266" s="153">
        <v>5168.0</v>
      </c>
      <c r="F266" s="154">
        <v>2.2</v>
      </c>
      <c r="G266" s="155">
        <v>11369.6</v>
      </c>
      <c r="H266" s="159">
        <f>SUMIFS('Historical Orders'!$E266, 'Historical Orders'!$D266, "1", 'Historical Orders'!$C266, "A", 'Historical Orders'!$B266, "1")</f>
        <v>5168</v>
      </c>
      <c r="I266" s="157">
        <f>SUMIFS('Historical Orders'!$G266, 'Historical Orders'!$D266, "1", 'Historical Orders'!$C266, "A", 'Historical Orders'!$B266, "1")</f>
        <v>11369.6</v>
      </c>
      <c r="J266" s="157">
        <f>SUMIFS('Historical Orders'!$E266, 'Historical Orders'!$D266, "1", 'Historical Orders'!$C266, "B", 'Historical Orders'!$B266, "1")</f>
        <v>0</v>
      </c>
      <c r="K266" s="157">
        <f>SUMIFS('Historical Orders'!$G266, 'Historical Orders'!$D266, "1", 'Historical Orders'!$C266, "B", 'Historical Orders'!$B266, "1")</f>
        <v>0</v>
      </c>
      <c r="L266" s="159">
        <f>SUMIFS('Historical Orders'!$E266, 'Historical Orders'!$D266, "1", 'Historical Orders'!$C266, "A", 'Historical Orders'!$B266, "2")</f>
        <v>0</v>
      </c>
      <c r="M266" s="157">
        <f>SUMIFS('Historical Orders'!$G266, 'Historical Orders'!$D266, "1", 'Historical Orders'!$C266, "A", 'Historical Orders'!$B266, "2")</f>
        <v>0</v>
      </c>
      <c r="N266" s="157">
        <f>SUMIFS('Historical Orders'!$E266, 'Historical Orders'!$D266, "1", 'Historical Orders'!$C266, "B", 'Historical Orders'!$B266, "2")</f>
        <v>0</v>
      </c>
      <c r="O266" s="157">
        <f>SUMIFS('Historical Orders'!$G266, 'Historical Orders'!$D266, "1", 'Historical Orders'!$C266, "B", 'Historical Orders'!$B266, "2")</f>
        <v>0</v>
      </c>
      <c r="P266" s="159">
        <f>SUMIFS('Historical Orders'!$E266, 'Historical Orders'!$D266, "2", 'Historical Orders'!$C266, "A", 'Historical Orders'!$B266, "1")</f>
        <v>0</v>
      </c>
      <c r="Q266" s="157">
        <f>SUMIFS('Historical Orders'!$G266, 'Historical Orders'!$D266, "2", 'Historical Orders'!$C266, "A", 'Historical Orders'!$B266, "1")</f>
        <v>0</v>
      </c>
      <c r="R266" s="159">
        <f>SUMIFS('Historical Orders'!$E266, 'Historical Orders'!$D266, "2", 'Historical Orders'!$C266, "B", 'Historical Orders'!$B266, "1")</f>
        <v>0</v>
      </c>
      <c r="S266" s="157">
        <f>SUMIFS('Historical Orders'!$G266, 'Historical Orders'!$D266, "2", 'Historical Orders'!$C266, "B", 'Historical Orders'!$B266, "1")</f>
        <v>0</v>
      </c>
      <c r="T266" s="159">
        <f>SUMIFS('Historical Orders'!$E266, 'Historical Orders'!$D266, "2", 'Historical Orders'!$C266, "A", 'Historical Orders'!$B266, "2")</f>
        <v>0</v>
      </c>
      <c r="U266" s="157">
        <f>SUMIFS('Historical Orders'!$G266, 'Historical Orders'!$D266, "2", 'Historical Orders'!$C266, "A", 'Historical Orders'!$B266, "2")</f>
        <v>0</v>
      </c>
      <c r="V266" s="159">
        <f>SUMIFS('Historical Orders'!$E266, 'Historical Orders'!$D266, "2", 'Historical Orders'!$C266, "B", 'Historical Orders'!$B266, "2")</f>
        <v>0</v>
      </c>
      <c r="W266" s="159">
        <f>SUMIFS('Historical Orders'!$G266, 'Historical Orders'!$D266, "2", 'Historical Orders'!$C266, "B", 'Historical Orders'!$B266, "2")</f>
        <v>0</v>
      </c>
      <c r="X266" s="159">
        <f>SUMIFS('Historical Orders'!$E266, 'Historical Orders'!$D266, "3", 'Historical Orders'!$C266, "A", 'Historical Orders'!$B266, "1")</f>
        <v>0</v>
      </c>
      <c r="Y266" s="159">
        <f>SUMIFS('Historical Orders'!$G266, 'Historical Orders'!$D266, "3", 'Historical Orders'!$C266, "A", 'Historical Orders'!$B266, "1")</f>
        <v>0</v>
      </c>
      <c r="Z266" s="159">
        <f>SUMIFS('Historical Orders'!$E266, 'Historical Orders'!$D266, "3", 'Historical Orders'!$C266, "B", 'Historical Orders'!$B266, "1")</f>
        <v>0</v>
      </c>
      <c r="AA266" s="159">
        <f>SUMIFS('Historical Orders'!$G266, 'Historical Orders'!$D266, "3", 'Historical Orders'!$C266, "B", 'Historical Orders'!$B266, "1")</f>
        <v>0</v>
      </c>
      <c r="AB266" s="159">
        <f>SUMIFS('Historical Orders'!$E266, 'Historical Orders'!$D266, "3", 'Historical Orders'!$C266, "A", 'Historical Orders'!$B266, "2")</f>
        <v>0</v>
      </c>
      <c r="AC266" s="159">
        <f>SUMIFS('Historical Orders'!$G266, 'Historical Orders'!$D266, "3", 'Historical Orders'!$C266, "A", 'Historical Orders'!$B266, "2")</f>
        <v>0</v>
      </c>
      <c r="AD266" s="159">
        <f>SUMIFS('Historical Orders'!$E266, 'Historical Orders'!$D266, "3", 'Historical Orders'!$C266, "B", 'Historical Orders'!$B266, "2")</f>
        <v>0</v>
      </c>
      <c r="AE266" s="157">
        <f>SUMIFS('Historical Orders'!$G266, 'Historical Orders'!$D266, "3", 'Historical Orders'!$C266, "B", 'Historical Orders'!$B266, "2")</f>
        <v>0</v>
      </c>
      <c r="AF266" s="157">
        <f>SUMIFS('Historical Orders'!$E266, 'Historical Orders'!$D266, "4", 'Historical Orders'!$C266, "A", 'Historical Orders'!$B266, "1")</f>
        <v>0</v>
      </c>
      <c r="AG266" s="157">
        <f>SUMIFS('Historical Orders'!$G266, 'Historical Orders'!$D266, "4", 'Historical Orders'!$C266, "A", 'Historical Orders'!$B266, "1")</f>
        <v>0</v>
      </c>
      <c r="AH266" s="157">
        <f>SUMIFS('Historical Orders'!$E266, 'Historical Orders'!$D266, "4", 'Historical Orders'!$C266, "B", 'Historical Orders'!$B266, "1")</f>
        <v>0</v>
      </c>
      <c r="AI266" s="157">
        <f>SUMIFS('Historical Orders'!$G266, 'Historical Orders'!$D266, "4", 'Historical Orders'!$C266, "B", 'Historical Orders'!$B266, "1")</f>
        <v>0</v>
      </c>
      <c r="AJ266" s="157">
        <f>SUMIFS('Historical Orders'!$E266, 'Historical Orders'!$D266, "4", 'Historical Orders'!$C266, "A", 'Historical Orders'!$B266, "2")</f>
        <v>0</v>
      </c>
      <c r="AK266" s="157">
        <f>SUMIFS('Historical Orders'!$G266, 'Historical Orders'!$D266, "4", 'Historical Orders'!$C266, "A", 'Historical Orders'!$B266, "2")</f>
        <v>0</v>
      </c>
      <c r="AL266" s="171">
        <f>SUMIFS('Historical Orders'!$E266, 'Historical Orders'!$D266, "4", 'Historical Orders'!$C266, "B", 'Historical Orders'!$B266, "2")</f>
        <v>0</v>
      </c>
      <c r="AM266" s="171">
        <f>SUMIFS('Historical Orders'!$G266, 'Historical Orders'!$D266, "4", 'Historical Orders'!$C266, "B", 'Historical Orders'!$B266, "2")</f>
        <v>0</v>
      </c>
      <c r="AN266" s="171">
        <f>SUMIFS('Historical Orders'!$G266, 'Historical Orders'!$C266, "A", 'Historical Orders'!$B266, "1")</f>
        <v>11369.6</v>
      </c>
      <c r="AO266" s="171">
        <f>SUMIFS('Historical Orders'!$G266, 'Historical Orders'!$C266, "B", 'Historical Orders'!$B266, "1")</f>
        <v>0</v>
      </c>
      <c r="AP266" s="171">
        <f>SUMIFS('Historical Orders'!$G266, 'Historical Orders'!$C266, "A", 'Historical Orders'!$B266, "2")</f>
        <v>0</v>
      </c>
      <c r="AQ266" s="171">
        <f>SUMIFS('Historical Orders'!$G266, 'Historical Orders'!$C266, "B", 'Historical Orders'!$B266, "2")</f>
        <v>0</v>
      </c>
      <c r="AR266" s="145"/>
      <c r="AS266" s="172"/>
      <c r="AT266" s="172"/>
      <c r="AU266" s="172"/>
      <c r="AV266" s="172"/>
      <c r="AW266" s="172"/>
      <c r="AX266" s="172"/>
      <c r="AY266" s="172"/>
      <c r="AZ266" s="172"/>
      <c r="BA266" s="172"/>
      <c r="BB266" s="172"/>
      <c r="BC266" s="172"/>
      <c r="BD266" s="172"/>
      <c r="BE266" s="172"/>
      <c r="BF266" s="172"/>
      <c r="BG266" s="172"/>
      <c r="BH266" s="172"/>
      <c r="BI266" s="172"/>
      <c r="BJ266" s="172"/>
      <c r="BK266" s="172"/>
      <c r="BL266" s="172"/>
      <c r="BM266" s="172"/>
      <c r="BN266" s="172"/>
      <c r="BO266" s="172"/>
      <c r="BP266" s="172"/>
      <c r="BQ266" s="172"/>
      <c r="BR266" s="172"/>
      <c r="BS266" s="172"/>
      <c r="BT266" s="172"/>
      <c r="BU266" s="172"/>
      <c r="BV266" s="179"/>
      <c r="BW266" s="179"/>
      <c r="BX266" s="179"/>
      <c r="BY266" s="179"/>
      <c r="BZ266" s="179"/>
      <c r="CA266" s="179"/>
      <c r="CB266" s="179"/>
      <c r="CC266" s="179"/>
      <c r="CD266" s="179"/>
      <c r="CE266" s="179"/>
    </row>
    <row r="267" ht="15.75" customHeight="1">
      <c r="A267" s="151">
        <v>42163.0</v>
      </c>
      <c r="B267" s="152">
        <v>1.0</v>
      </c>
      <c r="C267" s="152" t="s">
        <v>45</v>
      </c>
      <c r="D267" s="152">
        <v>2.0</v>
      </c>
      <c r="E267" s="153">
        <v>6444.0</v>
      </c>
      <c r="F267" s="154">
        <v>1.2</v>
      </c>
      <c r="G267" s="155">
        <v>7732.799999999999</v>
      </c>
      <c r="H267" s="159">
        <f>SUMIFS('Historical Orders'!$E267, 'Historical Orders'!$D267, "1", 'Historical Orders'!$C267, "A", 'Historical Orders'!$B267, "1")</f>
        <v>0</v>
      </c>
      <c r="I267" s="157">
        <f>SUMIFS('Historical Orders'!$G267, 'Historical Orders'!$D267, "1", 'Historical Orders'!$C267, "A", 'Historical Orders'!$B267, "1")</f>
        <v>0</v>
      </c>
      <c r="J267" s="157">
        <f>SUMIFS('Historical Orders'!$E267, 'Historical Orders'!$D267, "1", 'Historical Orders'!$C267, "B", 'Historical Orders'!$B267, "1")</f>
        <v>0</v>
      </c>
      <c r="K267" s="157">
        <f>SUMIFS('Historical Orders'!$G267, 'Historical Orders'!$D267, "1", 'Historical Orders'!$C267, "B", 'Historical Orders'!$B267, "1")</f>
        <v>0</v>
      </c>
      <c r="L267" s="159">
        <f>SUMIFS('Historical Orders'!$E267, 'Historical Orders'!$D267, "1", 'Historical Orders'!$C267, "A", 'Historical Orders'!$B267, "2")</f>
        <v>0</v>
      </c>
      <c r="M267" s="157">
        <f>SUMIFS('Historical Orders'!$G267, 'Historical Orders'!$D267, "1", 'Historical Orders'!$C267, "A", 'Historical Orders'!$B267, "2")</f>
        <v>0</v>
      </c>
      <c r="N267" s="157">
        <f>SUMIFS('Historical Orders'!$E267, 'Historical Orders'!$D267, "1", 'Historical Orders'!$C267, "B", 'Historical Orders'!$B267, "2")</f>
        <v>0</v>
      </c>
      <c r="O267" s="157">
        <f>SUMIFS('Historical Orders'!$G267, 'Historical Orders'!$D267, "1", 'Historical Orders'!$C267, "B", 'Historical Orders'!$B267, "2")</f>
        <v>0</v>
      </c>
      <c r="P267" s="159">
        <f>SUMIFS('Historical Orders'!$E267, 'Historical Orders'!$D267, "2", 'Historical Orders'!$C267, "A", 'Historical Orders'!$B267, "1")</f>
        <v>6444</v>
      </c>
      <c r="Q267" s="157">
        <f>SUMIFS('Historical Orders'!$G267, 'Historical Orders'!$D267, "2", 'Historical Orders'!$C267, "A", 'Historical Orders'!$B267, "1")</f>
        <v>7732.8</v>
      </c>
      <c r="R267" s="159">
        <f>SUMIFS('Historical Orders'!$E267, 'Historical Orders'!$D267, "2", 'Historical Orders'!$C267, "B", 'Historical Orders'!$B267, "1")</f>
        <v>0</v>
      </c>
      <c r="S267" s="157">
        <f>SUMIFS('Historical Orders'!$G267, 'Historical Orders'!$D267, "2", 'Historical Orders'!$C267, "B", 'Historical Orders'!$B267, "1")</f>
        <v>0</v>
      </c>
      <c r="T267" s="159">
        <f>SUMIFS('Historical Orders'!$E267, 'Historical Orders'!$D267, "2", 'Historical Orders'!$C267, "A", 'Historical Orders'!$B267, "2")</f>
        <v>0</v>
      </c>
      <c r="U267" s="157">
        <f>SUMIFS('Historical Orders'!$G267, 'Historical Orders'!$D267, "2", 'Historical Orders'!$C267, "A", 'Historical Orders'!$B267, "2")</f>
        <v>0</v>
      </c>
      <c r="V267" s="159">
        <f>SUMIFS('Historical Orders'!$E267, 'Historical Orders'!$D267, "2", 'Historical Orders'!$C267, "B", 'Historical Orders'!$B267, "2")</f>
        <v>0</v>
      </c>
      <c r="W267" s="159">
        <f>SUMIFS('Historical Orders'!$G267, 'Historical Orders'!$D267, "2", 'Historical Orders'!$C267, "B", 'Historical Orders'!$B267, "2")</f>
        <v>0</v>
      </c>
      <c r="X267" s="159">
        <f>SUMIFS('Historical Orders'!$E267, 'Historical Orders'!$D267, "3", 'Historical Orders'!$C267, "A", 'Historical Orders'!$B267, "1")</f>
        <v>0</v>
      </c>
      <c r="Y267" s="159">
        <f>SUMIFS('Historical Orders'!$G267, 'Historical Orders'!$D267, "3", 'Historical Orders'!$C267, "A", 'Historical Orders'!$B267, "1")</f>
        <v>0</v>
      </c>
      <c r="Z267" s="159">
        <f>SUMIFS('Historical Orders'!$E267, 'Historical Orders'!$D267, "3", 'Historical Orders'!$C267, "B", 'Historical Orders'!$B267, "1")</f>
        <v>0</v>
      </c>
      <c r="AA267" s="159">
        <f>SUMIFS('Historical Orders'!$G267, 'Historical Orders'!$D267, "3", 'Historical Orders'!$C267, "B", 'Historical Orders'!$B267, "1")</f>
        <v>0</v>
      </c>
      <c r="AB267" s="159">
        <f>SUMIFS('Historical Orders'!$E267, 'Historical Orders'!$D267, "3", 'Historical Orders'!$C267, "A", 'Historical Orders'!$B267, "2")</f>
        <v>0</v>
      </c>
      <c r="AC267" s="159">
        <f>SUMIFS('Historical Orders'!$G267, 'Historical Orders'!$D267, "3", 'Historical Orders'!$C267, "A", 'Historical Orders'!$B267, "2")</f>
        <v>0</v>
      </c>
      <c r="AD267" s="159">
        <f>SUMIFS('Historical Orders'!$E267, 'Historical Orders'!$D267, "3", 'Historical Orders'!$C267, "B", 'Historical Orders'!$B267, "2")</f>
        <v>0</v>
      </c>
      <c r="AE267" s="157">
        <f>SUMIFS('Historical Orders'!$G267, 'Historical Orders'!$D267, "3", 'Historical Orders'!$C267, "B", 'Historical Orders'!$B267, "2")</f>
        <v>0</v>
      </c>
      <c r="AF267" s="157">
        <f>SUMIFS('Historical Orders'!$E267, 'Historical Orders'!$D267, "4", 'Historical Orders'!$C267, "A", 'Historical Orders'!$B267, "1")</f>
        <v>0</v>
      </c>
      <c r="AG267" s="157">
        <f>SUMIFS('Historical Orders'!$G267, 'Historical Orders'!$D267, "4", 'Historical Orders'!$C267, "A", 'Historical Orders'!$B267, "1")</f>
        <v>0</v>
      </c>
      <c r="AH267" s="157">
        <f>SUMIFS('Historical Orders'!$E267, 'Historical Orders'!$D267, "4", 'Historical Orders'!$C267, "B", 'Historical Orders'!$B267, "1")</f>
        <v>0</v>
      </c>
      <c r="AI267" s="157">
        <f>SUMIFS('Historical Orders'!$G267, 'Historical Orders'!$D267, "4", 'Historical Orders'!$C267, "B", 'Historical Orders'!$B267, "1")</f>
        <v>0</v>
      </c>
      <c r="AJ267" s="157">
        <f>SUMIFS('Historical Orders'!$E267, 'Historical Orders'!$D267, "4", 'Historical Orders'!$C267, "A", 'Historical Orders'!$B267, "2")</f>
        <v>0</v>
      </c>
      <c r="AK267" s="157">
        <f>SUMIFS('Historical Orders'!$G267, 'Historical Orders'!$D267, "4", 'Historical Orders'!$C267, "A", 'Historical Orders'!$B267, "2")</f>
        <v>0</v>
      </c>
      <c r="AL267" s="171">
        <f>SUMIFS('Historical Orders'!$E267, 'Historical Orders'!$D267, "4", 'Historical Orders'!$C267, "B", 'Historical Orders'!$B267, "2")</f>
        <v>0</v>
      </c>
      <c r="AM267" s="171">
        <f>SUMIFS('Historical Orders'!$G267, 'Historical Orders'!$D267, "4", 'Historical Orders'!$C267, "B", 'Historical Orders'!$B267, "2")</f>
        <v>0</v>
      </c>
      <c r="AN267" s="171">
        <f>SUMIFS('Historical Orders'!$G267, 'Historical Orders'!$C267, "A", 'Historical Orders'!$B267, "1")</f>
        <v>7732.8</v>
      </c>
      <c r="AO267" s="171">
        <f>SUMIFS('Historical Orders'!$G267, 'Historical Orders'!$C267, "B", 'Historical Orders'!$B267, "1")</f>
        <v>0</v>
      </c>
      <c r="AP267" s="171">
        <f>SUMIFS('Historical Orders'!$G267, 'Historical Orders'!$C267, "A", 'Historical Orders'!$B267, "2")</f>
        <v>0</v>
      </c>
      <c r="AQ267" s="171">
        <f>SUMIFS('Historical Orders'!$G267, 'Historical Orders'!$C267, "B", 'Historical Orders'!$B267, "2")</f>
        <v>0</v>
      </c>
      <c r="AR267" s="145"/>
      <c r="AS267" s="172"/>
      <c r="AT267" s="172"/>
      <c r="AU267" s="172"/>
      <c r="AV267" s="172"/>
      <c r="AW267" s="172"/>
      <c r="AX267" s="172"/>
      <c r="AY267" s="172"/>
      <c r="AZ267" s="172"/>
      <c r="BA267" s="172"/>
      <c r="BB267" s="172"/>
      <c r="BC267" s="172"/>
      <c r="BD267" s="172"/>
      <c r="BE267" s="172"/>
      <c r="BF267" s="172"/>
      <c r="BG267" s="172"/>
      <c r="BH267" s="172"/>
      <c r="BI267" s="172"/>
      <c r="BJ267" s="172"/>
      <c r="BK267" s="172"/>
      <c r="BL267" s="172"/>
      <c r="BM267" s="172"/>
      <c r="BN267" s="172"/>
      <c r="BO267" s="172"/>
      <c r="BP267" s="172"/>
      <c r="BQ267" s="172"/>
      <c r="BR267" s="172"/>
      <c r="BS267" s="172"/>
      <c r="BT267" s="172"/>
      <c r="BU267" s="172"/>
      <c r="BV267" s="179"/>
      <c r="BW267" s="179"/>
      <c r="BX267" s="179"/>
      <c r="BY267" s="179"/>
      <c r="BZ267" s="179"/>
      <c r="CA267" s="179"/>
      <c r="CB267" s="179"/>
      <c r="CC267" s="179"/>
      <c r="CD267" s="179"/>
      <c r="CE267" s="179"/>
    </row>
    <row r="268" ht="15.75" customHeight="1">
      <c r="A268" s="151">
        <v>42163.0</v>
      </c>
      <c r="B268" s="152">
        <v>2.0</v>
      </c>
      <c r="C268" s="152" t="s">
        <v>45</v>
      </c>
      <c r="D268" s="152">
        <v>1.0</v>
      </c>
      <c r="E268" s="153">
        <v>4044.0</v>
      </c>
      <c r="F268" s="154">
        <v>2.2</v>
      </c>
      <c r="G268" s="155">
        <v>8896.800000000001</v>
      </c>
      <c r="H268" s="159">
        <f>SUMIFS('Historical Orders'!$E268, 'Historical Orders'!$D268, "1", 'Historical Orders'!$C268, "A", 'Historical Orders'!$B268, "1")</f>
        <v>0</v>
      </c>
      <c r="I268" s="157">
        <f>SUMIFS('Historical Orders'!$G268, 'Historical Orders'!$D268, "1", 'Historical Orders'!$C268, "A", 'Historical Orders'!$B268, "1")</f>
        <v>0</v>
      </c>
      <c r="J268" s="157">
        <f>SUMIFS('Historical Orders'!$E268, 'Historical Orders'!$D268, "1", 'Historical Orders'!$C268, "B", 'Historical Orders'!$B268, "1")</f>
        <v>0</v>
      </c>
      <c r="K268" s="157">
        <f>SUMIFS('Historical Orders'!$G268, 'Historical Orders'!$D268, "1", 'Historical Orders'!$C268, "B", 'Historical Orders'!$B268, "1")</f>
        <v>0</v>
      </c>
      <c r="L268" s="159">
        <f>SUMIFS('Historical Orders'!$E268, 'Historical Orders'!$D268, "1", 'Historical Orders'!$C268, "A", 'Historical Orders'!$B268, "2")</f>
        <v>4044</v>
      </c>
      <c r="M268" s="157">
        <f>SUMIFS('Historical Orders'!$G268, 'Historical Orders'!$D268, "1", 'Historical Orders'!$C268, "A", 'Historical Orders'!$B268, "2")</f>
        <v>8896.8</v>
      </c>
      <c r="N268" s="157">
        <f>SUMIFS('Historical Orders'!$E268, 'Historical Orders'!$D268, "1", 'Historical Orders'!$C268, "B", 'Historical Orders'!$B268, "2")</f>
        <v>0</v>
      </c>
      <c r="O268" s="157">
        <f>SUMIFS('Historical Orders'!$G268, 'Historical Orders'!$D268, "1", 'Historical Orders'!$C268, "B", 'Historical Orders'!$B268, "2")</f>
        <v>0</v>
      </c>
      <c r="P268" s="159">
        <f>SUMIFS('Historical Orders'!$E268, 'Historical Orders'!$D268, "2", 'Historical Orders'!$C268, "A", 'Historical Orders'!$B268, "1")</f>
        <v>0</v>
      </c>
      <c r="Q268" s="157">
        <f>SUMIFS('Historical Orders'!$G268, 'Historical Orders'!$D268, "2", 'Historical Orders'!$C268, "A", 'Historical Orders'!$B268, "1")</f>
        <v>0</v>
      </c>
      <c r="R268" s="159">
        <f>SUMIFS('Historical Orders'!$E268, 'Historical Orders'!$D268, "2", 'Historical Orders'!$C268, "B", 'Historical Orders'!$B268, "1")</f>
        <v>0</v>
      </c>
      <c r="S268" s="157">
        <f>SUMIFS('Historical Orders'!$G268, 'Historical Orders'!$D268, "2", 'Historical Orders'!$C268, "B", 'Historical Orders'!$B268, "1")</f>
        <v>0</v>
      </c>
      <c r="T268" s="159">
        <f>SUMIFS('Historical Orders'!$E268, 'Historical Orders'!$D268, "2", 'Historical Orders'!$C268, "A", 'Historical Orders'!$B268, "2")</f>
        <v>0</v>
      </c>
      <c r="U268" s="157">
        <f>SUMIFS('Historical Orders'!$G268, 'Historical Orders'!$D268, "2", 'Historical Orders'!$C268, "A", 'Historical Orders'!$B268, "2")</f>
        <v>0</v>
      </c>
      <c r="V268" s="159">
        <f>SUMIFS('Historical Orders'!$E268, 'Historical Orders'!$D268, "2", 'Historical Orders'!$C268, "B", 'Historical Orders'!$B268, "2")</f>
        <v>0</v>
      </c>
      <c r="W268" s="159">
        <f>SUMIFS('Historical Orders'!$G268, 'Historical Orders'!$D268, "2", 'Historical Orders'!$C268, "B", 'Historical Orders'!$B268, "2")</f>
        <v>0</v>
      </c>
      <c r="X268" s="159">
        <f>SUMIFS('Historical Orders'!$E268, 'Historical Orders'!$D268, "3", 'Historical Orders'!$C268, "A", 'Historical Orders'!$B268, "1")</f>
        <v>0</v>
      </c>
      <c r="Y268" s="159">
        <f>SUMIFS('Historical Orders'!$G268, 'Historical Orders'!$D268, "3", 'Historical Orders'!$C268, "A", 'Historical Orders'!$B268, "1")</f>
        <v>0</v>
      </c>
      <c r="Z268" s="159">
        <f>SUMIFS('Historical Orders'!$E268, 'Historical Orders'!$D268, "3", 'Historical Orders'!$C268, "B", 'Historical Orders'!$B268, "1")</f>
        <v>0</v>
      </c>
      <c r="AA268" s="159">
        <f>SUMIFS('Historical Orders'!$G268, 'Historical Orders'!$D268, "3", 'Historical Orders'!$C268, "B", 'Historical Orders'!$B268, "1")</f>
        <v>0</v>
      </c>
      <c r="AB268" s="159">
        <f>SUMIFS('Historical Orders'!$E268, 'Historical Orders'!$D268, "3", 'Historical Orders'!$C268, "A", 'Historical Orders'!$B268, "2")</f>
        <v>0</v>
      </c>
      <c r="AC268" s="159">
        <f>SUMIFS('Historical Orders'!$G268, 'Historical Orders'!$D268, "3", 'Historical Orders'!$C268, "A", 'Historical Orders'!$B268, "2")</f>
        <v>0</v>
      </c>
      <c r="AD268" s="159">
        <f>SUMIFS('Historical Orders'!$E268, 'Historical Orders'!$D268, "3", 'Historical Orders'!$C268, "B", 'Historical Orders'!$B268, "2")</f>
        <v>0</v>
      </c>
      <c r="AE268" s="157">
        <f>SUMIFS('Historical Orders'!$G268, 'Historical Orders'!$D268, "3", 'Historical Orders'!$C268, "B", 'Historical Orders'!$B268, "2")</f>
        <v>0</v>
      </c>
      <c r="AF268" s="157">
        <f>SUMIFS('Historical Orders'!$E268, 'Historical Orders'!$D268, "4", 'Historical Orders'!$C268, "A", 'Historical Orders'!$B268, "1")</f>
        <v>0</v>
      </c>
      <c r="AG268" s="157">
        <f>SUMIFS('Historical Orders'!$G268, 'Historical Orders'!$D268, "4", 'Historical Orders'!$C268, "A", 'Historical Orders'!$B268, "1")</f>
        <v>0</v>
      </c>
      <c r="AH268" s="157">
        <f>SUMIFS('Historical Orders'!$E268, 'Historical Orders'!$D268, "4", 'Historical Orders'!$C268, "B", 'Historical Orders'!$B268, "1")</f>
        <v>0</v>
      </c>
      <c r="AI268" s="157">
        <f>SUMIFS('Historical Orders'!$G268, 'Historical Orders'!$D268, "4", 'Historical Orders'!$C268, "B", 'Historical Orders'!$B268, "1")</f>
        <v>0</v>
      </c>
      <c r="AJ268" s="157">
        <f>SUMIFS('Historical Orders'!$E268, 'Historical Orders'!$D268, "4", 'Historical Orders'!$C268, "A", 'Historical Orders'!$B268, "2")</f>
        <v>0</v>
      </c>
      <c r="AK268" s="157">
        <f>SUMIFS('Historical Orders'!$G268, 'Historical Orders'!$D268, "4", 'Historical Orders'!$C268, "A", 'Historical Orders'!$B268, "2")</f>
        <v>0</v>
      </c>
      <c r="AL268" s="171">
        <f>SUMIFS('Historical Orders'!$E268, 'Historical Orders'!$D268, "4", 'Historical Orders'!$C268, "B", 'Historical Orders'!$B268, "2")</f>
        <v>0</v>
      </c>
      <c r="AM268" s="171">
        <f>SUMIFS('Historical Orders'!$G268, 'Historical Orders'!$D268, "4", 'Historical Orders'!$C268, "B", 'Historical Orders'!$B268, "2")</f>
        <v>0</v>
      </c>
      <c r="AN268" s="171">
        <f>SUMIFS('Historical Orders'!$G268, 'Historical Orders'!$C268, "A", 'Historical Orders'!$B268, "1")</f>
        <v>0</v>
      </c>
      <c r="AO268" s="171">
        <f>SUMIFS('Historical Orders'!$G268, 'Historical Orders'!$C268, "B", 'Historical Orders'!$B268, "1")</f>
        <v>0</v>
      </c>
      <c r="AP268" s="171">
        <f>SUMIFS('Historical Orders'!$G268, 'Historical Orders'!$C268, "A", 'Historical Orders'!$B268, "2")</f>
        <v>8896.8</v>
      </c>
      <c r="AQ268" s="171">
        <f>SUMIFS('Historical Orders'!$G268, 'Historical Orders'!$C268, "B", 'Historical Orders'!$B268, "2")</f>
        <v>0</v>
      </c>
      <c r="AR268" s="145"/>
      <c r="AS268" s="172"/>
      <c r="AT268" s="172"/>
      <c r="AU268" s="172"/>
      <c r="AV268" s="172"/>
      <c r="AW268" s="172"/>
      <c r="AX268" s="172"/>
      <c r="AY268" s="172"/>
      <c r="AZ268" s="172"/>
      <c r="BA268" s="172"/>
      <c r="BB268" s="172"/>
      <c r="BC268" s="172"/>
      <c r="BD268" s="172"/>
      <c r="BE268" s="172"/>
      <c r="BF268" s="172"/>
      <c r="BG268" s="172"/>
      <c r="BH268" s="172"/>
      <c r="BI268" s="172"/>
      <c r="BJ268" s="172"/>
      <c r="BK268" s="172"/>
      <c r="BL268" s="172"/>
      <c r="BM268" s="172"/>
      <c r="BN268" s="172"/>
      <c r="BO268" s="172"/>
      <c r="BP268" s="172"/>
      <c r="BQ268" s="172"/>
      <c r="BR268" s="172"/>
      <c r="BS268" s="172"/>
      <c r="BT268" s="172"/>
      <c r="BU268" s="172"/>
      <c r="BV268" s="179"/>
      <c r="BW268" s="179"/>
      <c r="BX268" s="179"/>
      <c r="BY268" s="179"/>
      <c r="BZ268" s="179"/>
      <c r="CA268" s="179"/>
      <c r="CB268" s="179"/>
      <c r="CC268" s="179"/>
      <c r="CD268" s="179"/>
      <c r="CE268" s="179"/>
    </row>
    <row r="269" ht="15.75" customHeight="1">
      <c r="A269" s="151">
        <v>42163.0</v>
      </c>
      <c r="B269" s="152">
        <v>2.0</v>
      </c>
      <c r="C269" s="152" t="s">
        <v>45</v>
      </c>
      <c r="D269" s="152">
        <v>2.0</v>
      </c>
      <c r="E269" s="153">
        <v>6326.0</v>
      </c>
      <c r="F269" s="154">
        <v>1.2</v>
      </c>
      <c r="G269" s="155">
        <v>7591.2</v>
      </c>
      <c r="H269" s="159">
        <f>SUMIFS('Historical Orders'!$E269, 'Historical Orders'!$D269, "1", 'Historical Orders'!$C269, "A", 'Historical Orders'!$B269, "1")</f>
        <v>0</v>
      </c>
      <c r="I269" s="157">
        <f>SUMIFS('Historical Orders'!$G269, 'Historical Orders'!$D269, "1", 'Historical Orders'!$C269, "A", 'Historical Orders'!$B269, "1")</f>
        <v>0</v>
      </c>
      <c r="J269" s="157">
        <f>SUMIFS('Historical Orders'!$E269, 'Historical Orders'!$D269, "1", 'Historical Orders'!$C269, "B", 'Historical Orders'!$B269, "1")</f>
        <v>0</v>
      </c>
      <c r="K269" s="157">
        <f>SUMIFS('Historical Orders'!$G269, 'Historical Orders'!$D269, "1", 'Historical Orders'!$C269, "B", 'Historical Orders'!$B269, "1")</f>
        <v>0</v>
      </c>
      <c r="L269" s="159">
        <f>SUMIFS('Historical Orders'!$E269, 'Historical Orders'!$D269, "1", 'Historical Orders'!$C269, "A", 'Historical Orders'!$B269, "2")</f>
        <v>0</v>
      </c>
      <c r="M269" s="157">
        <f>SUMIFS('Historical Orders'!$G269, 'Historical Orders'!$D269, "1", 'Historical Orders'!$C269, "A", 'Historical Orders'!$B269, "2")</f>
        <v>0</v>
      </c>
      <c r="N269" s="157">
        <f>SUMIFS('Historical Orders'!$E269, 'Historical Orders'!$D269, "1", 'Historical Orders'!$C269, "B", 'Historical Orders'!$B269, "2")</f>
        <v>0</v>
      </c>
      <c r="O269" s="157">
        <f>SUMIFS('Historical Orders'!$G269, 'Historical Orders'!$D269, "1", 'Historical Orders'!$C269, "B", 'Historical Orders'!$B269, "2")</f>
        <v>0</v>
      </c>
      <c r="P269" s="159">
        <f>SUMIFS('Historical Orders'!$E269, 'Historical Orders'!$D269, "2", 'Historical Orders'!$C269, "A", 'Historical Orders'!$B269, "1")</f>
        <v>0</v>
      </c>
      <c r="Q269" s="157">
        <f>SUMIFS('Historical Orders'!$G269, 'Historical Orders'!$D269, "2", 'Historical Orders'!$C269, "A", 'Historical Orders'!$B269, "1")</f>
        <v>0</v>
      </c>
      <c r="R269" s="159">
        <f>SUMIFS('Historical Orders'!$E269, 'Historical Orders'!$D269, "2", 'Historical Orders'!$C269, "B", 'Historical Orders'!$B269, "1")</f>
        <v>0</v>
      </c>
      <c r="S269" s="157">
        <f>SUMIFS('Historical Orders'!$G269, 'Historical Orders'!$D269, "2", 'Historical Orders'!$C269, "B", 'Historical Orders'!$B269, "1")</f>
        <v>0</v>
      </c>
      <c r="T269" s="159">
        <f>SUMIFS('Historical Orders'!$E269, 'Historical Orders'!$D269, "2", 'Historical Orders'!$C269, "A", 'Historical Orders'!$B269, "2")</f>
        <v>6326</v>
      </c>
      <c r="U269" s="157">
        <f>SUMIFS('Historical Orders'!$G269, 'Historical Orders'!$D269, "2", 'Historical Orders'!$C269, "A", 'Historical Orders'!$B269, "2")</f>
        <v>7591.2</v>
      </c>
      <c r="V269" s="159">
        <f>SUMIFS('Historical Orders'!$E269, 'Historical Orders'!$D269, "2", 'Historical Orders'!$C269, "B", 'Historical Orders'!$B269, "2")</f>
        <v>0</v>
      </c>
      <c r="W269" s="159">
        <f>SUMIFS('Historical Orders'!$G269, 'Historical Orders'!$D269, "2", 'Historical Orders'!$C269, "B", 'Historical Orders'!$B269, "2")</f>
        <v>0</v>
      </c>
      <c r="X269" s="159">
        <f>SUMIFS('Historical Orders'!$E269, 'Historical Orders'!$D269, "3", 'Historical Orders'!$C269, "A", 'Historical Orders'!$B269, "1")</f>
        <v>0</v>
      </c>
      <c r="Y269" s="159">
        <f>SUMIFS('Historical Orders'!$G269, 'Historical Orders'!$D269, "3", 'Historical Orders'!$C269, "A", 'Historical Orders'!$B269, "1")</f>
        <v>0</v>
      </c>
      <c r="Z269" s="159">
        <f>SUMIFS('Historical Orders'!$E269, 'Historical Orders'!$D269, "3", 'Historical Orders'!$C269, "B", 'Historical Orders'!$B269, "1")</f>
        <v>0</v>
      </c>
      <c r="AA269" s="159">
        <f>SUMIFS('Historical Orders'!$G269, 'Historical Orders'!$D269, "3", 'Historical Orders'!$C269, "B", 'Historical Orders'!$B269, "1")</f>
        <v>0</v>
      </c>
      <c r="AB269" s="159">
        <f>SUMIFS('Historical Orders'!$E269, 'Historical Orders'!$D269, "3", 'Historical Orders'!$C269, "A", 'Historical Orders'!$B269, "2")</f>
        <v>0</v>
      </c>
      <c r="AC269" s="159">
        <f>SUMIFS('Historical Orders'!$G269, 'Historical Orders'!$D269, "3", 'Historical Orders'!$C269, "A", 'Historical Orders'!$B269, "2")</f>
        <v>0</v>
      </c>
      <c r="AD269" s="159">
        <f>SUMIFS('Historical Orders'!$E269, 'Historical Orders'!$D269, "3", 'Historical Orders'!$C269, "B", 'Historical Orders'!$B269, "2")</f>
        <v>0</v>
      </c>
      <c r="AE269" s="157">
        <f>SUMIFS('Historical Orders'!$G269, 'Historical Orders'!$D269, "3", 'Historical Orders'!$C269, "B", 'Historical Orders'!$B269, "2")</f>
        <v>0</v>
      </c>
      <c r="AF269" s="157">
        <f>SUMIFS('Historical Orders'!$E269, 'Historical Orders'!$D269, "4", 'Historical Orders'!$C269, "A", 'Historical Orders'!$B269, "1")</f>
        <v>0</v>
      </c>
      <c r="AG269" s="157">
        <f>SUMIFS('Historical Orders'!$G269, 'Historical Orders'!$D269, "4", 'Historical Orders'!$C269, "A", 'Historical Orders'!$B269, "1")</f>
        <v>0</v>
      </c>
      <c r="AH269" s="157">
        <f>SUMIFS('Historical Orders'!$E269, 'Historical Orders'!$D269, "4", 'Historical Orders'!$C269, "B", 'Historical Orders'!$B269, "1")</f>
        <v>0</v>
      </c>
      <c r="AI269" s="157">
        <f>SUMIFS('Historical Orders'!$G269, 'Historical Orders'!$D269, "4", 'Historical Orders'!$C269, "B", 'Historical Orders'!$B269, "1")</f>
        <v>0</v>
      </c>
      <c r="AJ269" s="157">
        <f>SUMIFS('Historical Orders'!$E269, 'Historical Orders'!$D269, "4", 'Historical Orders'!$C269, "A", 'Historical Orders'!$B269, "2")</f>
        <v>0</v>
      </c>
      <c r="AK269" s="157">
        <f>SUMIFS('Historical Orders'!$G269, 'Historical Orders'!$D269, "4", 'Historical Orders'!$C269, "A", 'Historical Orders'!$B269, "2")</f>
        <v>0</v>
      </c>
      <c r="AL269" s="171">
        <f>SUMIFS('Historical Orders'!$E269, 'Historical Orders'!$D269, "4", 'Historical Orders'!$C269, "B", 'Historical Orders'!$B269, "2")</f>
        <v>0</v>
      </c>
      <c r="AM269" s="171">
        <f>SUMIFS('Historical Orders'!$G269, 'Historical Orders'!$D269, "4", 'Historical Orders'!$C269, "B", 'Historical Orders'!$B269, "2")</f>
        <v>0</v>
      </c>
      <c r="AN269" s="171">
        <f>SUMIFS('Historical Orders'!$G269, 'Historical Orders'!$C269, "A", 'Historical Orders'!$B269, "1")</f>
        <v>0</v>
      </c>
      <c r="AO269" s="171">
        <f>SUMIFS('Historical Orders'!$G269, 'Historical Orders'!$C269, "B", 'Historical Orders'!$B269, "1")</f>
        <v>0</v>
      </c>
      <c r="AP269" s="171">
        <f>SUMIFS('Historical Orders'!$G269, 'Historical Orders'!$C269, "A", 'Historical Orders'!$B269, "2")</f>
        <v>7591.2</v>
      </c>
      <c r="AQ269" s="171">
        <f>SUMIFS('Historical Orders'!$G269, 'Historical Orders'!$C269, "B", 'Historical Orders'!$B269, "2")</f>
        <v>0</v>
      </c>
      <c r="AR269" s="145"/>
      <c r="AS269" s="172"/>
      <c r="AT269" s="172"/>
      <c r="AU269" s="172"/>
      <c r="AV269" s="172"/>
      <c r="AW269" s="172"/>
      <c r="AX269" s="172"/>
      <c r="AY269" s="172"/>
      <c r="AZ269" s="172"/>
      <c r="BA269" s="172"/>
      <c r="BB269" s="172"/>
      <c r="BC269" s="172"/>
      <c r="BD269" s="172"/>
      <c r="BE269" s="172"/>
      <c r="BF269" s="172"/>
      <c r="BG269" s="172"/>
      <c r="BH269" s="172"/>
      <c r="BI269" s="172"/>
      <c r="BJ269" s="172"/>
      <c r="BK269" s="172"/>
      <c r="BL269" s="172"/>
      <c r="BM269" s="172"/>
      <c r="BN269" s="172"/>
      <c r="BO269" s="172"/>
      <c r="BP269" s="172"/>
      <c r="BQ269" s="172"/>
      <c r="BR269" s="172"/>
      <c r="BS269" s="172"/>
      <c r="BT269" s="172"/>
      <c r="BU269" s="172"/>
      <c r="BV269" s="179"/>
      <c r="BW269" s="179"/>
      <c r="BX269" s="179"/>
      <c r="BY269" s="179"/>
      <c r="BZ269" s="179"/>
      <c r="CA269" s="179"/>
      <c r="CB269" s="179"/>
      <c r="CC269" s="179"/>
      <c r="CD269" s="179"/>
      <c r="CE269" s="179"/>
    </row>
    <row r="270" ht="15.75" customHeight="1">
      <c r="A270" s="151">
        <v>42163.0</v>
      </c>
      <c r="B270" s="152">
        <v>1.0</v>
      </c>
      <c r="C270" s="152" t="s">
        <v>46</v>
      </c>
      <c r="D270" s="152">
        <v>3.0</v>
      </c>
      <c r="E270" s="153">
        <v>2516.0</v>
      </c>
      <c r="F270" s="154">
        <v>8.3</v>
      </c>
      <c r="G270" s="155">
        <v>20882.800000000003</v>
      </c>
      <c r="H270" s="159">
        <f>SUMIFS('Historical Orders'!$E270, 'Historical Orders'!$D270, "1", 'Historical Orders'!$C270, "A", 'Historical Orders'!$B270, "1")</f>
        <v>0</v>
      </c>
      <c r="I270" s="157">
        <f>SUMIFS('Historical Orders'!$G270, 'Historical Orders'!$D270, "1", 'Historical Orders'!$C270, "A", 'Historical Orders'!$B270, "1")</f>
        <v>0</v>
      </c>
      <c r="J270" s="157">
        <f>SUMIFS('Historical Orders'!$E270, 'Historical Orders'!$D270, "1", 'Historical Orders'!$C270, "B", 'Historical Orders'!$B270, "1")</f>
        <v>0</v>
      </c>
      <c r="K270" s="157">
        <f>SUMIFS('Historical Orders'!$G270, 'Historical Orders'!$D270, "1", 'Historical Orders'!$C270, "B", 'Historical Orders'!$B270, "1")</f>
        <v>0</v>
      </c>
      <c r="L270" s="159">
        <f>SUMIFS('Historical Orders'!$E270, 'Historical Orders'!$D270, "1", 'Historical Orders'!$C270, "A", 'Historical Orders'!$B270, "2")</f>
        <v>0</v>
      </c>
      <c r="M270" s="157">
        <f>SUMIFS('Historical Orders'!$G270, 'Historical Orders'!$D270, "1", 'Historical Orders'!$C270, "A", 'Historical Orders'!$B270, "2")</f>
        <v>0</v>
      </c>
      <c r="N270" s="157">
        <f>SUMIFS('Historical Orders'!$E270, 'Historical Orders'!$D270, "1", 'Historical Orders'!$C270, "B", 'Historical Orders'!$B270, "2")</f>
        <v>0</v>
      </c>
      <c r="O270" s="157">
        <f>SUMIFS('Historical Orders'!$G270, 'Historical Orders'!$D270, "1", 'Historical Orders'!$C270, "B", 'Historical Orders'!$B270, "2")</f>
        <v>0</v>
      </c>
      <c r="P270" s="159">
        <f>SUMIFS('Historical Orders'!$E270, 'Historical Orders'!$D270, "2", 'Historical Orders'!$C270, "A", 'Historical Orders'!$B270, "1")</f>
        <v>0</v>
      </c>
      <c r="Q270" s="157">
        <f>SUMIFS('Historical Orders'!$G270, 'Historical Orders'!$D270, "2", 'Historical Orders'!$C270, "A", 'Historical Orders'!$B270, "1")</f>
        <v>0</v>
      </c>
      <c r="R270" s="159">
        <f>SUMIFS('Historical Orders'!$E270, 'Historical Orders'!$D270, "2", 'Historical Orders'!$C270, "B", 'Historical Orders'!$B270, "1")</f>
        <v>0</v>
      </c>
      <c r="S270" s="157">
        <f>SUMIFS('Historical Orders'!$G270, 'Historical Orders'!$D270, "2", 'Historical Orders'!$C270, "B", 'Historical Orders'!$B270, "1")</f>
        <v>0</v>
      </c>
      <c r="T270" s="159">
        <f>SUMIFS('Historical Orders'!$E270, 'Historical Orders'!$D270, "2", 'Historical Orders'!$C270, "A", 'Historical Orders'!$B270, "2")</f>
        <v>0</v>
      </c>
      <c r="U270" s="157">
        <f>SUMIFS('Historical Orders'!$G270, 'Historical Orders'!$D270, "2", 'Historical Orders'!$C270, "A", 'Historical Orders'!$B270, "2")</f>
        <v>0</v>
      </c>
      <c r="V270" s="159">
        <f>SUMIFS('Historical Orders'!$E270, 'Historical Orders'!$D270, "2", 'Historical Orders'!$C270, "B", 'Historical Orders'!$B270, "2")</f>
        <v>0</v>
      </c>
      <c r="W270" s="159">
        <f>SUMIFS('Historical Orders'!$G270, 'Historical Orders'!$D270, "2", 'Historical Orders'!$C270, "B", 'Historical Orders'!$B270, "2")</f>
        <v>0</v>
      </c>
      <c r="X270" s="159">
        <f>SUMIFS('Historical Orders'!$E270, 'Historical Orders'!$D270, "3", 'Historical Orders'!$C270, "A", 'Historical Orders'!$B270, "1")</f>
        <v>0</v>
      </c>
      <c r="Y270" s="159">
        <f>SUMIFS('Historical Orders'!$G270, 'Historical Orders'!$D270, "3", 'Historical Orders'!$C270, "A", 'Historical Orders'!$B270, "1")</f>
        <v>0</v>
      </c>
      <c r="Z270" s="159">
        <f>SUMIFS('Historical Orders'!$E270, 'Historical Orders'!$D270, "3", 'Historical Orders'!$C270, "B", 'Historical Orders'!$B270, "1")</f>
        <v>2516</v>
      </c>
      <c r="AA270" s="159">
        <f>SUMIFS('Historical Orders'!$G270, 'Historical Orders'!$D270, "3", 'Historical Orders'!$C270, "B", 'Historical Orders'!$B270, "1")</f>
        <v>20882.8</v>
      </c>
      <c r="AB270" s="159">
        <f>SUMIFS('Historical Orders'!$E270, 'Historical Orders'!$D270, "3", 'Historical Orders'!$C270, "A", 'Historical Orders'!$B270, "2")</f>
        <v>0</v>
      </c>
      <c r="AC270" s="159">
        <f>SUMIFS('Historical Orders'!$G270, 'Historical Orders'!$D270, "3", 'Historical Orders'!$C270, "A", 'Historical Orders'!$B270, "2")</f>
        <v>0</v>
      </c>
      <c r="AD270" s="159">
        <f>SUMIFS('Historical Orders'!$E270, 'Historical Orders'!$D270, "3", 'Historical Orders'!$C270, "B", 'Historical Orders'!$B270, "2")</f>
        <v>0</v>
      </c>
      <c r="AE270" s="157">
        <f>SUMIFS('Historical Orders'!$G270, 'Historical Orders'!$D270, "3", 'Historical Orders'!$C270, "B", 'Historical Orders'!$B270, "2")</f>
        <v>0</v>
      </c>
      <c r="AF270" s="157">
        <f>SUMIFS('Historical Orders'!$E270, 'Historical Orders'!$D270, "4", 'Historical Orders'!$C270, "A", 'Historical Orders'!$B270, "1")</f>
        <v>0</v>
      </c>
      <c r="AG270" s="157">
        <f>SUMIFS('Historical Orders'!$G270, 'Historical Orders'!$D270, "4", 'Historical Orders'!$C270, "A", 'Historical Orders'!$B270, "1")</f>
        <v>0</v>
      </c>
      <c r="AH270" s="157">
        <f>SUMIFS('Historical Orders'!$E270, 'Historical Orders'!$D270, "4", 'Historical Orders'!$C270, "B", 'Historical Orders'!$B270, "1")</f>
        <v>0</v>
      </c>
      <c r="AI270" s="157">
        <f>SUMIFS('Historical Orders'!$G270, 'Historical Orders'!$D270, "4", 'Historical Orders'!$C270, "B", 'Historical Orders'!$B270, "1")</f>
        <v>0</v>
      </c>
      <c r="AJ270" s="157">
        <f>SUMIFS('Historical Orders'!$E270, 'Historical Orders'!$D270, "4", 'Historical Orders'!$C270, "A", 'Historical Orders'!$B270, "2")</f>
        <v>0</v>
      </c>
      <c r="AK270" s="157">
        <f>SUMIFS('Historical Orders'!$G270, 'Historical Orders'!$D270, "4", 'Historical Orders'!$C270, "A", 'Historical Orders'!$B270, "2")</f>
        <v>0</v>
      </c>
      <c r="AL270" s="171">
        <f>SUMIFS('Historical Orders'!$E270, 'Historical Orders'!$D270, "4", 'Historical Orders'!$C270, "B", 'Historical Orders'!$B270, "2")</f>
        <v>0</v>
      </c>
      <c r="AM270" s="171">
        <f>SUMIFS('Historical Orders'!$G270, 'Historical Orders'!$D270, "4", 'Historical Orders'!$C270, "B", 'Historical Orders'!$B270, "2")</f>
        <v>0</v>
      </c>
      <c r="AN270" s="171">
        <f>SUMIFS('Historical Orders'!$G270, 'Historical Orders'!$C270, "A", 'Historical Orders'!$B270, "1")</f>
        <v>0</v>
      </c>
      <c r="AO270" s="171">
        <f>SUMIFS('Historical Orders'!$G270, 'Historical Orders'!$C270, "B", 'Historical Orders'!$B270, "1")</f>
        <v>20882.8</v>
      </c>
      <c r="AP270" s="171">
        <f>SUMIFS('Historical Orders'!$G270, 'Historical Orders'!$C270, "A", 'Historical Orders'!$B270, "2")</f>
        <v>0</v>
      </c>
      <c r="AQ270" s="171">
        <f>SUMIFS('Historical Orders'!$G270, 'Historical Orders'!$C270, "B", 'Historical Orders'!$B270, "2")</f>
        <v>0</v>
      </c>
      <c r="AR270" s="145"/>
      <c r="AS270" s="172"/>
      <c r="AT270" s="172"/>
      <c r="AU270" s="172"/>
      <c r="AV270" s="172"/>
      <c r="AW270" s="172"/>
      <c r="AX270" s="172"/>
      <c r="AY270" s="172"/>
      <c r="AZ270" s="172"/>
      <c r="BA270" s="172"/>
      <c r="BB270" s="172"/>
      <c r="BC270" s="172"/>
      <c r="BD270" s="172"/>
      <c r="BE270" s="172"/>
      <c r="BF270" s="172"/>
      <c r="BG270" s="172"/>
      <c r="BH270" s="172"/>
      <c r="BI270" s="172"/>
      <c r="BJ270" s="172"/>
      <c r="BK270" s="172"/>
      <c r="BL270" s="172"/>
      <c r="BM270" s="172"/>
      <c r="BN270" s="172"/>
      <c r="BO270" s="172"/>
      <c r="BP270" s="172"/>
      <c r="BQ270" s="172"/>
      <c r="BR270" s="172"/>
      <c r="BS270" s="172"/>
      <c r="BT270" s="172"/>
      <c r="BU270" s="172"/>
      <c r="BV270" s="179"/>
      <c r="BW270" s="179"/>
      <c r="BX270" s="179"/>
      <c r="BY270" s="179"/>
      <c r="BZ270" s="179"/>
      <c r="CA270" s="179"/>
      <c r="CB270" s="179"/>
      <c r="CC270" s="179"/>
      <c r="CD270" s="179"/>
      <c r="CE270" s="179"/>
    </row>
    <row r="271" ht="15.75" customHeight="1">
      <c r="A271" s="151">
        <v>42163.0</v>
      </c>
      <c r="B271" s="152">
        <v>2.0</v>
      </c>
      <c r="C271" s="152" t="s">
        <v>46</v>
      </c>
      <c r="D271" s="152">
        <v>3.0</v>
      </c>
      <c r="E271" s="153">
        <v>3476.0</v>
      </c>
      <c r="F271" s="154">
        <v>8.3</v>
      </c>
      <c r="G271" s="155">
        <v>28850.800000000003</v>
      </c>
      <c r="H271" s="159">
        <f>SUMIFS('Historical Orders'!$E271, 'Historical Orders'!$D271, "1", 'Historical Orders'!$C271, "A", 'Historical Orders'!$B271, "1")</f>
        <v>0</v>
      </c>
      <c r="I271" s="157">
        <f>SUMIFS('Historical Orders'!$G271, 'Historical Orders'!$D271, "1", 'Historical Orders'!$C271, "A", 'Historical Orders'!$B271, "1")</f>
        <v>0</v>
      </c>
      <c r="J271" s="157">
        <f>SUMIFS('Historical Orders'!$E271, 'Historical Orders'!$D271, "1", 'Historical Orders'!$C271, "B", 'Historical Orders'!$B271, "1")</f>
        <v>0</v>
      </c>
      <c r="K271" s="157">
        <f>SUMIFS('Historical Orders'!$G271, 'Historical Orders'!$D271, "1", 'Historical Orders'!$C271, "B", 'Historical Orders'!$B271, "1")</f>
        <v>0</v>
      </c>
      <c r="L271" s="159">
        <f>SUMIFS('Historical Orders'!$E271, 'Historical Orders'!$D271, "1", 'Historical Orders'!$C271, "A", 'Historical Orders'!$B271, "2")</f>
        <v>0</v>
      </c>
      <c r="M271" s="157">
        <f>SUMIFS('Historical Orders'!$G271, 'Historical Orders'!$D271, "1", 'Historical Orders'!$C271, "A", 'Historical Orders'!$B271, "2")</f>
        <v>0</v>
      </c>
      <c r="N271" s="157">
        <f>SUMIFS('Historical Orders'!$E271, 'Historical Orders'!$D271, "1", 'Historical Orders'!$C271, "B", 'Historical Orders'!$B271, "2")</f>
        <v>0</v>
      </c>
      <c r="O271" s="157">
        <f>SUMIFS('Historical Orders'!$G271, 'Historical Orders'!$D271, "1", 'Historical Orders'!$C271, "B", 'Historical Orders'!$B271, "2")</f>
        <v>0</v>
      </c>
      <c r="P271" s="159">
        <f>SUMIFS('Historical Orders'!$E271, 'Historical Orders'!$D271, "2", 'Historical Orders'!$C271, "A", 'Historical Orders'!$B271, "1")</f>
        <v>0</v>
      </c>
      <c r="Q271" s="157">
        <f>SUMIFS('Historical Orders'!$G271, 'Historical Orders'!$D271, "2", 'Historical Orders'!$C271, "A", 'Historical Orders'!$B271, "1")</f>
        <v>0</v>
      </c>
      <c r="R271" s="159">
        <f>SUMIFS('Historical Orders'!$E271, 'Historical Orders'!$D271, "2", 'Historical Orders'!$C271, "B", 'Historical Orders'!$B271, "1")</f>
        <v>0</v>
      </c>
      <c r="S271" s="157">
        <f>SUMIFS('Historical Orders'!$G271, 'Historical Orders'!$D271, "2", 'Historical Orders'!$C271, "B", 'Historical Orders'!$B271, "1")</f>
        <v>0</v>
      </c>
      <c r="T271" s="159">
        <f>SUMIFS('Historical Orders'!$E271, 'Historical Orders'!$D271, "2", 'Historical Orders'!$C271, "A", 'Historical Orders'!$B271, "2")</f>
        <v>0</v>
      </c>
      <c r="U271" s="157">
        <f>SUMIFS('Historical Orders'!$G271, 'Historical Orders'!$D271, "2", 'Historical Orders'!$C271, "A", 'Historical Orders'!$B271, "2")</f>
        <v>0</v>
      </c>
      <c r="V271" s="159">
        <f>SUMIFS('Historical Orders'!$E271, 'Historical Orders'!$D271, "2", 'Historical Orders'!$C271, "B", 'Historical Orders'!$B271, "2")</f>
        <v>0</v>
      </c>
      <c r="W271" s="159">
        <f>SUMIFS('Historical Orders'!$G271, 'Historical Orders'!$D271, "2", 'Historical Orders'!$C271, "B", 'Historical Orders'!$B271, "2")</f>
        <v>0</v>
      </c>
      <c r="X271" s="159">
        <f>SUMIFS('Historical Orders'!$E271, 'Historical Orders'!$D271, "3", 'Historical Orders'!$C271, "A", 'Historical Orders'!$B271, "1")</f>
        <v>0</v>
      </c>
      <c r="Y271" s="159">
        <f>SUMIFS('Historical Orders'!$G271, 'Historical Orders'!$D271, "3", 'Historical Orders'!$C271, "A", 'Historical Orders'!$B271, "1")</f>
        <v>0</v>
      </c>
      <c r="Z271" s="159">
        <f>SUMIFS('Historical Orders'!$E271, 'Historical Orders'!$D271, "3", 'Historical Orders'!$C271, "B", 'Historical Orders'!$B271, "1")</f>
        <v>0</v>
      </c>
      <c r="AA271" s="159">
        <f>SUMIFS('Historical Orders'!$G271, 'Historical Orders'!$D271, "3", 'Historical Orders'!$C271, "B", 'Historical Orders'!$B271, "1")</f>
        <v>0</v>
      </c>
      <c r="AB271" s="159">
        <f>SUMIFS('Historical Orders'!$E271, 'Historical Orders'!$D271, "3", 'Historical Orders'!$C271, "A", 'Historical Orders'!$B271, "2")</f>
        <v>0</v>
      </c>
      <c r="AC271" s="159">
        <f>SUMIFS('Historical Orders'!$G271, 'Historical Orders'!$D271, "3", 'Historical Orders'!$C271, "A", 'Historical Orders'!$B271, "2")</f>
        <v>0</v>
      </c>
      <c r="AD271" s="159">
        <f>SUMIFS('Historical Orders'!$E271, 'Historical Orders'!$D271, "3", 'Historical Orders'!$C271, "B", 'Historical Orders'!$B271, "2")</f>
        <v>3476</v>
      </c>
      <c r="AE271" s="157">
        <f>SUMIFS('Historical Orders'!$G271, 'Historical Orders'!$D271, "3", 'Historical Orders'!$C271, "B", 'Historical Orders'!$B271, "2")</f>
        <v>28850.8</v>
      </c>
      <c r="AF271" s="157">
        <f>SUMIFS('Historical Orders'!$E271, 'Historical Orders'!$D271, "4", 'Historical Orders'!$C271, "A", 'Historical Orders'!$B271, "1")</f>
        <v>0</v>
      </c>
      <c r="AG271" s="157">
        <f>SUMIFS('Historical Orders'!$G271, 'Historical Orders'!$D271, "4", 'Historical Orders'!$C271, "A", 'Historical Orders'!$B271, "1")</f>
        <v>0</v>
      </c>
      <c r="AH271" s="157">
        <f>SUMIFS('Historical Orders'!$E271, 'Historical Orders'!$D271, "4", 'Historical Orders'!$C271, "B", 'Historical Orders'!$B271, "1")</f>
        <v>0</v>
      </c>
      <c r="AI271" s="157">
        <f>SUMIFS('Historical Orders'!$G271, 'Historical Orders'!$D271, "4", 'Historical Orders'!$C271, "B", 'Historical Orders'!$B271, "1")</f>
        <v>0</v>
      </c>
      <c r="AJ271" s="157">
        <f>SUMIFS('Historical Orders'!$E271, 'Historical Orders'!$D271, "4", 'Historical Orders'!$C271, "A", 'Historical Orders'!$B271, "2")</f>
        <v>0</v>
      </c>
      <c r="AK271" s="157">
        <f>SUMIFS('Historical Orders'!$G271, 'Historical Orders'!$D271, "4", 'Historical Orders'!$C271, "A", 'Historical Orders'!$B271, "2")</f>
        <v>0</v>
      </c>
      <c r="AL271" s="171">
        <f>SUMIFS('Historical Orders'!$E271, 'Historical Orders'!$D271, "4", 'Historical Orders'!$C271, "B", 'Historical Orders'!$B271, "2")</f>
        <v>0</v>
      </c>
      <c r="AM271" s="171">
        <f>SUMIFS('Historical Orders'!$G271, 'Historical Orders'!$D271, "4", 'Historical Orders'!$C271, "B", 'Historical Orders'!$B271, "2")</f>
        <v>0</v>
      </c>
      <c r="AN271" s="171">
        <f>SUMIFS('Historical Orders'!$G271, 'Historical Orders'!$C271, "A", 'Historical Orders'!$B271, "1")</f>
        <v>0</v>
      </c>
      <c r="AO271" s="171">
        <f>SUMIFS('Historical Orders'!$G271, 'Historical Orders'!$C271, "B", 'Historical Orders'!$B271, "1")</f>
        <v>0</v>
      </c>
      <c r="AP271" s="171">
        <f>SUMIFS('Historical Orders'!$G271, 'Historical Orders'!$C271, "A", 'Historical Orders'!$B271, "2")</f>
        <v>0</v>
      </c>
      <c r="AQ271" s="171">
        <f>SUMIFS('Historical Orders'!$G271, 'Historical Orders'!$C271, "B", 'Historical Orders'!$B271, "2")</f>
        <v>28850.8</v>
      </c>
      <c r="AR271" s="145"/>
      <c r="AS271" s="172"/>
      <c r="AT271" s="172"/>
      <c r="AU271" s="172"/>
      <c r="AV271" s="172"/>
      <c r="AW271" s="172"/>
      <c r="AX271" s="172"/>
      <c r="AY271" s="172"/>
      <c r="AZ271" s="172"/>
      <c r="BA271" s="172"/>
      <c r="BB271" s="172"/>
      <c r="BC271" s="172"/>
      <c r="BD271" s="172"/>
      <c r="BE271" s="172"/>
      <c r="BF271" s="172"/>
      <c r="BG271" s="172"/>
      <c r="BH271" s="172"/>
      <c r="BI271" s="172"/>
      <c r="BJ271" s="172"/>
      <c r="BK271" s="172"/>
      <c r="BL271" s="172"/>
      <c r="BM271" s="172"/>
      <c r="BN271" s="172"/>
      <c r="BO271" s="172"/>
      <c r="BP271" s="172"/>
      <c r="BQ271" s="172"/>
      <c r="BR271" s="172"/>
      <c r="BS271" s="172"/>
      <c r="BT271" s="172"/>
      <c r="BU271" s="172"/>
      <c r="BV271" s="179"/>
      <c r="BW271" s="179"/>
      <c r="BX271" s="179"/>
      <c r="BY271" s="179"/>
      <c r="BZ271" s="179"/>
      <c r="CA271" s="179"/>
      <c r="CB271" s="179"/>
      <c r="CC271" s="179"/>
      <c r="CD271" s="179"/>
      <c r="CE271" s="179"/>
    </row>
    <row r="272" ht="15.75" customHeight="1">
      <c r="A272" s="151">
        <v>42170.0</v>
      </c>
      <c r="B272" s="152">
        <v>1.0</v>
      </c>
      <c r="C272" s="152" t="s">
        <v>45</v>
      </c>
      <c r="D272" s="152">
        <v>1.0</v>
      </c>
      <c r="E272" s="153">
        <v>5038.0</v>
      </c>
      <c r="F272" s="154">
        <v>2.2</v>
      </c>
      <c r="G272" s="155">
        <v>11083.6</v>
      </c>
      <c r="H272" s="159">
        <f>SUMIFS('Historical Orders'!$E272, 'Historical Orders'!$D272, "1", 'Historical Orders'!$C272, "A", 'Historical Orders'!$B272, "1")</f>
        <v>5038</v>
      </c>
      <c r="I272" s="157">
        <f>SUMIFS('Historical Orders'!$G272, 'Historical Orders'!$D272, "1", 'Historical Orders'!$C272, "A", 'Historical Orders'!$B272, "1")</f>
        <v>11083.6</v>
      </c>
      <c r="J272" s="157">
        <f>SUMIFS('Historical Orders'!$E272, 'Historical Orders'!$D272, "1", 'Historical Orders'!$C272, "B", 'Historical Orders'!$B272, "1")</f>
        <v>0</v>
      </c>
      <c r="K272" s="157">
        <f>SUMIFS('Historical Orders'!$G272, 'Historical Orders'!$D272, "1", 'Historical Orders'!$C272, "B", 'Historical Orders'!$B272, "1")</f>
        <v>0</v>
      </c>
      <c r="L272" s="159">
        <f>SUMIFS('Historical Orders'!$E272, 'Historical Orders'!$D272, "1", 'Historical Orders'!$C272, "A", 'Historical Orders'!$B272, "2")</f>
        <v>0</v>
      </c>
      <c r="M272" s="157">
        <f>SUMIFS('Historical Orders'!$G272, 'Historical Orders'!$D272, "1", 'Historical Orders'!$C272, "A", 'Historical Orders'!$B272, "2")</f>
        <v>0</v>
      </c>
      <c r="N272" s="157">
        <f>SUMIFS('Historical Orders'!$E272, 'Historical Orders'!$D272, "1", 'Historical Orders'!$C272, "B", 'Historical Orders'!$B272, "2")</f>
        <v>0</v>
      </c>
      <c r="O272" s="157">
        <f>SUMIFS('Historical Orders'!$G272, 'Historical Orders'!$D272, "1", 'Historical Orders'!$C272, "B", 'Historical Orders'!$B272, "2")</f>
        <v>0</v>
      </c>
      <c r="P272" s="159">
        <f>SUMIFS('Historical Orders'!$E272, 'Historical Orders'!$D272, "2", 'Historical Orders'!$C272, "A", 'Historical Orders'!$B272, "1")</f>
        <v>0</v>
      </c>
      <c r="Q272" s="157">
        <f>SUMIFS('Historical Orders'!$G272, 'Historical Orders'!$D272, "2", 'Historical Orders'!$C272, "A", 'Historical Orders'!$B272, "1")</f>
        <v>0</v>
      </c>
      <c r="R272" s="159">
        <f>SUMIFS('Historical Orders'!$E272, 'Historical Orders'!$D272, "2", 'Historical Orders'!$C272, "B", 'Historical Orders'!$B272, "1")</f>
        <v>0</v>
      </c>
      <c r="S272" s="157">
        <f>SUMIFS('Historical Orders'!$G272, 'Historical Orders'!$D272, "2", 'Historical Orders'!$C272, "B", 'Historical Orders'!$B272, "1")</f>
        <v>0</v>
      </c>
      <c r="T272" s="159">
        <f>SUMIFS('Historical Orders'!$E272, 'Historical Orders'!$D272, "2", 'Historical Orders'!$C272, "A", 'Historical Orders'!$B272, "2")</f>
        <v>0</v>
      </c>
      <c r="U272" s="157">
        <f>SUMIFS('Historical Orders'!$G272, 'Historical Orders'!$D272, "2", 'Historical Orders'!$C272, "A", 'Historical Orders'!$B272, "2")</f>
        <v>0</v>
      </c>
      <c r="V272" s="159">
        <f>SUMIFS('Historical Orders'!$E272, 'Historical Orders'!$D272, "2", 'Historical Orders'!$C272, "B", 'Historical Orders'!$B272, "2")</f>
        <v>0</v>
      </c>
      <c r="W272" s="159">
        <f>SUMIFS('Historical Orders'!$G272, 'Historical Orders'!$D272, "2", 'Historical Orders'!$C272, "B", 'Historical Orders'!$B272, "2")</f>
        <v>0</v>
      </c>
      <c r="X272" s="159">
        <f>SUMIFS('Historical Orders'!$E272, 'Historical Orders'!$D272, "3", 'Historical Orders'!$C272, "A", 'Historical Orders'!$B272, "1")</f>
        <v>0</v>
      </c>
      <c r="Y272" s="159">
        <f>SUMIFS('Historical Orders'!$G272, 'Historical Orders'!$D272, "3", 'Historical Orders'!$C272, "A", 'Historical Orders'!$B272, "1")</f>
        <v>0</v>
      </c>
      <c r="Z272" s="159">
        <f>SUMIFS('Historical Orders'!$E272, 'Historical Orders'!$D272, "3", 'Historical Orders'!$C272, "B", 'Historical Orders'!$B272, "1")</f>
        <v>0</v>
      </c>
      <c r="AA272" s="159">
        <f>SUMIFS('Historical Orders'!$G272, 'Historical Orders'!$D272, "3", 'Historical Orders'!$C272, "B", 'Historical Orders'!$B272, "1")</f>
        <v>0</v>
      </c>
      <c r="AB272" s="159">
        <f>SUMIFS('Historical Orders'!$E272, 'Historical Orders'!$D272, "3", 'Historical Orders'!$C272, "A", 'Historical Orders'!$B272, "2")</f>
        <v>0</v>
      </c>
      <c r="AC272" s="159">
        <f>SUMIFS('Historical Orders'!$G272, 'Historical Orders'!$D272, "3", 'Historical Orders'!$C272, "A", 'Historical Orders'!$B272, "2")</f>
        <v>0</v>
      </c>
      <c r="AD272" s="159">
        <f>SUMIFS('Historical Orders'!$E272, 'Historical Orders'!$D272, "3", 'Historical Orders'!$C272, "B", 'Historical Orders'!$B272, "2")</f>
        <v>0</v>
      </c>
      <c r="AE272" s="157">
        <f>SUMIFS('Historical Orders'!$G272, 'Historical Orders'!$D272, "3", 'Historical Orders'!$C272, "B", 'Historical Orders'!$B272, "2")</f>
        <v>0</v>
      </c>
      <c r="AF272" s="157">
        <f>SUMIFS('Historical Orders'!$E272, 'Historical Orders'!$D272, "4", 'Historical Orders'!$C272, "A", 'Historical Orders'!$B272, "1")</f>
        <v>0</v>
      </c>
      <c r="AG272" s="157">
        <f>SUMIFS('Historical Orders'!$G272, 'Historical Orders'!$D272, "4", 'Historical Orders'!$C272, "A", 'Historical Orders'!$B272, "1")</f>
        <v>0</v>
      </c>
      <c r="AH272" s="157">
        <f>SUMIFS('Historical Orders'!$E272, 'Historical Orders'!$D272, "4", 'Historical Orders'!$C272, "B", 'Historical Orders'!$B272, "1")</f>
        <v>0</v>
      </c>
      <c r="AI272" s="157">
        <f>SUMIFS('Historical Orders'!$G272, 'Historical Orders'!$D272, "4", 'Historical Orders'!$C272, "B", 'Historical Orders'!$B272, "1")</f>
        <v>0</v>
      </c>
      <c r="AJ272" s="157">
        <f>SUMIFS('Historical Orders'!$E272, 'Historical Orders'!$D272, "4", 'Historical Orders'!$C272, "A", 'Historical Orders'!$B272, "2")</f>
        <v>0</v>
      </c>
      <c r="AK272" s="157">
        <f>SUMIFS('Historical Orders'!$G272, 'Historical Orders'!$D272, "4", 'Historical Orders'!$C272, "A", 'Historical Orders'!$B272, "2")</f>
        <v>0</v>
      </c>
      <c r="AL272" s="171">
        <f>SUMIFS('Historical Orders'!$E272, 'Historical Orders'!$D272, "4", 'Historical Orders'!$C272, "B", 'Historical Orders'!$B272, "2")</f>
        <v>0</v>
      </c>
      <c r="AM272" s="171">
        <f>SUMIFS('Historical Orders'!$G272, 'Historical Orders'!$D272, "4", 'Historical Orders'!$C272, "B", 'Historical Orders'!$B272, "2")</f>
        <v>0</v>
      </c>
      <c r="AN272" s="171">
        <f>SUMIFS('Historical Orders'!$G272, 'Historical Orders'!$C272, "A", 'Historical Orders'!$B272, "1")</f>
        <v>11083.6</v>
      </c>
      <c r="AO272" s="171">
        <f>SUMIFS('Historical Orders'!$G272, 'Historical Orders'!$C272, "B", 'Historical Orders'!$B272, "1")</f>
        <v>0</v>
      </c>
      <c r="AP272" s="171">
        <f>SUMIFS('Historical Orders'!$G272, 'Historical Orders'!$C272, "A", 'Historical Orders'!$B272, "2")</f>
        <v>0</v>
      </c>
      <c r="AQ272" s="171">
        <f>SUMIFS('Historical Orders'!$G272, 'Historical Orders'!$C272, "B", 'Historical Orders'!$B272, "2")</f>
        <v>0</v>
      </c>
      <c r="AR272" s="145"/>
      <c r="AS272" s="172"/>
      <c r="AT272" s="172"/>
      <c r="AU272" s="172"/>
      <c r="AV272" s="172"/>
      <c r="AW272" s="172"/>
      <c r="AX272" s="172"/>
      <c r="AY272" s="172"/>
      <c r="AZ272" s="172"/>
      <c r="BA272" s="172"/>
      <c r="BB272" s="172"/>
      <c r="BC272" s="172"/>
      <c r="BD272" s="172"/>
      <c r="BE272" s="172"/>
      <c r="BF272" s="172"/>
      <c r="BG272" s="172"/>
      <c r="BH272" s="172"/>
      <c r="BI272" s="172"/>
      <c r="BJ272" s="172"/>
      <c r="BK272" s="172"/>
      <c r="BL272" s="172"/>
      <c r="BM272" s="172"/>
      <c r="BN272" s="172"/>
      <c r="BO272" s="172"/>
      <c r="BP272" s="172"/>
      <c r="BQ272" s="172"/>
      <c r="BR272" s="172"/>
      <c r="BS272" s="172"/>
      <c r="BT272" s="172"/>
      <c r="BU272" s="172"/>
      <c r="BV272" s="179"/>
      <c r="BW272" s="179"/>
      <c r="BX272" s="179"/>
      <c r="BY272" s="179"/>
      <c r="BZ272" s="179"/>
      <c r="CA272" s="179"/>
      <c r="CB272" s="179"/>
      <c r="CC272" s="179"/>
      <c r="CD272" s="179"/>
      <c r="CE272" s="179"/>
    </row>
    <row r="273" ht="15.75" customHeight="1">
      <c r="A273" s="151">
        <v>42170.0</v>
      </c>
      <c r="B273" s="152">
        <v>1.0</v>
      </c>
      <c r="C273" s="152" t="s">
        <v>45</v>
      </c>
      <c r="D273" s="152">
        <v>2.0</v>
      </c>
      <c r="E273" s="153">
        <v>6755.0</v>
      </c>
      <c r="F273" s="154">
        <v>1.2</v>
      </c>
      <c r="G273" s="155">
        <v>8106.0</v>
      </c>
      <c r="H273" s="159">
        <f>SUMIFS('Historical Orders'!$E273, 'Historical Orders'!$D273, "1", 'Historical Orders'!$C273, "A", 'Historical Orders'!$B273, "1")</f>
        <v>0</v>
      </c>
      <c r="I273" s="157">
        <f>SUMIFS('Historical Orders'!$G273, 'Historical Orders'!$D273, "1", 'Historical Orders'!$C273, "A", 'Historical Orders'!$B273, "1")</f>
        <v>0</v>
      </c>
      <c r="J273" s="157">
        <f>SUMIFS('Historical Orders'!$E273, 'Historical Orders'!$D273, "1", 'Historical Orders'!$C273, "B", 'Historical Orders'!$B273, "1")</f>
        <v>0</v>
      </c>
      <c r="K273" s="157">
        <f>SUMIFS('Historical Orders'!$G273, 'Historical Orders'!$D273, "1", 'Historical Orders'!$C273, "B", 'Historical Orders'!$B273, "1")</f>
        <v>0</v>
      </c>
      <c r="L273" s="159">
        <f>SUMIFS('Historical Orders'!$E273, 'Historical Orders'!$D273, "1", 'Historical Orders'!$C273, "A", 'Historical Orders'!$B273, "2")</f>
        <v>0</v>
      </c>
      <c r="M273" s="157">
        <f>SUMIFS('Historical Orders'!$G273, 'Historical Orders'!$D273, "1", 'Historical Orders'!$C273, "A", 'Historical Orders'!$B273, "2")</f>
        <v>0</v>
      </c>
      <c r="N273" s="157">
        <f>SUMIFS('Historical Orders'!$E273, 'Historical Orders'!$D273, "1", 'Historical Orders'!$C273, "B", 'Historical Orders'!$B273, "2")</f>
        <v>0</v>
      </c>
      <c r="O273" s="157">
        <f>SUMIFS('Historical Orders'!$G273, 'Historical Orders'!$D273, "1", 'Historical Orders'!$C273, "B", 'Historical Orders'!$B273, "2")</f>
        <v>0</v>
      </c>
      <c r="P273" s="159">
        <f>SUMIFS('Historical Orders'!$E273, 'Historical Orders'!$D273, "2", 'Historical Orders'!$C273, "A", 'Historical Orders'!$B273, "1")</f>
        <v>6755</v>
      </c>
      <c r="Q273" s="157">
        <f>SUMIFS('Historical Orders'!$G273, 'Historical Orders'!$D273, "2", 'Historical Orders'!$C273, "A", 'Historical Orders'!$B273, "1")</f>
        <v>8106</v>
      </c>
      <c r="R273" s="159">
        <f>SUMIFS('Historical Orders'!$E273, 'Historical Orders'!$D273, "2", 'Historical Orders'!$C273, "B", 'Historical Orders'!$B273, "1")</f>
        <v>0</v>
      </c>
      <c r="S273" s="157">
        <f>SUMIFS('Historical Orders'!$G273, 'Historical Orders'!$D273, "2", 'Historical Orders'!$C273, "B", 'Historical Orders'!$B273, "1")</f>
        <v>0</v>
      </c>
      <c r="T273" s="159">
        <f>SUMIFS('Historical Orders'!$E273, 'Historical Orders'!$D273, "2", 'Historical Orders'!$C273, "A", 'Historical Orders'!$B273, "2")</f>
        <v>0</v>
      </c>
      <c r="U273" s="157">
        <f>SUMIFS('Historical Orders'!$G273, 'Historical Orders'!$D273, "2", 'Historical Orders'!$C273, "A", 'Historical Orders'!$B273, "2")</f>
        <v>0</v>
      </c>
      <c r="V273" s="159">
        <f>SUMIFS('Historical Orders'!$E273, 'Historical Orders'!$D273, "2", 'Historical Orders'!$C273, "B", 'Historical Orders'!$B273, "2")</f>
        <v>0</v>
      </c>
      <c r="W273" s="159">
        <f>SUMIFS('Historical Orders'!$G273, 'Historical Orders'!$D273, "2", 'Historical Orders'!$C273, "B", 'Historical Orders'!$B273, "2")</f>
        <v>0</v>
      </c>
      <c r="X273" s="159">
        <f>SUMIFS('Historical Orders'!$E273, 'Historical Orders'!$D273, "3", 'Historical Orders'!$C273, "A", 'Historical Orders'!$B273, "1")</f>
        <v>0</v>
      </c>
      <c r="Y273" s="159">
        <f>SUMIFS('Historical Orders'!$G273, 'Historical Orders'!$D273, "3", 'Historical Orders'!$C273, "A", 'Historical Orders'!$B273, "1")</f>
        <v>0</v>
      </c>
      <c r="Z273" s="159">
        <f>SUMIFS('Historical Orders'!$E273, 'Historical Orders'!$D273, "3", 'Historical Orders'!$C273, "B", 'Historical Orders'!$B273, "1")</f>
        <v>0</v>
      </c>
      <c r="AA273" s="159">
        <f>SUMIFS('Historical Orders'!$G273, 'Historical Orders'!$D273, "3", 'Historical Orders'!$C273, "B", 'Historical Orders'!$B273, "1")</f>
        <v>0</v>
      </c>
      <c r="AB273" s="159">
        <f>SUMIFS('Historical Orders'!$E273, 'Historical Orders'!$D273, "3", 'Historical Orders'!$C273, "A", 'Historical Orders'!$B273, "2")</f>
        <v>0</v>
      </c>
      <c r="AC273" s="159">
        <f>SUMIFS('Historical Orders'!$G273, 'Historical Orders'!$D273, "3", 'Historical Orders'!$C273, "A", 'Historical Orders'!$B273, "2")</f>
        <v>0</v>
      </c>
      <c r="AD273" s="159">
        <f>SUMIFS('Historical Orders'!$E273, 'Historical Orders'!$D273, "3", 'Historical Orders'!$C273, "B", 'Historical Orders'!$B273, "2")</f>
        <v>0</v>
      </c>
      <c r="AE273" s="157">
        <f>SUMIFS('Historical Orders'!$G273, 'Historical Orders'!$D273, "3", 'Historical Orders'!$C273, "B", 'Historical Orders'!$B273, "2")</f>
        <v>0</v>
      </c>
      <c r="AF273" s="157">
        <f>SUMIFS('Historical Orders'!$E273, 'Historical Orders'!$D273, "4", 'Historical Orders'!$C273, "A", 'Historical Orders'!$B273, "1")</f>
        <v>0</v>
      </c>
      <c r="AG273" s="157">
        <f>SUMIFS('Historical Orders'!$G273, 'Historical Orders'!$D273, "4", 'Historical Orders'!$C273, "A", 'Historical Orders'!$B273, "1")</f>
        <v>0</v>
      </c>
      <c r="AH273" s="157">
        <f>SUMIFS('Historical Orders'!$E273, 'Historical Orders'!$D273, "4", 'Historical Orders'!$C273, "B", 'Historical Orders'!$B273, "1")</f>
        <v>0</v>
      </c>
      <c r="AI273" s="157">
        <f>SUMIFS('Historical Orders'!$G273, 'Historical Orders'!$D273, "4", 'Historical Orders'!$C273, "B", 'Historical Orders'!$B273, "1")</f>
        <v>0</v>
      </c>
      <c r="AJ273" s="157">
        <f>SUMIFS('Historical Orders'!$E273, 'Historical Orders'!$D273, "4", 'Historical Orders'!$C273, "A", 'Historical Orders'!$B273, "2")</f>
        <v>0</v>
      </c>
      <c r="AK273" s="157">
        <f>SUMIFS('Historical Orders'!$G273, 'Historical Orders'!$D273, "4", 'Historical Orders'!$C273, "A", 'Historical Orders'!$B273, "2")</f>
        <v>0</v>
      </c>
      <c r="AL273" s="171">
        <f>SUMIFS('Historical Orders'!$E273, 'Historical Orders'!$D273, "4", 'Historical Orders'!$C273, "B", 'Historical Orders'!$B273, "2")</f>
        <v>0</v>
      </c>
      <c r="AM273" s="171">
        <f>SUMIFS('Historical Orders'!$G273, 'Historical Orders'!$D273, "4", 'Historical Orders'!$C273, "B", 'Historical Orders'!$B273, "2")</f>
        <v>0</v>
      </c>
      <c r="AN273" s="171">
        <f>SUMIFS('Historical Orders'!$G273, 'Historical Orders'!$C273, "A", 'Historical Orders'!$B273, "1")</f>
        <v>8106</v>
      </c>
      <c r="AO273" s="171">
        <f>SUMIFS('Historical Orders'!$G273, 'Historical Orders'!$C273, "B", 'Historical Orders'!$B273, "1")</f>
        <v>0</v>
      </c>
      <c r="AP273" s="171">
        <f>SUMIFS('Historical Orders'!$G273, 'Historical Orders'!$C273, "A", 'Historical Orders'!$B273, "2")</f>
        <v>0</v>
      </c>
      <c r="AQ273" s="171">
        <f>SUMIFS('Historical Orders'!$G273, 'Historical Orders'!$C273, "B", 'Historical Orders'!$B273, "2")</f>
        <v>0</v>
      </c>
      <c r="AR273" s="145"/>
      <c r="AS273" s="172"/>
      <c r="AT273" s="172"/>
      <c r="AU273" s="172"/>
      <c r="AV273" s="172"/>
      <c r="AW273" s="172"/>
      <c r="AX273" s="172"/>
      <c r="AY273" s="172"/>
      <c r="AZ273" s="172"/>
      <c r="BA273" s="172"/>
      <c r="BB273" s="172"/>
      <c r="BC273" s="172"/>
      <c r="BD273" s="172"/>
      <c r="BE273" s="172"/>
      <c r="BF273" s="172"/>
      <c r="BG273" s="172"/>
      <c r="BH273" s="172"/>
      <c r="BI273" s="172"/>
      <c r="BJ273" s="172"/>
      <c r="BK273" s="172"/>
      <c r="BL273" s="172"/>
      <c r="BM273" s="172"/>
      <c r="BN273" s="172"/>
      <c r="BO273" s="172"/>
      <c r="BP273" s="172"/>
      <c r="BQ273" s="172"/>
      <c r="BR273" s="172"/>
      <c r="BS273" s="172"/>
      <c r="BT273" s="172"/>
      <c r="BU273" s="172"/>
      <c r="BV273" s="179"/>
      <c r="BW273" s="179"/>
      <c r="BX273" s="179"/>
      <c r="BY273" s="179"/>
      <c r="BZ273" s="179"/>
      <c r="CA273" s="179"/>
      <c r="CB273" s="179"/>
      <c r="CC273" s="179"/>
      <c r="CD273" s="179"/>
      <c r="CE273" s="179"/>
    </row>
    <row r="274" ht="15.75" customHeight="1">
      <c r="A274" s="151">
        <v>42170.0</v>
      </c>
      <c r="B274" s="152">
        <v>2.0</v>
      </c>
      <c r="C274" s="152" t="s">
        <v>45</v>
      </c>
      <c r="D274" s="152">
        <v>1.0</v>
      </c>
      <c r="E274" s="153">
        <v>4232.0</v>
      </c>
      <c r="F274" s="154">
        <v>2.2</v>
      </c>
      <c r="G274" s="155">
        <v>9310.400000000001</v>
      </c>
      <c r="H274" s="159">
        <f>SUMIFS('Historical Orders'!$E274, 'Historical Orders'!$D274, "1", 'Historical Orders'!$C274, "A", 'Historical Orders'!$B274, "1")</f>
        <v>0</v>
      </c>
      <c r="I274" s="157">
        <f>SUMIFS('Historical Orders'!$G274, 'Historical Orders'!$D274, "1", 'Historical Orders'!$C274, "A", 'Historical Orders'!$B274, "1")</f>
        <v>0</v>
      </c>
      <c r="J274" s="157">
        <f>SUMIFS('Historical Orders'!$E274, 'Historical Orders'!$D274, "1", 'Historical Orders'!$C274, "B", 'Historical Orders'!$B274, "1")</f>
        <v>0</v>
      </c>
      <c r="K274" s="157">
        <f>SUMIFS('Historical Orders'!$G274, 'Historical Orders'!$D274, "1", 'Historical Orders'!$C274, "B", 'Historical Orders'!$B274, "1")</f>
        <v>0</v>
      </c>
      <c r="L274" s="159">
        <f>SUMIFS('Historical Orders'!$E274, 'Historical Orders'!$D274, "1", 'Historical Orders'!$C274, "A", 'Historical Orders'!$B274, "2")</f>
        <v>4232</v>
      </c>
      <c r="M274" s="157">
        <f>SUMIFS('Historical Orders'!$G274, 'Historical Orders'!$D274, "1", 'Historical Orders'!$C274, "A", 'Historical Orders'!$B274, "2")</f>
        <v>9310.4</v>
      </c>
      <c r="N274" s="157">
        <f>SUMIFS('Historical Orders'!$E274, 'Historical Orders'!$D274, "1", 'Historical Orders'!$C274, "B", 'Historical Orders'!$B274, "2")</f>
        <v>0</v>
      </c>
      <c r="O274" s="157">
        <f>SUMIFS('Historical Orders'!$G274, 'Historical Orders'!$D274, "1", 'Historical Orders'!$C274, "B", 'Historical Orders'!$B274, "2")</f>
        <v>0</v>
      </c>
      <c r="P274" s="159">
        <f>SUMIFS('Historical Orders'!$E274, 'Historical Orders'!$D274, "2", 'Historical Orders'!$C274, "A", 'Historical Orders'!$B274, "1")</f>
        <v>0</v>
      </c>
      <c r="Q274" s="157">
        <f>SUMIFS('Historical Orders'!$G274, 'Historical Orders'!$D274, "2", 'Historical Orders'!$C274, "A", 'Historical Orders'!$B274, "1")</f>
        <v>0</v>
      </c>
      <c r="R274" s="159">
        <f>SUMIFS('Historical Orders'!$E274, 'Historical Orders'!$D274, "2", 'Historical Orders'!$C274, "B", 'Historical Orders'!$B274, "1")</f>
        <v>0</v>
      </c>
      <c r="S274" s="157">
        <f>SUMIFS('Historical Orders'!$G274, 'Historical Orders'!$D274, "2", 'Historical Orders'!$C274, "B", 'Historical Orders'!$B274, "1")</f>
        <v>0</v>
      </c>
      <c r="T274" s="159">
        <f>SUMIFS('Historical Orders'!$E274, 'Historical Orders'!$D274, "2", 'Historical Orders'!$C274, "A", 'Historical Orders'!$B274, "2")</f>
        <v>0</v>
      </c>
      <c r="U274" s="157">
        <f>SUMIFS('Historical Orders'!$G274, 'Historical Orders'!$D274, "2", 'Historical Orders'!$C274, "A", 'Historical Orders'!$B274, "2")</f>
        <v>0</v>
      </c>
      <c r="V274" s="159">
        <f>SUMIFS('Historical Orders'!$E274, 'Historical Orders'!$D274, "2", 'Historical Orders'!$C274, "B", 'Historical Orders'!$B274, "2")</f>
        <v>0</v>
      </c>
      <c r="W274" s="159">
        <f>SUMIFS('Historical Orders'!$G274, 'Historical Orders'!$D274, "2", 'Historical Orders'!$C274, "B", 'Historical Orders'!$B274, "2")</f>
        <v>0</v>
      </c>
      <c r="X274" s="159">
        <f>SUMIFS('Historical Orders'!$E274, 'Historical Orders'!$D274, "3", 'Historical Orders'!$C274, "A", 'Historical Orders'!$B274, "1")</f>
        <v>0</v>
      </c>
      <c r="Y274" s="159">
        <f>SUMIFS('Historical Orders'!$G274, 'Historical Orders'!$D274, "3", 'Historical Orders'!$C274, "A", 'Historical Orders'!$B274, "1")</f>
        <v>0</v>
      </c>
      <c r="Z274" s="159">
        <f>SUMIFS('Historical Orders'!$E274, 'Historical Orders'!$D274, "3", 'Historical Orders'!$C274, "B", 'Historical Orders'!$B274, "1")</f>
        <v>0</v>
      </c>
      <c r="AA274" s="159">
        <f>SUMIFS('Historical Orders'!$G274, 'Historical Orders'!$D274, "3", 'Historical Orders'!$C274, "B", 'Historical Orders'!$B274, "1")</f>
        <v>0</v>
      </c>
      <c r="AB274" s="159">
        <f>SUMIFS('Historical Orders'!$E274, 'Historical Orders'!$D274, "3", 'Historical Orders'!$C274, "A", 'Historical Orders'!$B274, "2")</f>
        <v>0</v>
      </c>
      <c r="AC274" s="159">
        <f>SUMIFS('Historical Orders'!$G274, 'Historical Orders'!$D274, "3", 'Historical Orders'!$C274, "A", 'Historical Orders'!$B274, "2")</f>
        <v>0</v>
      </c>
      <c r="AD274" s="159">
        <f>SUMIFS('Historical Orders'!$E274, 'Historical Orders'!$D274, "3", 'Historical Orders'!$C274, "B", 'Historical Orders'!$B274, "2")</f>
        <v>0</v>
      </c>
      <c r="AE274" s="157">
        <f>SUMIFS('Historical Orders'!$G274, 'Historical Orders'!$D274, "3", 'Historical Orders'!$C274, "B", 'Historical Orders'!$B274, "2")</f>
        <v>0</v>
      </c>
      <c r="AF274" s="157">
        <f>SUMIFS('Historical Orders'!$E274, 'Historical Orders'!$D274, "4", 'Historical Orders'!$C274, "A", 'Historical Orders'!$B274, "1")</f>
        <v>0</v>
      </c>
      <c r="AG274" s="157">
        <f>SUMIFS('Historical Orders'!$G274, 'Historical Orders'!$D274, "4", 'Historical Orders'!$C274, "A", 'Historical Orders'!$B274, "1")</f>
        <v>0</v>
      </c>
      <c r="AH274" s="157">
        <f>SUMIFS('Historical Orders'!$E274, 'Historical Orders'!$D274, "4", 'Historical Orders'!$C274, "B", 'Historical Orders'!$B274, "1")</f>
        <v>0</v>
      </c>
      <c r="AI274" s="157">
        <f>SUMIFS('Historical Orders'!$G274, 'Historical Orders'!$D274, "4", 'Historical Orders'!$C274, "B", 'Historical Orders'!$B274, "1")</f>
        <v>0</v>
      </c>
      <c r="AJ274" s="157">
        <f>SUMIFS('Historical Orders'!$E274, 'Historical Orders'!$D274, "4", 'Historical Orders'!$C274, "A", 'Historical Orders'!$B274, "2")</f>
        <v>0</v>
      </c>
      <c r="AK274" s="157">
        <f>SUMIFS('Historical Orders'!$G274, 'Historical Orders'!$D274, "4", 'Historical Orders'!$C274, "A", 'Historical Orders'!$B274, "2")</f>
        <v>0</v>
      </c>
      <c r="AL274" s="171">
        <f>SUMIFS('Historical Orders'!$E274, 'Historical Orders'!$D274, "4", 'Historical Orders'!$C274, "B", 'Historical Orders'!$B274, "2")</f>
        <v>0</v>
      </c>
      <c r="AM274" s="171">
        <f>SUMIFS('Historical Orders'!$G274, 'Historical Orders'!$D274, "4", 'Historical Orders'!$C274, "B", 'Historical Orders'!$B274, "2")</f>
        <v>0</v>
      </c>
      <c r="AN274" s="171">
        <f>SUMIFS('Historical Orders'!$G274, 'Historical Orders'!$C274, "A", 'Historical Orders'!$B274, "1")</f>
        <v>0</v>
      </c>
      <c r="AO274" s="171">
        <f>SUMIFS('Historical Orders'!$G274, 'Historical Orders'!$C274, "B", 'Historical Orders'!$B274, "1")</f>
        <v>0</v>
      </c>
      <c r="AP274" s="171">
        <f>SUMIFS('Historical Orders'!$G274, 'Historical Orders'!$C274, "A", 'Historical Orders'!$B274, "2")</f>
        <v>9310.4</v>
      </c>
      <c r="AQ274" s="171">
        <f>SUMIFS('Historical Orders'!$G274, 'Historical Orders'!$C274, "B", 'Historical Orders'!$B274, "2")</f>
        <v>0</v>
      </c>
      <c r="AR274" s="145"/>
      <c r="AS274" s="172"/>
      <c r="AT274" s="172"/>
      <c r="AU274" s="172"/>
      <c r="AV274" s="172"/>
      <c r="AW274" s="172"/>
      <c r="AX274" s="172"/>
      <c r="AY274" s="172"/>
      <c r="AZ274" s="172"/>
      <c r="BA274" s="172"/>
      <c r="BB274" s="172"/>
      <c r="BC274" s="172"/>
      <c r="BD274" s="172"/>
      <c r="BE274" s="172"/>
      <c r="BF274" s="172"/>
      <c r="BG274" s="172"/>
      <c r="BH274" s="172"/>
      <c r="BI274" s="172"/>
      <c r="BJ274" s="172"/>
      <c r="BK274" s="172"/>
      <c r="BL274" s="172"/>
      <c r="BM274" s="172"/>
      <c r="BN274" s="172"/>
      <c r="BO274" s="172"/>
      <c r="BP274" s="172"/>
      <c r="BQ274" s="172"/>
      <c r="BR274" s="172"/>
      <c r="BS274" s="172"/>
      <c r="BT274" s="172"/>
      <c r="BU274" s="172"/>
      <c r="BV274" s="179"/>
      <c r="BW274" s="179"/>
      <c r="BX274" s="179"/>
      <c r="BY274" s="179"/>
      <c r="BZ274" s="179"/>
      <c r="CA274" s="179"/>
      <c r="CB274" s="179"/>
      <c r="CC274" s="179"/>
      <c r="CD274" s="179"/>
      <c r="CE274" s="179"/>
    </row>
    <row r="275" ht="15.75" customHeight="1">
      <c r="A275" s="151">
        <v>42170.0</v>
      </c>
      <c r="B275" s="152">
        <v>2.0</v>
      </c>
      <c r="C275" s="152" t="s">
        <v>45</v>
      </c>
      <c r="D275" s="152">
        <v>2.0</v>
      </c>
      <c r="E275" s="153">
        <v>8161.0</v>
      </c>
      <c r="F275" s="154">
        <v>1.2</v>
      </c>
      <c r="G275" s="155">
        <v>9793.199999999999</v>
      </c>
      <c r="H275" s="159">
        <f>SUMIFS('Historical Orders'!$E275, 'Historical Orders'!$D275, "1", 'Historical Orders'!$C275, "A", 'Historical Orders'!$B275, "1")</f>
        <v>0</v>
      </c>
      <c r="I275" s="157">
        <f>SUMIFS('Historical Orders'!$G275, 'Historical Orders'!$D275, "1", 'Historical Orders'!$C275, "A", 'Historical Orders'!$B275, "1")</f>
        <v>0</v>
      </c>
      <c r="J275" s="157">
        <f>SUMIFS('Historical Orders'!$E275, 'Historical Orders'!$D275, "1", 'Historical Orders'!$C275, "B", 'Historical Orders'!$B275, "1")</f>
        <v>0</v>
      </c>
      <c r="K275" s="157">
        <f>SUMIFS('Historical Orders'!$G275, 'Historical Orders'!$D275, "1", 'Historical Orders'!$C275, "B", 'Historical Orders'!$B275, "1")</f>
        <v>0</v>
      </c>
      <c r="L275" s="159">
        <f>SUMIFS('Historical Orders'!$E275, 'Historical Orders'!$D275, "1", 'Historical Orders'!$C275, "A", 'Historical Orders'!$B275, "2")</f>
        <v>0</v>
      </c>
      <c r="M275" s="157">
        <f>SUMIFS('Historical Orders'!$G275, 'Historical Orders'!$D275, "1", 'Historical Orders'!$C275, "A", 'Historical Orders'!$B275, "2")</f>
        <v>0</v>
      </c>
      <c r="N275" s="157">
        <f>SUMIFS('Historical Orders'!$E275, 'Historical Orders'!$D275, "1", 'Historical Orders'!$C275, "B", 'Historical Orders'!$B275, "2")</f>
        <v>0</v>
      </c>
      <c r="O275" s="157">
        <f>SUMIFS('Historical Orders'!$G275, 'Historical Orders'!$D275, "1", 'Historical Orders'!$C275, "B", 'Historical Orders'!$B275, "2")</f>
        <v>0</v>
      </c>
      <c r="P275" s="159">
        <f>SUMIFS('Historical Orders'!$E275, 'Historical Orders'!$D275, "2", 'Historical Orders'!$C275, "A", 'Historical Orders'!$B275, "1")</f>
        <v>0</v>
      </c>
      <c r="Q275" s="157">
        <f>SUMIFS('Historical Orders'!$G275, 'Historical Orders'!$D275, "2", 'Historical Orders'!$C275, "A", 'Historical Orders'!$B275, "1")</f>
        <v>0</v>
      </c>
      <c r="R275" s="159">
        <f>SUMIFS('Historical Orders'!$E275, 'Historical Orders'!$D275, "2", 'Historical Orders'!$C275, "B", 'Historical Orders'!$B275, "1")</f>
        <v>0</v>
      </c>
      <c r="S275" s="157">
        <f>SUMIFS('Historical Orders'!$G275, 'Historical Orders'!$D275, "2", 'Historical Orders'!$C275, "B", 'Historical Orders'!$B275, "1")</f>
        <v>0</v>
      </c>
      <c r="T275" s="159">
        <f>SUMIFS('Historical Orders'!$E275, 'Historical Orders'!$D275, "2", 'Historical Orders'!$C275, "A", 'Historical Orders'!$B275, "2")</f>
        <v>8161</v>
      </c>
      <c r="U275" s="157">
        <f>SUMIFS('Historical Orders'!$G275, 'Historical Orders'!$D275, "2", 'Historical Orders'!$C275, "A", 'Historical Orders'!$B275, "2")</f>
        <v>9793.2</v>
      </c>
      <c r="V275" s="159">
        <f>SUMIFS('Historical Orders'!$E275, 'Historical Orders'!$D275, "2", 'Historical Orders'!$C275, "B", 'Historical Orders'!$B275, "2")</f>
        <v>0</v>
      </c>
      <c r="W275" s="159">
        <f>SUMIFS('Historical Orders'!$G275, 'Historical Orders'!$D275, "2", 'Historical Orders'!$C275, "B", 'Historical Orders'!$B275, "2")</f>
        <v>0</v>
      </c>
      <c r="X275" s="159">
        <f>SUMIFS('Historical Orders'!$E275, 'Historical Orders'!$D275, "3", 'Historical Orders'!$C275, "A", 'Historical Orders'!$B275, "1")</f>
        <v>0</v>
      </c>
      <c r="Y275" s="159">
        <f>SUMIFS('Historical Orders'!$G275, 'Historical Orders'!$D275, "3", 'Historical Orders'!$C275, "A", 'Historical Orders'!$B275, "1")</f>
        <v>0</v>
      </c>
      <c r="Z275" s="159">
        <f>SUMIFS('Historical Orders'!$E275, 'Historical Orders'!$D275, "3", 'Historical Orders'!$C275, "B", 'Historical Orders'!$B275, "1")</f>
        <v>0</v>
      </c>
      <c r="AA275" s="159">
        <f>SUMIFS('Historical Orders'!$G275, 'Historical Orders'!$D275, "3", 'Historical Orders'!$C275, "B", 'Historical Orders'!$B275, "1")</f>
        <v>0</v>
      </c>
      <c r="AB275" s="159">
        <f>SUMIFS('Historical Orders'!$E275, 'Historical Orders'!$D275, "3", 'Historical Orders'!$C275, "A", 'Historical Orders'!$B275, "2")</f>
        <v>0</v>
      </c>
      <c r="AC275" s="159">
        <f>SUMIFS('Historical Orders'!$G275, 'Historical Orders'!$D275, "3", 'Historical Orders'!$C275, "A", 'Historical Orders'!$B275, "2")</f>
        <v>0</v>
      </c>
      <c r="AD275" s="159">
        <f>SUMIFS('Historical Orders'!$E275, 'Historical Orders'!$D275, "3", 'Historical Orders'!$C275, "B", 'Historical Orders'!$B275, "2")</f>
        <v>0</v>
      </c>
      <c r="AE275" s="157">
        <f>SUMIFS('Historical Orders'!$G275, 'Historical Orders'!$D275, "3", 'Historical Orders'!$C275, "B", 'Historical Orders'!$B275, "2")</f>
        <v>0</v>
      </c>
      <c r="AF275" s="157">
        <f>SUMIFS('Historical Orders'!$E275, 'Historical Orders'!$D275, "4", 'Historical Orders'!$C275, "A", 'Historical Orders'!$B275, "1")</f>
        <v>0</v>
      </c>
      <c r="AG275" s="157">
        <f>SUMIFS('Historical Orders'!$G275, 'Historical Orders'!$D275, "4", 'Historical Orders'!$C275, "A", 'Historical Orders'!$B275, "1")</f>
        <v>0</v>
      </c>
      <c r="AH275" s="157">
        <f>SUMIFS('Historical Orders'!$E275, 'Historical Orders'!$D275, "4", 'Historical Orders'!$C275, "B", 'Historical Orders'!$B275, "1")</f>
        <v>0</v>
      </c>
      <c r="AI275" s="157">
        <f>SUMIFS('Historical Orders'!$G275, 'Historical Orders'!$D275, "4", 'Historical Orders'!$C275, "B", 'Historical Orders'!$B275, "1")</f>
        <v>0</v>
      </c>
      <c r="AJ275" s="157">
        <f>SUMIFS('Historical Orders'!$E275, 'Historical Orders'!$D275, "4", 'Historical Orders'!$C275, "A", 'Historical Orders'!$B275, "2")</f>
        <v>0</v>
      </c>
      <c r="AK275" s="157">
        <f>SUMIFS('Historical Orders'!$G275, 'Historical Orders'!$D275, "4", 'Historical Orders'!$C275, "A", 'Historical Orders'!$B275, "2")</f>
        <v>0</v>
      </c>
      <c r="AL275" s="171">
        <f>SUMIFS('Historical Orders'!$E275, 'Historical Orders'!$D275, "4", 'Historical Orders'!$C275, "B", 'Historical Orders'!$B275, "2")</f>
        <v>0</v>
      </c>
      <c r="AM275" s="171">
        <f>SUMIFS('Historical Orders'!$G275, 'Historical Orders'!$D275, "4", 'Historical Orders'!$C275, "B", 'Historical Orders'!$B275, "2")</f>
        <v>0</v>
      </c>
      <c r="AN275" s="171">
        <f>SUMIFS('Historical Orders'!$G275, 'Historical Orders'!$C275, "A", 'Historical Orders'!$B275, "1")</f>
        <v>0</v>
      </c>
      <c r="AO275" s="171">
        <f>SUMIFS('Historical Orders'!$G275, 'Historical Orders'!$C275, "B", 'Historical Orders'!$B275, "1")</f>
        <v>0</v>
      </c>
      <c r="AP275" s="171">
        <f>SUMIFS('Historical Orders'!$G275, 'Historical Orders'!$C275, "A", 'Historical Orders'!$B275, "2")</f>
        <v>9793.2</v>
      </c>
      <c r="AQ275" s="171">
        <f>SUMIFS('Historical Orders'!$G275, 'Historical Orders'!$C275, "B", 'Historical Orders'!$B275, "2")</f>
        <v>0</v>
      </c>
      <c r="AR275" s="145"/>
      <c r="AS275" s="172"/>
      <c r="AT275" s="172"/>
      <c r="AU275" s="172"/>
      <c r="AV275" s="172"/>
      <c r="AW275" s="172"/>
      <c r="AX275" s="172"/>
      <c r="AY275" s="172"/>
      <c r="AZ275" s="172"/>
      <c r="BA275" s="172"/>
      <c r="BB275" s="172"/>
      <c r="BC275" s="172"/>
      <c r="BD275" s="172"/>
      <c r="BE275" s="172"/>
      <c r="BF275" s="172"/>
      <c r="BG275" s="172"/>
      <c r="BH275" s="172"/>
      <c r="BI275" s="172"/>
      <c r="BJ275" s="172"/>
      <c r="BK275" s="172"/>
      <c r="BL275" s="172"/>
      <c r="BM275" s="172"/>
      <c r="BN275" s="172"/>
      <c r="BO275" s="172"/>
      <c r="BP275" s="172"/>
      <c r="BQ275" s="172"/>
      <c r="BR275" s="172"/>
      <c r="BS275" s="172"/>
      <c r="BT275" s="172"/>
      <c r="BU275" s="172"/>
      <c r="BV275" s="179"/>
      <c r="BW275" s="179"/>
      <c r="BX275" s="179"/>
      <c r="BY275" s="179"/>
      <c r="BZ275" s="179"/>
      <c r="CA275" s="179"/>
      <c r="CB275" s="179"/>
      <c r="CC275" s="179"/>
      <c r="CD275" s="179"/>
      <c r="CE275" s="179"/>
    </row>
    <row r="276" ht="15.75" customHeight="1">
      <c r="A276" s="151">
        <v>42170.0</v>
      </c>
      <c r="B276" s="152">
        <v>1.0</v>
      </c>
      <c r="C276" s="152" t="s">
        <v>46</v>
      </c>
      <c r="D276" s="152">
        <v>3.0</v>
      </c>
      <c r="E276" s="153">
        <v>2060.0</v>
      </c>
      <c r="F276" s="154">
        <v>8.3</v>
      </c>
      <c r="G276" s="155">
        <v>17098.0</v>
      </c>
      <c r="H276" s="159">
        <f>SUMIFS('Historical Orders'!$E276, 'Historical Orders'!$D276, "1", 'Historical Orders'!$C276, "A", 'Historical Orders'!$B276, "1")</f>
        <v>0</v>
      </c>
      <c r="I276" s="157">
        <f>SUMIFS('Historical Orders'!$G276, 'Historical Orders'!$D276, "1", 'Historical Orders'!$C276, "A", 'Historical Orders'!$B276, "1")</f>
        <v>0</v>
      </c>
      <c r="J276" s="157">
        <f>SUMIFS('Historical Orders'!$E276, 'Historical Orders'!$D276, "1", 'Historical Orders'!$C276, "B", 'Historical Orders'!$B276, "1")</f>
        <v>0</v>
      </c>
      <c r="K276" s="157">
        <f>SUMIFS('Historical Orders'!$G276, 'Historical Orders'!$D276, "1", 'Historical Orders'!$C276, "B", 'Historical Orders'!$B276, "1")</f>
        <v>0</v>
      </c>
      <c r="L276" s="159">
        <f>SUMIFS('Historical Orders'!$E276, 'Historical Orders'!$D276, "1", 'Historical Orders'!$C276, "A", 'Historical Orders'!$B276, "2")</f>
        <v>0</v>
      </c>
      <c r="M276" s="157">
        <f>SUMIFS('Historical Orders'!$G276, 'Historical Orders'!$D276, "1", 'Historical Orders'!$C276, "A", 'Historical Orders'!$B276, "2")</f>
        <v>0</v>
      </c>
      <c r="N276" s="157">
        <f>SUMIFS('Historical Orders'!$E276, 'Historical Orders'!$D276, "1", 'Historical Orders'!$C276, "B", 'Historical Orders'!$B276, "2")</f>
        <v>0</v>
      </c>
      <c r="O276" s="157">
        <f>SUMIFS('Historical Orders'!$G276, 'Historical Orders'!$D276, "1", 'Historical Orders'!$C276, "B", 'Historical Orders'!$B276, "2")</f>
        <v>0</v>
      </c>
      <c r="P276" s="159">
        <f>SUMIFS('Historical Orders'!$E276, 'Historical Orders'!$D276, "2", 'Historical Orders'!$C276, "A", 'Historical Orders'!$B276, "1")</f>
        <v>0</v>
      </c>
      <c r="Q276" s="157">
        <f>SUMIFS('Historical Orders'!$G276, 'Historical Orders'!$D276, "2", 'Historical Orders'!$C276, "A", 'Historical Orders'!$B276, "1")</f>
        <v>0</v>
      </c>
      <c r="R276" s="159">
        <f>SUMIFS('Historical Orders'!$E276, 'Historical Orders'!$D276, "2", 'Historical Orders'!$C276, "B", 'Historical Orders'!$B276, "1")</f>
        <v>0</v>
      </c>
      <c r="S276" s="157">
        <f>SUMIFS('Historical Orders'!$G276, 'Historical Orders'!$D276, "2", 'Historical Orders'!$C276, "B", 'Historical Orders'!$B276, "1")</f>
        <v>0</v>
      </c>
      <c r="T276" s="159">
        <f>SUMIFS('Historical Orders'!$E276, 'Historical Orders'!$D276, "2", 'Historical Orders'!$C276, "A", 'Historical Orders'!$B276, "2")</f>
        <v>0</v>
      </c>
      <c r="U276" s="157">
        <f>SUMIFS('Historical Orders'!$G276, 'Historical Orders'!$D276, "2", 'Historical Orders'!$C276, "A", 'Historical Orders'!$B276, "2")</f>
        <v>0</v>
      </c>
      <c r="V276" s="159">
        <f>SUMIFS('Historical Orders'!$E276, 'Historical Orders'!$D276, "2", 'Historical Orders'!$C276, "B", 'Historical Orders'!$B276, "2")</f>
        <v>0</v>
      </c>
      <c r="W276" s="159">
        <f>SUMIFS('Historical Orders'!$G276, 'Historical Orders'!$D276, "2", 'Historical Orders'!$C276, "B", 'Historical Orders'!$B276, "2")</f>
        <v>0</v>
      </c>
      <c r="X276" s="159">
        <f>SUMIFS('Historical Orders'!$E276, 'Historical Orders'!$D276, "3", 'Historical Orders'!$C276, "A", 'Historical Orders'!$B276, "1")</f>
        <v>0</v>
      </c>
      <c r="Y276" s="159">
        <f>SUMIFS('Historical Orders'!$G276, 'Historical Orders'!$D276, "3", 'Historical Orders'!$C276, "A", 'Historical Orders'!$B276, "1")</f>
        <v>0</v>
      </c>
      <c r="Z276" s="159">
        <f>SUMIFS('Historical Orders'!$E276, 'Historical Orders'!$D276, "3", 'Historical Orders'!$C276, "B", 'Historical Orders'!$B276, "1")</f>
        <v>2060</v>
      </c>
      <c r="AA276" s="159">
        <f>SUMIFS('Historical Orders'!$G276, 'Historical Orders'!$D276, "3", 'Historical Orders'!$C276, "B", 'Historical Orders'!$B276, "1")</f>
        <v>17098</v>
      </c>
      <c r="AB276" s="159">
        <f>SUMIFS('Historical Orders'!$E276, 'Historical Orders'!$D276, "3", 'Historical Orders'!$C276, "A", 'Historical Orders'!$B276, "2")</f>
        <v>0</v>
      </c>
      <c r="AC276" s="159">
        <f>SUMIFS('Historical Orders'!$G276, 'Historical Orders'!$D276, "3", 'Historical Orders'!$C276, "A", 'Historical Orders'!$B276, "2")</f>
        <v>0</v>
      </c>
      <c r="AD276" s="159">
        <f>SUMIFS('Historical Orders'!$E276, 'Historical Orders'!$D276, "3", 'Historical Orders'!$C276, "B", 'Historical Orders'!$B276, "2")</f>
        <v>0</v>
      </c>
      <c r="AE276" s="157">
        <f>SUMIFS('Historical Orders'!$G276, 'Historical Orders'!$D276, "3", 'Historical Orders'!$C276, "B", 'Historical Orders'!$B276, "2")</f>
        <v>0</v>
      </c>
      <c r="AF276" s="157">
        <f>SUMIFS('Historical Orders'!$E276, 'Historical Orders'!$D276, "4", 'Historical Orders'!$C276, "A", 'Historical Orders'!$B276, "1")</f>
        <v>0</v>
      </c>
      <c r="AG276" s="157">
        <f>SUMIFS('Historical Orders'!$G276, 'Historical Orders'!$D276, "4", 'Historical Orders'!$C276, "A", 'Historical Orders'!$B276, "1")</f>
        <v>0</v>
      </c>
      <c r="AH276" s="157">
        <f>SUMIFS('Historical Orders'!$E276, 'Historical Orders'!$D276, "4", 'Historical Orders'!$C276, "B", 'Historical Orders'!$B276, "1")</f>
        <v>0</v>
      </c>
      <c r="AI276" s="157">
        <f>SUMIFS('Historical Orders'!$G276, 'Historical Orders'!$D276, "4", 'Historical Orders'!$C276, "B", 'Historical Orders'!$B276, "1")</f>
        <v>0</v>
      </c>
      <c r="AJ276" s="157">
        <f>SUMIFS('Historical Orders'!$E276, 'Historical Orders'!$D276, "4", 'Historical Orders'!$C276, "A", 'Historical Orders'!$B276, "2")</f>
        <v>0</v>
      </c>
      <c r="AK276" s="157">
        <f>SUMIFS('Historical Orders'!$G276, 'Historical Orders'!$D276, "4", 'Historical Orders'!$C276, "A", 'Historical Orders'!$B276, "2")</f>
        <v>0</v>
      </c>
      <c r="AL276" s="171">
        <f>SUMIFS('Historical Orders'!$E276, 'Historical Orders'!$D276, "4", 'Historical Orders'!$C276, "B", 'Historical Orders'!$B276, "2")</f>
        <v>0</v>
      </c>
      <c r="AM276" s="171">
        <f>SUMIFS('Historical Orders'!$G276, 'Historical Orders'!$D276, "4", 'Historical Orders'!$C276, "B", 'Historical Orders'!$B276, "2")</f>
        <v>0</v>
      </c>
      <c r="AN276" s="171">
        <f>SUMIFS('Historical Orders'!$G276, 'Historical Orders'!$C276, "A", 'Historical Orders'!$B276, "1")</f>
        <v>0</v>
      </c>
      <c r="AO276" s="171">
        <f>SUMIFS('Historical Orders'!$G276, 'Historical Orders'!$C276, "B", 'Historical Orders'!$B276, "1")</f>
        <v>17098</v>
      </c>
      <c r="AP276" s="171">
        <f>SUMIFS('Historical Orders'!$G276, 'Historical Orders'!$C276, "A", 'Historical Orders'!$B276, "2")</f>
        <v>0</v>
      </c>
      <c r="AQ276" s="171">
        <f>SUMIFS('Historical Orders'!$G276, 'Historical Orders'!$C276, "B", 'Historical Orders'!$B276, "2")</f>
        <v>0</v>
      </c>
      <c r="AR276" s="145"/>
      <c r="AS276" s="172"/>
      <c r="AT276" s="172"/>
      <c r="AU276" s="172"/>
      <c r="AV276" s="172"/>
      <c r="AW276" s="172"/>
      <c r="AX276" s="172"/>
      <c r="AY276" s="172"/>
      <c r="AZ276" s="172"/>
      <c r="BA276" s="172"/>
      <c r="BB276" s="172"/>
      <c r="BC276" s="172"/>
      <c r="BD276" s="172"/>
      <c r="BE276" s="172"/>
      <c r="BF276" s="172"/>
      <c r="BG276" s="172"/>
      <c r="BH276" s="172"/>
      <c r="BI276" s="172"/>
      <c r="BJ276" s="172"/>
      <c r="BK276" s="172"/>
      <c r="BL276" s="172"/>
      <c r="BM276" s="172"/>
      <c r="BN276" s="172"/>
      <c r="BO276" s="172"/>
      <c r="BP276" s="172"/>
      <c r="BQ276" s="172"/>
      <c r="BR276" s="172"/>
      <c r="BS276" s="172"/>
      <c r="BT276" s="172"/>
      <c r="BU276" s="172"/>
      <c r="BV276" s="179"/>
      <c r="BW276" s="179"/>
      <c r="BX276" s="179"/>
      <c r="BY276" s="179"/>
      <c r="BZ276" s="179"/>
      <c r="CA276" s="179"/>
      <c r="CB276" s="179"/>
      <c r="CC276" s="179"/>
      <c r="CD276" s="179"/>
      <c r="CE276" s="179"/>
    </row>
    <row r="277" ht="15.75" customHeight="1">
      <c r="A277" s="151">
        <v>42170.0</v>
      </c>
      <c r="B277" s="152">
        <v>2.0</v>
      </c>
      <c r="C277" s="152" t="s">
        <v>46</v>
      </c>
      <c r="D277" s="152">
        <v>3.0</v>
      </c>
      <c r="E277" s="153">
        <v>2197.0</v>
      </c>
      <c r="F277" s="154">
        <v>8.3</v>
      </c>
      <c r="G277" s="155">
        <v>18235.100000000002</v>
      </c>
      <c r="H277" s="159">
        <f>SUMIFS('Historical Orders'!$E277, 'Historical Orders'!$D277, "1", 'Historical Orders'!$C277, "A", 'Historical Orders'!$B277, "1")</f>
        <v>0</v>
      </c>
      <c r="I277" s="157">
        <f>SUMIFS('Historical Orders'!$G277, 'Historical Orders'!$D277, "1", 'Historical Orders'!$C277, "A", 'Historical Orders'!$B277, "1")</f>
        <v>0</v>
      </c>
      <c r="J277" s="157">
        <f>SUMIFS('Historical Orders'!$E277, 'Historical Orders'!$D277, "1", 'Historical Orders'!$C277, "B", 'Historical Orders'!$B277, "1")</f>
        <v>0</v>
      </c>
      <c r="K277" s="157">
        <f>SUMIFS('Historical Orders'!$G277, 'Historical Orders'!$D277, "1", 'Historical Orders'!$C277, "B", 'Historical Orders'!$B277, "1")</f>
        <v>0</v>
      </c>
      <c r="L277" s="159">
        <f>SUMIFS('Historical Orders'!$E277, 'Historical Orders'!$D277, "1", 'Historical Orders'!$C277, "A", 'Historical Orders'!$B277, "2")</f>
        <v>0</v>
      </c>
      <c r="M277" s="157">
        <f>SUMIFS('Historical Orders'!$G277, 'Historical Orders'!$D277, "1", 'Historical Orders'!$C277, "A", 'Historical Orders'!$B277, "2")</f>
        <v>0</v>
      </c>
      <c r="N277" s="157">
        <f>SUMIFS('Historical Orders'!$E277, 'Historical Orders'!$D277, "1", 'Historical Orders'!$C277, "B", 'Historical Orders'!$B277, "2")</f>
        <v>0</v>
      </c>
      <c r="O277" s="157">
        <f>SUMIFS('Historical Orders'!$G277, 'Historical Orders'!$D277, "1", 'Historical Orders'!$C277, "B", 'Historical Orders'!$B277, "2")</f>
        <v>0</v>
      </c>
      <c r="P277" s="159">
        <f>SUMIFS('Historical Orders'!$E277, 'Historical Orders'!$D277, "2", 'Historical Orders'!$C277, "A", 'Historical Orders'!$B277, "1")</f>
        <v>0</v>
      </c>
      <c r="Q277" s="157">
        <f>SUMIFS('Historical Orders'!$G277, 'Historical Orders'!$D277, "2", 'Historical Orders'!$C277, "A", 'Historical Orders'!$B277, "1")</f>
        <v>0</v>
      </c>
      <c r="R277" s="159">
        <f>SUMIFS('Historical Orders'!$E277, 'Historical Orders'!$D277, "2", 'Historical Orders'!$C277, "B", 'Historical Orders'!$B277, "1")</f>
        <v>0</v>
      </c>
      <c r="S277" s="157">
        <f>SUMIFS('Historical Orders'!$G277, 'Historical Orders'!$D277, "2", 'Historical Orders'!$C277, "B", 'Historical Orders'!$B277, "1")</f>
        <v>0</v>
      </c>
      <c r="T277" s="159">
        <f>SUMIFS('Historical Orders'!$E277, 'Historical Orders'!$D277, "2", 'Historical Orders'!$C277, "A", 'Historical Orders'!$B277, "2")</f>
        <v>0</v>
      </c>
      <c r="U277" s="157">
        <f>SUMIFS('Historical Orders'!$G277, 'Historical Orders'!$D277, "2", 'Historical Orders'!$C277, "A", 'Historical Orders'!$B277, "2")</f>
        <v>0</v>
      </c>
      <c r="V277" s="159">
        <f>SUMIFS('Historical Orders'!$E277, 'Historical Orders'!$D277, "2", 'Historical Orders'!$C277, "B", 'Historical Orders'!$B277, "2")</f>
        <v>0</v>
      </c>
      <c r="W277" s="159">
        <f>SUMIFS('Historical Orders'!$G277, 'Historical Orders'!$D277, "2", 'Historical Orders'!$C277, "B", 'Historical Orders'!$B277, "2")</f>
        <v>0</v>
      </c>
      <c r="X277" s="159">
        <f>SUMIFS('Historical Orders'!$E277, 'Historical Orders'!$D277, "3", 'Historical Orders'!$C277, "A", 'Historical Orders'!$B277, "1")</f>
        <v>0</v>
      </c>
      <c r="Y277" s="159">
        <f>SUMIFS('Historical Orders'!$G277, 'Historical Orders'!$D277, "3", 'Historical Orders'!$C277, "A", 'Historical Orders'!$B277, "1")</f>
        <v>0</v>
      </c>
      <c r="Z277" s="159">
        <f>SUMIFS('Historical Orders'!$E277, 'Historical Orders'!$D277, "3", 'Historical Orders'!$C277, "B", 'Historical Orders'!$B277, "1")</f>
        <v>0</v>
      </c>
      <c r="AA277" s="159">
        <f>SUMIFS('Historical Orders'!$G277, 'Historical Orders'!$D277, "3", 'Historical Orders'!$C277, "B", 'Historical Orders'!$B277, "1")</f>
        <v>0</v>
      </c>
      <c r="AB277" s="159">
        <f>SUMIFS('Historical Orders'!$E277, 'Historical Orders'!$D277, "3", 'Historical Orders'!$C277, "A", 'Historical Orders'!$B277, "2")</f>
        <v>0</v>
      </c>
      <c r="AC277" s="159">
        <f>SUMIFS('Historical Orders'!$G277, 'Historical Orders'!$D277, "3", 'Historical Orders'!$C277, "A", 'Historical Orders'!$B277, "2")</f>
        <v>0</v>
      </c>
      <c r="AD277" s="159">
        <f>SUMIFS('Historical Orders'!$E277, 'Historical Orders'!$D277, "3", 'Historical Orders'!$C277, "B", 'Historical Orders'!$B277, "2")</f>
        <v>2197</v>
      </c>
      <c r="AE277" s="157">
        <f>SUMIFS('Historical Orders'!$G277, 'Historical Orders'!$D277, "3", 'Historical Orders'!$C277, "B", 'Historical Orders'!$B277, "2")</f>
        <v>18235.1</v>
      </c>
      <c r="AF277" s="157">
        <f>SUMIFS('Historical Orders'!$E277, 'Historical Orders'!$D277, "4", 'Historical Orders'!$C277, "A", 'Historical Orders'!$B277, "1")</f>
        <v>0</v>
      </c>
      <c r="AG277" s="157">
        <f>SUMIFS('Historical Orders'!$G277, 'Historical Orders'!$D277, "4", 'Historical Orders'!$C277, "A", 'Historical Orders'!$B277, "1")</f>
        <v>0</v>
      </c>
      <c r="AH277" s="157">
        <f>SUMIFS('Historical Orders'!$E277, 'Historical Orders'!$D277, "4", 'Historical Orders'!$C277, "B", 'Historical Orders'!$B277, "1")</f>
        <v>0</v>
      </c>
      <c r="AI277" s="157">
        <f>SUMIFS('Historical Orders'!$G277, 'Historical Orders'!$D277, "4", 'Historical Orders'!$C277, "B", 'Historical Orders'!$B277, "1")</f>
        <v>0</v>
      </c>
      <c r="AJ277" s="157">
        <f>SUMIFS('Historical Orders'!$E277, 'Historical Orders'!$D277, "4", 'Historical Orders'!$C277, "A", 'Historical Orders'!$B277, "2")</f>
        <v>0</v>
      </c>
      <c r="AK277" s="157">
        <f>SUMIFS('Historical Orders'!$G277, 'Historical Orders'!$D277, "4", 'Historical Orders'!$C277, "A", 'Historical Orders'!$B277, "2")</f>
        <v>0</v>
      </c>
      <c r="AL277" s="171">
        <f>SUMIFS('Historical Orders'!$E277, 'Historical Orders'!$D277, "4", 'Historical Orders'!$C277, "B", 'Historical Orders'!$B277, "2")</f>
        <v>0</v>
      </c>
      <c r="AM277" s="171">
        <f>SUMIFS('Historical Orders'!$G277, 'Historical Orders'!$D277, "4", 'Historical Orders'!$C277, "B", 'Historical Orders'!$B277, "2")</f>
        <v>0</v>
      </c>
      <c r="AN277" s="171">
        <f>SUMIFS('Historical Orders'!$G277, 'Historical Orders'!$C277, "A", 'Historical Orders'!$B277, "1")</f>
        <v>0</v>
      </c>
      <c r="AO277" s="171">
        <f>SUMIFS('Historical Orders'!$G277, 'Historical Orders'!$C277, "B", 'Historical Orders'!$B277, "1")</f>
        <v>0</v>
      </c>
      <c r="AP277" s="171">
        <f>SUMIFS('Historical Orders'!$G277, 'Historical Orders'!$C277, "A", 'Historical Orders'!$B277, "2")</f>
        <v>0</v>
      </c>
      <c r="AQ277" s="171">
        <f>SUMIFS('Historical Orders'!$G277, 'Historical Orders'!$C277, "B", 'Historical Orders'!$B277, "2")</f>
        <v>18235.1</v>
      </c>
      <c r="AR277" s="145"/>
      <c r="AS277" s="172"/>
      <c r="AT277" s="172"/>
      <c r="AU277" s="172"/>
      <c r="AV277" s="172"/>
      <c r="AW277" s="172"/>
      <c r="AX277" s="172"/>
      <c r="AY277" s="172"/>
      <c r="AZ277" s="172"/>
      <c r="BA277" s="172"/>
      <c r="BB277" s="172"/>
      <c r="BC277" s="172"/>
      <c r="BD277" s="172"/>
      <c r="BE277" s="172"/>
      <c r="BF277" s="172"/>
      <c r="BG277" s="172"/>
      <c r="BH277" s="172"/>
      <c r="BI277" s="172"/>
      <c r="BJ277" s="172"/>
      <c r="BK277" s="172"/>
      <c r="BL277" s="172"/>
      <c r="BM277" s="172"/>
      <c r="BN277" s="172"/>
      <c r="BO277" s="172"/>
      <c r="BP277" s="172"/>
      <c r="BQ277" s="172"/>
      <c r="BR277" s="172"/>
      <c r="BS277" s="172"/>
      <c r="BT277" s="172"/>
      <c r="BU277" s="172"/>
      <c r="BV277" s="179"/>
      <c r="BW277" s="179"/>
      <c r="BX277" s="179"/>
      <c r="BY277" s="179"/>
      <c r="BZ277" s="179"/>
      <c r="CA277" s="179"/>
      <c r="CB277" s="179"/>
      <c r="CC277" s="179"/>
      <c r="CD277" s="179"/>
      <c r="CE277" s="179"/>
    </row>
    <row r="278" ht="15.75" customHeight="1">
      <c r="A278" s="151">
        <v>42177.0</v>
      </c>
      <c r="B278" s="152">
        <v>1.0</v>
      </c>
      <c r="C278" s="152" t="s">
        <v>45</v>
      </c>
      <c r="D278" s="152">
        <v>1.0</v>
      </c>
      <c r="E278" s="153">
        <v>4650.0</v>
      </c>
      <c r="F278" s="154">
        <v>2.2</v>
      </c>
      <c r="G278" s="155">
        <v>10230.0</v>
      </c>
      <c r="H278" s="159">
        <f>SUMIFS('Historical Orders'!$E278, 'Historical Orders'!$D278, "1", 'Historical Orders'!$C278, "A", 'Historical Orders'!$B278, "1")</f>
        <v>4650</v>
      </c>
      <c r="I278" s="157">
        <f>SUMIFS('Historical Orders'!$G278, 'Historical Orders'!$D278, "1", 'Historical Orders'!$C278, "A", 'Historical Orders'!$B278, "1")</f>
        <v>10230</v>
      </c>
      <c r="J278" s="157">
        <f>SUMIFS('Historical Orders'!$E278, 'Historical Orders'!$D278, "1", 'Historical Orders'!$C278, "B", 'Historical Orders'!$B278, "1")</f>
        <v>0</v>
      </c>
      <c r="K278" s="157">
        <f>SUMIFS('Historical Orders'!$G278, 'Historical Orders'!$D278, "1", 'Historical Orders'!$C278, "B", 'Historical Orders'!$B278, "1")</f>
        <v>0</v>
      </c>
      <c r="L278" s="159">
        <f>SUMIFS('Historical Orders'!$E278, 'Historical Orders'!$D278, "1", 'Historical Orders'!$C278, "A", 'Historical Orders'!$B278, "2")</f>
        <v>0</v>
      </c>
      <c r="M278" s="157">
        <f>SUMIFS('Historical Orders'!$G278, 'Historical Orders'!$D278, "1", 'Historical Orders'!$C278, "A", 'Historical Orders'!$B278, "2")</f>
        <v>0</v>
      </c>
      <c r="N278" s="157">
        <f>SUMIFS('Historical Orders'!$E278, 'Historical Orders'!$D278, "1", 'Historical Orders'!$C278, "B", 'Historical Orders'!$B278, "2")</f>
        <v>0</v>
      </c>
      <c r="O278" s="157">
        <f>SUMIFS('Historical Orders'!$G278, 'Historical Orders'!$D278, "1", 'Historical Orders'!$C278, "B", 'Historical Orders'!$B278, "2")</f>
        <v>0</v>
      </c>
      <c r="P278" s="159">
        <f>SUMIFS('Historical Orders'!$E278, 'Historical Orders'!$D278, "2", 'Historical Orders'!$C278, "A", 'Historical Orders'!$B278, "1")</f>
        <v>0</v>
      </c>
      <c r="Q278" s="157">
        <f>SUMIFS('Historical Orders'!$G278, 'Historical Orders'!$D278, "2", 'Historical Orders'!$C278, "A", 'Historical Orders'!$B278, "1")</f>
        <v>0</v>
      </c>
      <c r="R278" s="159">
        <f>SUMIFS('Historical Orders'!$E278, 'Historical Orders'!$D278, "2", 'Historical Orders'!$C278, "B", 'Historical Orders'!$B278, "1")</f>
        <v>0</v>
      </c>
      <c r="S278" s="157">
        <f>SUMIFS('Historical Orders'!$G278, 'Historical Orders'!$D278, "2", 'Historical Orders'!$C278, "B", 'Historical Orders'!$B278, "1")</f>
        <v>0</v>
      </c>
      <c r="T278" s="159">
        <f>SUMIFS('Historical Orders'!$E278, 'Historical Orders'!$D278, "2", 'Historical Orders'!$C278, "A", 'Historical Orders'!$B278, "2")</f>
        <v>0</v>
      </c>
      <c r="U278" s="157">
        <f>SUMIFS('Historical Orders'!$G278, 'Historical Orders'!$D278, "2", 'Historical Orders'!$C278, "A", 'Historical Orders'!$B278, "2")</f>
        <v>0</v>
      </c>
      <c r="V278" s="159">
        <f>SUMIFS('Historical Orders'!$E278, 'Historical Orders'!$D278, "2", 'Historical Orders'!$C278, "B", 'Historical Orders'!$B278, "2")</f>
        <v>0</v>
      </c>
      <c r="W278" s="159">
        <f>SUMIFS('Historical Orders'!$G278, 'Historical Orders'!$D278, "2", 'Historical Orders'!$C278, "B", 'Historical Orders'!$B278, "2")</f>
        <v>0</v>
      </c>
      <c r="X278" s="159">
        <f>SUMIFS('Historical Orders'!$E278, 'Historical Orders'!$D278, "3", 'Historical Orders'!$C278, "A", 'Historical Orders'!$B278, "1")</f>
        <v>0</v>
      </c>
      <c r="Y278" s="159">
        <f>SUMIFS('Historical Orders'!$G278, 'Historical Orders'!$D278, "3", 'Historical Orders'!$C278, "A", 'Historical Orders'!$B278, "1")</f>
        <v>0</v>
      </c>
      <c r="Z278" s="159">
        <f>SUMIFS('Historical Orders'!$E278, 'Historical Orders'!$D278, "3", 'Historical Orders'!$C278, "B", 'Historical Orders'!$B278, "1")</f>
        <v>0</v>
      </c>
      <c r="AA278" s="159">
        <f>SUMIFS('Historical Orders'!$G278, 'Historical Orders'!$D278, "3", 'Historical Orders'!$C278, "B", 'Historical Orders'!$B278, "1")</f>
        <v>0</v>
      </c>
      <c r="AB278" s="159">
        <f>SUMIFS('Historical Orders'!$E278, 'Historical Orders'!$D278, "3", 'Historical Orders'!$C278, "A", 'Historical Orders'!$B278, "2")</f>
        <v>0</v>
      </c>
      <c r="AC278" s="159">
        <f>SUMIFS('Historical Orders'!$G278, 'Historical Orders'!$D278, "3", 'Historical Orders'!$C278, "A", 'Historical Orders'!$B278, "2")</f>
        <v>0</v>
      </c>
      <c r="AD278" s="159">
        <f>SUMIFS('Historical Orders'!$E278, 'Historical Orders'!$D278, "3", 'Historical Orders'!$C278, "B", 'Historical Orders'!$B278, "2")</f>
        <v>0</v>
      </c>
      <c r="AE278" s="157">
        <f>SUMIFS('Historical Orders'!$G278, 'Historical Orders'!$D278, "3", 'Historical Orders'!$C278, "B", 'Historical Orders'!$B278, "2")</f>
        <v>0</v>
      </c>
      <c r="AF278" s="157">
        <f>SUMIFS('Historical Orders'!$E278, 'Historical Orders'!$D278, "4", 'Historical Orders'!$C278, "A", 'Historical Orders'!$B278, "1")</f>
        <v>0</v>
      </c>
      <c r="AG278" s="157">
        <f>SUMIFS('Historical Orders'!$G278, 'Historical Orders'!$D278, "4", 'Historical Orders'!$C278, "A", 'Historical Orders'!$B278, "1")</f>
        <v>0</v>
      </c>
      <c r="AH278" s="157">
        <f>SUMIFS('Historical Orders'!$E278, 'Historical Orders'!$D278, "4", 'Historical Orders'!$C278, "B", 'Historical Orders'!$B278, "1")</f>
        <v>0</v>
      </c>
      <c r="AI278" s="157">
        <f>SUMIFS('Historical Orders'!$G278, 'Historical Orders'!$D278, "4", 'Historical Orders'!$C278, "B", 'Historical Orders'!$B278, "1")</f>
        <v>0</v>
      </c>
      <c r="AJ278" s="157">
        <f>SUMIFS('Historical Orders'!$E278, 'Historical Orders'!$D278, "4", 'Historical Orders'!$C278, "A", 'Historical Orders'!$B278, "2")</f>
        <v>0</v>
      </c>
      <c r="AK278" s="157">
        <f>SUMIFS('Historical Orders'!$G278, 'Historical Orders'!$D278, "4", 'Historical Orders'!$C278, "A", 'Historical Orders'!$B278, "2")</f>
        <v>0</v>
      </c>
      <c r="AL278" s="171">
        <f>SUMIFS('Historical Orders'!$E278, 'Historical Orders'!$D278, "4", 'Historical Orders'!$C278, "B", 'Historical Orders'!$B278, "2")</f>
        <v>0</v>
      </c>
      <c r="AM278" s="171">
        <f>SUMIFS('Historical Orders'!$G278, 'Historical Orders'!$D278, "4", 'Historical Orders'!$C278, "B", 'Historical Orders'!$B278, "2")</f>
        <v>0</v>
      </c>
      <c r="AN278" s="171">
        <f>SUMIFS('Historical Orders'!$G278, 'Historical Orders'!$C278, "A", 'Historical Orders'!$B278, "1")</f>
        <v>10230</v>
      </c>
      <c r="AO278" s="171">
        <f>SUMIFS('Historical Orders'!$G278, 'Historical Orders'!$C278, "B", 'Historical Orders'!$B278, "1")</f>
        <v>0</v>
      </c>
      <c r="AP278" s="171">
        <f>SUMIFS('Historical Orders'!$G278, 'Historical Orders'!$C278, "A", 'Historical Orders'!$B278, "2")</f>
        <v>0</v>
      </c>
      <c r="AQ278" s="171">
        <f>SUMIFS('Historical Orders'!$G278, 'Historical Orders'!$C278, "B", 'Historical Orders'!$B278, "2")</f>
        <v>0</v>
      </c>
      <c r="AR278" s="145"/>
      <c r="AS278" s="172"/>
      <c r="AT278" s="172"/>
      <c r="AU278" s="172"/>
      <c r="AV278" s="172"/>
      <c r="AW278" s="172"/>
      <c r="AX278" s="172"/>
      <c r="AY278" s="172"/>
      <c r="AZ278" s="172"/>
      <c r="BA278" s="172"/>
      <c r="BB278" s="172"/>
      <c r="BC278" s="172"/>
      <c r="BD278" s="172"/>
      <c r="BE278" s="172"/>
      <c r="BF278" s="172"/>
      <c r="BG278" s="172"/>
      <c r="BH278" s="172"/>
      <c r="BI278" s="172"/>
      <c r="BJ278" s="172"/>
      <c r="BK278" s="172"/>
      <c r="BL278" s="172"/>
      <c r="BM278" s="172"/>
      <c r="BN278" s="172"/>
      <c r="BO278" s="172"/>
      <c r="BP278" s="172"/>
      <c r="BQ278" s="172"/>
      <c r="BR278" s="172"/>
      <c r="BS278" s="172"/>
      <c r="BT278" s="172"/>
      <c r="BU278" s="172"/>
      <c r="BV278" s="179"/>
      <c r="BW278" s="179"/>
      <c r="BX278" s="179"/>
      <c r="BY278" s="179"/>
      <c r="BZ278" s="179"/>
      <c r="CA278" s="179"/>
      <c r="CB278" s="179"/>
      <c r="CC278" s="179"/>
      <c r="CD278" s="179"/>
      <c r="CE278" s="179"/>
    </row>
    <row r="279" ht="15.75" customHeight="1">
      <c r="A279" s="151">
        <v>42177.0</v>
      </c>
      <c r="B279" s="152">
        <v>1.0</v>
      </c>
      <c r="C279" s="152" t="s">
        <v>45</v>
      </c>
      <c r="D279" s="152">
        <v>2.0</v>
      </c>
      <c r="E279" s="153">
        <v>6790.0</v>
      </c>
      <c r="F279" s="154">
        <v>1.2</v>
      </c>
      <c r="G279" s="155">
        <v>8148.0</v>
      </c>
      <c r="H279" s="159">
        <f>SUMIFS('Historical Orders'!$E279, 'Historical Orders'!$D279, "1", 'Historical Orders'!$C279, "A", 'Historical Orders'!$B279, "1")</f>
        <v>0</v>
      </c>
      <c r="I279" s="157">
        <f>SUMIFS('Historical Orders'!$G279, 'Historical Orders'!$D279, "1", 'Historical Orders'!$C279, "A", 'Historical Orders'!$B279, "1")</f>
        <v>0</v>
      </c>
      <c r="J279" s="157">
        <f>SUMIFS('Historical Orders'!$E279, 'Historical Orders'!$D279, "1", 'Historical Orders'!$C279, "B", 'Historical Orders'!$B279, "1")</f>
        <v>0</v>
      </c>
      <c r="K279" s="157">
        <f>SUMIFS('Historical Orders'!$G279, 'Historical Orders'!$D279, "1", 'Historical Orders'!$C279, "B", 'Historical Orders'!$B279, "1")</f>
        <v>0</v>
      </c>
      <c r="L279" s="159">
        <f>SUMIFS('Historical Orders'!$E279, 'Historical Orders'!$D279, "1", 'Historical Orders'!$C279, "A", 'Historical Orders'!$B279, "2")</f>
        <v>0</v>
      </c>
      <c r="M279" s="157">
        <f>SUMIFS('Historical Orders'!$G279, 'Historical Orders'!$D279, "1", 'Historical Orders'!$C279, "A", 'Historical Orders'!$B279, "2")</f>
        <v>0</v>
      </c>
      <c r="N279" s="157">
        <f>SUMIFS('Historical Orders'!$E279, 'Historical Orders'!$D279, "1", 'Historical Orders'!$C279, "B", 'Historical Orders'!$B279, "2")</f>
        <v>0</v>
      </c>
      <c r="O279" s="157">
        <f>SUMIFS('Historical Orders'!$G279, 'Historical Orders'!$D279, "1", 'Historical Orders'!$C279, "B", 'Historical Orders'!$B279, "2")</f>
        <v>0</v>
      </c>
      <c r="P279" s="159">
        <f>SUMIFS('Historical Orders'!$E279, 'Historical Orders'!$D279, "2", 'Historical Orders'!$C279, "A", 'Historical Orders'!$B279, "1")</f>
        <v>6790</v>
      </c>
      <c r="Q279" s="157">
        <f>SUMIFS('Historical Orders'!$G279, 'Historical Orders'!$D279, "2", 'Historical Orders'!$C279, "A", 'Historical Orders'!$B279, "1")</f>
        <v>8148</v>
      </c>
      <c r="R279" s="159">
        <f>SUMIFS('Historical Orders'!$E279, 'Historical Orders'!$D279, "2", 'Historical Orders'!$C279, "B", 'Historical Orders'!$B279, "1")</f>
        <v>0</v>
      </c>
      <c r="S279" s="157">
        <f>SUMIFS('Historical Orders'!$G279, 'Historical Orders'!$D279, "2", 'Historical Orders'!$C279, "B", 'Historical Orders'!$B279, "1")</f>
        <v>0</v>
      </c>
      <c r="T279" s="159">
        <f>SUMIFS('Historical Orders'!$E279, 'Historical Orders'!$D279, "2", 'Historical Orders'!$C279, "A", 'Historical Orders'!$B279, "2")</f>
        <v>0</v>
      </c>
      <c r="U279" s="157">
        <f>SUMIFS('Historical Orders'!$G279, 'Historical Orders'!$D279, "2", 'Historical Orders'!$C279, "A", 'Historical Orders'!$B279, "2")</f>
        <v>0</v>
      </c>
      <c r="V279" s="159">
        <f>SUMIFS('Historical Orders'!$E279, 'Historical Orders'!$D279, "2", 'Historical Orders'!$C279, "B", 'Historical Orders'!$B279, "2")</f>
        <v>0</v>
      </c>
      <c r="W279" s="159">
        <f>SUMIFS('Historical Orders'!$G279, 'Historical Orders'!$D279, "2", 'Historical Orders'!$C279, "B", 'Historical Orders'!$B279, "2")</f>
        <v>0</v>
      </c>
      <c r="X279" s="159">
        <f>SUMIFS('Historical Orders'!$E279, 'Historical Orders'!$D279, "3", 'Historical Orders'!$C279, "A", 'Historical Orders'!$B279, "1")</f>
        <v>0</v>
      </c>
      <c r="Y279" s="159">
        <f>SUMIFS('Historical Orders'!$G279, 'Historical Orders'!$D279, "3", 'Historical Orders'!$C279, "A", 'Historical Orders'!$B279, "1")</f>
        <v>0</v>
      </c>
      <c r="Z279" s="159">
        <f>SUMIFS('Historical Orders'!$E279, 'Historical Orders'!$D279, "3", 'Historical Orders'!$C279, "B", 'Historical Orders'!$B279, "1")</f>
        <v>0</v>
      </c>
      <c r="AA279" s="159">
        <f>SUMIFS('Historical Orders'!$G279, 'Historical Orders'!$D279, "3", 'Historical Orders'!$C279, "B", 'Historical Orders'!$B279, "1")</f>
        <v>0</v>
      </c>
      <c r="AB279" s="159">
        <f>SUMIFS('Historical Orders'!$E279, 'Historical Orders'!$D279, "3", 'Historical Orders'!$C279, "A", 'Historical Orders'!$B279, "2")</f>
        <v>0</v>
      </c>
      <c r="AC279" s="159">
        <f>SUMIFS('Historical Orders'!$G279, 'Historical Orders'!$D279, "3", 'Historical Orders'!$C279, "A", 'Historical Orders'!$B279, "2")</f>
        <v>0</v>
      </c>
      <c r="AD279" s="159">
        <f>SUMIFS('Historical Orders'!$E279, 'Historical Orders'!$D279, "3", 'Historical Orders'!$C279, "B", 'Historical Orders'!$B279, "2")</f>
        <v>0</v>
      </c>
      <c r="AE279" s="157">
        <f>SUMIFS('Historical Orders'!$G279, 'Historical Orders'!$D279, "3", 'Historical Orders'!$C279, "B", 'Historical Orders'!$B279, "2")</f>
        <v>0</v>
      </c>
      <c r="AF279" s="157">
        <f>SUMIFS('Historical Orders'!$E279, 'Historical Orders'!$D279, "4", 'Historical Orders'!$C279, "A", 'Historical Orders'!$B279, "1")</f>
        <v>0</v>
      </c>
      <c r="AG279" s="157">
        <f>SUMIFS('Historical Orders'!$G279, 'Historical Orders'!$D279, "4", 'Historical Orders'!$C279, "A", 'Historical Orders'!$B279, "1")</f>
        <v>0</v>
      </c>
      <c r="AH279" s="157">
        <f>SUMIFS('Historical Orders'!$E279, 'Historical Orders'!$D279, "4", 'Historical Orders'!$C279, "B", 'Historical Orders'!$B279, "1")</f>
        <v>0</v>
      </c>
      <c r="AI279" s="157">
        <f>SUMIFS('Historical Orders'!$G279, 'Historical Orders'!$D279, "4", 'Historical Orders'!$C279, "B", 'Historical Orders'!$B279, "1")</f>
        <v>0</v>
      </c>
      <c r="AJ279" s="157">
        <f>SUMIFS('Historical Orders'!$E279, 'Historical Orders'!$D279, "4", 'Historical Orders'!$C279, "A", 'Historical Orders'!$B279, "2")</f>
        <v>0</v>
      </c>
      <c r="AK279" s="157">
        <f>SUMIFS('Historical Orders'!$G279, 'Historical Orders'!$D279, "4", 'Historical Orders'!$C279, "A", 'Historical Orders'!$B279, "2")</f>
        <v>0</v>
      </c>
      <c r="AL279" s="171">
        <f>SUMIFS('Historical Orders'!$E279, 'Historical Orders'!$D279, "4", 'Historical Orders'!$C279, "B", 'Historical Orders'!$B279, "2")</f>
        <v>0</v>
      </c>
      <c r="AM279" s="171">
        <f>SUMIFS('Historical Orders'!$G279, 'Historical Orders'!$D279, "4", 'Historical Orders'!$C279, "B", 'Historical Orders'!$B279, "2")</f>
        <v>0</v>
      </c>
      <c r="AN279" s="171">
        <f>SUMIFS('Historical Orders'!$G279, 'Historical Orders'!$C279, "A", 'Historical Orders'!$B279, "1")</f>
        <v>8148</v>
      </c>
      <c r="AO279" s="171">
        <f>SUMIFS('Historical Orders'!$G279, 'Historical Orders'!$C279, "B", 'Historical Orders'!$B279, "1")</f>
        <v>0</v>
      </c>
      <c r="AP279" s="171">
        <f>SUMIFS('Historical Orders'!$G279, 'Historical Orders'!$C279, "A", 'Historical Orders'!$B279, "2")</f>
        <v>0</v>
      </c>
      <c r="AQ279" s="171">
        <f>SUMIFS('Historical Orders'!$G279, 'Historical Orders'!$C279, "B", 'Historical Orders'!$B279, "2")</f>
        <v>0</v>
      </c>
      <c r="AR279" s="145"/>
      <c r="AS279" s="172"/>
      <c r="AT279" s="172"/>
      <c r="AU279" s="172"/>
      <c r="AV279" s="172"/>
      <c r="AW279" s="172"/>
      <c r="AX279" s="172"/>
      <c r="AY279" s="172"/>
      <c r="AZ279" s="172"/>
      <c r="BA279" s="172"/>
      <c r="BB279" s="172"/>
      <c r="BC279" s="172"/>
      <c r="BD279" s="172"/>
      <c r="BE279" s="172"/>
      <c r="BF279" s="172"/>
      <c r="BG279" s="172"/>
      <c r="BH279" s="172"/>
      <c r="BI279" s="172"/>
      <c r="BJ279" s="172"/>
      <c r="BK279" s="172"/>
      <c r="BL279" s="172"/>
      <c r="BM279" s="172"/>
      <c r="BN279" s="172"/>
      <c r="BO279" s="172"/>
      <c r="BP279" s="172"/>
      <c r="BQ279" s="172"/>
      <c r="BR279" s="172"/>
      <c r="BS279" s="172"/>
      <c r="BT279" s="172"/>
      <c r="BU279" s="172"/>
      <c r="BV279" s="179"/>
      <c r="BW279" s="179"/>
      <c r="BX279" s="179"/>
      <c r="BY279" s="179"/>
      <c r="BZ279" s="179"/>
      <c r="CA279" s="179"/>
      <c r="CB279" s="179"/>
      <c r="CC279" s="179"/>
      <c r="CD279" s="179"/>
      <c r="CE279" s="179"/>
    </row>
    <row r="280" ht="15.75" customHeight="1">
      <c r="A280" s="151">
        <v>42177.0</v>
      </c>
      <c r="B280" s="152">
        <v>2.0</v>
      </c>
      <c r="C280" s="152" t="s">
        <v>45</v>
      </c>
      <c r="D280" s="152">
        <v>1.0</v>
      </c>
      <c r="E280" s="153">
        <v>2982.0</v>
      </c>
      <c r="F280" s="154">
        <v>2.2</v>
      </c>
      <c r="G280" s="155">
        <v>6560.400000000001</v>
      </c>
      <c r="H280" s="159">
        <f>SUMIFS('Historical Orders'!$E280, 'Historical Orders'!$D280, "1", 'Historical Orders'!$C280, "A", 'Historical Orders'!$B280, "1")</f>
        <v>0</v>
      </c>
      <c r="I280" s="157">
        <f>SUMIFS('Historical Orders'!$G280, 'Historical Orders'!$D280, "1", 'Historical Orders'!$C280, "A", 'Historical Orders'!$B280, "1")</f>
        <v>0</v>
      </c>
      <c r="J280" s="157">
        <f>SUMIFS('Historical Orders'!$E280, 'Historical Orders'!$D280, "1", 'Historical Orders'!$C280, "B", 'Historical Orders'!$B280, "1")</f>
        <v>0</v>
      </c>
      <c r="K280" s="157">
        <f>SUMIFS('Historical Orders'!$G280, 'Historical Orders'!$D280, "1", 'Historical Orders'!$C280, "B", 'Historical Orders'!$B280, "1")</f>
        <v>0</v>
      </c>
      <c r="L280" s="159">
        <f>SUMIFS('Historical Orders'!$E280, 'Historical Orders'!$D280, "1", 'Historical Orders'!$C280, "A", 'Historical Orders'!$B280, "2")</f>
        <v>2982</v>
      </c>
      <c r="M280" s="157">
        <f>SUMIFS('Historical Orders'!$G280, 'Historical Orders'!$D280, "1", 'Historical Orders'!$C280, "A", 'Historical Orders'!$B280, "2")</f>
        <v>6560.4</v>
      </c>
      <c r="N280" s="157">
        <f>SUMIFS('Historical Orders'!$E280, 'Historical Orders'!$D280, "1", 'Historical Orders'!$C280, "B", 'Historical Orders'!$B280, "2")</f>
        <v>0</v>
      </c>
      <c r="O280" s="157">
        <f>SUMIFS('Historical Orders'!$G280, 'Historical Orders'!$D280, "1", 'Historical Orders'!$C280, "B", 'Historical Orders'!$B280, "2")</f>
        <v>0</v>
      </c>
      <c r="P280" s="159">
        <f>SUMIFS('Historical Orders'!$E280, 'Historical Orders'!$D280, "2", 'Historical Orders'!$C280, "A", 'Historical Orders'!$B280, "1")</f>
        <v>0</v>
      </c>
      <c r="Q280" s="157">
        <f>SUMIFS('Historical Orders'!$G280, 'Historical Orders'!$D280, "2", 'Historical Orders'!$C280, "A", 'Historical Orders'!$B280, "1")</f>
        <v>0</v>
      </c>
      <c r="R280" s="159">
        <f>SUMIFS('Historical Orders'!$E280, 'Historical Orders'!$D280, "2", 'Historical Orders'!$C280, "B", 'Historical Orders'!$B280, "1")</f>
        <v>0</v>
      </c>
      <c r="S280" s="157">
        <f>SUMIFS('Historical Orders'!$G280, 'Historical Orders'!$D280, "2", 'Historical Orders'!$C280, "B", 'Historical Orders'!$B280, "1")</f>
        <v>0</v>
      </c>
      <c r="T280" s="159">
        <f>SUMIFS('Historical Orders'!$E280, 'Historical Orders'!$D280, "2", 'Historical Orders'!$C280, "A", 'Historical Orders'!$B280, "2")</f>
        <v>0</v>
      </c>
      <c r="U280" s="157">
        <f>SUMIFS('Historical Orders'!$G280, 'Historical Orders'!$D280, "2", 'Historical Orders'!$C280, "A", 'Historical Orders'!$B280, "2")</f>
        <v>0</v>
      </c>
      <c r="V280" s="159">
        <f>SUMIFS('Historical Orders'!$E280, 'Historical Orders'!$D280, "2", 'Historical Orders'!$C280, "B", 'Historical Orders'!$B280, "2")</f>
        <v>0</v>
      </c>
      <c r="W280" s="159">
        <f>SUMIFS('Historical Orders'!$G280, 'Historical Orders'!$D280, "2", 'Historical Orders'!$C280, "B", 'Historical Orders'!$B280, "2")</f>
        <v>0</v>
      </c>
      <c r="X280" s="159">
        <f>SUMIFS('Historical Orders'!$E280, 'Historical Orders'!$D280, "3", 'Historical Orders'!$C280, "A", 'Historical Orders'!$B280, "1")</f>
        <v>0</v>
      </c>
      <c r="Y280" s="159">
        <f>SUMIFS('Historical Orders'!$G280, 'Historical Orders'!$D280, "3", 'Historical Orders'!$C280, "A", 'Historical Orders'!$B280, "1")</f>
        <v>0</v>
      </c>
      <c r="Z280" s="159">
        <f>SUMIFS('Historical Orders'!$E280, 'Historical Orders'!$D280, "3", 'Historical Orders'!$C280, "B", 'Historical Orders'!$B280, "1")</f>
        <v>0</v>
      </c>
      <c r="AA280" s="159">
        <f>SUMIFS('Historical Orders'!$G280, 'Historical Orders'!$D280, "3", 'Historical Orders'!$C280, "B", 'Historical Orders'!$B280, "1")</f>
        <v>0</v>
      </c>
      <c r="AB280" s="159">
        <f>SUMIFS('Historical Orders'!$E280, 'Historical Orders'!$D280, "3", 'Historical Orders'!$C280, "A", 'Historical Orders'!$B280, "2")</f>
        <v>0</v>
      </c>
      <c r="AC280" s="159">
        <f>SUMIFS('Historical Orders'!$G280, 'Historical Orders'!$D280, "3", 'Historical Orders'!$C280, "A", 'Historical Orders'!$B280, "2")</f>
        <v>0</v>
      </c>
      <c r="AD280" s="159">
        <f>SUMIFS('Historical Orders'!$E280, 'Historical Orders'!$D280, "3", 'Historical Orders'!$C280, "B", 'Historical Orders'!$B280, "2")</f>
        <v>0</v>
      </c>
      <c r="AE280" s="157">
        <f>SUMIFS('Historical Orders'!$G280, 'Historical Orders'!$D280, "3", 'Historical Orders'!$C280, "B", 'Historical Orders'!$B280, "2")</f>
        <v>0</v>
      </c>
      <c r="AF280" s="157">
        <f>SUMIFS('Historical Orders'!$E280, 'Historical Orders'!$D280, "4", 'Historical Orders'!$C280, "A", 'Historical Orders'!$B280, "1")</f>
        <v>0</v>
      </c>
      <c r="AG280" s="157">
        <f>SUMIFS('Historical Orders'!$G280, 'Historical Orders'!$D280, "4", 'Historical Orders'!$C280, "A", 'Historical Orders'!$B280, "1")</f>
        <v>0</v>
      </c>
      <c r="AH280" s="157">
        <f>SUMIFS('Historical Orders'!$E280, 'Historical Orders'!$D280, "4", 'Historical Orders'!$C280, "B", 'Historical Orders'!$B280, "1")</f>
        <v>0</v>
      </c>
      <c r="AI280" s="157">
        <f>SUMIFS('Historical Orders'!$G280, 'Historical Orders'!$D280, "4", 'Historical Orders'!$C280, "B", 'Historical Orders'!$B280, "1")</f>
        <v>0</v>
      </c>
      <c r="AJ280" s="157">
        <f>SUMIFS('Historical Orders'!$E280, 'Historical Orders'!$D280, "4", 'Historical Orders'!$C280, "A", 'Historical Orders'!$B280, "2")</f>
        <v>0</v>
      </c>
      <c r="AK280" s="157">
        <f>SUMIFS('Historical Orders'!$G280, 'Historical Orders'!$D280, "4", 'Historical Orders'!$C280, "A", 'Historical Orders'!$B280, "2")</f>
        <v>0</v>
      </c>
      <c r="AL280" s="171">
        <f>SUMIFS('Historical Orders'!$E280, 'Historical Orders'!$D280, "4", 'Historical Orders'!$C280, "B", 'Historical Orders'!$B280, "2")</f>
        <v>0</v>
      </c>
      <c r="AM280" s="171">
        <f>SUMIFS('Historical Orders'!$G280, 'Historical Orders'!$D280, "4", 'Historical Orders'!$C280, "B", 'Historical Orders'!$B280, "2")</f>
        <v>0</v>
      </c>
      <c r="AN280" s="171">
        <f>SUMIFS('Historical Orders'!$G280, 'Historical Orders'!$C280, "A", 'Historical Orders'!$B280, "1")</f>
        <v>0</v>
      </c>
      <c r="AO280" s="171">
        <f>SUMIFS('Historical Orders'!$G280, 'Historical Orders'!$C280, "B", 'Historical Orders'!$B280, "1")</f>
        <v>0</v>
      </c>
      <c r="AP280" s="171">
        <f>SUMIFS('Historical Orders'!$G280, 'Historical Orders'!$C280, "A", 'Historical Orders'!$B280, "2")</f>
        <v>6560.4</v>
      </c>
      <c r="AQ280" s="171">
        <f>SUMIFS('Historical Orders'!$G280, 'Historical Orders'!$C280, "B", 'Historical Orders'!$B280, "2")</f>
        <v>0</v>
      </c>
      <c r="AR280" s="145"/>
      <c r="AS280" s="172"/>
      <c r="AT280" s="172"/>
      <c r="AU280" s="172"/>
      <c r="AV280" s="172"/>
      <c r="AW280" s="172"/>
      <c r="AX280" s="172"/>
      <c r="AY280" s="172"/>
      <c r="AZ280" s="172"/>
      <c r="BA280" s="172"/>
      <c r="BB280" s="172"/>
      <c r="BC280" s="172"/>
      <c r="BD280" s="172"/>
      <c r="BE280" s="172"/>
      <c r="BF280" s="172"/>
      <c r="BG280" s="172"/>
      <c r="BH280" s="172"/>
      <c r="BI280" s="172"/>
      <c r="BJ280" s="172"/>
      <c r="BK280" s="172"/>
      <c r="BL280" s="172"/>
      <c r="BM280" s="172"/>
      <c r="BN280" s="172"/>
      <c r="BO280" s="172"/>
      <c r="BP280" s="172"/>
      <c r="BQ280" s="172"/>
      <c r="BR280" s="172"/>
      <c r="BS280" s="172"/>
      <c r="BT280" s="172"/>
      <c r="BU280" s="172"/>
      <c r="BV280" s="179"/>
      <c r="BW280" s="179"/>
      <c r="BX280" s="179"/>
      <c r="BY280" s="179"/>
      <c r="BZ280" s="179"/>
      <c r="CA280" s="179"/>
      <c r="CB280" s="179"/>
      <c r="CC280" s="179"/>
      <c r="CD280" s="179"/>
      <c r="CE280" s="179"/>
    </row>
    <row r="281" ht="15.75" customHeight="1">
      <c r="A281" s="151">
        <v>42177.0</v>
      </c>
      <c r="B281" s="152">
        <v>2.0</v>
      </c>
      <c r="C281" s="152" t="s">
        <v>45</v>
      </c>
      <c r="D281" s="152">
        <v>2.0</v>
      </c>
      <c r="E281" s="153">
        <v>6792.0</v>
      </c>
      <c r="F281" s="154">
        <v>1.2</v>
      </c>
      <c r="G281" s="155">
        <v>8150.4</v>
      </c>
      <c r="H281" s="159">
        <f>SUMIFS('Historical Orders'!$E281, 'Historical Orders'!$D281, "1", 'Historical Orders'!$C281, "A", 'Historical Orders'!$B281, "1")</f>
        <v>0</v>
      </c>
      <c r="I281" s="157">
        <f>SUMIFS('Historical Orders'!$G281, 'Historical Orders'!$D281, "1", 'Historical Orders'!$C281, "A", 'Historical Orders'!$B281, "1")</f>
        <v>0</v>
      </c>
      <c r="J281" s="157">
        <f>SUMIFS('Historical Orders'!$E281, 'Historical Orders'!$D281, "1", 'Historical Orders'!$C281, "B", 'Historical Orders'!$B281, "1")</f>
        <v>0</v>
      </c>
      <c r="K281" s="157">
        <f>SUMIFS('Historical Orders'!$G281, 'Historical Orders'!$D281, "1", 'Historical Orders'!$C281, "B", 'Historical Orders'!$B281, "1")</f>
        <v>0</v>
      </c>
      <c r="L281" s="159">
        <f>SUMIFS('Historical Orders'!$E281, 'Historical Orders'!$D281, "1", 'Historical Orders'!$C281, "A", 'Historical Orders'!$B281, "2")</f>
        <v>0</v>
      </c>
      <c r="M281" s="157">
        <f>SUMIFS('Historical Orders'!$G281, 'Historical Orders'!$D281, "1", 'Historical Orders'!$C281, "A", 'Historical Orders'!$B281, "2")</f>
        <v>0</v>
      </c>
      <c r="N281" s="157">
        <f>SUMIFS('Historical Orders'!$E281, 'Historical Orders'!$D281, "1", 'Historical Orders'!$C281, "B", 'Historical Orders'!$B281, "2")</f>
        <v>0</v>
      </c>
      <c r="O281" s="157">
        <f>SUMIFS('Historical Orders'!$G281, 'Historical Orders'!$D281, "1", 'Historical Orders'!$C281, "B", 'Historical Orders'!$B281, "2")</f>
        <v>0</v>
      </c>
      <c r="P281" s="159">
        <f>SUMIFS('Historical Orders'!$E281, 'Historical Orders'!$D281, "2", 'Historical Orders'!$C281, "A", 'Historical Orders'!$B281, "1")</f>
        <v>0</v>
      </c>
      <c r="Q281" s="157">
        <f>SUMIFS('Historical Orders'!$G281, 'Historical Orders'!$D281, "2", 'Historical Orders'!$C281, "A", 'Historical Orders'!$B281, "1")</f>
        <v>0</v>
      </c>
      <c r="R281" s="159">
        <f>SUMIFS('Historical Orders'!$E281, 'Historical Orders'!$D281, "2", 'Historical Orders'!$C281, "B", 'Historical Orders'!$B281, "1")</f>
        <v>0</v>
      </c>
      <c r="S281" s="157">
        <f>SUMIFS('Historical Orders'!$G281, 'Historical Orders'!$D281, "2", 'Historical Orders'!$C281, "B", 'Historical Orders'!$B281, "1")</f>
        <v>0</v>
      </c>
      <c r="T281" s="159">
        <f>SUMIFS('Historical Orders'!$E281, 'Historical Orders'!$D281, "2", 'Historical Orders'!$C281, "A", 'Historical Orders'!$B281, "2")</f>
        <v>6792</v>
      </c>
      <c r="U281" s="157">
        <f>SUMIFS('Historical Orders'!$G281, 'Historical Orders'!$D281, "2", 'Historical Orders'!$C281, "A", 'Historical Orders'!$B281, "2")</f>
        <v>8150.4</v>
      </c>
      <c r="V281" s="159">
        <f>SUMIFS('Historical Orders'!$E281, 'Historical Orders'!$D281, "2", 'Historical Orders'!$C281, "B", 'Historical Orders'!$B281, "2")</f>
        <v>0</v>
      </c>
      <c r="W281" s="159">
        <f>SUMIFS('Historical Orders'!$G281, 'Historical Orders'!$D281, "2", 'Historical Orders'!$C281, "B", 'Historical Orders'!$B281, "2")</f>
        <v>0</v>
      </c>
      <c r="X281" s="159">
        <f>SUMIFS('Historical Orders'!$E281, 'Historical Orders'!$D281, "3", 'Historical Orders'!$C281, "A", 'Historical Orders'!$B281, "1")</f>
        <v>0</v>
      </c>
      <c r="Y281" s="159">
        <f>SUMIFS('Historical Orders'!$G281, 'Historical Orders'!$D281, "3", 'Historical Orders'!$C281, "A", 'Historical Orders'!$B281, "1")</f>
        <v>0</v>
      </c>
      <c r="Z281" s="159">
        <f>SUMIFS('Historical Orders'!$E281, 'Historical Orders'!$D281, "3", 'Historical Orders'!$C281, "B", 'Historical Orders'!$B281, "1")</f>
        <v>0</v>
      </c>
      <c r="AA281" s="159">
        <f>SUMIFS('Historical Orders'!$G281, 'Historical Orders'!$D281, "3", 'Historical Orders'!$C281, "B", 'Historical Orders'!$B281, "1")</f>
        <v>0</v>
      </c>
      <c r="AB281" s="159">
        <f>SUMIFS('Historical Orders'!$E281, 'Historical Orders'!$D281, "3", 'Historical Orders'!$C281, "A", 'Historical Orders'!$B281, "2")</f>
        <v>0</v>
      </c>
      <c r="AC281" s="159">
        <f>SUMIFS('Historical Orders'!$G281, 'Historical Orders'!$D281, "3", 'Historical Orders'!$C281, "A", 'Historical Orders'!$B281, "2")</f>
        <v>0</v>
      </c>
      <c r="AD281" s="159">
        <f>SUMIFS('Historical Orders'!$E281, 'Historical Orders'!$D281, "3", 'Historical Orders'!$C281, "B", 'Historical Orders'!$B281, "2")</f>
        <v>0</v>
      </c>
      <c r="AE281" s="157">
        <f>SUMIFS('Historical Orders'!$G281, 'Historical Orders'!$D281, "3", 'Historical Orders'!$C281, "B", 'Historical Orders'!$B281, "2")</f>
        <v>0</v>
      </c>
      <c r="AF281" s="157">
        <f>SUMIFS('Historical Orders'!$E281, 'Historical Orders'!$D281, "4", 'Historical Orders'!$C281, "A", 'Historical Orders'!$B281, "1")</f>
        <v>0</v>
      </c>
      <c r="AG281" s="157">
        <f>SUMIFS('Historical Orders'!$G281, 'Historical Orders'!$D281, "4", 'Historical Orders'!$C281, "A", 'Historical Orders'!$B281, "1")</f>
        <v>0</v>
      </c>
      <c r="AH281" s="157">
        <f>SUMIFS('Historical Orders'!$E281, 'Historical Orders'!$D281, "4", 'Historical Orders'!$C281, "B", 'Historical Orders'!$B281, "1")</f>
        <v>0</v>
      </c>
      <c r="AI281" s="157">
        <f>SUMIFS('Historical Orders'!$G281, 'Historical Orders'!$D281, "4", 'Historical Orders'!$C281, "B", 'Historical Orders'!$B281, "1")</f>
        <v>0</v>
      </c>
      <c r="AJ281" s="157">
        <f>SUMIFS('Historical Orders'!$E281, 'Historical Orders'!$D281, "4", 'Historical Orders'!$C281, "A", 'Historical Orders'!$B281, "2")</f>
        <v>0</v>
      </c>
      <c r="AK281" s="157">
        <f>SUMIFS('Historical Orders'!$G281, 'Historical Orders'!$D281, "4", 'Historical Orders'!$C281, "A", 'Historical Orders'!$B281, "2")</f>
        <v>0</v>
      </c>
      <c r="AL281" s="171">
        <f>SUMIFS('Historical Orders'!$E281, 'Historical Orders'!$D281, "4", 'Historical Orders'!$C281, "B", 'Historical Orders'!$B281, "2")</f>
        <v>0</v>
      </c>
      <c r="AM281" s="171">
        <f>SUMIFS('Historical Orders'!$G281, 'Historical Orders'!$D281, "4", 'Historical Orders'!$C281, "B", 'Historical Orders'!$B281, "2")</f>
        <v>0</v>
      </c>
      <c r="AN281" s="171">
        <f>SUMIFS('Historical Orders'!$G281, 'Historical Orders'!$C281, "A", 'Historical Orders'!$B281, "1")</f>
        <v>0</v>
      </c>
      <c r="AO281" s="171">
        <f>SUMIFS('Historical Orders'!$G281, 'Historical Orders'!$C281, "B", 'Historical Orders'!$B281, "1")</f>
        <v>0</v>
      </c>
      <c r="AP281" s="171">
        <f>SUMIFS('Historical Orders'!$G281, 'Historical Orders'!$C281, "A", 'Historical Orders'!$B281, "2")</f>
        <v>8150.4</v>
      </c>
      <c r="AQ281" s="171">
        <f>SUMIFS('Historical Orders'!$G281, 'Historical Orders'!$C281, "B", 'Historical Orders'!$B281, "2")</f>
        <v>0</v>
      </c>
      <c r="AR281" s="145"/>
      <c r="AS281" s="172"/>
      <c r="AT281" s="172"/>
      <c r="AU281" s="172"/>
      <c r="AV281" s="172"/>
      <c r="AW281" s="172"/>
      <c r="AX281" s="172"/>
      <c r="AY281" s="172"/>
      <c r="AZ281" s="172"/>
      <c r="BA281" s="172"/>
      <c r="BB281" s="172"/>
      <c r="BC281" s="172"/>
      <c r="BD281" s="172"/>
      <c r="BE281" s="172"/>
      <c r="BF281" s="172"/>
      <c r="BG281" s="172"/>
      <c r="BH281" s="172"/>
      <c r="BI281" s="172"/>
      <c r="BJ281" s="172"/>
      <c r="BK281" s="172"/>
      <c r="BL281" s="172"/>
      <c r="BM281" s="172"/>
      <c r="BN281" s="172"/>
      <c r="BO281" s="172"/>
      <c r="BP281" s="172"/>
      <c r="BQ281" s="172"/>
      <c r="BR281" s="172"/>
      <c r="BS281" s="172"/>
      <c r="BT281" s="172"/>
      <c r="BU281" s="172"/>
      <c r="BV281" s="179"/>
      <c r="BW281" s="179"/>
      <c r="BX281" s="179"/>
      <c r="BY281" s="179"/>
      <c r="BZ281" s="179"/>
      <c r="CA281" s="179"/>
      <c r="CB281" s="179"/>
      <c r="CC281" s="179"/>
      <c r="CD281" s="179"/>
      <c r="CE281" s="179"/>
    </row>
    <row r="282" ht="15.75" customHeight="1">
      <c r="A282" s="151">
        <v>42177.0</v>
      </c>
      <c r="B282" s="152">
        <v>1.0</v>
      </c>
      <c r="C282" s="152" t="s">
        <v>46</v>
      </c>
      <c r="D282" s="152">
        <v>3.0</v>
      </c>
      <c r="E282" s="153">
        <v>2490.0</v>
      </c>
      <c r="F282" s="154">
        <v>8.3</v>
      </c>
      <c r="G282" s="155">
        <v>20667.0</v>
      </c>
      <c r="H282" s="159">
        <f>SUMIFS('Historical Orders'!$E282, 'Historical Orders'!$D282, "1", 'Historical Orders'!$C282, "A", 'Historical Orders'!$B282, "1")</f>
        <v>0</v>
      </c>
      <c r="I282" s="157">
        <f>SUMIFS('Historical Orders'!$G282, 'Historical Orders'!$D282, "1", 'Historical Orders'!$C282, "A", 'Historical Orders'!$B282, "1")</f>
        <v>0</v>
      </c>
      <c r="J282" s="157">
        <f>SUMIFS('Historical Orders'!$E282, 'Historical Orders'!$D282, "1", 'Historical Orders'!$C282, "B", 'Historical Orders'!$B282, "1")</f>
        <v>0</v>
      </c>
      <c r="K282" s="157">
        <f>SUMIFS('Historical Orders'!$G282, 'Historical Orders'!$D282, "1", 'Historical Orders'!$C282, "B", 'Historical Orders'!$B282, "1")</f>
        <v>0</v>
      </c>
      <c r="L282" s="159">
        <f>SUMIFS('Historical Orders'!$E282, 'Historical Orders'!$D282, "1", 'Historical Orders'!$C282, "A", 'Historical Orders'!$B282, "2")</f>
        <v>0</v>
      </c>
      <c r="M282" s="157">
        <f>SUMIFS('Historical Orders'!$G282, 'Historical Orders'!$D282, "1", 'Historical Orders'!$C282, "A", 'Historical Orders'!$B282, "2")</f>
        <v>0</v>
      </c>
      <c r="N282" s="157">
        <f>SUMIFS('Historical Orders'!$E282, 'Historical Orders'!$D282, "1", 'Historical Orders'!$C282, "B", 'Historical Orders'!$B282, "2")</f>
        <v>0</v>
      </c>
      <c r="O282" s="157">
        <f>SUMIFS('Historical Orders'!$G282, 'Historical Orders'!$D282, "1", 'Historical Orders'!$C282, "B", 'Historical Orders'!$B282, "2")</f>
        <v>0</v>
      </c>
      <c r="P282" s="159">
        <f>SUMIFS('Historical Orders'!$E282, 'Historical Orders'!$D282, "2", 'Historical Orders'!$C282, "A", 'Historical Orders'!$B282, "1")</f>
        <v>0</v>
      </c>
      <c r="Q282" s="157">
        <f>SUMIFS('Historical Orders'!$G282, 'Historical Orders'!$D282, "2", 'Historical Orders'!$C282, "A", 'Historical Orders'!$B282, "1")</f>
        <v>0</v>
      </c>
      <c r="R282" s="159">
        <f>SUMIFS('Historical Orders'!$E282, 'Historical Orders'!$D282, "2", 'Historical Orders'!$C282, "B", 'Historical Orders'!$B282, "1")</f>
        <v>0</v>
      </c>
      <c r="S282" s="157">
        <f>SUMIFS('Historical Orders'!$G282, 'Historical Orders'!$D282, "2", 'Historical Orders'!$C282, "B", 'Historical Orders'!$B282, "1")</f>
        <v>0</v>
      </c>
      <c r="T282" s="159">
        <f>SUMIFS('Historical Orders'!$E282, 'Historical Orders'!$D282, "2", 'Historical Orders'!$C282, "A", 'Historical Orders'!$B282, "2")</f>
        <v>0</v>
      </c>
      <c r="U282" s="157">
        <f>SUMIFS('Historical Orders'!$G282, 'Historical Orders'!$D282, "2", 'Historical Orders'!$C282, "A", 'Historical Orders'!$B282, "2")</f>
        <v>0</v>
      </c>
      <c r="V282" s="159">
        <f>SUMIFS('Historical Orders'!$E282, 'Historical Orders'!$D282, "2", 'Historical Orders'!$C282, "B", 'Historical Orders'!$B282, "2")</f>
        <v>0</v>
      </c>
      <c r="W282" s="159">
        <f>SUMIFS('Historical Orders'!$G282, 'Historical Orders'!$D282, "2", 'Historical Orders'!$C282, "B", 'Historical Orders'!$B282, "2")</f>
        <v>0</v>
      </c>
      <c r="X282" s="159">
        <f>SUMIFS('Historical Orders'!$E282, 'Historical Orders'!$D282, "3", 'Historical Orders'!$C282, "A", 'Historical Orders'!$B282, "1")</f>
        <v>0</v>
      </c>
      <c r="Y282" s="159">
        <f>SUMIFS('Historical Orders'!$G282, 'Historical Orders'!$D282, "3", 'Historical Orders'!$C282, "A", 'Historical Orders'!$B282, "1")</f>
        <v>0</v>
      </c>
      <c r="Z282" s="159">
        <f>SUMIFS('Historical Orders'!$E282, 'Historical Orders'!$D282, "3", 'Historical Orders'!$C282, "B", 'Historical Orders'!$B282, "1")</f>
        <v>2490</v>
      </c>
      <c r="AA282" s="159">
        <f>SUMIFS('Historical Orders'!$G282, 'Historical Orders'!$D282, "3", 'Historical Orders'!$C282, "B", 'Historical Orders'!$B282, "1")</f>
        <v>20667</v>
      </c>
      <c r="AB282" s="159">
        <f>SUMIFS('Historical Orders'!$E282, 'Historical Orders'!$D282, "3", 'Historical Orders'!$C282, "A", 'Historical Orders'!$B282, "2")</f>
        <v>0</v>
      </c>
      <c r="AC282" s="159">
        <f>SUMIFS('Historical Orders'!$G282, 'Historical Orders'!$D282, "3", 'Historical Orders'!$C282, "A", 'Historical Orders'!$B282, "2")</f>
        <v>0</v>
      </c>
      <c r="AD282" s="159">
        <f>SUMIFS('Historical Orders'!$E282, 'Historical Orders'!$D282, "3", 'Historical Orders'!$C282, "B", 'Historical Orders'!$B282, "2")</f>
        <v>0</v>
      </c>
      <c r="AE282" s="157">
        <f>SUMIFS('Historical Orders'!$G282, 'Historical Orders'!$D282, "3", 'Historical Orders'!$C282, "B", 'Historical Orders'!$B282, "2")</f>
        <v>0</v>
      </c>
      <c r="AF282" s="157">
        <f>SUMIFS('Historical Orders'!$E282, 'Historical Orders'!$D282, "4", 'Historical Orders'!$C282, "A", 'Historical Orders'!$B282, "1")</f>
        <v>0</v>
      </c>
      <c r="AG282" s="157">
        <f>SUMIFS('Historical Orders'!$G282, 'Historical Orders'!$D282, "4", 'Historical Orders'!$C282, "A", 'Historical Orders'!$B282, "1")</f>
        <v>0</v>
      </c>
      <c r="AH282" s="157">
        <f>SUMIFS('Historical Orders'!$E282, 'Historical Orders'!$D282, "4", 'Historical Orders'!$C282, "B", 'Historical Orders'!$B282, "1")</f>
        <v>0</v>
      </c>
      <c r="AI282" s="157">
        <f>SUMIFS('Historical Orders'!$G282, 'Historical Orders'!$D282, "4", 'Historical Orders'!$C282, "B", 'Historical Orders'!$B282, "1")</f>
        <v>0</v>
      </c>
      <c r="AJ282" s="157">
        <f>SUMIFS('Historical Orders'!$E282, 'Historical Orders'!$D282, "4", 'Historical Orders'!$C282, "A", 'Historical Orders'!$B282, "2")</f>
        <v>0</v>
      </c>
      <c r="AK282" s="157">
        <f>SUMIFS('Historical Orders'!$G282, 'Historical Orders'!$D282, "4", 'Historical Orders'!$C282, "A", 'Historical Orders'!$B282, "2")</f>
        <v>0</v>
      </c>
      <c r="AL282" s="171">
        <f>SUMIFS('Historical Orders'!$E282, 'Historical Orders'!$D282, "4", 'Historical Orders'!$C282, "B", 'Historical Orders'!$B282, "2")</f>
        <v>0</v>
      </c>
      <c r="AM282" s="171">
        <f>SUMIFS('Historical Orders'!$G282, 'Historical Orders'!$D282, "4", 'Historical Orders'!$C282, "B", 'Historical Orders'!$B282, "2")</f>
        <v>0</v>
      </c>
      <c r="AN282" s="171">
        <f>SUMIFS('Historical Orders'!$G282, 'Historical Orders'!$C282, "A", 'Historical Orders'!$B282, "1")</f>
        <v>0</v>
      </c>
      <c r="AO282" s="171">
        <f>SUMIFS('Historical Orders'!$G282, 'Historical Orders'!$C282, "B", 'Historical Orders'!$B282, "1")</f>
        <v>20667</v>
      </c>
      <c r="AP282" s="171">
        <f>SUMIFS('Historical Orders'!$G282, 'Historical Orders'!$C282, "A", 'Historical Orders'!$B282, "2")</f>
        <v>0</v>
      </c>
      <c r="AQ282" s="171">
        <f>SUMIFS('Historical Orders'!$G282, 'Historical Orders'!$C282, "B", 'Historical Orders'!$B282, "2")</f>
        <v>0</v>
      </c>
      <c r="AR282" s="145"/>
      <c r="AS282" s="172"/>
      <c r="AT282" s="172"/>
      <c r="AU282" s="172"/>
      <c r="AV282" s="172"/>
      <c r="AW282" s="172"/>
      <c r="AX282" s="172"/>
      <c r="AY282" s="172"/>
      <c r="AZ282" s="172"/>
      <c r="BA282" s="172"/>
      <c r="BB282" s="172"/>
      <c r="BC282" s="172"/>
      <c r="BD282" s="172"/>
      <c r="BE282" s="172"/>
      <c r="BF282" s="172"/>
      <c r="BG282" s="172"/>
      <c r="BH282" s="172"/>
      <c r="BI282" s="172"/>
      <c r="BJ282" s="172"/>
      <c r="BK282" s="172"/>
      <c r="BL282" s="172"/>
      <c r="BM282" s="172"/>
      <c r="BN282" s="172"/>
      <c r="BO282" s="172"/>
      <c r="BP282" s="172"/>
      <c r="BQ282" s="172"/>
      <c r="BR282" s="172"/>
      <c r="BS282" s="172"/>
      <c r="BT282" s="172"/>
      <c r="BU282" s="172"/>
      <c r="BV282" s="179"/>
      <c r="BW282" s="179"/>
      <c r="BX282" s="179"/>
      <c r="BY282" s="179"/>
      <c r="BZ282" s="179"/>
      <c r="CA282" s="179"/>
      <c r="CB282" s="179"/>
      <c r="CC282" s="179"/>
      <c r="CD282" s="179"/>
      <c r="CE282" s="179"/>
    </row>
    <row r="283" ht="15.75" customHeight="1">
      <c r="A283" s="151">
        <v>42177.0</v>
      </c>
      <c r="B283" s="152">
        <v>2.0</v>
      </c>
      <c r="C283" s="152" t="s">
        <v>46</v>
      </c>
      <c r="D283" s="152">
        <v>3.0</v>
      </c>
      <c r="E283" s="153">
        <v>2848.0</v>
      </c>
      <c r="F283" s="154">
        <v>8.3</v>
      </c>
      <c r="G283" s="155">
        <v>23638.4</v>
      </c>
      <c r="H283" s="159">
        <f>SUMIFS('Historical Orders'!$E283, 'Historical Orders'!$D283, "1", 'Historical Orders'!$C283, "A", 'Historical Orders'!$B283, "1")</f>
        <v>0</v>
      </c>
      <c r="I283" s="157">
        <f>SUMIFS('Historical Orders'!$G283, 'Historical Orders'!$D283, "1", 'Historical Orders'!$C283, "A", 'Historical Orders'!$B283, "1")</f>
        <v>0</v>
      </c>
      <c r="J283" s="157">
        <f>SUMIFS('Historical Orders'!$E283, 'Historical Orders'!$D283, "1", 'Historical Orders'!$C283, "B", 'Historical Orders'!$B283, "1")</f>
        <v>0</v>
      </c>
      <c r="K283" s="157">
        <f>SUMIFS('Historical Orders'!$G283, 'Historical Orders'!$D283, "1", 'Historical Orders'!$C283, "B", 'Historical Orders'!$B283, "1")</f>
        <v>0</v>
      </c>
      <c r="L283" s="159">
        <f>SUMIFS('Historical Orders'!$E283, 'Historical Orders'!$D283, "1", 'Historical Orders'!$C283, "A", 'Historical Orders'!$B283, "2")</f>
        <v>0</v>
      </c>
      <c r="M283" s="157">
        <f>SUMIFS('Historical Orders'!$G283, 'Historical Orders'!$D283, "1", 'Historical Orders'!$C283, "A", 'Historical Orders'!$B283, "2")</f>
        <v>0</v>
      </c>
      <c r="N283" s="157">
        <f>SUMIFS('Historical Orders'!$E283, 'Historical Orders'!$D283, "1", 'Historical Orders'!$C283, "B", 'Historical Orders'!$B283, "2")</f>
        <v>0</v>
      </c>
      <c r="O283" s="157">
        <f>SUMIFS('Historical Orders'!$G283, 'Historical Orders'!$D283, "1", 'Historical Orders'!$C283, "B", 'Historical Orders'!$B283, "2")</f>
        <v>0</v>
      </c>
      <c r="P283" s="159">
        <f>SUMIFS('Historical Orders'!$E283, 'Historical Orders'!$D283, "2", 'Historical Orders'!$C283, "A", 'Historical Orders'!$B283, "1")</f>
        <v>0</v>
      </c>
      <c r="Q283" s="157">
        <f>SUMIFS('Historical Orders'!$G283, 'Historical Orders'!$D283, "2", 'Historical Orders'!$C283, "A", 'Historical Orders'!$B283, "1")</f>
        <v>0</v>
      </c>
      <c r="R283" s="159">
        <f>SUMIFS('Historical Orders'!$E283, 'Historical Orders'!$D283, "2", 'Historical Orders'!$C283, "B", 'Historical Orders'!$B283, "1")</f>
        <v>0</v>
      </c>
      <c r="S283" s="157">
        <f>SUMIFS('Historical Orders'!$G283, 'Historical Orders'!$D283, "2", 'Historical Orders'!$C283, "B", 'Historical Orders'!$B283, "1")</f>
        <v>0</v>
      </c>
      <c r="T283" s="159">
        <f>SUMIFS('Historical Orders'!$E283, 'Historical Orders'!$D283, "2", 'Historical Orders'!$C283, "A", 'Historical Orders'!$B283, "2")</f>
        <v>0</v>
      </c>
      <c r="U283" s="157">
        <f>SUMIFS('Historical Orders'!$G283, 'Historical Orders'!$D283, "2", 'Historical Orders'!$C283, "A", 'Historical Orders'!$B283, "2")</f>
        <v>0</v>
      </c>
      <c r="V283" s="159">
        <f>SUMIFS('Historical Orders'!$E283, 'Historical Orders'!$D283, "2", 'Historical Orders'!$C283, "B", 'Historical Orders'!$B283, "2")</f>
        <v>0</v>
      </c>
      <c r="W283" s="159">
        <f>SUMIFS('Historical Orders'!$G283, 'Historical Orders'!$D283, "2", 'Historical Orders'!$C283, "B", 'Historical Orders'!$B283, "2")</f>
        <v>0</v>
      </c>
      <c r="X283" s="159">
        <f>SUMIFS('Historical Orders'!$E283, 'Historical Orders'!$D283, "3", 'Historical Orders'!$C283, "A", 'Historical Orders'!$B283, "1")</f>
        <v>0</v>
      </c>
      <c r="Y283" s="159">
        <f>SUMIFS('Historical Orders'!$G283, 'Historical Orders'!$D283, "3", 'Historical Orders'!$C283, "A", 'Historical Orders'!$B283, "1")</f>
        <v>0</v>
      </c>
      <c r="Z283" s="159">
        <f>SUMIFS('Historical Orders'!$E283, 'Historical Orders'!$D283, "3", 'Historical Orders'!$C283, "B", 'Historical Orders'!$B283, "1")</f>
        <v>0</v>
      </c>
      <c r="AA283" s="159">
        <f>SUMIFS('Historical Orders'!$G283, 'Historical Orders'!$D283, "3", 'Historical Orders'!$C283, "B", 'Historical Orders'!$B283, "1")</f>
        <v>0</v>
      </c>
      <c r="AB283" s="159">
        <f>SUMIFS('Historical Orders'!$E283, 'Historical Orders'!$D283, "3", 'Historical Orders'!$C283, "A", 'Historical Orders'!$B283, "2")</f>
        <v>0</v>
      </c>
      <c r="AC283" s="159">
        <f>SUMIFS('Historical Orders'!$G283, 'Historical Orders'!$D283, "3", 'Historical Orders'!$C283, "A", 'Historical Orders'!$B283, "2")</f>
        <v>0</v>
      </c>
      <c r="AD283" s="159">
        <f>SUMIFS('Historical Orders'!$E283, 'Historical Orders'!$D283, "3", 'Historical Orders'!$C283, "B", 'Historical Orders'!$B283, "2")</f>
        <v>2848</v>
      </c>
      <c r="AE283" s="157">
        <f>SUMIFS('Historical Orders'!$G283, 'Historical Orders'!$D283, "3", 'Historical Orders'!$C283, "B", 'Historical Orders'!$B283, "2")</f>
        <v>23638.4</v>
      </c>
      <c r="AF283" s="157">
        <f>SUMIFS('Historical Orders'!$E283, 'Historical Orders'!$D283, "4", 'Historical Orders'!$C283, "A", 'Historical Orders'!$B283, "1")</f>
        <v>0</v>
      </c>
      <c r="AG283" s="157">
        <f>SUMIFS('Historical Orders'!$G283, 'Historical Orders'!$D283, "4", 'Historical Orders'!$C283, "A", 'Historical Orders'!$B283, "1")</f>
        <v>0</v>
      </c>
      <c r="AH283" s="157">
        <f>SUMIFS('Historical Orders'!$E283, 'Historical Orders'!$D283, "4", 'Historical Orders'!$C283, "B", 'Historical Orders'!$B283, "1")</f>
        <v>0</v>
      </c>
      <c r="AI283" s="157">
        <f>SUMIFS('Historical Orders'!$G283, 'Historical Orders'!$D283, "4", 'Historical Orders'!$C283, "B", 'Historical Orders'!$B283, "1")</f>
        <v>0</v>
      </c>
      <c r="AJ283" s="157">
        <f>SUMIFS('Historical Orders'!$E283, 'Historical Orders'!$D283, "4", 'Historical Orders'!$C283, "A", 'Historical Orders'!$B283, "2")</f>
        <v>0</v>
      </c>
      <c r="AK283" s="157">
        <f>SUMIFS('Historical Orders'!$G283, 'Historical Orders'!$D283, "4", 'Historical Orders'!$C283, "A", 'Historical Orders'!$B283, "2")</f>
        <v>0</v>
      </c>
      <c r="AL283" s="171">
        <f>SUMIFS('Historical Orders'!$E283, 'Historical Orders'!$D283, "4", 'Historical Orders'!$C283, "B", 'Historical Orders'!$B283, "2")</f>
        <v>0</v>
      </c>
      <c r="AM283" s="171">
        <f>SUMIFS('Historical Orders'!$G283, 'Historical Orders'!$D283, "4", 'Historical Orders'!$C283, "B", 'Historical Orders'!$B283, "2")</f>
        <v>0</v>
      </c>
      <c r="AN283" s="171">
        <f>SUMIFS('Historical Orders'!$G283, 'Historical Orders'!$C283, "A", 'Historical Orders'!$B283, "1")</f>
        <v>0</v>
      </c>
      <c r="AO283" s="171">
        <f>SUMIFS('Historical Orders'!$G283, 'Historical Orders'!$C283, "B", 'Historical Orders'!$B283, "1")</f>
        <v>0</v>
      </c>
      <c r="AP283" s="171">
        <f>SUMIFS('Historical Orders'!$G283, 'Historical Orders'!$C283, "A", 'Historical Orders'!$B283, "2")</f>
        <v>0</v>
      </c>
      <c r="AQ283" s="171">
        <f>SUMIFS('Historical Orders'!$G283, 'Historical Orders'!$C283, "B", 'Historical Orders'!$B283, "2")</f>
        <v>23638.4</v>
      </c>
      <c r="AR283" s="145"/>
      <c r="AS283" s="172"/>
      <c r="AT283" s="172"/>
      <c r="AU283" s="172"/>
      <c r="AV283" s="172"/>
      <c r="AW283" s="172"/>
      <c r="AX283" s="172"/>
      <c r="AY283" s="172"/>
      <c r="AZ283" s="172"/>
      <c r="BA283" s="172"/>
      <c r="BB283" s="172"/>
      <c r="BC283" s="172"/>
      <c r="BD283" s="172"/>
      <c r="BE283" s="172"/>
      <c r="BF283" s="172"/>
      <c r="BG283" s="172"/>
      <c r="BH283" s="172"/>
      <c r="BI283" s="172"/>
      <c r="BJ283" s="172"/>
      <c r="BK283" s="172"/>
      <c r="BL283" s="172"/>
      <c r="BM283" s="172"/>
      <c r="BN283" s="172"/>
      <c r="BO283" s="172"/>
      <c r="BP283" s="172"/>
      <c r="BQ283" s="172"/>
      <c r="BR283" s="172"/>
      <c r="BS283" s="172"/>
      <c r="BT283" s="172"/>
      <c r="BU283" s="172"/>
      <c r="BV283" s="179"/>
      <c r="BW283" s="179"/>
      <c r="BX283" s="179"/>
      <c r="BY283" s="179"/>
      <c r="BZ283" s="179"/>
      <c r="CA283" s="179"/>
      <c r="CB283" s="179"/>
      <c r="CC283" s="179"/>
      <c r="CD283" s="179"/>
      <c r="CE283" s="179"/>
    </row>
    <row r="284" ht="15.75" customHeight="1">
      <c r="A284" s="151">
        <v>42184.0</v>
      </c>
      <c r="B284" s="152">
        <v>1.0</v>
      </c>
      <c r="C284" s="152" t="s">
        <v>45</v>
      </c>
      <c r="D284" s="152">
        <v>1.0</v>
      </c>
      <c r="E284" s="153">
        <v>5914.0</v>
      </c>
      <c r="F284" s="154">
        <v>2.2</v>
      </c>
      <c r="G284" s="155">
        <v>13010.800000000001</v>
      </c>
      <c r="H284" s="159">
        <f>SUMIFS('Historical Orders'!$E284, 'Historical Orders'!$D284, "1", 'Historical Orders'!$C284, "A", 'Historical Orders'!$B284, "1")</f>
        <v>5914</v>
      </c>
      <c r="I284" s="157">
        <f>SUMIFS('Historical Orders'!$G284, 'Historical Orders'!$D284, "1", 'Historical Orders'!$C284, "A", 'Historical Orders'!$B284, "1")</f>
        <v>13010.8</v>
      </c>
      <c r="J284" s="157">
        <f>SUMIFS('Historical Orders'!$E284, 'Historical Orders'!$D284, "1", 'Historical Orders'!$C284, "B", 'Historical Orders'!$B284, "1")</f>
        <v>0</v>
      </c>
      <c r="K284" s="157">
        <f>SUMIFS('Historical Orders'!$G284, 'Historical Orders'!$D284, "1", 'Historical Orders'!$C284, "B", 'Historical Orders'!$B284, "1")</f>
        <v>0</v>
      </c>
      <c r="L284" s="159">
        <f>SUMIFS('Historical Orders'!$E284, 'Historical Orders'!$D284, "1", 'Historical Orders'!$C284, "A", 'Historical Orders'!$B284, "2")</f>
        <v>0</v>
      </c>
      <c r="M284" s="157">
        <f>SUMIFS('Historical Orders'!$G284, 'Historical Orders'!$D284, "1", 'Historical Orders'!$C284, "A", 'Historical Orders'!$B284, "2")</f>
        <v>0</v>
      </c>
      <c r="N284" s="157">
        <f>SUMIFS('Historical Orders'!$E284, 'Historical Orders'!$D284, "1", 'Historical Orders'!$C284, "B", 'Historical Orders'!$B284, "2")</f>
        <v>0</v>
      </c>
      <c r="O284" s="157">
        <f>SUMIFS('Historical Orders'!$G284, 'Historical Orders'!$D284, "1", 'Historical Orders'!$C284, "B", 'Historical Orders'!$B284, "2")</f>
        <v>0</v>
      </c>
      <c r="P284" s="159">
        <f>SUMIFS('Historical Orders'!$E284, 'Historical Orders'!$D284, "2", 'Historical Orders'!$C284, "A", 'Historical Orders'!$B284, "1")</f>
        <v>0</v>
      </c>
      <c r="Q284" s="157">
        <f>SUMIFS('Historical Orders'!$G284, 'Historical Orders'!$D284, "2", 'Historical Orders'!$C284, "A", 'Historical Orders'!$B284, "1")</f>
        <v>0</v>
      </c>
      <c r="R284" s="159">
        <f>SUMIFS('Historical Orders'!$E284, 'Historical Orders'!$D284, "2", 'Historical Orders'!$C284, "B", 'Historical Orders'!$B284, "1")</f>
        <v>0</v>
      </c>
      <c r="S284" s="157">
        <f>SUMIFS('Historical Orders'!$G284, 'Historical Orders'!$D284, "2", 'Historical Orders'!$C284, "B", 'Historical Orders'!$B284, "1")</f>
        <v>0</v>
      </c>
      <c r="T284" s="159">
        <f>SUMIFS('Historical Orders'!$E284, 'Historical Orders'!$D284, "2", 'Historical Orders'!$C284, "A", 'Historical Orders'!$B284, "2")</f>
        <v>0</v>
      </c>
      <c r="U284" s="157">
        <f>SUMIFS('Historical Orders'!$G284, 'Historical Orders'!$D284, "2", 'Historical Orders'!$C284, "A", 'Historical Orders'!$B284, "2")</f>
        <v>0</v>
      </c>
      <c r="V284" s="159">
        <f>SUMIFS('Historical Orders'!$E284, 'Historical Orders'!$D284, "2", 'Historical Orders'!$C284, "B", 'Historical Orders'!$B284, "2")</f>
        <v>0</v>
      </c>
      <c r="W284" s="159">
        <f>SUMIFS('Historical Orders'!$G284, 'Historical Orders'!$D284, "2", 'Historical Orders'!$C284, "B", 'Historical Orders'!$B284, "2")</f>
        <v>0</v>
      </c>
      <c r="X284" s="159">
        <f>SUMIFS('Historical Orders'!$E284, 'Historical Orders'!$D284, "3", 'Historical Orders'!$C284, "A", 'Historical Orders'!$B284, "1")</f>
        <v>0</v>
      </c>
      <c r="Y284" s="159">
        <f>SUMIFS('Historical Orders'!$G284, 'Historical Orders'!$D284, "3", 'Historical Orders'!$C284, "A", 'Historical Orders'!$B284, "1")</f>
        <v>0</v>
      </c>
      <c r="Z284" s="159">
        <f>SUMIFS('Historical Orders'!$E284, 'Historical Orders'!$D284, "3", 'Historical Orders'!$C284, "B", 'Historical Orders'!$B284, "1")</f>
        <v>0</v>
      </c>
      <c r="AA284" s="159">
        <f>SUMIFS('Historical Orders'!$G284, 'Historical Orders'!$D284, "3", 'Historical Orders'!$C284, "B", 'Historical Orders'!$B284, "1")</f>
        <v>0</v>
      </c>
      <c r="AB284" s="159">
        <f>SUMIFS('Historical Orders'!$E284, 'Historical Orders'!$D284, "3", 'Historical Orders'!$C284, "A", 'Historical Orders'!$B284, "2")</f>
        <v>0</v>
      </c>
      <c r="AC284" s="159">
        <f>SUMIFS('Historical Orders'!$G284, 'Historical Orders'!$D284, "3", 'Historical Orders'!$C284, "A", 'Historical Orders'!$B284, "2")</f>
        <v>0</v>
      </c>
      <c r="AD284" s="159">
        <f>SUMIFS('Historical Orders'!$E284, 'Historical Orders'!$D284, "3", 'Historical Orders'!$C284, "B", 'Historical Orders'!$B284, "2")</f>
        <v>0</v>
      </c>
      <c r="AE284" s="157">
        <f>SUMIFS('Historical Orders'!$G284, 'Historical Orders'!$D284, "3", 'Historical Orders'!$C284, "B", 'Historical Orders'!$B284, "2")</f>
        <v>0</v>
      </c>
      <c r="AF284" s="157">
        <f>SUMIFS('Historical Orders'!$E284, 'Historical Orders'!$D284, "4", 'Historical Orders'!$C284, "A", 'Historical Orders'!$B284, "1")</f>
        <v>0</v>
      </c>
      <c r="AG284" s="157">
        <f>SUMIFS('Historical Orders'!$G284, 'Historical Orders'!$D284, "4", 'Historical Orders'!$C284, "A", 'Historical Orders'!$B284, "1")</f>
        <v>0</v>
      </c>
      <c r="AH284" s="157">
        <f>SUMIFS('Historical Orders'!$E284, 'Historical Orders'!$D284, "4", 'Historical Orders'!$C284, "B", 'Historical Orders'!$B284, "1")</f>
        <v>0</v>
      </c>
      <c r="AI284" s="157">
        <f>SUMIFS('Historical Orders'!$G284, 'Historical Orders'!$D284, "4", 'Historical Orders'!$C284, "B", 'Historical Orders'!$B284, "1")</f>
        <v>0</v>
      </c>
      <c r="AJ284" s="157">
        <f>SUMIFS('Historical Orders'!$E284, 'Historical Orders'!$D284, "4", 'Historical Orders'!$C284, "A", 'Historical Orders'!$B284, "2")</f>
        <v>0</v>
      </c>
      <c r="AK284" s="157">
        <f>SUMIFS('Historical Orders'!$G284, 'Historical Orders'!$D284, "4", 'Historical Orders'!$C284, "A", 'Historical Orders'!$B284, "2")</f>
        <v>0</v>
      </c>
      <c r="AL284" s="171">
        <f>SUMIFS('Historical Orders'!$E284, 'Historical Orders'!$D284, "4", 'Historical Orders'!$C284, "B", 'Historical Orders'!$B284, "2")</f>
        <v>0</v>
      </c>
      <c r="AM284" s="171">
        <f>SUMIFS('Historical Orders'!$G284, 'Historical Orders'!$D284, "4", 'Historical Orders'!$C284, "B", 'Historical Orders'!$B284, "2")</f>
        <v>0</v>
      </c>
      <c r="AN284" s="171">
        <f>SUMIFS('Historical Orders'!$G284, 'Historical Orders'!$C284, "A", 'Historical Orders'!$B284, "1")</f>
        <v>13010.8</v>
      </c>
      <c r="AO284" s="171">
        <f>SUMIFS('Historical Orders'!$G284, 'Historical Orders'!$C284, "B", 'Historical Orders'!$B284, "1")</f>
        <v>0</v>
      </c>
      <c r="AP284" s="171">
        <f>SUMIFS('Historical Orders'!$G284, 'Historical Orders'!$C284, "A", 'Historical Orders'!$B284, "2")</f>
        <v>0</v>
      </c>
      <c r="AQ284" s="171">
        <f>SUMIFS('Historical Orders'!$G284, 'Historical Orders'!$C284, "B", 'Historical Orders'!$B284, "2")</f>
        <v>0</v>
      </c>
      <c r="AR284" s="145"/>
      <c r="AS284" s="172"/>
      <c r="AT284" s="172"/>
      <c r="AU284" s="172"/>
      <c r="AV284" s="172"/>
      <c r="AW284" s="172"/>
      <c r="AX284" s="172"/>
      <c r="AY284" s="172"/>
      <c r="AZ284" s="172"/>
      <c r="BA284" s="172"/>
      <c r="BB284" s="172"/>
      <c r="BC284" s="172"/>
      <c r="BD284" s="172"/>
      <c r="BE284" s="172"/>
      <c r="BF284" s="172"/>
      <c r="BG284" s="172"/>
      <c r="BH284" s="172"/>
      <c r="BI284" s="172"/>
      <c r="BJ284" s="172"/>
      <c r="BK284" s="172"/>
      <c r="BL284" s="172"/>
      <c r="BM284" s="172"/>
      <c r="BN284" s="172"/>
      <c r="BO284" s="172"/>
      <c r="BP284" s="172"/>
      <c r="BQ284" s="172"/>
      <c r="BR284" s="172"/>
      <c r="BS284" s="172"/>
      <c r="BT284" s="172"/>
      <c r="BU284" s="172"/>
      <c r="BV284" s="179"/>
      <c r="BW284" s="179"/>
      <c r="BX284" s="179"/>
      <c r="BY284" s="179"/>
      <c r="BZ284" s="179"/>
      <c r="CA284" s="179"/>
      <c r="CB284" s="179"/>
      <c r="CC284" s="179"/>
      <c r="CD284" s="179"/>
      <c r="CE284" s="179"/>
    </row>
    <row r="285" ht="15.75" customHeight="1">
      <c r="A285" s="151">
        <v>42184.0</v>
      </c>
      <c r="B285" s="152">
        <v>1.0</v>
      </c>
      <c r="C285" s="152" t="s">
        <v>45</v>
      </c>
      <c r="D285" s="152">
        <v>2.0</v>
      </c>
      <c r="E285" s="153">
        <v>5831.0</v>
      </c>
      <c r="F285" s="154">
        <v>1.2</v>
      </c>
      <c r="G285" s="155">
        <v>6997.2</v>
      </c>
      <c r="H285" s="159">
        <f>SUMIFS('Historical Orders'!$E285, 'Historical Orders'!$D285, "1", 'Historical Orders'!$C285, "A", 'Historical Orders'!$B285, "1")</f>
        <v>0</v>
      </c>
      <c r="I285" s="157">
        <f>SUMIFS('Historical Orders'!$G285, 'Historical Orders'!$D285, "1", 'Historical Orders'!$C285, "A", 'Historical Orders'!$B285, "1")</f>
        <v>0</v>
      </c>
      <c r="J285" s="157">
        <f>SUMIFS('Historical Orders'!$E285, 'Historical Orders'!$D285, "1", 'Historical Orders'!$C285, "B", 'Historical Orders'!$B285, "1")</f>
        <v>0</v>
      </c>
      <c r="K285" s="157">
        <f>SUMIFS('Historical Orders'!$G285, 'Historical Orders'!$D285, "1", 'Historical Orders'!$C285, "B", 'Historical Orders'!$B285, "1")</f>
        <v>0</v>
      </c>
      <c r="L285" s="159">
        <f>SUMIFS('Historical Orders'!$E285, 'Historical Orders'!$D285, "1", 'Historical Orders'!$C285, "A", 'Historical Orders'!$B285, "2")</f>
        <v>0</v>
      </c>
      <c r="M285" s="157">
        <f>SUMIFS('Historical Orders'!$G285, 'Historical Orders'!$D285, "1", 'Historical Orders'!$C285, "A", 'Historical Orders'!$B285, "2")</f>
        <v>0</v>
      </c>
      <c r="N285" s="157">
        <f>SUMIFS('Historical Orders'!$E285, 'Historical Orders'!$D285, "1", 'Historical Orders'!$C285, "B", 'Historical Orders'!$B285, "2")</f>
        <v>0</v>
      </c>
      <c r="O285" s="157">
        <f>SUMIFS('Historical Orders'!$G285, 'Historical Orders'!$D285, "1", 'Historical Orders'!$C285, "B", 'Historical Orders'!$B285, "2")</f>
        <v>0</v>
      </c>
      <c r="P285" s="159">
        <f>SUMIFS('Historical Orders'!$E285, 'Historical Orders'!$D285, "2", 'Historical Orders'!$C285, "A", 'Historical Orders'!$B285, "1")</f>
        <v>5831</v>
      </c>
      <c r="Q285" s="157">
        <f>SUMIFS('Historical Orders'!$G285, 'Historical Orders'!$D285, "2", 'Historical Orders'!$C285, "A", 'Historical Orders'!$B285, "1")</f>
        <v>6997.2</v>
      </c>
      <c r="R285" s="159">
        <f>SUMIFS('Historical Orders'!$E285, 'Historical Orders'!$D285, "2", 'Historical Orders'!$C285, "B", 'Historical Orders'!$B285, "1")</f>
        <v>0</v>
      </c>
      <c r="S285" s="157">
        <f>SUMIFS('Historical Orders'!$G285, 'Historical Orders'!$D285, "2", 'Historical Orders'!$C285, "B", 'Historical Orders'!$B285, "1")</f>
        <v>0</v>
      </c>
      <c r="T285" s="159">
        <f>SUMIFS('Historical Orders'!$E285, 'Historical Orders'!$D285, "2", 'Historical Orders'!$C285, "A", 'Historical Orders'!$B285, "2")</f>
        <v>0</v>
      </c>
      <c r="U285" s="157">
        <f>SUMIFS('Historical Orders'!$G285, 'Historical Orders'!$D285, "2", 'Historical Orders'!$C285, "A", 'Historical Orders'!$B285, "2")</f>
        <v>0</v>
      </c>
      <c r="V285" s="159">
        <f>SUMIFS('Historical Orders'!$E285, 'Historical Orders'!$D285, "2", 'Historical Orders'!$C285, "B", 'Historical Orders'!$B285, "2")</f>
        <v>0</v>
      </c>
      <c r="W285" s="159">
        <f>SUMIFS('Historical Orders'!$G285, 'Historical Orders'!$D285, "2", 'Historical Orders'!$C285, "B", 'Historical Orders'!$B285, "2")</f>
        <v>0</v>
      </c>
      <c r="X285" s="159">
        <f>SUMIFS('Historical Orders'!$E285, 'Historical Orders'!$D285, "3", 'Historical Orders'!$C285, "A", 'Historical Orders'!$B285, "1")</f>
        <v>0</v>
      </c>
      <c r="Y285" s="159">
        <f>SUMIFS('Historical Orders'!$G285, 'Historical Orders'!$D285, "3", 'Historical Orders'!$C285, "A", 'Historical Orders'!$B285, "1")</f>
        <v>0</v>
      </c>
      <c r="Z285" s="159">
        <f>SUMIFS('Historical Orders'!$E285, 'Historical Orders'!$D285, "3", 'Historical Orders'!$C285, "B", 'Historical Orders'!$B285, "1")</f>
        <v>0</v>
      </c>
      <c r="AA285" s="159">
        <f>SUMIFS('Historical Orders'!$G285, 'Historical Orders'!$D285, "3", 'Historical Orders'!$C285, "B", 'Historical Orders'!$B285, "1")</f>
        <v>0</v>
      </c>
      <c r="AB285" s="159">
        <f>SUMIFS('Historical Orders'!$E285, 'Historical Orders'!$D285, "3", 'Historical Orders'!$C285, "A", 'Historical Orders'!$B285, "2")</f>
        <v>0</v>
      </c>
      <c r="AC285" s="159">
        <f>SUMIFS('Historical Orders'!$G285, 'Historical Orders'!$D285, "3", 'Historical Orders'!$C285, "A", 'Historical Orders'!$B285, "2")</f>
        <v>0</v>
      </c>
      <c r="AD285" s="159">
        <f>SUMIFS('Historical Orders'!$E285, 'Historical Orders'!$D285, "3", 'Historical Orders'!$C285, "B", 'Historical Orders'!$B285, "2")</f>
        <v>0</v>
      </c>
      <c r="AE285" s="157">
        <f>SUMIFS('Historical Orders'!$G285, 'Historical Orders'!$D285, "3", 'Historical Orders'!$C285, "B", 'Historical Orders'!$B285, "2")</f>
        <v>0</v>
      </c>
      <c r="AF285" s="157">
        <f>SUMIFS('Historical Orders'!$E285, 'Historical Orders'!$D285, "4", 'Historical Orders'!$C285, "A", 'Historical Orders'!$B285, "1")</f>
        <v>0</v>
      </c>
      <c r="AG285" s="157">
        <f>SUMIFS('Historical Orders'!$G285, 'Historical Orders'!$D285, "4", 'Historical Orders'!$C285, "A", 'Historical Orders'!$B285, "1")</f>
        <v>0</v>
      </c>
      <c r="AH285" s="157">
        <f>SUMIFS('Historical Orders'!$E285, 'Historical Orders'!$D285, "4", 'Historical Orders'!$C285, "B", 'Historical Orders'!$B285, "1")</f>
        <v>0</v>
      </c>
      <c r="AI285" s="157">
        <f>SUMIFS('Historical Orders'!$G285, 'Historical Orders'!$D285, "4", 'Historical Orders'!$C285, "B", 'Historical Orders'!$B285, "1")</f>
        <v>0</v>
      </c>
      <c r="AJ285" s="157">
        <f>SUMIFS('Historical Orders'!$E285, 'Historical Orders'!$D285, "4", 'Historical Orders'!$C285, "A", 'Historical Orders'!$B285, "2")</f>
        <v>0</v>
      </c>
      <c r="AK285" s="157">
        <f>SUMIFS('Historical Orders'!$G285, 'Historical Orders'!$D285, "4", 'Historical Orders'!$C285, "A", 'Historical Orders'!$B285, "2")</f>
        <v>0</v>
      </c>
      <c r="AL285" s="171">
        <f>SUMIFS('Historical Orders'!$E285, 'Historical Orders'!$D285, "4", 'Historical Orders'!$C285, "B", 'Historical Orders'!$B285, "2")</f>
        <v>0</v>
      </c>
      <c r="AM285" s="171">
        <f>SUMIFS('Historical Orders'!$G285, 'Historical Orders'!$D285, "4", 'Historical Orders'!$C285, "B", 'Historical Orders'!$B285, "2")</f>
        <v>0</v>
      </c>
      <c r="AN285" s="171">
        <f>SUMIFS('Historical Orders'!$G285, 'Historical Orders'!$C285, "A", 'Historical Orders'!$B285, "1")</f>
        <v>6997.2</v>
      </c>
      <c r="AO285" s="171">
        <f>SUMIFS('Historical Orders'!$G285, 'Historical Orders'!$C285, "B", 'Historical Orders'!$B285, "1")</f>
        <v>0</v>
      </c>
      <c r="AP285" s="171">
        <f>SUMIFS('Historical Orders'!$G285, 'Historical Orders'!$C285, "A", 'Historical Orders'!$B285, "2")</f>
        <v>0</v>
      </c>
      <c r="AQ285" s="171">
        <f>SUMIFS('Historical Orders'!$G285, 'Historical Orders'!$C285, "B", 'Historical Orders'!$B285, "2")</f>
        <v>0</v>
      </c>
      <c r="AR285" s="145"/>
      <c r="AS285" s="172"/>
      <c r="AT285" s="172"/>
      <c r="AU285" s="172"/>
      <c r="AV285" s="172"/>
      <c r="AW285" s="172"/>
      <c r="AX285" s="172"/>
      <c r="AY285" s="172"/>
      <c r="AZ285" s="172"/>
      <c r="BA285" s="172"/>
      <c r="BB285" s="172"/>
      <c r="BC285" s="172"/>
      <c r="BD285" s="172"/>
      <c r="BE285" s="172"/>
      <c r="BF285" s="172"/>
      <c r="BG285" s="172"/>
      <c r="BH285" s="172"/>
      <c r="BI285" s="172"/>
      <c r="BJ285" s="172"/>
      <c r="BK285" s="172"/>
      <c r="BL285" s="172"/>
      <c r="BM285" s="172"/>
      <c r="BN285" s="172"/>
      <c r="BO285" s="172"/>
      <c r="BP285" s="172"/>
      <c r="BQ285" s="172"/>
      <c r="BR285" s="172"/>
      <c r="BS285" s="172"/>
      <c r="BT285" s="172"/>
      <c r="BU285" s="172"/>
      <c r="BV285" s="179"/>
      <c r="BW285" s="179"/>
      <c r="BX285" s="179"/>
      <c r="BY285" s="179"/>
      <c r="BZ285" s="179"/>
      <c r="CA285" s="179"/>
      <c r="CB285" s="179"/>
      <c r="CC285" s="179"/>
      <c r="CD285" s="179"/>
      <c r="CE285" s="179"/>
    </row>
    <row r="286" ht="15.75" customHeight="1">
      <c r="A286" s="151">
        <v>42184.0</v>
      </c>
      <c r="B286" s="152">
        <v>2.0</v>
      </c>
      <c r="C286" s="152" t="s">
        <v>45</v>
      </c>
      <c r="D286" s="152">
        <v>1.0</v>
      </c>
      <c r="E286" s="153">
        <v>4112.0</v>
      </c>
      <c r="F286" s="154">
        <v>2.2</v>
      </c>
      <c r="G286" s="155">
        <v>9046.400000000001</v>
      </c>
      <c r="H286" s="159">
        <f>SUMIFS('Historical Orders'!$E286, 'Historical Orders'!$D286, "1", 'Historical Orders'!$C286, "A", 'Historical Orders'!$B286, "1")</f>
        <v>0</v>
      </c>
      <c r="I286" s="157">
        <f>SUMIFS('Historical Orders'!$G286, 'Historical Orders'!$D286, "1", 'Historical Orders'!$C286, "A", 'Historical Orders'!$B286, "1")</f>
        <v>0</v>
      </c>
      <c r="J286" s="157">
        <f>SUMIFS('Historical Orders'!$E286, 'Historical Orders'!$D286, "1", 'Historical Orders'!$C286, "B", 'Historical Orders'!$B286, "1")</f>
        <v>0</v>
      </c>
      <c r="K286" s="157">
        <f>SUMIFS('Historical Orders'!$G286, 'Historical Orders'!$D286, "1", 'Historical Orders'!$C286, "B", 'Historical Orders'!$B286, "1")</f>
        <v>0</v>
      </c>
      <c r="L286" s="159">
        <f>SUMIFS('Historical Orders'!$E286, 'Historical Orders'!$D286, "1", 'Historical Orders'!$C286, "A", 'Historical Orders'!$B286, "2")</f>
        <v>4112</v>
      </c>
      <c r="M286" s="157">
        <f>SUMIFS('Historical Orders'!$G286, 'Historical Orders'!$D286, "1", 'Historical Orders'!$C286, "A", 'Historical Orders'!$B286, "2")</f>
        <v>9046.4</v>
      </c>
      <c r="N286" s="157">
        <f>SUMIFS('Historical Orders'!$E286, 'Historical Orders'!$D286, "1", 'Historical Orders'!$C286, "B", 'Historical Orders'!$B286, "2")</f>
        <v>0</v>
      </c>
      <c r="O286" s="157">
        <f>SUMIFS('Historical Orders'!$G286, 'Historical Orders'!$D286, "1", 'Historical Orders'!$C286, "B", 'Historical Orders'!$B286, "2")</f>
        <v>0</v>
      </c>
      <c r="P286" s="159">
        <f>SUMIFS('Historical Orders'!$E286, 'Historical Orders'!$D286, "2", 'Historical Orders'!$C286, "A", 'Historical Orders'!$B286, "1")</f>
        <v>0</v>
      </c>
      <c r="Q286" s="157">
        <f>SUMIFS('Historical Orders'!$G286, 'Historical Orders'!$D286, "2", 'Historical Orders'!$C286, "A", 'Historical Orders'!$B286, "1")</f>
        <v>0</v>
      </c>
      <c r="R286" s="159">
        <f>SUMIFS('Historical Orders'!$E286, 'Historical Orders'!$D286, "2", 'Historical Orders'!$C286, "B", 'Historical Orders'!$B286, "1")</f>
        <v>0</v>
      </c>
      <c r="S286" s="157">
        <f>SUMIFS('Historical Orders'!$G286, 'Historical Orders'!$D286, "2", 'Historical Orders'!$C286, "B", 'Historical Orders'!$B286, "1")</f>
        <v>0</v>
      </c>
      <c r="T286" s="159">
        <f>SUMIFS('Historical Orders'!$E286, 'Historical Orders'!$D286, "2", 'Historical Orders'!$C286, "A", 'Historical Orders'!$B286, "2")</f>
        <v>0</v>
      </c>
      <c r="U286" s="157">
        <f>SUMIFS('Historical Orders'!$G286, 'Historical Orders'!$D286, "2", 'Historical Orders'!$C286, "A", 'Historical Orders'!$B286, "2")</f>
        <v>0</v>
      </c>
      <c r="V286" s="159">
        <f>SUMIFS('Historical Orders'!$E286, 'Historical Orders'!$D286, "2", 'Historical Orders'!$C286, "B", 'Historical Orders'!$B286, "2")</f>
        <v>0</v>
      </c>
      <c r="W286" s="159">
        <f>SUMIFS('Historical Orders'!$G286, 'Historical Orders'!$D286, "2", 'Historical Orders'!$C286, "B", 'Historical Orders'!$B286, "2")</f>
        <v>0</v>
      </c>
      <c r="X286" s="159">
        <f>SUMIFS('Historical Orders'!$E286, 'Historical Orders'!$D286, "3", 'Historical Orders'!$C286, "A", 'Historical Orders'!$B286, "1")</f>
        <v>0</v>
      </c>
      <c r="Y286" s="159">
        <f>SUMIFS('Historical Orders'!$G286, 'Historical Orders'!$D286, "3", 'Historical Orders'!$C286, "A", 'Historical Orders'!$B286, "1")</f>
        <v>0</v>
      </c>
      <c r="Z286" s="159">
        <f>SUMIFS('Historical Orders'!$E286, 'Historical Orders'!$D286, "3", 'Historical Orders'!$C286, "B", 'Historical Orders'!$B286, "1")</f>
        <v>0</v>
      </c>
      <c r="AA286" s="159">
        <f>SUMIFS('Historical Orders'!$G286, 'Historical Orders'!$D286, "3", 'Historical Orders'!$C286, "B", 'Historical Orders'!$B286, "1")</f>
        <v>0</v>
      </c>
      <c r="AB286" s="159">
        <f>SUMIFS('Historical Orders'!$E286, 'Historical Orders'!$D286, "3", 'Historical Orders'!$C286, "A", 'Historical Orders'!$B286, "2")</f>
        <v>0</v>
      </c>
      <c r="AC286" s="159">
        <f>SUMIFS('Historical Orders'!$G286, 'Historical Orders'!$D286, "3", 'Historical Orders'!$C286, "A", 'Historical Orders'!$B286, "2")</f>
        <v>0</v>
      </c>
      <c r="AD286" s="159">
        <f>SUMIFS('Historical Orders'!$E286, 'Historical Orders'!$D286, "3", 'Historical Orders'!$C286, "B", 'Historical Orders'!$B286, "2")</f>
        <v>0</v>
      </c>
      <c r="AE286" s="157">
        <f>SUMIFS('Historical Orders'!$G286, 'Historical Orders'!$D286, "3", 'Historical Orders'!$C286, "B", 'Historical Orders'!$B286, "2")</f>
        <v>0</v>
      </c>
      <c r="AF286" s="157">
        <f>SUMIFS('Historical Orders'!$E286, 'Historical Orders'!$D286, "4", 'Historical Orders'!$C286, "A", 'Historical Orders'!$B286, "1")</f>
        <v>0</v>
      </c>
      <c r="AG286" s="157">
        <f>SUMIFS('Historical Orders'!$G286, 'Historical Orders'!$D286, "4", 'Historical Orders'!$C286, "A", 'Historical Orders'!$B286, "1")</f>
        <v>0</v>
      </c>
      <c r="AH286" s="157">
        <f>SUMIFS('Historical Orders'!$E286, 'Historical Orders'!$D286, "4", 'Historical Orders'!$C286, "B", 'Historical Orders'!$B286, "1")</f>
        <v>0</v>
      </c>
      <c r="AI286" s="157">
        <f>SUMIFS('Historical Orders'!$G286, 'Historical Orders'!$D286, "4", 'Historical Orders'!$C286, "B", 'Historical Orders'!$B286, "1")</f>
        <v>0</v>
      </c>
      <c r="AJ286" s="157">
        <f>SUMIFS('Historical Orders'!$E286, 'Historical Orders'!$D286, "4", 'Historical Orders'!$C286, "A", 'Historical Orders'!$B286, "2")</f>
        <v>0</v>
      </c>
      <c r="AK286" s="157">
        <f>SUMIFS('Historical Orders'!$G286, 'Historical Orders'!$D286, "4", 'Historical Orders'!$C286, "A", 'Historical Orders'!$B286, "2")</f>
        <v>0</v>
      </c>
      <c r="AL286" s="171">
        <f>SUMIFS('Historical Orders'!$E286, 'Historical Orders'!$D286, "4", 'Historical Orders'!$C286, "B", 'Historical Orders'!$B286, "2")</f>
        <v>0</v>
      </c>
      <c r="AM286" s="171">
        <f>SUMIFS('Historical Orders'!$G286, 'Historical Orders'!$D286, "4", 'Historical Orders'!$C286, "B", 'Historical Orders'!$B286, "2")</f>
        <v>0</v>
      </c>
      <c r="AN286" s="171">
        <f>SUMIFS('Historical Orders'!$G286, 'Historical Orders'!$C286, "A", 'Historical Orders'!$B286, "1")</f>
        <v>0</v>
      </c>
      <c r="AO286" s="171">
        <f>SUMIFS('Historical Orders'!$G286, 'Historical Orders'!$C286, "B", 'Historical Orders'!$B286, "1")</f>
        <v>0</v>
      </c>
      <c r="AP286" s="171">
        <f>SUMIFS('Historical Orders'!$G286, 'Historical Orders'!$C286, "A", 'Historical Orders'!$B286, "2")</f>
        <v>9046.4</v>
      </c>
      <c r="AQ286" s="171">
        <f>SUMIFS('Historical Orders'!$G286, 'Historical Orders'!$C286, "B", 'Historical Orders'!$B286, "2")</f>
        <v>0</v>
      </c>
      <c r="AR286" s="145"/>
      <c r="AS286" s="172"/>
      <c r="AT286" s="172"/>
      <c r="AU286" s="172"/>
      <c r="AV286" s="172"/>
      <c r="AW286" s="172"/>
      <c r="AX286" s="172"/>
      <c r="AY286" s="172"/>
      <c r="AZ286" s="172"/>
      <c r="BA286" s="172"/>
      <c r="BB286" s="172"/>
      <c r="BC286" s="172"/>
      <c r="BD286" s="172"/>
      <c r="BE286" s="172"/>
      <c r="BF286" s="172"/>
      <c r="BG286" s="172"/>
      <c r="BH286" s="172"/>
      <c r="BI286" s="172"/>
      <c r="BJ286" s="172"/>
      <c r="BK286" s="172"/>
      <c r="BL286" s="172"/>
      <c r="BM286" s="172"/>
      <c r="BN286" s="172"/>
      <c r="BO286" s="172"/>
      <c r="BP286" s="172"/>
      <c r="BQ286" s="172"/>
      <c r="BR286" s="172"/>
      <c r="BS286" s="172"/>
      <c r="BT286" s="172"/>
      <c r="BU286" s="172"/>
      <c r="BV286" s="179"/>
      <c r="BW286" s="179"/>
      <c r="BX286" s="179"/>
      <c r="BY286" s="179"/>
      <c r="BZ286" s="179"/>
      <c r="CA286" s="179"/>
      <c r="CB286" s="179"/>
      <c r="CC286" s="179"/>
      <c r="CD286" s="179"/>
      <c r="CE286" s="179"/>
    </row>
    <row r="287" ht="15.75" customHeight="1">
      <c r="A287" s="151">
        <v>42184.0</v>
      </c>
      <c r="B287" s="152">
        <v>2.0</v>
      </c>
      <c r="C287" s="152" t="s">
        <v>45</v>
      </c>
      <c r="D287" s="152">
        <v>2.0</v>
      </c>
      <c r="E287" s="153">
        <v>5532.0</v>
      </c>
      <c r="F287" s="154">
        <v>1.2</v>
      </c>
      <c r="G287" s="155">
        <v>6638.4</v>
      </c>
      <c r="H287" s="159">
        <f>SUMIFS('Historical Orders'!$E287, 'Historical Orders'!$D287, "1", 'Historical Orders'!$C287, "A", 'Historical Orders'!$B287, "1")</f>
        <v>0</v>
      </c>
      <c r="I287" s="157">
        <f>SUMIFS('Historical Orders'!$G287, 'Historical Orders'!$D287, "1", 'Historical Orders'!$C287, "A", 'Historical Orders'!$B287, "1")</f>
        <v>0</v>
      </c>
      <c r="J287" s="157">
        <f>SUMIFS('Historical Orders'!$E287, 'Historical Orders'!$D287, "1", 'Historical Orders'!$C287, "B", 'Historical Orders'!$B287, "1")</f>
        <v>0</v>
      </c>
      <c r="K287" s="157">
        <f>SUMIFS('Historical Orders'!$G287, 'Historical Orders'!$D287, "1", 'Historical Orders'!$C287, "B", 'Historical Orders'!$B287, "1")</f>
        <v>0</v>
      </c>
      <c r="L287" s="159">
        <f>SUMIFS('Historical Orders'!$E287, 'Historical Orders'!$D287, "1", 'Historical Orders'!$C287, "A", 'Historical Orders'!$B287, "2")</f>
        <v>0</v>
      </c>
      <c r="M287" s="157">
        <f>SUMIFS('Historical Orders'!$G287, 'Historical Orders'!$D287, "1", 'Historical Orders'!$C287, "A", 'Historical Orders'!$B287, "2")</f>
        <v>0</v>
      </c>
      <c r="N287" s="157">
        <f>SUMIFS('Historical Orders'!$E287, 'Historical Orders'!$D287, "1", 'Historical Orders'!$C287, "B", 'Historical Orders'!$B287, "2")</f>
        <v>0</v>
      </c>
      <c r="O287" s="157">
        <f>SUMIFS('Historical Orders'!$G287, 'Historical Orders'!$D287, "1", 'Historical Orders'!$C287, "B", 'Historical Orders'!$B287, "2")</f>
        <v>0</v>
      </c>
      <c r="P287" s="159">
        <f>SUMIFS('Historical Orders'!$E287, 'Historical Orders'!$D287, "2", 'Historical Orders'!$C287, "A", 'Historical Orders'!$B287, "1")</f>
        <v>0</v>
      </c>
      <c r="Q287" s="157">
        <f>SUMIFS('Historical Orders'!$G287, 'Historical Orders'!$D287, "2", 'Historical Orders'!$C287, "A", 'Historical Orders'!$B287, "1")</f>
        <v>0</v>
      </c>
      <c r="R287" s="159">
        <f>SUMIFS('Historical Orders'!$E287, 'Historical Orders'!$D287, "2", 'Historical Orders'!$C287, "B", 'Historical Orders'!$B287, "1")</f>
        <v>0</v>
      </c>
      <c r="S287" s="157">
        <f>SUMIFS('Historical Orders'!$G287, 'Historical Orders'!$D287, "2", 'Historical Orders'!$C287, "B", 'Historical Orders'!$B287, "1")</f>
        <v>0</v>
      </c>
      <c r="T287" s="159">
        <f>SUMIFS('Historical Orders'!$E287, 'Historical Orders'!$D287, "2", 'Historical Orders'!$C287, "A", 'Historical Orders'!$B287, "2")</f>
        <v>5532</v>
      </c>
      <c r="U287" s="157">
        <f>SUMIFS('Historical Orders'!$G287, 'Historical Orders'!$D287, "2", 'Historical Orders'!$C287, "A", 'Historical Orders'!$B287, "2")</f>
        <v>6638.4</v>
      </c>
      <c r="V287" s="159">
        <f>SUMIFS('Historical Orders'!$E287, 'Historical Orders'!$D287, "2", 'Historical Orders'!$C287, "B", 'Historical Orders'!$B287, "2")</f>
        <v>0</v>
      </c>
      <c r="W287" s="159">
        <f>SUMIFS('Historical Orders'!$G287, 'Historical Orders'!$D287, "2", 'Historical Orders'!$C287, "B", 'Historical Orders'!$B287, "2")</f>
        <v>0</v>
      </c>
      <c r="X287" s="159">
        <f>SUMIFS('Historical Orders'!$E287, 'Historical Orders'!$D287, "3", 'Historical Orders'!$C287, "A", 'Historical Orders'!$B287, "1")</f>
        <v>0</v>
      </c>
      <c r="Y287" s="159">
        <f>SUMIFS('Historical Orders'!$G287, 'Historical Orders'!$D287, "3", 'Historical Orders'!$C287, "A", 'Historical Orders'!$B287, "1")</f>
        <v>0</v>
      </c>
      <c r="Z287" s="159">
        <f>SUMIFS('Historical Orders'!$E287, 'Historical Orders'!$D287, "3", 'Historical Orders'!$C287, "B", 'Historical Orders'!$B287, "1")</f>
        <v>0</v>
      </c>
      <c r="AA287" s="159">
        <f>SUMIFS('Historical Orders'!$G287, 'Historical Orders'!$D287, "3", 'Historical Orders'!$C287, "B", 'Historical Orders'!$B287, "1")</f>
        <v>0</v>
      </c>
      <c r="AB287" s="159">
        <f>SUMIFS('Historical Orders'!$E287, 'Historical Orders'!$D287, "3", 'Historical Orders'!$C287, "A", 'Historical Orders'!$B287, "2")</f>
        <v>0</v>
      </c>
      <c r="AC287" s="159">
        <f>SUMIFS('Historical Orders'!$G287, 'Historical Orders'!$D287, "3", 'Historical Orders'!$C287, "A", 'Historical Orders'!$B287, "2")</f>
        <v>0</v>
      </c>
      <c r="AD287" s="159">
        <f>SUMIFS('Historical Orders'!$E287, 'Historical Orders'!$D287, "3", 'Historical Orders'!$C287, "B", 'Historical Orders'!$B287, "2")</f>
        <v>0</v>
      </c>
      <c r="AE287" s="157">
        <f>SUMIFS('Historical Orders'!$G287, 'Historical Orders'!$D287, "3", 'Historical Orders'!$C287, "B", 'Historical Orders'!$B287, "2")</f>
        <v>0</v>
      </c>
      <c r="AF287" s="157">
        <f>SUMIFS('Historical Orders'!$E287, 'Historical Orders'!$D287, "4", 'Historical Orders'!$C287, "A", 'Historical Orders'!$B287, "1")</f>
        <v>0</v>
      </c>
      <c r="AG287" s="157">
        <f>SUMIFS('Historical Orders'!$G287, 'Historical Orders'!$D287, "4", 'Historical Orders'!$C287, "A", 'Historical Orders'!$B287, "1")</f>
        <v>0</v>
      </c>
      <c r="AH287" s="157">
        <f>SUMIFS('Historical Orders'!$E287, 'Historical Orders'!$D287, "4", 'Historical Orders'!$C287, "B", 'Historical Orders'!$B287, "1")</f>
        <v>0</v>
      </c>
      <c r="AI287" s="157">
        <f>SUMIFS('Historical Orders'!$G287, 'Historical Orders'!$D287, "4", 'Historical Orders'!$C287, "B", 'Historical Orders'!$B287, "1")</f>
        <v>0</v>
      </c>
      <c r="AJ287" s="157">
        <f>SUMIFS('Historical Orders'!$E287, 'Historical Orders'!$D287, "4", 'Historical Orders'!$C287, "A", 'Historical Orders'!$B287, "2")</f>
        <v>0</v>
      </c>
      <c r="AK287" s="157">
        <f>SUMIFS('Historical Orders'!$G287, 'Historical Orders'!$D287, "4", 'Historical Orders'!$C287, "A", 'Historical Orders'!$B287, "2")</f>
        <v>0</v>
      </c>
      <c r="AL287" s="171">
        <f>SUMIFS('Historical Orders'!$E287, 'Historical Orders'!$D287, "4", 'Historical Orders'!$C287, "B", 'Historical Orders'!$B287, "2")</f>
        <v>0</v>
      </c>
      <c r="AM287" s="171">
        <f>SUMIFS('Historical Orders'!$G287, 'Historical Orders'!$D287, "4", 'Historical Orders'!$C287, "B", 'Historical Orders'!$B287, "2")</f>
        <v>0</v>
      </c>
      <c r="AN287" s="171">
        <f>SUMIFS('Historical Orders'!$G287, 'Historical Orders'!$C287, "A", 'Historical Orders'!$B287, "1")</f>
        <v>0</v>
      </c>
      <c r="AO287" s="171">
        <f>SUMIFS('Historical Orders'!$G287, 'Historical Orders'!$C287, "B", 'Historical Orders'!$B287, "1")</f>
        <v>0</v>
      </c>
      <c r="AP287" s="171">
        <f>SUMIFS('Historical Orders'!$G287, 'Historical Orders'!$C287, "A", 'Historical Orders'!$B287, "2")</f>
        <v>6638.4</v>
      </c>
      <c r="AQ287" s="171">
        <f>SUMIFS('Historical Orders'!$G287, 'Historical Orders'!$C287, "B", 'Historical Orders'!$B287, "2")</f>
        <v>0</v>
      </c>
      <c r="AR287" s="145"/>
      <c r="AS287" s="172"/>
      <c r="AT287" s="172"/>
      <c r="AU287" s="172"/>
      <c r="AV287" s="172"/>
      <c r="AW287" s="172"/>
      <c r="AX287" s="172"/>
      <c r="AY287" s="172"/>
      <c r="AZ287" s="172"/>
      <c r="BA287" s="172"/>
      <c r="BB287" s="172"/>
      <c r="BC287" s="172"/>
      <c r="BD287" s="172"/>
      <c r="BE287" s="172"/>
      <c r="BF287" s="172"/>
      <c r="BG287" s="172"/>
      <c r="BH287" s="172"/>
      <c r="BI287" s="172"/>
      <c r="BJ287" s="172"/>
      <c r="BK287" s="172"/>
      <c r="BL287" s="172"/>
      <c r="BM287" s="172"/>
      <c r="BN287" s="172"/>
      <c r="BO287" s="172"/>
      <c r="BP287" s="172"/>
      <c r="BQ287" s="172"/>
      <c r="BR287" s="172"/>
      <c r="BS287" s="172"/>
      <c r="BT287" s="172"/>
      <c r="BU287" s="172"/>
      <c r="BV287" s="179"/>
      <c r="BW287" s="179"/>
      <c r="BX287" s="179"/>
      <c r="BY287" s="179"/>
      <c r="BZ287" s="179"/>
      <c r="CA287" s="179"/>
      <c r="CB287" s="179"/>
      <c r="CC287" s="179"/>
      <c r="CD287" s="179"/>
      <c r="CE287" s="179"/>
    </row>
    <row r="288" ht="15.75" customHeight="1">
      <c r="A288" s="151">
        <v>42184.0</v>
      </c>
      <c r="B288" s="152">
        <v>1.0</v>
      </c>
      <c r="C288" s="152" t="s">
        <v>46</v>
      </c>
      <c r="D288" s="152">
        <v>3.0</v>
      </c>
      <c r="E288" s="153">
        <v>2181.0</v>
      </c>
      <c r="F288" s="154">
        <v>8.3</v>
      </c>
      <c r="G288" s="155">
        <v>18102.300000000003</v>
      </c>
      <c r="H288" s="159">
        <f>SUMIFS('Historical Orders'!$E288, 'Historical Orders'!$D288, "1", 'Historical Orders'!$C288, "A", 'Historical Orders'!$B288, "1")</f>
        <v>0</v>
      </c>
      <c r="I288" s="157">
        <f>SUMIFS('Historical Orders'!$G288, 'Historical Orders'!$D288, "1", 'Historical Orders'!$C288, "A", 'Historical Orders'!$B288, "1")</f>
        <v>0</v>
      </c>
      <c r="J288" s="157">
        <f>SUMIFS('Historical Orders'!$E288, 'Historical Orders'!$D288, "1", 'Historical Orders'!$C288, "B", 'Historical Orders'!$B288, "1")</f>
        <v>0</v>
      </c>
      <c r="K288" s="157">
        <f>SUMIFS('Historical Orders'!$G288, 'Historical Orders'!$D288, "1", 'Historical Orders'!$C288, "B", 'Historical Orders'!$B288, "1")</f>
        <v>0</v>
      </c>
      <c r="L288" s="159">
        <f>SUMIFS('Historical Orders'!$E288, 'Historical Orders'!$D288, "1", 'Historical Orders'!$C288, "A", 'Historical Orders'!$B288, "2")</f>
        <v>0</v>
      </c>
      <c r="M288" s="157">
        <f>SUMIFS('Historical Orders'!$G288, 'Historical Orders'!$D288, "1", 'Historical Orders'!$C288, "A", 'Historical Orders'!$B288, "2")</f>
        <v>0</v>
      </c>
      <c r="N288" s="157">
        <f>SUMIFS('Historical Orders'!$E288, 'Historical Orders'!$D288, "1", 'Historical Orders'!$C288, "B", 'Historical Orders'!$B288, "2")</f>
        <v>0</v>
      </c>
      <c r="O288" s="157">
        <f>SUMIFS('Historical Orders'!$G288, 'Historical Orders'!$D288, "1", 'Historical Orders'!$C288, "B", 'Historical Orders'!$B288, "2")</f>
        <v>0</v>
      </c>
      <c r="P288" s="159">
        <f>SUMIFS('Historical Orders'!$E288, 'Historical Orders'!$D288, "2", 'Historical Orders'!$C288, "A", 'Historical Orders'!$B288, "1")</f>
        <v>0</v>
      </c>
      <c r="Q288" s="157">
        <f>SUMIFS('Historical Orders'!$G288, 'Historical Orders'!$D288, "2", 'Historical Orders'!$C288, "A", 'Historical Orders'!$B288, "1")</f>
        <v>0</v>
      </c>
      <c r="R288" s="159">
        <f>SUMIFS('Historical Orders'!$E288, 'Historical Orders'!$D288, "2", 'Historical Orders'!$C288, "B", 'Historical Orders'!$B288, "1")</f>
        <v>0</v>
      </c>
      <c r="S288" s="157">
        <f>SUMIFS('Historical Orders'!$G288, 'Historical Orders'!$D288, "2", 'Historical Orders'!$C288, "B", 'Historical Orders'!$B288, "1")</f>
        <v>0</v>
      </c>
      <c r="T288" s="159">
        <f>SUMIFS('Historical Orders'!$E288, 'Historical Orders'!$D288, "2", 'Historical Orders'!$C288, "A", 'Historical Orders'!$B288, "2")</f>
        <v>0</v>
      </c>
      <c r="U288" s="157">
        <f>SUMIFS('Historical Orders'!$G288, 'Historical Orders'!$D288, "2", 'Historical Orders'!$C288, "A", 'Historical Orders'!$B288, "2")</f>
        <v>0</v>
      </c>
      <c r="V288" s="159">
        <f>SUMIFS('Historical Orders'!$E288, 'Historical Orders'!$D288, "2", 'Historical Orders'!$C288, "B", 'Historical Orders'!$B288, "2")</f>
        <v>0</v>
      </c>
      <c r="W288" s="159">
        <f>SUMIFS('Historical Orders'!$G288, 'Historical Orders'!$D288, "2", 'Historical Orders'!$C288, "B", 'Historical Orders'!$B288, "2")</f>
        <v>0</v>
      </c>
      <c r="X288" s="159">
        <f>SUMIFS('Historical Orders'!$E288, 'Historical Orders'!$D288, "3", 'Historical Orders'!$C288, "A", 'Historical Orders'!$B288, "1")</f>
        <v>0</v>
      </c>
      <c r="Y288" s="159">
        <f>SUMIFS('Historical Orders'!$G288, 'Historical Orders'!$D288, "3", 'Historical Orders'!$C288, "A", 'Historical Orders'!$B288, "1")</f>
        <v>0</v>
      </c>
      <c r="Z288" s="159">
        <f>SUMIFS('Historical Orders'!$E288, 'Historical Orders'!$D288, "3", 'Historical Orders'!$C288, "B", 'Historical Orders'!$B288, "1")</f>
        <v>2181</v>
      </c>
      <c r="AA288" s="159">
        <f>SUMIFS('Historical Orders'!$G288, 'Historical Orders'!$D288, "3", 'Historical Orders'!$C288, "B", 'Historical Orders'!$B288, "1")</f>
        <v>18102.3</v>
      </c>
      <c r="AB288" s="159">
        <f>SUMIFS('Historical Orders'!$E288, 'Historical Orders'!$D288, "3", 'Historical Orders'!$C288, "A", 'Historical Orders'!$B288, "2")</f>
        <v>0</v>
      </c>
      <c r="AC288" s="159">
        <f>SUMIFS('Historical Orders'!$G288, 'Historical Orders'!$D288, "3", 'Historical Orders'!$C288, "A", 'Historical Orders'!$B288, "2")</f>
        <v>0</v>
      </c>
      <c r="AD288" s="159">
        <f>SUMIFS('Historical Orders'!$E288, 'Historical Orders'!$D288, "3", 'Historical Orders'!$C288, "B", 'Historical Orders'!$B288, "2")</f>
        <v>0</v>
      </c>
      <c r="AE288" s="157">
        <f>SUMIFS('Historical Orders'!$G288, 'Historical Orders'!$D288, "3", 'Historical Orders'!$C288, "B", 'Historical Orders'!$B288, "2")</f>
        <v>0</v>
      </c>
      <c r="AF288" s="157">
        <f>SUMIFS('Historical Orders'!$E288, 'Historical Orders'!$D288, "4", 'Historical Orders'!$C288, "A", 'Historical Orders'!$B288, "1")</f>
        <v>0</v>
      </c>
      <c r="AG288" s="157">
        <f>SUMIFS('Historical Orders'!$G288, 'Historical Orders'!$D288, "4", 'Historical Orders'!$C288, "A", 'Historical Orders'!$B288, "1")</f>
        <v>0</v>
      </c>
      <c r="AH288" s="157">
        <f>SUMIFS('Historical Orders'!$E288, 'Historical Orders'!$D288, "4", 'Historical Orders'!$C288, "B", 'Historical Orders'!$B288, "1")</f>
        <v>0</v>
      </c>
      <c r="AI288" s="157">
        <f>SUMIFS('Historical Orders'!$G288, 'Historical Orders'!$D288, "4", 'Historical Orders'!$C288, "B", 'Historical Orders'!$B288, "1")</f>
        <v>0</v>
      </c>
      <c r="AJ288" s="157">
        <f>SUMIFS('Historical Orders'!$E288, 'Historical Orders'!$D288, "4", 'Historical Orders'!$C288, "A", 'Historical Orders'!$B288, "2")</f>
        <v>0</v>
      </c>
      <c r="AK288" s="157">
        <f>SUMIFS('Historical Orders'!$G288, 'Historical Orders'!$D288, "4", 'Historical Orders'!$C288, "A", 'Historical Orders'!$B288, "2")</f>
        <v>0</v>
      </c>
      <c r="AL288" s="171">
        <f>SUMIFS('Historical Orders'!$E288, 'Historical Orders'!$D288, "4", 'Historical Orders'!$C288, "B", 'Historical Orders'!$B288, "2")</f>
        <v>0</v>
      </c>
      <c r="AM288" s="171">
        <f>SUMIFS('Historical Orders'!$G288, 'Historical Orders'!$D288, "4", 'Historical Orders'!$C288, "B", 'Historical Orders'!$B288, "2")</f>
        <v>0</v>
      </c>
      <c r="AN288" s="171">
        <f>SUMIFS('Historical Orders'!$G288, 'Historical Orders'!$C288, "A", 'Historical Orders'!$B288, "1")</f>
        <v>0</v>
      </c>
      <c r="AO288" s="171">
        <f>SUMIFS('Historical Orders'!$G288, 'Historical Orders'!$C288, "B", 'Historical Orders'!$B288, "1")</f>
        <v>18102.3</v>
      </c>
      <c r="AP288" s="171">
        <f>SUMIFS('Historical Orders'!$G288, 'Historical Orders'!$C288, "A", 'Historical Orders'!$B288, "2")</f>
        <v>0</v>
      </c>
      <c r="AQ288" s="171">
        <f>SUMIFS('Historical Orders'!$G288, 'Historical Orders'!$C288, "B", 'Historical Orders'!$B288, "2")</f>
        <v>0</v>
      </c>
      <c r="AR288" s="145"/>
      <c r="AS288" s="172"/>
      <c r="AT288" s="172"/>
      <c r="AU288" s="172"/>
      <c r="AV288" s="172"/>
      <c r="AW288" s="172"/>
      <c r="AX288" s="172"/>
      <c r="AY288" s="172"/>
      <c r="AZ288" s="172"/>
      <c r="BA288" s="172"/>
      <c r="BB288" s="172"/>
      <c r="BC288" s="172"/>
      <c r="BD288" s="172"/>
      <c r="BE288" s="172"/>
      <c r="BF288" s="172"/>
      <c r="BG288" s="172"/>
      <c r="BH288" s="172"/>
      <c r="BI288" s="172"/>
      <c r="BJ288" s="172"/>
      <c r="BK288" s="172"/>
      <c r="BL288" s="172"/>
      <c r="BM288" s="172"/>
      <c r="BN288" s="172"/>
      <c r="BO288" s="172"/>
      <c r="BP288" s="172"/>
      <c r="BQ288" s="172"/>
      <c r="BR288" s="172"/>
      <c r="BS288" s="172"/>
      <c r="BT288" s="172"/>
      <c r="BU288" s="172"/>
      <c r="BV288" s="179"/>
      <c r="BW288" s="179"/>
      <c r="BX288" s="179"/>
      <c r="BY288" s="179"/>
      <c r="BZ288" s="179"/>
      <c r="CA288" s="179"/>
      <c r="CB288" s="179"/>
      <c r="CC288" s="179"/>
      <c r="CD288" s="179"/>
      <c r="CE288" s="179"/>
    </row>
    <row r="289" ht="15.75" customHeight="1">
      <c r="A289" s="151">
        <v>42184.0</v>
      </c>
      <c r="B289" s="152">
        <v>2.0</v>
      </c>
      <c r="C289" s="152" t="s">
        <v>46</v>
      </c>
      <c r="D289" s="152">
        <v>3.0</v>
      </c>
      <c r="E289" s="153">
        <v>2683.0</v>
      </c>
      <c r="F289" s="154">
        <v>8.3</v>
      </c>
      <c r="G289" s="155">
        <v>22268.9</v>
      </c>
      <c r="H289" s="159">
        <f>SUMIFS('Historical Orders'!$E289, 'Historical Orders'!$D289, "1", 'Historical Orders'!$C289, "A", 'Historical Orders'!$B289, "1")</f>
        <v>0</v>
      </c>
      <c r="I289" s="157">
        <f>SUMIFS('Historical Orders'!$G289, 'Historical Orders'!$D289, "1", 'Historical Orders'!$C289, "A", 'Historical Orders'!$B289, "1")</f>
        <v>0</v>
      </c>
      <c r="J289" s="157">
        <f>SUMIFS('Historical Orders'!$E289, 'Historical Orders'!$D289, "1", 'Historical Orders'!$C289, "B", 'Historical Orders'!$B289, "1")</f>
        <v>0</v>
      </c>
      <c r="K289" s="157">
        <f>SUMIFS('Historical Orders'!$G289, 'Historical Orders'!$D289, "1", 'Historical Orders'!$C289, "B", 'Historical Orders'!$B289, "1")</f>
        <v>0</v>
      </c>
      <c r="L289" s="159">
        <f>SUMIFS('Historical Orders'!$E289, 'Historical Orders'!$D289, "1", 'Historical Orders'!$C289, "A", 'Historical Orders'!$B289, "2")</f>
        <v>0</v>
      </c>
      <c r="M289" s="157">
        <f>SUMIFS('Historical Orders'!$G289, 'Historical Orders'!$D289, "1", 'Historical Orders'!$C289, "A", 'Historical Orders'!$B289, "2")</f>
        <v>0</v>
      </c>
      <c r="N289" s="157">
        <f>SUMIFS('Historical Orders'!$E289, 'Historical Orders'!$D289, "1", 'Historical Orders'!$C289, "B", 'Historical Orders'!$B289, "2")</f>
        <v>0</v>
      </c>
      <c r="O289" s="157">
        <f>SUMIFS('Historical Orders'!$G289, 'Historical Orders'!$D289, "1", 'Historical Orders'!$C289, "B", 'Historical Orders'!$B289, "2")</f>
        <v>0</v>
      </c>
      <c r="P289" s="159">
        <f>SUMIFS('Historical Orders'!$E289, 'Historical Orders'!$D289, "2", 'Historical Orders'!$C289, "A", 'Historical Orders'!$B289, "1")</f>
        <v>0</v>
      </c>
      <c r="Q289" s="157">
        <f>SUMIFS('Historical Orders'!$G289, 'Historical Orders'!$D289, "2", 'Historical Orders'!$C289, "A", 'Historical Orders'!$B289, "1")</f>
        <v>0</v>
      </c>
      <c r="R289" s="159">
        <f>SUMIFS('Historical Orders'!$E289, 'Historical Orders'!$D289, "2", 'Historical Orders'!$C289, "B", 'Historical Orders'!$B289, "1")</f>
        <v>0</v>
      </c>
      <c r="S289" s="157">
        <f>SUMIFS('Historical Orders'!$G289, 'Historical Orders'!$D289, "2", 'Historical Orders'!$C289, "B", 'Historical Orders'!$B289, "1")</f>
        <v>0</v>
      </c>
      <c r="T289" s="159">
        <f>SUMIFS('Historical Orders'!$E289, 'Historical Orders'!$D289, "2", 'Historical Orders'!$C289, "A", 'Historical Orders'!$B289, "2")</f>
        <v>0</v>
      </c>
      <c r="U289" s="157">
        <f>SUMIFS('Historical Orders'!$G289, 'Historical Orders'!$D289, "2", 'Historical Orders'!$C289, "A", 'Historical Orders'!$B289, "2")</f>
        <v>0</v>
      </c>
      <c r="V289" s="159">
        <f>SUMIFS('Historical Orders'!$E289, 'Historical Orders'!$D289, "2", 'Historical Orders'!$C289, "B", 'Historical Orders'!$B289, "2")</f>
        <v>0</v>
      </c>
      <c r="W289" s="159">
        <f>SUMIFS('Historical Orders'!$G289, 'Historical Orders'!$D289, "2", 'Historical Orders'!$C289, "B", 'Historical Orders'!$B289, "2")</f>
        <v>0</v>
      </c>
      <c r="X289" s="159">
        <f>SUMIFS('Historical Orders'!$E289, 'Historical Orders'!$D289, "3", 'Historical Orders'!$C289, "A", 'Historical Orders'!$B289, "1")</f>
        <v>0</v>
      </c>
      <c r="Y289" s="159">
        <f>SUMIFS('Historical Orders'!$G289, 'Historical Orders'!$D289, "3", 'Historical Orders'!$C289, "A", 'Historical Orders'!$B289, "1")</f>
        <v>0</v>
      </c>
      <c r="Z289" s="159">
        <f>SUMIFS('Historical Orders'!$E289, 'Historical Orders'!$D289, "3", 'Historical Orders'!$C289, "B", 'Historical Orders'!$B289, "1")</f>
        <v>0</v>
      </c>
      <c r="AA289" s="159">
        <f>SUMIFS('Historical Orders'!$G289, 'Historical Orders'!$D289, "3", 'Historical Orders'!$C289, "B", 'Historical Orders'!$B289, "1")</f>
        <v>0</v>
      </c>
      <c r="AB289" s="159">
        <f>SUMIFS('Historical Orders'!$E289, 'Historical Orders'!$D289, "3", 'Historical Orders'!$C289, "A", 'Historical Orders'!$B289, "2")</f>
        <v>0</v>
      </c>
      <c r="AC289" s="159">
        <f>SUMIFS('Historical Orders'!$G289, 'Historical Orders'!$D289, "3", 'Historical Orders'!$C289, "A", 'Historical Orders'!$B289, "2")</f>
        <v>0</v>
      </c>
      <c r="AD289" s="159">
        <f>SUMIFS('Historical Orders'!$E289, 'Historical Orders'!$D289, "3", 'Historical Orders'!$C289, "B", 'Historical Orders'!$B289, "2")</f>
        <v>2683</v>
      </c>
      <c r="AE289" s="157">
        <f>SUMIFS('Historical Orders'!$G289, 'Historical Orders'!$D289, "3", 'Historical Orders'!$C289, "B", 'Historical Orders'!$B289, "2")</f>
        <v>22268.9</v>
      </c>
      <c r="AF289" s="157">
        <f>SUMIFS('Historical Orders'!$E289, 'Historical Orders'!$D289, "4", 'Historical Orders'!$C289, "A", 'Historical Orders'!$B289, "1")</f>
        <v>0</v>
      </c>
      <c r="AG289" s="157">
        <f>SUMIFS('Historical Orders'!$G289, 'Historical Orders'!$D289, "4", 'Historical Orders'!$C289, "A", 'Historical Orders'!$B289, "1")</f>
        <v>0</v>
      </c>
      <c r="AH289" s="157">
        <f>SUMIFS('Historical Orders'!$E289, 'Historical Orders'!$D289, "4", 'Historical Orders'!$C289, "B", 'Historical Orders'!$B289, "1")</f>
        <v>0</v>
      </c>
      <c r="AI289" s="157">
        <f>SUMIFS('Historical Orders'!$G289, 'Historical Orders'!$D289, "4", 'Historical Orders'!$C289, "B", 'Historical Orders'!$B289, "1")</f>
        <v>0</v>
      </c>
      <c r="AJ289" s="157">
        <f>SUMIFS('Historical Orders'!$E289, 'Historical Orders'!$D289, "4", 'Historical Orders'!$C289, "A", 'Historical Orders'!$B289, "2")</f>
        <v>0</v>
      </c>
      <c r="AK289" s="157">
        <f>SUMIFS('Historical Orders'!$G289, 'Historical Orders'!$D289, "4", 'Historical Orders'!$C289, "A", 'Historical Orders'!$B289, "2")</f>
        <v>0</v>
      </c>
      <c r="AL289" s="171">
        <f>SUMIFS('Historical Orders'!$E289, 'Historical Orders'!$D289, "4", 'Historical Orders'!$C289, "B", 'Historical Orders'!$B289, "2")</f>
        <v>0</v>
      </c>
      <c r="AM289" s="171">
        <f>SUMIFS('Historical Orders'!$G289, 'Historical Orders'!$D289, "4", 'Historical Orders'!$C289, "B", 'Historical Orders'!$B289, "2")</f>
        <v>0</v>
      </c>
      <c r="AN289" s="171">
        <f>SUMIFS('Historical Orders'!$G289, 'Historical Orders'!$C289, "A", 'Historical Orders'!$B289, "1")</f>
        <v>0</v>
      </c>
      <c r="AO289" s="171">
        <f>SUMIFS('Historical Orders'!$G289, 'Historical Orders'!$C289, "B", 'Historical Orders'!$B289, "1")</f>
        <v>0</v>
      </c>
      <c r="AP289" s="171">
        <f>SUMIFS('Historical Orders'!$G289, 'Historical Orders'!$C289, "A", 'Historical Orders'!$B289, "2")</f>
        <v>0</v>
      </c>
      <c r="AQ289" s="171">
        <f>SUMIFS('Historical Orders'!$G289, 'Historical Orders'!$C289, "B", 'Historical Orders'!$B289, "2")</f>
        <v>22268.9</v>
      </c>
      <c r="AR289" s="145"/>
      <c r="AS289" s="172"/>
      <c r="AT289" s="172"/>
      <c r="AU289" s="172"/>
      <c r="AV289" s="172"/>
      <c r="AW289" s="172"/>
      <c r="AX289" s="172"/>
      <c r="AY289" s="172"/>
      <c r="AZ289" s="172"/>
      <c r="BA289" s="172"/>
      <c r="BB289" s="172"/>
      <c r="BC289" s="172"/>
      <c r="BD289" s="172"/>
      <c r="BE289" s="172"/>
      <c r="BF289" s="172"/>
      <c r="BG289" s="172"/>
      <c r="BH289" s="172"/>
      <c r="BI289" s="172"/>
      <c r="BJ289" s="172"/>
      <c r="BK289" s="172"/>
      <c r="BL289" s="172"/>
      <c r="BM289" s="172"/>
      <c r="BN289" s="172"/>
      <c r="BO289" s="172"/>
      <c r="BP289" s="172"/>
      <c r="BQ289" s="172"/>
      <c r="BR289" s="172"/>
      <c r="BS289" s="172"/>
      <c r="BT289" s="172"/>
      <c r="BU289" s="172"/>
      <c r="BV289" s="179"/>
      <c r="BW289" s="179"/>
      <c r="BX289" s="179"/>
      <c r="BY289" s="179"/>
      <c r="BZ289" s="179"/>
      <c r="CA289" s="179"/>
      <c r="CB289" s="179"/>
      <c r="CC289" s="179"/>
      <c r="CD289" s="179"/>
      <c r="CE289" s="179"/>
    </row>
    <row r="290" ht="15.75" customHeight="1">
      <c r="A290" s="151">
        <v>42191.0</v>
      </c>
      <c r="B290" s="152">
        <v>1.0</v>
      </c>
      <c r="C290" s="152" t="s">
        <v>45</v>
      </c>
      <c r="D290" s="152">
        <v>1.0</v>
      </c>
      <c r="E290" s="153">
        <v>5835.0</v>
      </c>
      <c r="F290" s="154">
        <v>2.2</v>
      </c>
      <c r="G290" s="155">
        <v>12837.000000000002</v>
      </c>
      <c r="H290" s="159">
        <f>SUMIFS('Historical Orders'!$E290, 'Historical Orders'!$D290, "1", 'Historical Orders'!$C290, "A", 'Historical Orders'!$B290, "1")</f>
        <v>5835</v>
      </c>
      <c r="I290" s="157">
        <f>SUMIFS('Historical Orders'!$G290, 'Historical Orders'!$D290, "1", 'Historical Orders'!$C290, "A", 'Historical Orders'!$B290, "1")</f>
        <v>12837</v>
      </c>
      <c r="J290" s="157">
        <f>SUMIFS('Historical Orders'!$E290, 'Historical Orders'!$D290, "1", 'Historical Orders'!$C290, "B", 'Historical Orders'!$B290, "1")</f>
        <v>0</v>
      </c>
      <c r="K290" s="157">
        <f>SUMIFS('Historical Orders'!$G290, 'Historical Orders'!$D290, "1", 'Historical Orders'!$C290, "B", 'Historical Orders'!$B290, "1")</f>
        <v>0</v>
      </c>
      <c r="L290" s="159">
        <f>SUMIFS('Historical Orders'!$E290, 'Historical Orders'!$D290, "1", 'Historical Orders'!$C290, "A", 'Historical Orders'!$B290, "2")</f>
        <v>0</v>
      </c>
      <c r="M290" s="157">
        <f>SUMIFS('Historical Orders'!$G290, 'Historical Orders'!$D290, "1", 'Historical Orders'!$C290, "A", 'Historical Orders'!$B290, "2")</f>
        <v>0</v>
      </c>
      <c r="N290" s="157">
        <f>SUMIFS('Historical Orders'!$E290, 'Historical Orders'!$D290, "1", 'Historical Orders'!$C290, "B", 'Historical Orders'!$B290, "2")</f>
        <v>0</v>
      </c>
      <c r="O290" s="157">
        <f>SUMIFS('Historical Orders'!$G290, 'Historical Orders'!$D290, "1", 'Historical Orders'!$C290, "B", 'Historical Orders'!$B290, "2")</f>
        <v>0</v>
      </c>
      <c r="P290" s="159">
        <f>SUMIFS('Historical Orders'!$E290, 'Historical Orders'!$D290, "2", 'Historical Orders'!$C290, "A", 'Historical Orders'!$B290, "1")</f>
        <v>0</v>
      </c>
      <c r="Q290" s="157">
        <f>SUMIFS('Historical Orders'!$G290, 'Historical Orders'!$D290, "2", 'Historical Orders'!$C290, "A", 'Historical Orders'!$B290, "1")</f>
        <v>0</v>
      </c>
      <c r="R290" s="159">
        <f>SUMIFS('Historical Orders'!$E290, 'Historical Orders'!$D290, "2", 'Historical Orders'!$C290, "B", 'Historical Orders'!$B290, "1")</f>
        <v>0</v>
      </c>
      <c r="S290" s="157">
        <f>SUMIFS('Historical Orders'!$G290, 'Historical Orders'!$D290, "2", 'Historical Orders'!$C290, "B", 'Historical Orders'!$B290, "1")</f>
        <v>0</v>
      </c>
      <c r="T290" s="159">
        <f>SUMIFS('Historical Orders'!$E290, 'Historical Orders'!$D290, "2", 'Historical Orders'!$C290, "A", 'Historical Orders'!$B290, "2")</f>
        <v>0</v>
      </c>
      <c r="U290" s="157">
        <f>SUMIFS('Historical Orders'!$G290, 'Historical Orders'!$D290, "2", 'Historical Orders'!$C290, "A", 'Historical Orders'!$B290, "2")</f>
        <v>0</v>
      </c>
      <c r="V290" s="159">
        <f>SUMIFS('Historical Orders'!$E290, 'Historical Orders'!$D290, "2", 'Historical Orders'!$C290, "B", 'Historical Orders'!$B290, "2")</f>
        <v>0</v>
      </c>
      <c r="W290" s="159">
        <f>SUMIFS('Historical Orders'!$G290, 'Historical Orders'!$D290, "2", 'Historical Orders'!$C290, "B", 'Historical Orders'!$B290, "2")</f>
        <v>0</v>
      </c>
      <c r="X290" s="159">
        <f>SUMIFS('Historical Orders'!$E290, 'Historical Orders'!$D290, "3", 'Historical Orders'!$C290, "A", 'Historical Orders'!$B290, "1")</f>
        <v>0</v>
      </c>
      <c r="Y290" s="159">
        <f>SUMIFS('Historical Orders'!$G290, 'Historical Orders'!$D290, "3", 'Historical Orders'!$C290, "A", 'Historical Orders'!$B290, "1")</f>
        <v>0</v>
      </c>
      <c r="Z290" s="159">
        <f>SUMIFS('Historical Orders'!$E290, 'Historical Orders'!$D290, "3", 'Historical Orders'!$C290, "B", 'Historical Orders'!$B290, "1")</f>
        <v>0</v>
      </c>
      <c r="AA290" s="159">
        <f>SUMIFS('Historical Orders'!$G290, 'Historical Orders'!$D290, "3", 'Historical Orders'!$C290, "B", 'Historical Orders'!$B290, "1")</f>
        <v>0</v>
      </c>
      <c r="AB290" s="159">
        <f>SUMIFS('Historical Orders'!$E290, 'Historical Orders'!$D290, "3", 'Historical Orders'!$C290, "A", 'Historical Orders'!$B290, "2")</f>
        <v>0</v>
      </c>
      <c r="AC290" s="159">
        <f>SUMIFS('Historical Orders'!$G290, 'Historical Orders'!$D290, "3", 'Historical Orders'!$C290, "A", 'Historical Orders'!$B290, "2")</f>
        <v>0</v>
      </c>
      <c r="AD290" s="159">
        <f>SUMIFS('Historical Orders'!$E290, 'Historical Orders'!$D290, "3", 'Historical Orders'!$C290, "B", 'Historical Orders'!$B290, "2")</f>
        <v>0</v>
      </c>
      <c r="AE290" s="157">
        <f>SUMIFS('Historical Orders'!$G290, 'Historical Orders'!$D290, "3", 'Historical Orders'!$C290, "B", 'Historical Orders'!$B290, "2")</f>
        <v>0</v>
      </c>
      <c r="AF290" s="157">
        <f>SUMIFS('Historical Orders'!$E290, 'Historical Orders'!$D290, "4", 'Historical Orders'!$C290, "A", 'Historical Orders'!$B290, "1")</f>
        <v>0</v>
      </c>
      <c r="AG290" s="157">
        <f>SUMIFS('Historical Orders'!$G290, 'Historical Orders'!$D290, "4", 'Historical Orders'!$C290, "A", 'Historical Orders'!$B290, "1")</f>
        <v>0</v>
      </c>
      <c r="AH290" s="157">
        <f>SUMIFS('Historical Orders'!$E290, 'Historical Orders'!$D290, "4", 'Historical Orders'!$C290, "B", 'Historical Orders'!$B290, "1")</f>
        <v>0</v>
      </c>
      <c r="AI290" s="157">
        <f>SUMIFS('Historical Orders'!$G290, 'Historical Orders'!$D290, "4", 'Historical Orders'!$C290, "B", 'Historical Orders'!$B290, "1")</f>
        <v>0</v>
      </c>
      <c r="AJ290" s="157">
        <f>SUMIFS('Historical Orders'!$E290, 'Historical Orders'!$D290, "4", 'Historical Orders'!$C290, "A", 'Historical Orders'!$B290, "2")</f>
        <v>0</v>
      </c>
      <c r="AK290" s="157">
        <f>SUMIFS('Historical Orders'!$G290, 'Historical Orders'!$D290, "4", 'Historical Orders'!$C290, "A", 'Historical Orders'!$B290, "2")</f>
        <v>0</v>
      </c>
      <c r="AL290" s="171">
        <f>SUMIFS('Historical Orders'!$E290, 'Historical Orders'!$D290, "4", 'Historical Orders'!$C290, "B", 'Historical Orders'!$B290, "2")</f>
        <v>0</v>
      </c>
      <c r="AM290" s="171">
        <f>SUMIFS('Historical Orders'!$G290, 'Historical Orders'!$D290, "4", 'Historical Orders'!$C290, "B", 'Historical Orders'!$B290, "2")</f>
        <v>0</v>
      </c>
      <c r="AN290" s="171">
        <f>SUMIFS('Historical Orders'!$G290, 'Historical Orders'!$C290, "A", 'Historical Orders'!$B290, "1")</f>
        <v>12837</v>
      </c>
      <c r="AO290" s="171">
        <f>SUMIFS('Historical Orders'!$G290, 'Historical Orders'!$C290, "B", 'Historical Orders'!$B290, "1")</f>
        <v>0</v>
      </c>
      <c r="AP290" s="171">
        <f>SUMIFS('Historical Orders'!$G290, 'Historical Orders'!$C290, "A", 'Historical Orders'!$B290, "2")</f>
        <v>0</v>
      </c>
      <c r="AQ290" s="171">
        <f>SUMIFS('Historical Orders'!$G290, 'Historical Orders'!$C290, "B", 'Historical Orders'!$B290, "2")</f>
        <v>0</v>
      </c>
      <c r="AR290" s="145"/>
      <c r="AS290" s="172"/>
      <c r="AT290" s="172"/>
      <c r="AU290" s="172"/>
      <c r="AV290" s="172"/>
      <c r="AW290" s="172"/>
      <c r="AX290" s="172"/>
      <c r="AY290" s="172"/>
      <c r="AZ290" s="172"/>
      <c r="BA290" s="172"/>
      <c r="BB290" s="172"/>
      <c r="BC290" s="172"/>
      <c r="BD290" s="172"/>
      <c r="BE290" s="172"/>
      <c r="BF290" s="172"/>
      <c r="BG290" s="172"/>
      <c r="BH290" s="172"/>
      <c r="BI290" s="172"/>
      <c r="BJ290" s="172"/>
      <c r="BK290" s="172"/>
      <c r="BL290" s="172"/>
      <c r="BM290" s="172"/>
      <c r="BN290" s="172"/>
      <c r="BO290" s="172"/>
      <c r="BP290" s="172"/>
      <c r="BQ290" s="172"/>
      <c r="BR290" s="172"/>
      <c r="BS290" s="172"/>
      <c r="BT290" s="172"/>
      <c r="BU290" s="172"/>
      <c r="BV290" s="179"/>
      <c r="BW290" s="179"/>
      <c r="BX290" s="179"/>
      <c r="BY290" s="179"/>
      <c r="BZ290" s="179"/>
      <c r="CA290" s="179"/>
      <c r="CB290" s="179"/>
      <c r="CC290" s="179"/>
      <c r="CD290" s="179"/>
      <c r="CE290" s="179"/>
    </row>
    <row r="291" ht="15.75" customHeight="1">
      <c r="A291" s="151">
        <v>42191.0</v>
      </c>
      <c r="B291" s="152">
        <v>1.0</v>
      </c>
      <c r="C291" s="152" t="s">
        <v>45</v>
      </c>
      <c r="D291" s="152">
        <v>2.0</v>
      </c>
      <c r="E291" s="153">
        <v>6447.0</v>
      </c>
      <c r="F291" s="154">
        <v>1.2</v>
      </c>
      <c r="G291" s="155">
        <v>7736.4</v>
      </c>
      <c r="H291" s="159">
        <f>SUMIFS('Historical Orders'!$E291, 'Historical Orders'!$D291, "1", 'Historical Orders'!$C291, "A", 'Historical Orders'!$B291, "1")</f>
        <v>0</v>
      </c>
      <c r="I291" s="157">
        <f>SUMIFS('Historical Orders'!$G291, 'Historical Orders'!$D291, "1", 'Historical Orders'!$C291, "A", 'Historical Orders'!$B291, "1")</f>
        <v>0</v>
      </c>
      <c r="J291" s="157">
        <f>SUMIFS('Historical Orders'!$E291, 'Historical Orders'!$D291, "1", 'Historical Orders'!$C291, "B", 'Historical Orders'!$B291, "1")</f>
        <v>0</v>
      </c>
      <c r="K291" s="157">
        <f>SUMIFS('Historical Orders'!$G291, 'Historical Orders'!$D291, "1", 'Historical Orders'!$C291, "B", 'Historical Orders'!$B291, "1")</f>
        <v>0</v>
      </c>
      <c r="L291" s="159">
        <f>SUMIFS('Historical Orders'!$E291, 'Historical Orders'!$D291, "1", 'Historical Orders'!$C291, "A", 'Historical Orders'!$B291, "2")</f>
        <v>0</v>
      </c>
      <c r="M291" s="157">
        <f>SUMIFS('Historical Orders'!$G291, 'Historical Orders'!$D291, "1", 'Historical Orders'!$C291, "A", 'Historical Orders'!$B291, "2")</f>
        <v>0</v>
      </c>
      <c r="N291" s="157">
        <f>SUMIFS('Historical Orders'!$E291, 'Historical Orders'!$D291, "1", 'Historical Orders'!$C291, "B", 'Historical Orders'!$B291, "2")</f>
        <v>0</v>
      </c>
      <c r="O291" s="157">
        <f>SUMIFS('Historical Orders'!$G291, 'Historical Orders'!$D291, "1", 'Historical Orders'!$C291, "B", 'Historical Orders'!$B291, "2")</f>
        <v>0</v>
      </c>
      <c r="P291" s="159">
        <f>SUMIFS('Historical Orders'!$E291, 'Historical Orders'!$D291, "2", 'Historical Orders'!$C291, "A", 'Historical Orders'!$B291, "1")</f>
        <v>6447</v>
      </c>
      <c r="Q291" s="157">
        <f>SUMIFS('Historical Orders'!$G291, 'Historical Orders'!$D291, "2", 'Historical Orders'!$C291, "A", 'Historical Orders'!$B291, "1")</f>
        <v>7736.4</v>
      </c>
      <c r="R291" s="159">
        <f>SUMIFS('Historical Orders'!$E291, 'Historical Orders'!$D291, "2", 'Historical Orders'!$C291, "B", 'Historical Orders'!$B291, "1")</f>
        <v>0</v>
      </c>
      <c r="S291" s="157">
        <f>SUMIFS('Historical Orders'!$G291, 'Historical Orders'!$D291, "2", 'Historical Orders'!$C291, "B", 'Historical Orders'!$B291, "1")</f>
        <v>0</v>
      </c>
      <c r="T291" s="159">
        <f>SUMIFS('Historical Orders'!$E291, 'Historical Orders'!$D291, "2", 'Historical Orders'!$C291, "A", 'Historical Orders'!$B291, "2")</f>
        <v>0</v>
      </c>
      <c r="U291" s="157">
        <f>SUMIFS('Historical Orders'!$G291, 'Historical Orders'!$D291, "2", 'Historical Orders'!$C291, "A", 'Historical Orders'!$B291, "2")</f>
        <v>0</v>
      </c>
      <c r="V291" s="159">
        <f>SUMIFS('Historical Orders'!$E291, 'Historical Orders'!$D291, "2", 'Historical Orders'!$C291, "B", 'Historical Orders'!$B291, "2")</f>
        <v>0</v>
      </c>
      <c r="W291" s="159">
        <f>SUMIFS('Historical Orders'!$G291, 'Historical Orders'!$D291, "2", 'Historical Orders'!$C291, "B", 'Historical Orders'!$B291, "2")</f>
        <v>0</v>
      </c>
      <c r="X291" s="159">
        <f>SUMIFS('Historical Orders'!$E291, 'Historical Orders'!$D291, "3", 'Historical Orders'!$C291, "A", 'Historical Orders'!$B291, "1")</f>
        <v>0</v>
      </c>
      <c r="Y291" s="159">
        <f>SUMIFS('Historical Orders'!$G291, 'Historical Orders'!$D291, "3", 'Historical Orders'!$C291, "A", 'Historical Orders'!$B291, "1")</f>
        <v>0</v>
      </c>
      <c r="Z291" s="159">
        <f>SUMIFS('Historical Orders'!$E291, 'Historical Orders'!$D291, "3", 'Historical Orders'!$C291, "B", 'Historical Orders'!$B291, "1")</f>
        <v>0</v>
      </c>
      <c r="AA291" s="159">
        <f>SUMIFS('Historical Orders'!$G291, 'Historical Orders'!$D291, "3", 'Historical Orders'!$C291, "B", 'Historical Orders'!$B291, "1")</f>
        <v>0</v>
      </c>
      <c r="AB291" s="159">
        <f>SUMIFS('Historical Orders'!$E291, 'Historical Orders'!$D291, "3", 'Historical Orders'!$C291, "A", 'Historical Orders'!$B291, "2")</f>
        <v>0</v>
      </c>
      <c r="AC291" s="159">
        <f>SUMIFS('Historical Orders'!$G291, 'Historical Orders'!$D291, "3", 'Historical Orders'!$C291, "A", 'Historical Orders'!$B291, "2")</f>
        <v>0</v>
      </c>
      <c r="AD291" s="159">
        <f>SUMIFS('Historical Orders'!$E291, 'Historical Orders'!$D291, "3", 'Historical Orders'!$C291, "B", 'Historical Orders'!$B291, "2")</f>
        <v>0</v>
      </c>
      <c r="AE291" s="157">
        <f>SUMIFS('Historical Orders'!$G291, 'Historical Orders'!$D291, "3", 'Historical Orders'!$C291, "B", 'Historical Orders'!$B291, "2")</f>
        <v>0</v>
      </c>
      <c r="AF291" s="157">
        <f>SUMIFS('Historical Orders'!$E291, 'Historical Orders'!$D291, "4", 'Historical Orders'!$C291, "A", 'Historical Orders'!$B291, "1")</f>
        <v>0</v>
      </c>
      <c r="AG291" s="157">
        <f>SUMIFS('Historical Orders'!$G291, 'Historical Orders'!$D291, "4", 'Historical Orders'!$C291, "A", 'Historical Orders'!$B291, "1")</f>
        <v>0</v>
      </c>
      <c r="AH291" s="157">
        <f>SUMIFS('Historical Orders'!$E291, 'Historical Orders'!$D291, "4", 'Historical Orders'!$C291, "B", 'Historical Orders'!$B291, "1")</f>
        <v>0</v>
      </c>
      <c r="AI291" s="157">
        <f>SUMIFS('Historical Orders'!$G291, 'Historical Orders'!$D291, "4", 'Historical Orders'!$C291, "B", 'Historical Orders'!$B291, "1")</f>
        <v>0</v>
      </c>
      <c r="AJ291" s="157">
        <f>SUMIFS('Historical Orders'!$E291, 'Historical Orders'!$D291, "4", 'Historical Orders'!$C291, "A", 'Historical Orders'!$B291, "2")</f>
        <v>0</v>
      </c>
      <c r="AK291" s="157">
        <f>SUMIFS('Historical Orders'!$G291, 'Historical Orders'!$D291, "4", 'Historical Orders'!$C291, "A", 'Historical Orders'!$B291, "2")</f>
        <v>0</v>
      </c>
      <c r="AL291" s="171">
        <f>SUMIFS('Historical Orders'!$E291, 'Historical Orders'!$D291, "4", 'Historical Orders'!$C291, "B", 'Historical Orders'!$B291, "2")</f>
        <v>0</v>
      </c>
      <c r="AM291" s="171">
        <f>SUMIFS('Historical Orders'!$G291, 'Historical Orders'!$D291, "4", 'Historical Orders'!$C291, "B", 'Historical Orders'!$B291, "2")</f>
        <v>0</v>
      </c>
      <c r="AN291" s="171">
        <f>SUMIFS('Historical Orders'!$G291, 'Historical Orders'!$C291, "A", 'Historical Orders'!$B291, "1")</f>
        <v>7736.4</v>
      </c>
      <c r="AO291" s="171">
        <f>SUMIFS('Historical Orders'!$G291, 'Historical Orders'!$C291, "B", 'Historical Orders'!$B291, "1")</f>
        <v>0</v>
      </c>
      <c r="AP291" s="171">
        <f>SUMIFS('Historical Orders'!$G291, 'Historical Orders'!$C291, "A", 'Historical Orders'!$B291, "2")</f>
        <v>0</v>
      </c>
      <c r="AQ291" s="171">
        <f>SUMIFS('Historical Orders'!$G291, 'Historical Orders'!$C291, "B", 'Historical Orders'!$B291, "2")</f>
        <v>0</v>
      </c>
      <c r="AR291" s="145"/>
      <c r="AS291" s="172"/>
      <c r="AT291" s="172"/>
      <c r="AU291" s="172"/>
      <c r="AV291" s="172"/>
      <c r="AW291" s="172"/>
      <c r="AX291" s="172"/>
      <c r="AY291" s="172"/>
      <c r="AZ291" s="172"/>
      <c r="BA291" s="172"/>
      <c r="BB291" s="172"/>
      <c r="BC291" s="172"/>
      <c r="BD291" s="172"/>
      <c r="BE291" s="172"/>
      <c r="BF291" s="172"/>
      <c r="BG291" s="172"/>
      <c r="BH291" s="172"/>
      <c r="BI291" s="172"/>
      <c r="BJ291" s="172"/>
      <c r="BK291" s="172"/>
      <c r="BL291" s="172"/>
      <c r="BM291" s="172"/>
      <c r="BN291" s="172"/>
      <c r="BO291" s="172"/>
      <c r="BP291" s="172"/>
      <c r="BQ291" s="172"/>
      <c r="BR291" s="172"/>
      <c r="BS291" s="172"/>
      <c r="BT291" s="172"/>
      <c r="BU291" s="172"/>
      <c r="BV291" s="179"/>
      <c r="BW291" s="179"/>
      <c r="BX291" s="179"/>
      <c r="BY291" s="179"/>
      <c r="BZ291" s="179"/>
      <c r="CA291" s="179"/>
      <c r="CB291" s="179"/>
      <c r="CC291" s="179"/>
      <c r="CD291" s="179"/>
      <c r="CE291" s="179"/>
    </row>
    <row r="292" ht="15.75" customHeight="1">
      <c r="A292" s="151">
        <v>42191.0</v>
      </c>
      <c r="B292" s="152">
        <v>2.0</v>
      </c>
      <c r="C292" s="152" t="s">
        <v>45</v>
      </c>
      <c r="D292" s="152">
        <v>1.0</v>
      </c>
      <c r="E292" s="153">
        <v>4945.0</v>
      </c>
      <c r="F292" s="154">
        <v>2.2</v>
      </c>
      <c r="G292" s="155">
        <v>10879.0</v>
      </c>
      <c r="H292" s="159">
        <f>SUMIFS('Historical Orders'!$E292, 'Historical Orders'!$D292, "1", 'Historical Orders'!$C292, "A", 'Historical Orders'!$B292, "1")</f>
        <v>0</v>
      </c>
      <c r="I292" s="157">
        <f>SUMIFS('Historical Orders'!$G292, 'Historical Orders'!$D292, "1", 'Historical Orders'!$C292, "A", 'Historical Orders'!$B292, "1")</f>
        <v>0</v>
      </c>
      <c r="J292" s="157">
        <f>SUMIFS('Historical Orders'!$E292, 'Historical Orders'!$D292, "1", 'Historical Orders'!$C292, "B", 'Historical Orders'!$B292, "1")</f>
        <v>0</v>
      </c>
      <c r="K292" s="157">
        <f>SUMIFS('Historical Orders'!$G292, 'Historical Orders'!$D292, "1", 'Historical Orders'!$C292, "B", 'Historical Orders'!$B292, "1")</f>
        <v>0</v>
      </c>
      <c r="L292" s="159">
        <f>SUMIFS('Historical Orders'!$E292, 'Historical Orders'!$D292, "1", 'Historical Orders'!$C292, "A", 'Historical Orders'!$B292, "2")</f>
        <v>4945</v>
      </c>
      <c r="M292" s="157">
        <f>SUMIFS('Historical Orders'!$G292, 'Historical Orders'!$D292, "1", 'Historical Orders'!$C292, "A", 'Historical Orders'!$B292, "2")</f>
        <v>10879</v>
      </c>
      <c r="N292" s="157">
        <f>SUMIFS('Historical Orders'!$E292, 'Historical Orders'!$D292, "1", 'Historical Orders'!$C292, "B", 'Historical Orders'!$B292, "2")</f>
        <v>0</v>
      </c>
      <c r="O292" s="157">
        <f>SUMIFS('Historical Orders'!$G292, 'Historical Orders'!$D292, "1", 'Historical Orders'!$C292, "B", 'Historical Orders'!$B292, "2")</f>
        <v>0</v>
      </c>
      <c r="P292" s="159">
        <f>SUMIFS('Historical Orders'!$E292, 'Historical Orders'!$D292, "2", 'Historical Orders'!$C292, "A", 'Historical Orders'!$B292, "1")</f>
        <v>0</v>
      </c>
      <c r="Q292" s="157">
        <f>SUMIFS('Historical Orders'!$G292, 'Historical Orders'!$D292, "2", 'Historical Orders'!$C292, "A", 'Historical Orders'!$B292, "1")</f>
        <v>0</v>
      </c>
      <c r="R292" s="159">
        <f>SUMIFS('Historical Orders'!$E292, 'Historical Orders'!$D292, "2", 'Historical Orders'!$C292, "B", 'Historical Orders'!$B292, "1")</f>
        <v>0</v>
      </c>
      <c r="S292" s="157">
        <f>SUMIFS('Historical Orders'!$G292, 'Historical Orders'!$D292, "2", 'Historical Orders'!$C292, "B", 'Historical Orders'!$B292, "1")</f>
        <v>0</v>
      </c>
      <c r="T292" s="159">
        <f>SUMIFS('Historical Orders'!$E292, 'Historical Orders'!$D292, "2", 'Historical Orders'!$C292, "A", 'Historical Orders'!$B292, "2")</f>
        <v>0</v>
      </c>
      <c r="U292" s="157">
        <f>SUMIFS('Historical Orders'!$G292, 'Historical Orders'!$D292, "2", 'Historical Orders'!$C292, "A", 'Historical Orders'!$B292, "2")</f>
        <v>0</v>
      </c>
      <c r="V292" s="159">
        <f>SUMIFS('Historical Orders'!$E292, 'Historical Orders'!$D292, "2", 'Historical Orders'!$C292, "B", 'Historical Orders'!$B292, "2")</f>
        <v>0</v>
      </c>
      <c r="W292" s="159">
        <f>SUMIFS('Historical Orders'!$G292, 'Historical Orders'!$D292, "2", 'Historical Orders'!$C292, "B", 'Historical Orders'!$B292, "2")</f>
        <v>0</v>
      </c>
      <c r="X292" s="159">
        <f>SUMIFS('Historical Orders'!$E292, 'Historical Orders'!$D292, "3", 'Historical Orders'!$C292, "A", 'Historical Orders'!$B292, "1")</f>
        <v>0</v>
      </c>
      <c r="Y292" s="159">
        <f>SUMIFS('Historical Orders'!$G292, 'Historical Orders'!$D292, "3", 'Historical Orders'!$C292, "A", 'Historical Orders'!$B292, "1")</f>
        <v>0</v>
      </c>
      <c r="Z292" s="159">
        <f>SUMIFS('Historical Orders'!$E292, 'Historical Orders'!$D292, "3", 'Historical Orders'!$C292, "B", 'Historical Orders'!$B292, "1")</f>
        <v>0</v>
      </c>
      <c r="AA292" s="159">
        <f>SUMIFS('Historical Orders'!$G292, 'Historical Orders'!$D292, "3", 'Historical Orders'!$C292, "B", 'Historical Orders'!$B292, "1")</f>
        <v>0</v>
      </c>
      <c r="AB292" s="159">
        <f>SUMIFS('Historical Orders'!$E292, 'Historical Orders'!$D292, "3", 'Historical Orders'!$C292, "A", 'Historical Orders'!$B292, "2")</f>
        <v>0</v>
      </c>
      <c r="AC292" s="159">
        <f>SUMIFS('Historical Orders'!$G292, 'Historical Orders'!$D292, "3", 'Historical Orders'!$C292, "A", 'Historical Orders'!$B292, "2")</f>
        <v>0</v>
      </c>
      <c r="AD292" s="159">
        <f>SUMIFS('Historical Orders'!$E292, 'Historical Orders'!$D292, "3", 'Historical Orders'!$C292, "B", 'Historical Orders'!$B292, "2")</f>
        <v>0</v>
      </c>
      <c r="AE292" s="157">
        <f>SUMIFS('Historical Orders'!$G292, 'Historical Orders'!$D292, "3", 'Historical Orders'!$C292, "B", 'Historical Orders'!$B292, "2")</f>
        <v>0</v>
      </c>
      <c r="AF292" s="157">
        <f>SUMIFS('Historical Orders'!$E292, 'Historical Orders'!$D292, "4", 'Historical Orders'!$C292, "A", 'Historical Orders'!$B292, "1")</f>
        <v>0</v>
      </c>
      <c r="AG292" s="157">
        <f>SUMIFS('Historical Orders'!$G292, 'Historical Orders'!$D292, "4", 'Historical Orders'!$C292, "A", 'Historical Orders'!$B292, "1")</f>
        <v>0</v>
      </c>
      <c r="AH292" s="157">
        <f>SUMIFS('Historical Orders'!$E292, 'Historical Orders'!$D292, "4", 'Historical Orders'!$C292, "B", 'Historical Orders'!$B292, "1")</f>
        <v>0</v>
      </c>
      <c r="AI292" s="157">
        <f>SUMIFS('Historical Orders'!$G292, 'Historical Orders'!$D292, "4", 'Historical Orders'!$C292, "B", 'Historical Orders'!$B292, "1")</f>
        <v>0</v>
      </c>
      <c r="AJ292" s="157">
        <f>SUMIFS('Historical Orders'!$E292, 'Historical Orders'!$D292, "4", 'Historical Orders'!$C292, "A", 'Historical Orders'!$B292, "2")</f>
        <v>0</v>
      </c>
      <c r="AK292" s="157">
        <f>SUMIFS('Historical Orders'!$G292, 'Historical Orders'!$D292, "4", 'Historical Orders'!$C292, "A", 'Historical Orders'!$B292, "2")</f>
        <v>0</v>
      </c>
      <c r="AL292" s="171">
        <f>SUMIFS('Historical Orders'!$E292, 'Historical Orders'!$D292, "4", 'Historical Orders'!$C292, "B", 'Historical Orders'!$B292, "2")</f>
        <v>0</v>
      </c>
      <c r="AM292" s="171">
        <f>SUMIFS('Historical Orders'!$G292, 'Historical Orders'!$D292, "4", 'Historical Orders'!$C292, "B", 'Historical Orders'!$B292, "2")</f>
        <v>0</v>
      </c>
      <c r="AN292" s="171">
        <f>SUMIFS('Historical Orders'!$G292, 'Historical Orders'!$C292, "A", 'Historical Orders'!$B292, "1")</f>
        <v>0</v>
      </c>
      <c r="AO292" s="171">
        <f>SUMIFS('Historical Orders'!$G292, 'Historical Orders'!$C292, "B", 'Historical Orders'!$B292, "1")</f>
        <v>0</v>
      </c>
      <c r="AP292" s="171">
        <f>SUMIFS('Historical Orders'!$G292, 'Historical Orders'!$C292, "A", 'Historical Orders'!$B292, "2")</f>
        <v>10879</v>
      </c>
      <c r="AQ292" s="171">
        <f>SUMIFS('Historical Orders'!$G292, 'Historical Orders'!$C292, "B", 'Historical Orders'!$B292, "2")</f>
        <v>0</v>
      </c>
      <c r="AR292" s="145"/>
      <c r="AS292" s="172"/>
      <c r="AT292" s="172"/>
      <c r="AU292" s="172"/>
      <c r="AV292" s="172"/>
      <c r="AW292" s="172"/>
      <c r="AX292" s="172"/>
      <c r="AY292" s="172"/>
      <c r="AZ292" s="172"/>
      <c r="BA292" s="172"/>
      <c r="BB292" s="172"/>
      <c r="BC292" s="172"/>
      <c r="BD292" s="172"/>
      <c r="BE292" s="172"/>
      <c r="BF292" s="172"/>
      <c r="BG292" s="172"/>
      <c r="BH292" s="172"/>
      <c r="BI292" s="172"/>
      <c r="BJ292" s="172"/>
      <c r="BK292" s="172"/>
      <c r="BL292" s="172"/>
      <c r="BM292" s="172"/>
      <c r="BN292" s="172"/>
      <c r="BO292" s="172"/>
      <c r="BP292" s="172"/>
      <c r="BQ292" s="172"/>
      <c r="BR292" s="172"/>
      <c r="BS292" s="172"/>
      <c r="BT292" s="172"/>
      <c r="BU292" s="172"/>
      <c r="BV292" s="179"/>
      <c r="BW292" s="179"/>
      <c r="BX292" s="179"/>
      <c r="BY292" s="179"/>
      <c r="BZ292" s="179"/>
      <c r="CA292" s="179"/>
      <c r="CB292" s="179"/>
      <c r="CC292" s="179"/>
      <c r="CD292" s="179"/>
      <c r="CE292" s="179"/>
    </row>
    <row r="293" ht="15.75" customHeight="1">
      <c r="A293" s="151">
        <v>42191.0</v>
      </c>
      <c r="B293" s="152">
        <v>2.0</v>
      </c>
      <c r="C293" s="152" t="s">
        <v>45</v>
      </c>
      <c r="D293" s="152">
        <v>2.0</v>
      </c>
      <c r="E293" s="153">
        <v>6325.0</v>
      </c>
      <c r="F293" s="154">
        <v>1.2</v>
      </c>
      <c r="G293" s="155">
        <v>7590.0</v>
      </c>
      <c r="H293" s="159">
        <f>SUMIFS('Historical Orders'!$E293, 'Historical Orders'!$D293, "1", 'Historical Orders'!$C293, "A", 'Historical Orders'!$B293, "1")</f>
        <v>0</v>
      </c>
      <c r="I293" s="157">
        <f>SUMIFS('Historical Orders'!$G293, 'Historical Orders'!$D293, "1", 'Historical Orders'!$C293, "A", 'Historical Orders'!$B293, "1")</f>
        <v>0</v>
      </c>
      <c r="J293" s="157">
        <f>SUMIFS('Historical Orders'!$E293, 'Historical Orders'!$D293, "1", 'Historical Orders'!$C293, "B", 'Historical Orders'!$B293, "1")</f>
        <v>0</v>
      </c>
      <c r="K293" s="157">
        <f>SUMIFS('Historical Orders'!$G293, 'Historical Orders'!$D293, "1", 'Historical Orders'!$C293, "B", 'Historical Orders'!$B293, "1")</f>
        <v>0</v>
      </c>
      <c r="L293" s="159">
        <f>SUMIFS('Historical Orders'!$E293, 'Historical Orders'!$D293, "1", 'Historical Orders'!$C293, "A", 'Historical Orders'!$B293, "2")</f>
        <v>0</v>
      </c>
      <c r="M293" s="157">
        <f>SUMIFS('Historical Orders'!$G293, 'Historical Orders'!$D293, "1", 'Historical Orders'!$C293, "A", 'Historical Orders'!$B293, "2")</f>
        <v>0</v>
      </c>
      <c r="N293" s="157">
        <f>SUMIFS('Historical Orders'!$E293, 'Historical Orders'!$D293, "1", 'Historical Orders'!$C293, "B", 'Historical Orders'!$B293, "2")</f>
        <v>0</v>
      </c>
      <c r="O293" s="157">
        <f>SUMIFS('Historical Orders'!$G293, 'Historical Orders'!$D293, "1", 'Historical Orders'!$C293, "B", 'Historical Orders'!$B293, "2")</f>
        <v>0</v>
      </c>
      <c r="P293" s="159">
        <f>SUMIFS('Historical Orders'!$E293, 'Historical Orders'!$D293, "2", 'Historical Orders'!$C293, "A", 'Historical Orders'!$B293, "1")</f>
        <v>0</v>
      </c>
      <c r="Q293" s="157">
        <f>SUMIFS('Historical Orders'!$G293, 'Historical Orders'!$D293, "2", 'Historical Orders'!$C293, "A", 'Historical Orders'!$B293, "1")</f>
        <v>0</v>
      </c>
      <c r="R293" s="159">
        <f>SUMIFS('Historical Orders'!$E293, 'Historical Orders'!$D293, "2", 'Historical Orders'!$C293, "B", 'Historical Orders'!$B293, "1")</f>
        <v>0</v>
      </c>
      <c r="S293" s="157">
        <f>SUMIFS('Historical Orders'!$G293, 'Historical Orders'!$D293, "2", 'Historical Orders'!$C293, "B", 'Historical Orders'!$B293, "1")</f>
        <v>0</v>
      </c>
      <c r="T293" s="159">
        <f>SUMIFS('Historical Orders'!$E293, 'Historical Orders'!$D293, "2", 'Historical Orders'!$C293, "A", 'Historical Orders'!$B293, "2")</f>
        <v>6325</v>
      </c>
      <c r="U293" s="157">
        <f>SUMIFS('Historical Orders'!$G293, 'Historical Orders'!$D293, "2", 'Historical Orders'!$C293, "A", 'Historical Orders'!$B293, "2")</f>
        <v>7590</v>
      </c>
      <c r="V293" s="159">
        <f>SUMIFS('Historical Orders'!$E293, 'Historical Orders'!$D293, "2", 'Historical Orders'!$C293, "B", 'Historical Orders'!$B293, "2")</f>
        <v>0</v>
      </c>
      <c r="W293" s="159">
        <f>SUMIFS('Historical Orders'!$G293, 'Historical Orders'!$D293, "2", 'Historical Orders'!$C293, "B", 'Historical Orders'!$B293, "2")</f>
        <v>0</v>
      </c>
      <c r="X293" s="159">
        <f>SUMIFS('Historical Orders'!$E293, 'Historical Orders'!$D293, "3", 'Historical Orders'!$C293, "A", 'Historical Orders'!$B293, "1")</f>
        <v>0</v>
      </c>
      <c r="Y293" s="159">
        <f>SUMIFS('Historical Orders'!$G293, 'Historical Orders'!$D293, "3", 'Historical Orders'!$C293, "A", 'Historical Orders'!$B293, "1")</f>
        <v>0</v>
      </c>
      <c r="Z293" s="159">
        <f>SUMIFS('Historical Orders'!$E293, 'Historical Orders'!$D293, "3", 'Historical Orders'!$C293, "B", 'Historical Orders'!$B293, "1")</f>
        <v>0</v>
      </c>
      <c r="AA293" s="159">
        <f>SUMIFS('Historical Orders'!$G293, 'Historical Orders'!$D293, "3", 'Historical Orders'!$C293, "B", 'Historical Orders'!$B293, "1")</f>
        <v>0</v>
      </c>
      <c r="AB293" s="159">
        <f>SUMIFS('Historical Orders'!$E293, 'Historical Orders'!$D293, "3", 'Historical Orders'!$C293, "A", 'Historical Orders'!$B293, "2")</f>
        <v>0</v>
      </c>
      <c r="AC293" s="159">
        <f>SUMIFS('Historical Orders'!$G293, 'Historical Orders'!$D293, "3", 'Historical Orders'!$C293, "A", 'Historical Orders'!$B293, "2")</f>
        <v>0</v>
      </c>
      <c r="AD293" s="159">
        <f>SUMIFS('Historical Orders'!$E293, 'Historical Orders'!$D293, "3", 'Historical Orders'!$C293, "B", 'Historical Orders'!$B293, "2")</f>
        <v>0</v>
      </c>
      <c r="AE293" s="157">
        <f>SUMIFS('Historical Orders'!$G293, 'Historical Orders'!$D293, "3", 'Historical Orders'!$C293, "B", 'Historical Orders'!$B293, "2")</f>
        <v>0</v>
      </c>
      <c r="AF293" s="157">
        <f>SUMIFS('Historical Orders'!$E293, 'Historical Orders'!$D293, "4", 'Historical Orders'!$C293, "A", 'Historical Orders'!$B293, "1")</f>
        <v>0</v>
      </c>
      <c r="AG293" s="157">
        <f>SUMIFS('Historical Orders'!$G293, 'Historical Orders'!$D293, "4", 'Historical Orders'!$C293, "A", 'Historical Orders'!$B293, "1")</f>
        <v>0</v>
      </c>
      <c r="AH293" s="157">
        <f>SUMIFS('Historical Orders'!$E293, 'Historical Orders'!$D293, "4", 'Historical Orders'!$C293, "B", 'Historical Orders'!$B293, "1")</f>
        <v>0</v>
      </c>
      <c r="AI293" s="157">
        <f>SUMIFS('Historical Orders'!$G293, 'Historical Orders'!$D293, "4", 'Historical Orders'!$C293, "B", 'Historical Orders'!$B293, "1")</f>
        <v>0</v>
      </c>
      <c r="AJ293" s="157">
        <f>SUMIFS('Historical Orders'!$E293, 'Historical Orders'!$D293, "4", 'Historical Orders'!$C293, "A", 'Historical Orders'!$B293, "2")</f>
        <v>0</v>
      </c>
      <c r="AK293" s="157">
        <f>SUMIFS('Historical Orders'!$G293, 'Historical Orders'!$D293, "4", 'Historical Orders'!$C293, "A", 'Historical Orders'!$B293, "2")</f>
        <v>0</v>
      </c>
      <c r="AL293" s="171">
        <f>SUMIFS('Historical Orders'!$E293, 'Historical Orders'!$D293, "4", 'Historical Orders'!$C293, "B", 'Historical Orders'!$B293, "2")</f>
        <v>0</v>
      </c>
      <c r="AM293" s="171">
        <f>SUMIFS('Historical Orders'!$G293, 'Historical Orders'!$D293, "4", 'Historical Orders'!$C293, "B", 'Historical Orders'!$B293, "2")</f>
        <v>0</v>
      </c>
      <c r="AN293" s="171">
        <f>SUMIFS('Historical Orders'!$G293, 'Historical Orders'!$C293, "A", 'Historical Orders'!$B293, "1")</f>
        <v>0</v>
      </c>
      <c r="AO293" s="171">
        <f>SUMIFS('Historical Orders'!$G293, 'Historical Orders'!$C293, "B", 'Historical Orders'!$B293, "1")</f>
        <v>0</v>
      </c>
      <c r="AP293" s="171">
        <f>SUMIFS('Historical Orders'!$G293, 'Historical Orders'!$C293, "A", 'Historical Orders'!$B293, "2")</f>
        <v>7590</v>
      </c>
      <c r="AQ293" s="171">
        <f>SUMIFS('Historical Orders'!$G293, 'Historical Orders'!$C293, "B", 'Historical Orders'!$B293, "2")</f>
        <v>0</v>
      </c>
      <c r="AR293" s="145"/>
      <c r="AS293" s="172"/>
      <c r="AT293" s="172"/>
      <c r="AU293" s="172"/>
      <c r="AV293" s="172"/>
      <c r="AW293" s="172"/>
      <c r="AX293" s="172"/>
      <c r="AY293" s="172"/>
      <c r="AZ293" s="172"/>
      <c r="BA293" s="172"/>
      <c r="BB293" s="172"/>
      <c r="BC293" s="172"/>
      <c r="BD293" s="172"/>
      <c r="BE293" s="172"/>
      <c r="BF293" s="172"/>
      <c r="BG293" s="172"/>
      <c r="BH293" s="172"/>
      <c r="BI293" s="172"/>
      <c r="BJ293" s="172"/>
      <c r="BK293" s="172"/>
      <c r="BL293" s="172"/>
      <c r="BM293" s="172"/>
      <c r="BN293" s="172"/>
      <c r="BO293" s="172"/>
      <c r="BP293" s="172"/>
      <c r="BQ293" s="172"/>
      <c r="BR293" s="172"/>
      <c r="BS293" s="172"/>
      <c r="BT293" s="172"/>
      <c r="BU293" s="172"/>
      <c r="BV293" s="179"/>
      <c r="BW293" s="179"/>
      <c r="BX293" s="179"/>
      <c r="BY293" s="179"/>
      <c r="BZ293" s="179"/>
      <c r="CA293" s="179"/>
      <c r="CB293" s="179"/>
      <c r="CC293" s="179"/>
      <c r="CD293" s="179"/>
      <c r="CE293" s="179"/>
    </row>
    <row r="294" ht="15.75" customHeight="1">
      <c r="A294" s="151">
        <v>42191.0</v>
      </c>
      <c r="B294" s="152">
        <v>1.0</v>
      </c>
      <c r="C294" s="152" t="s">
        <v>46</v>
      </c>
      <c r="D294" s="152">
        <v>3.0</v>
      </c>
      <c r="E294" s="153">
        <v>2506.0</v>
      </c>
      <c r="F294" s="154">
        <v>8.3</v>
      </c>
      <c r="G294" s="155">
        <v>20799.800000000003</v>
      </c>
      <c r="H294" s="159">
        <f>SUMIFS('Historical Orders'!$E294, 'Historical Orders'!$D294, "1", 'Historical Orders'!$C294, "A", 'Historical Orders'!$B294, "1")</f>
        <v>0</v>
      </c>
      <c r="I294" s="157">
        <f>SUMIFS('Historical Orders'!$G294, 'Historical Orders'!$D294, "1", 'Historical Orders'!$C294, "A", 'Historical Orders'!$B294, "1")</f>
        <v>0</v>
      </c>
      <c r="J294" s="157">
        <f>SUMIFS('Historical Orders'!$E294, 'Historical Orders'!$D294, "1", 'Historical Orders'!$C294, "B", 'Historical Orders'!$B294, "1")</f>
        <v>0</v>
      </c>
      <c r="K294" s="157">
        <f>SUMIFS('Historical Orders'!$G294, 'Historical Orders'!$D294, "1", 'Historical Orders'!$C294, "B", 'Historical Orders'!$B294, "1")</f>
        <v>0</v>
      </c>
      <c r="L294" s="159">
        <f>SUMIFS('Historical Orders'!$E294, 'Historical Orders'!$D294, "1", 'Historical Orders'!$C294, "A", 'Historical Orders'!$B294, "2")</f>
        <v>0</v>
      </c>
      <c r="M294" s="157">
        <f>SUMIFS('Historical Orders'!$G294, 'Historical Orders'!$D294, "1", 'Historical Orders'!$C294, "A", 'Historical Orders'!$B294, "2")</f>
        <v>0</v>
      </c>
      <c r="N294" s="157">
        <f>SUMIFS('Historical Orders'!$E294, 'Historical Orders'!$D294, "1", 'Historical Orders'!$C294, "B", 'Historical Orders'!$B294, "2")</f>
        <v>0</v>
      </c>
      <c r="O294" s="157">
        <f>SUMIFS('Historical Orders'!$G294, 'Historical Orders'!$D294, "1", 'Historical Orders'!$C294, "B", 'Historical Orders'!$B294, "2")</f>
        <v>0</v>
      </c>
      <c r="P294" s="159">
        <f>SUMIFS('Historical Orders'!$E294, 'Historical Orders'!$D294, "2", 'Historical Orders'!$C294, "A", 'Historical Orders'!$B294, "1")</f>
        <v>0</v>
      </c>
      <c r="Q294" s="157">
        <f>SUMIFS('Historical Orders'!$G294, 'Historical Orders'!$D294, "2", 'Historical Orders'!$C294, "A", 'Historical Orders'!$B294, "1")</f>
        <v>0</v>
      </c>
      <c r="R294" s="159">
        <f>SUMIFS('Historical Orders'!$E294, 'Historical Orders'!$D294, "2", 'Historical Orders'!$C294, "B", 'Historical Orders'!$B294, "1")</f>
        <v>0</v>
      </c>
      <c r="S294" s="157">
        <f>SUMIFS('Historical Orders'!$G294, 'Historical Orders'!$D294, "2", 'Historical Orders'!$C294, "B", 'Historical Orders'!$B294, "1")</f>
        <v>0</v>
      </c>
      <c r="T294" s="159">
        <f>SUMIFS('Historical Orders'!$E294, 'Historical Orders'!$D294, "2", 'Historical Orders'!$C294, "A", 'Historical Orders'!$B294, "2")</f>
        <v>0</v>
      </c>
      <c r="U294" s="157">
        <f>SUMIFS('Historical Orders'!$G294, 'Historical Orders'!$D294, "2", 'Historical Orders'!$C294, "A", 'Historical Orders'!$B294, "2")</f>
        <v>0</v>
      </c>
      <c r="V294" s="159">
        <f>SUMIFS('Historical Orders'!$E294, 'Historical Orders'!$D294, "2", 'Historical Orders'!$C294, "B", 'Historical Orders'!$B294, "2")</f>
        <v>0</v>
      </c>
      <c r="W294" s="159">
        <f>SUMIFS('Historical Orders'!$G294, 'Historical Orders'!$D294, "2", 'Historical Orders'!$C294, "B", 'Historical Orders'!$B294, "2")</f>
        <v>0</v>
      </c>
      <c r="X294" s="159">
        <f>SUMIFS('Historical Orders'!$E294, 'Historical Orders'!$D294, "3", 'Historical Orders'!$C294, "A", 'Historical Orders'!$B294, "1")</f>
        <v>0</v>
      </c>
      <c r="Y294" s="159">
        <f>SUMIFS('Historical Orders'!$G294, 'Historical Orders'!$D294, "3", 'Historical Orders'!$C294, "A", 'Historical Orders'!$B294, "1")</f>
        <v>0</v>
      </c>
      <c r="Z294" s="159">
        <f>SUMIFS('Historical Orders'!$E294, 'Historical Orders'!$D294, "3", 'Historical Orders'!$C294, "B", 'Historical Orders'!$B294, "1")</f>
        <v>2506</v>
      </c>
      <c r="AA294" s="159">
        <f>SUMIFS('Historical Orders'!$G294, 'Historical Orders'!$D294, "3", 'Historical Orders'!$C294, "B", 'Historical Orders'!$B294, "1")</f>
        <v>20799.8</v>
      </c>
      <c r="AB294" s="159">
        <f>SUMIFS('Historical Orders'!$E294, 'Historical Orders'!$D294, "3", 'Historical Orders'!$C294, "A", 'Historical Orders'!$B294, "2")</f>
        <v>0</v>
      </c>
      <c r="AC294" s="159">
        <f>SUMIFS('Historical Orders'!$G294, 'Historical Orders'!$D294, "3", 'Historical Orders'!$C294, "A", 'Historical Orders'!$B294, "2")</f>
        <v>0</v>
      </c>
      <c r="AD294" s="159">
        <f>SUMIFS('Historical Orders'!$E294, 'Historical Orders'!$D294, "3", 'Historical Orders'!$C294, "B", 'Historical Orders'!$B294, "2")</f>
        <v>0</v>
      </c>
      <c r="AE294" s="157">
        <f>SUMIFS('Historical Orders'!$G294, 'Historical Orders'!$D294, "3", 'Historical Orders'!$C294, "B", 'Historical Orders'!$B294, "2")</f>
        <v>0</v>
      </c>
      <c r="AF294" s="157">
        <f>SUMIFS('Historical Orders'!$E294, 'Historical Orders'!$D294, "4", 'Historical Orders'!$C294, "A", 'Historical Orders'!$B294, "1")</f>
        <v>0</v>
      </c>
      <c r="AG294" s="157">
        <f>SUMIFS('Historical Orders'!$G294, 'Historical Orders'!$D294, "4", 'Historical Orders'!$C294, "A", 'Historical Orders'!$B294, "1")</f>
        <v>0</v>
      </c>
      <c r="AH294" s="157">
        <f>SUMIFS('Historical Orders'!$E294, 'Historical Orders'!$D294, "4", 'Historical Orders'!$C294, "B", 'Historical Orders'!$B294, "1")</f>
        <v>0</v>
      </c>
      <c r="AI294" s="157">
        <f>SUMIFS('Historical Orders'!$G294, 'Historical Orders'!$D294, "4", 'Historical Orders'!$C294, "B", 'Historical Orders'!$B294, "1")</f>
        <v>0</v>
      </c>
      <c r="AJ294" s="157">
        <f>SUMIFS('Historical Orders'!$E294, 'Historical Orders'!$D294, "4", 'Historical Orders'!$C294, "A", 'Historical Orders'!$B294, "2")</f>
        <v>0</v>
      </c>
      <c r="AK294" s="157">
        <f>SUMIFS('Historical Orders'!$G294, 'Historical Orders'!$D294, "4", 'Historical Orders'!$C294, "A", 'Historical Orders'!$B294, "2")</f>
        <v>0</v>
      </c>
      <c r="AL294" s="171">
        <f>SUMIFS('Historical Orders'!$E294, 'Historical Orders'!$D294, "4", 'Historical Orders'!$C294, "B", 'Historical Orders'!$B294, "2")</f>
        <v>0</v>
      </c>
      <c r="AM294" s="171">
        <f>SUMIFS('Historical Orders'!$G294, 'Historical Orders'!$D294, "4", 'Historical Orders'!$C294, "B", 'Historical Orders'!$B294, "2")</f>
        <v>0</v>
      </c>
      <c r="AN294" s="171">
        <f>SUMIFS('Historical Orders'!$G294, 'Historical Orders'!$C294, "A", 'Historical Orders'!$B294, "1")</f>
        <v>0</v>
      </c>
      <c r="AO294" s="171">
        <f>SUMIFS('Historical Orders'!$G294, 'Historical Orders'!$C294, "B", 'Historical Orders'!$B294, "1")</f>
        <v>20799.8</v>
      </c>
      <c r="AP294" s="171">
        <f>SUMIFS('Historical Orders'!$G294, 'Historical Orders'!$C294, "A", 'Historical Orders'!$B294, "2")</f>
        <v>0</v>
      </c>
      <c r="AQ294" s="171">
        <f>SUMIFS('Historical Orders'!$G294, 'Historical Orders'!$C294, "B", 'Historical Orders'!$B294, "2")</f>
        <v>0</v>
      </c>
      <c r="AR294" s="145"/>
      <c r="AS294" s="172"/>
      <c r="AT294" s="172"/>
      <c r="AU294" s="172"/>
      <c r="AV294" s="172"/>
      <c r="AW294" s="172"/>
      <c r="AX294" s="172"/>
      <c r="AY294" s="172"/>
      <c r="AZ294" s="172"/>
      <c r="BA294" s="172"/>
      <c r="BB294" s="172"/>
      <c r="BC294" s="172"/>
      <c r="BD294" s="172"/>
      <c r="BE294" s="172"/>
      <c r="BF294" s="172"/>
      <c r="BG294" s="172"/>
      <c r="BH294" s="172"/>
      <c r="BI294" s="172"/>
      <c r="BJ294" s="172"/>
      <c r="BK294" s="172"/>
      <c r="BL294" s="172"/>
      <c r="BM294" s="172"/>
      <c r="BN294" s="172"/>
      <c r="BO294" s="172"/>
      <c r="BP294" s="172"/>
      <c r="BQ294" s="172"/>
      <c r="BR294" s="172"/>
      <c r="BS294" s="172"/>
      <c r="BT294" s="172"/>
      <c r="BU294" s="172"/>
      <c r="BV294" s="179"/>
      <c r="BW294" s="179"/>
      <c r="BX294" s="179"/>
      <c r="BY294" s="179"/>
      <c r="BZ294" s="179"/>
      <c r="CA294" s="179"/>
      <c r="CB294" s="179"/>
      <c r="CC294" s="179"/>
      <c r="CD294" s="179"/>
      <c r="CE294" s="179"/>
    </row>
    <row r="295" ht="15.75" customHeight="1">
      <c r="A295" s="151">
        <v>42191.0</v>
      </c>
      <c r="B295" s="152">
        <v>2.0</v>
      </c>
      <c r="C295" s="152" t="s">
        <v>46</v>
      </c>
      <c r="D295" s="152">
        <v>3.0</v>
      </c>
      <c r="E295" s="153">
        <v>3464.0</v>
      </c>
      <c r="F295" s="154">
        <v>8.3</v>
      </c>
      <c r="G295" s="155">
        <v>28751.2</v>
      </c>
      <c r="H295" s="159">
        <f>SUMIFS('Historical Orders'!$E295, 'Historical Orders'!$D295, "1", 'Historical Orders'!$C295, "A", 'Historical Orders'!$B295, "1")</f>
        <v>0</v>
      </c>
      <c r="I295" s="157">
        <f>SUMIFS('Historical Orders'!$G295, 'Historical Orders'!$D295, "1", 'Historical Orders'!$C295, "A", 'Historical Orders'!$B295, "1")</f>
        <v>0</v>
      </c>
      <c r="J295" s="157">
        <f>SUMIFS('Historical Orders'!$E295, 'Historical Orders'!$D295, "1", 'Historical Orders'!$C295, "B", 'Historical Orders'!$B295, "1")</f>
        <v>0</v>
      </c>
      <c r="K295" s="157">
        <f>SUMIFS('Historical Orders'!$G295, 'Historical Orders'!$D295, "1", 'Historical Orders'!$C295, "B", 'Historical Orders'!$B295, "1")</f>
        <v>0</v>
      </c>
      <c r="L295" s="159">
        <f>SUMIFS('Historical Orders'!$E295, 'Historical Orders'!$D295, "1", 'Historical Orders'!$C295, "A", 'Historical Orders'!$B295, "2")</f>
        <v>0</v>
      </c>
      <c r="M295" s="157">
        <f>SUMIFS('Historical Orders'!$G295, 'Historical Orders'!$D295, "1", 'Historical Orders'!$C295, "A", 'Historical Orders'!$B295, "2")</f>
        <v>0</v>
      </c>
      <c r="N295" s="157">
        <f>SUMIFS('Historical Orders'!$E295, 'Historical Orders'!$D295, "1", 'Historical Orders'!$C295, "B", 'Historical Orders'!$B295, "2")</f>
        <v>0</v>
      </c>
      <c r="O295" s="157">
        <f>SUMIFS('Historical Orders'!$G295, 'Historical Orders'!$D295, "1", 'Historical Orders'!$C295, "B", 'Historical Orders'!$B295, "2")</f>
        <v>0</v>
      </c>
      <c r="P295" s="159">
        <f>SUMIFS('Historical Orders'!$E295, 'Historical Orders'!$D295, "2", 'Historical Orders'!$C295, "A", 'Historical Orders'!$B295, "1")</f>
        <v>0</v>
      </c>
      <c r="Q295" s="157">
        <f>SUMIFS('Historical Orders'!$G295, 'Historical Orders'!$D295, "2", 'Historical Orders'!$C295, "A", 'Historical Orders'!$B295, "1")</f>
        <v>0</v>
      </c>
      <c r="R295" s="159">
        <f>SUMIFS('Historical Orders'!$E295, 'Historical Orders'!$D295, "2", 'Historical Orders'!$C295, "B", 'Historical Orders'!$B295, "1")</f>
        <v>0</v>
      </c>
      <c r="S295" s="157">
        <f>SUMIFS('Historical Orders'!$G295, 'Historical Orders'!$D295, "2", 'Historical Orders'!$C295, "B", 'Historical Orders'!$B295, "1")</f>
        <v>0</v>
      </c>
      <c r="T295" s="159">
        <f>SUMIFS('Historical Orders'!$E295, 'Historical Orders'!$D295, "2", 'Historical Orders'!$C295, "A", 'Historical Orders'!$B295, "2")</f>
        <v>0</v>
      </c>
      <c r="U295" s="157">
        <f>SUMIFS('Historical Orders'!$G295, 'Historical Orders'!$D295, "2", 'Historical Orders'!$C295, "A", 'Historical Orders'!$B295, "2")</f>
        <v>0</v>
      </c>
      <c r="V295" s="159">
        <f>SUMIFS('Historical Orders'!$E295, 'Historical Orders'!$D295, "2", 'Historical Orders'!$C295, "B", 'Historical Orders'!$B295, "2")</f>
        <v>0</v>
      </c>
      <c r="W295" s="159">
        <f>SUMIFS('Historical Orders'!$G295, 'Historical Orders'!$D295, "2", 'Historical Orders'!$C295, "B", 'Historical Orders'!$B295, "2")</f>
        <v>0</v>
      </c>
      <c r="X295" s="159">
        <f>SUMIFS('Historical Orders'!$E295, 'Historical Orders'!$D295, "3", 'Historical Orders'!$C295, "A", 'Historical Orders'!$B295, "1")</f>
        <v>0</v>
      </c>
      <c r="Y295" s="159">
        <f>SUMIFS('Historical Orders'!$G295, 'Historical Orders'!$D295, "3", 'Historical Orders'!$C295, "A", 'Historical Orders'!$B295, "1")</f>
        <v>0</v>
      </c>
      <c r="Z295" s="159">
        <f>SUMIFS('Historical Orders'!$E295, 'Historical Orders'!$D295, "3", 'Historical Orders'!$C295, "B", 'Historical Orders'!$B295, "1")</f>
        <v>0</v>
      </c>
      <c r="AA295" s="159">
        <f>SUMIFS('Historical Orders'!$G295, 'Historical Orders'!$D295, "3", 'Historical Orders'!$C295, "B", 'Historical Orders'!$B295, "1")</f>
        <v>0</v>
      </c>
      <c r="AB295" s="159">
        <f>SUMIFS('Historical Orders'!$E295, 'Historical Orders'!$D295, "3", 'Historical Orders'!$C295, "A", 'Historical Orders'!$B295, "2")</f>
        <v>0</v>
      </c>
      <c r="AC295" s="159">
        <f>SUMIFS('Historical Orders'!$G295, 'Historical Orders'!$D295, "3", 'Historical Orders'!$C295, "A", 'Historical Orders'!$B295, "2")</f>
        <v>0</v>
      </c>
      <c r="AD295" s="159">
        <f>SUMIFS('Historical Orders'!$E295, 'Historical Orders'!$D295, "3", 'Historical Orders'!$C295, "B", 'Historical Orders'!$B295, "2")</f>
        <v>3464</v>
      </c>
      <c r="AE295" s="157">
        <f>SUMIFS('Historical Orders'!$G295, 'Historical Orders'!$D295, "3", 'Historical Orders'!$C295, "B", 'Historical Orders'!$B295, "2")</f>
        <v>28751.2</v>
      </c>
      <c r="AF295" s="157">
        <f>SUMIFS('Historical Orders'!$E295, 'Historical Orders'!$D295, "4", 'Historical Orders'!$C295, "A", 'Historical Orders'!$B295, "1")</f>
        <v>0</v>
      </c>
      <c r="AG295" s="157">
        <f>SUMIFS('Historical Orders'!$G295, 'Historical Orders'!$D295, "4", 'Historical Orders'!$C295, "A", 'Historical Orders'!$B295, "1")</f>
        <v>0</v>
      </c>
      <c r="AH295" s="157">
        <f>SUMIFS('Historical Orders'!$E295, 'Historical Orders'!$D295, "4", 'Historical Orders'!$C295, "B", 'Historical Orders'!$B295, "1")</f>
        <v>0</v>
      </c>
      <c r="AI295" s="157">
        <f>SUMIFS('Historical Orders'!$G295, 'Historical Orders'!$D295, "4", 'Historical Orders'!$C295, "B", 'Historical Orders'!$B295, "1")</f>
        <v>0</v>
      </c>
      <c r="AJ295" s="157">
        <f>SUMIFS('Historical Orders'!$E295, 'Historical Orders'!$D295, "4", 'Historical Orders'!$C295, "A", 'Historical Orders'!$B295, "2")</f>
        <v>0</v>
      </c>
      <c r="AK295" s="157">
        <f>SUMIFS('Historical Orders'!$G295, 'Historical Orders'!$D295, "4", 'Historical Orders'!$C295, "A", 'Historical Orders'!$B295, "2")</f>
        <v>0</v>
      </c>
      <c r="AL295" s="171">
        <f>SUMIFS('Historical Orders'!$E295, 'Historical Orders'!$D295, "4", 'Historical Orders'!$C295, "B", 'Historical Orders'!$B295, "2")</f>
        <v>0</v>
      </c>
      <c r="AM295" s="171">
        <f>SUMIFS('Historical Orders'!$G295, 'Historical Orders'!$D295, "4", 'Historical Orders'!$C295, "B", 'Historical Orders'!$B295, "2")</f>
        <v>0</v>
      </c>
      <c r="AN295" s="171">
        <f>SUMIFS('Historical Orders'!$G295, 'Historical Orders'!$C295, "A", 'Historical Orders'!$B295, "1")</f>
        <v>0</v>
      </c>
      <c r="AO295" s="171">
        <f>SUMIFS('Historical Orders'!$G295, 'Historical Orders'!$C295, "B", 'Historical Orders'!$B295, "1")</f>
        <v>0</v>
      </c>
      <c r="AP295" s="171">
        <f>SUMIFS('Historical Orders'!$G295, 'Historical Orders'!$C295, "A", 'Historical Orders'!$B295, "2")</f>
        <v>0</v>
      </c>
      <c r="AQ295" s="171">
        <f>SUMIFS('Historical Orders'!$G295, 'Historical Orders'!$C295, "B", 'Historical Orders'!$B295, "2")</f>
        <v>28751.2</v>
      </c>
      <c r="AR295" s="145"/>
      <c r="AS295" s="172"/>
      <c r="AT295" s="172"/>
      <c r="AU295" s="172"/>
      <c r="AV295" s="172"/>
      <c r="AW295" s="172"/>
      <c r="AX295" s="172"/>
      <c r="AY295" s="172"/>
      <c r="AZ295" s="172"/>
      <c r="BA295" s="172"/>
      <c r="BB295" s="172"/>
      <c r="BC295" s="172"/>
      <c r="BD295" s="172"/>
      <c r="BE295" s="172"/>
      <c r="BF295" s="172"/>
      <c r="BG295" s="172"/>
      <c r="BH295" s="172"/>
      <c r="BI295" s="172"/>
      <c r="BJ295" s="172"/>
      <c r="BK295" s="172"/>
      <c r="BL295" s="172"/>
      <c r="BM295" s="172"/>
      <c r="BN295" s="172"/>
      <c r="BO295" s="172"/>
      <c r="BP295" s="172"/>
      <c r="BQ295" s="172"/>
      <c r="BR295" s="172"/>
      <c r="BS295" s="172"/>
      <c r="BT295" s="172"/>
      <c r="BU295" s="172"/>
      <c r="BV295" s="179"/>
      <c r="BW295" s="179"/>
      <c r="BX295" s="179"/>
      <c r="BY295" s="179"/>
      <c r="BZ295" s="179"/>
      <c r="CA295" s="179"/>
      <c r="CB295" s="179"/>
      <c r="CC295" s="179"/>
      <c r="CD295" s="179"/>
      <c r="CE295" s="179"/>
    </row>
    <row r="296" ht="15.75" customHeight="1">
      <c r="A296" s="151">
        <v>42198.0</v>
      </c>
      <c r="B296" s="152">
        <v>1.0</v>
      </c>
      <c r="C296" s="152" t="s">
        <v>45</v>
      </c>
      <c r="D296" s="152">
        <v>1.0</v>
      </c>
      <c r="E296" s="153">
        <v>5542.0</v>
      </c>
      <c r="F296" s="154">
        <v>2.2</v>
      </c>
      <c r="G296" s="155">
        <v>12192.400000000001</v>
      </c>
      <c r="H296" s="159">
        <f>SUMIFS('Historical Orders'!$E296, 'Historical Orders'!$D296, "1", 'Historical Orders'!$C296, "A", 'Historical Orders'!$B296, "1")</f>
        <v>5542</v>
      </c>
      <c r="I296" s="157">
        <f>SUMIFS('Historical Orders'!$G296, 'Historical Orders'!$D296, "1", 'Historical Orders'!$C296, "A", 'Historical Orders'!$B296, "1")</f>
        <v>12192.4</v>
      </c>
      <c r="J296" s="157">
        <f>SUMIFS('Historical Orders'!$E296, 'Historical Orders'!$D296, "1", 'Historical Orders'!$C296, "B", 'Historical Orders'!$B296, "1")</f>
        <v>0</v>
      </c>
      <c r="K296" s="157">
        <f>SUMIFS('Historical Orders'!$G296, 'Historical Orders'!$D296, "1", 'Historical Orders'!$C296, "B", 'Historical Orders'!$B296, "1")</f>
        <v>0</v>
      </c>
      <c r="L296" s="159">
        <f>SUMIFS('Historical Orders'!$E296, 'Historical Orders'!$D296, "1", 'Historical Orders'!$C296, "A", 'Historical Orders'!$B296, "2")</f>
        <v>0</v>
      </c>
      <c r="M296" s="157">
        <f>SUMIFS('Historical Orders'!$G296, 'Historical Orders'!$D296, "1", 'Historical Orders'!$C296, "A", 'Historical Orders'!$B296, "2")</f>
        <v>0</v>
      </c>
      <c r="N296" s="157">
        <f>SUMIFS('Historical Orders'!$E296, 'Historical Orders'!$D296, "1", 'Historical Orders'!$C296, "B", 'Historical Orders'!$B296, "2")</f>
        <v>0</v>
      </c>
      <c r="O296" s="157">
        <f>SUMIFS('Historical Orders'!$G296, 'Historical Orders'!$D296, "1", 'Historical Orders'!$C296, "B", 'Historical Orders'!$B296, "2")</f>
        <v>0</v>
      </c>
      <c r="P296" s="159">
        <f>SUMIFS('Historical Orders'!$E296, 'Historical Orders'!$D296, "2", 'Historical Orders'!$C296, "A", 'Historical Orders'!$B296, "1")</f>
        <v>0</v>
      </c>
      <c r="Q296" s="157">
        <f>SUMIFS('Historical Orders'!$G296, 'Historical Orders'!$D296, "2", 'Historical Orders'!$C296, "A", 'Historical Orders'!$B296, "1")</f>
        <v>0</v>
      </c>
      <c r="R296" s="159">
        <f>SUMIFS('Historical Orders'!$E296, 'Historical Orders'!$D296, "2", 'Historical Orders'!$C296, "B", 'Historical Orders'!$B296, "1")</f>
        <v>0</v>
      </c>
      <c r="S296" s="157">
        <f>SUMIFS('Historical Orders'!$G296, 'Historical Orders'!$D296, "2", 'Historical Orders'!$C296, "B", 'Historical Orders'!$B296, "1")</f>
        <v>0</v>
      </c>
      <c r="T296" s="159">
        <f>SUMIFS('Historical Orders'!$E296, 'Historical Orders'!$D296, "2", 'Historical Orders'!$C296, "A", 'Historical Orders'!$B296, "2")</f>
        <v>0</v>
      </c>
      <c r="U296" s="157">
        <f>SUMIFS('Historical Orders'!$G296, 'Historical Orders'!$D296, "2", 'Historical Orders'!$C296, "A", 'Historical Orders'!$B296, "2")</f>
        <v>0</v>
      </c>
      <c r="V296" s="159">
        <f>SUMIFS('Historical Orders'!$E296, 'Historical Orders'!$D296, "2", 'Historical Orders'!$C296, "B", 'Historical Orders'!$B296, "2")</f>
        <v>0</v>
      </c>
      <c r="W296" s="159">
        <f>SUMIFS('Historical Orders'!$G296, 'Historical Orders'!$D296, "2", 'Historical Orders'!$C296, "B", 'Historical Orders'!$B296, "2")</f>
        <v>0</v>
      </c>
      <c r="X296" s="159">
        <f>SUMIFS('Historical Orders'!$E296, 'Historical Orders'!$D296, "3", 'Historical Orders'!$C296, "A", 'Historical Orders'!$B296, "1")</f>
        <v>0</v>
      </c>
      <c r="Y296" s="159">
        <f>SUMIFS('Historical Orders'!$G296, 'Historical Orders'!$D296, "3", 'Historical Orders'!$C296, "A", 'Historical Orders'!$B296, "1")</f>
        <v>0</v>
      </c>
      <c r="Z296" s="159">
        <f>SUMIFS('Historical Orders'!$E296, 'Historical Orders'!$D296, "3", 'Historical Orders'!$C296, "B", 'Historical Orders'!$B296, "1")</f>
        <v>0</v>
      </c>
      <c r="AA296" s="159">
        <f>SUMIFS('Historical Orders'!$G296, 'Historical Orders'!$D296, "3", 'Historical Orders'!$C296, "B", 'Historical Orders'!$B296, "1")</f>
        <v>0</v>
      </c>
      <c r="AB296" s="159">
        <f>SUMIFS('Historical Orders'!$E296, 'Historical Orders'!$D296, "3", 'Historical Orders'!$C296, "A", 'Historical Orders'!$B296, "2")</f>
        <v>0</v>
      </c>
      <c r="AC296" s="159">
        <f>SUMIFS('Historical Orders'!$G296, 'Historical Orders'!$D296, "3", 'Historical Orders'!$C296, "A", 'Historical Orders'!$B296, "2")</f>
        <v>0</v>
      </c>
      <c r="AD296" s="159">
        <f>SUMIFS('Historical Orders'!$E296, 'Historical Orders'!$D296, "3", 'Historical Orders'!$C296, "B", 'Historical Orders'!$B296, "2")</f>
        <v>0</v>
      </c>
      <c r="AE296" s="157">
        <f>SUMIFS('Historical Orders'!$G296, 'Historical Orders'!$D296, "3", 'Historical Orders'!$C296, "B", 'Historical Orders'!$B296, "2")</f>
        <v>0</v>
      </c>
      <c r="AF296" s="157">
        <f>SUMIFS('Historical Orders'!$E296, 'Historical Orders'!$D296, "4", 'Historical Orders'!$C296, "A", 'Historical Orders'!$B296, "1")</f>
        <v>0</v>
      </c>
      <c r="AG296" s="157">
        <f>SUMIFS('Historical Orders'!$G296, 'Historical Orders'!$D296, "4", 'Historical Orders'!$C296, "A", 'Historical Orders'!$B296, "1")</f>
        <v>0</v>
      </c>
      <c r="AH296" s="157">
        <f>SUMIFS('Historical Orders'!$E296, 'Historical Orders'!$D296, "4", 'Historical Orders'!$C296, "B", 'Historical Orders'!$B296, "1")</f>
        <v>0</v>
      </c>
      <c r="AI296" s="157">
        <f>SUMIFS('Historical Orders'!$G296, 'Historical Orders'!$D296, "4", 'Historical Orders'!$C296, "B", 'Historical Orders'!$B296, "1")</f>
        <v>0</v>
      </c>
      <c r="AJ296" s="157">
        <f>SUMIFS('Historical Orders'!$E296, 'Historical Orders'!$D296, "4", 'Historical Orders'!$C296, "A", 'Historical Orders'!$B296, "2")</f>
        <v>0</v>
      </c>
      <c r="AK296" s="157">
        <f>SUMIFS('Historical Orders'!$G296, 'Historical Orders'!$D296, "4", 'Historical Orders'!$C296, "A", 'Historical Orders'!$B296, "2")</f>
        <v>0</v>
      </c>
      <c r="AL296" s="171">
        <f>SUMIFS('Historical Orders'!$E296, 'Historical Orders'!$D296, "4", 'Historical Orders'!$C296, "B", 'Historical Orders'!$B296, "2")</f>
        <v>0</v>
      </c>
      <c r="AM296" s="171">
        <f>SUMIFS('Historical Orders'!$G296, 'Historical Orders'!$D296, "4", 'Historical Orders'!$C296, "B", 'Historical Orders'!$B296, "2")</f>
        <v>0</v>
      </c>
      <c r="AN296" s="171">
        <f>SUMIFS('Historical Orders'!$G296, 'Historical Orders'!$C296, "A", 'Historical Orders'!$B296, "1")</f>
        <v>12192.4</v>
      </c>
      <c r="AO296" s="171">
        <f>SUMIFS('Historical Orders'!$G296, 'Historical Orders'!$C296, "B", 'Historical Orders'!$B296, "1")</f>
        <v>0</v>
      </c>
      <c r="AP296" s="171">
        <f>SUMIFS('Historical Orders'!$G296, 'Historical Orders'!$C296, "A", 'Historical Orders'!$B296, "2")</f>
        <v>0</v>
      </c>
      <c r="AQ296" s="171">
        <f>SUMIFS('Historical Orders'!$G296, 'Historical Orders'!$C296, "B", 'Historical Orders'!$B296, "2")</f>
        <v>0</v>
      </c>
      <c r="AR296" s="145"/>
      <c r="AS296" s="172"/>
      <c r="AT296" s="172"/>
      <c r="AU296" s="172"/>
      <c r="AV296" s="172"/>
      <c r="AW296" s="172"/>
      <c r="AX296" s="172"/>
      <c r="AY296" s="172"/>
      <c r="AZ296" s="172"/>
      <c r="BA296" s="172"/>
      <c r="BB296" s="172"/>
      <c r="BC296" s="172"/>
      <c r="BD296" s="172"/>
      <c r="BE296" s="172"/>
      <c r="BF296" s="172"/>
      <c r="BG296" s="172"/>
      <c r="BH296" s="172"/>
      <c r="BI296" s="172"/>
      <c r="BJ296" s="172"/>
      <c r="BK296" s="172"/>
      <c r="BL296" s="172"/>
      <c r="BM296" s="172"/>
      <c r="BN296" s="172"/>
      <c r="BO296" s="172"/>
      <c r="BP296" s="172"/>
      <c r="BQ296" s="172"/>
      <c r="BR296" s="172"/>
      <c r="BS296" s="172"/>
      <c r="BT296" s="172"/>
      <c r="BU296" s="172"/>
      <c r="BV296" s="179"/>
      <c r="BW296" s="179"/>
      <c r="BX296" s="179"/>
      <c r="BY296" s="179"/>
      <c r="BZ296" s="179"/>
      <c r="CA296" s="179"/>
      <c r="CB296" s="179"/>
      <c r="CC296" s="179"/>
      <c r="CD296" s="179"/>
      <c r="CE296" s="179"/>
    </row>
    <row r="297" ht="15.75" customHeight="1">
      <c r="A297" s="151">
        <v>42198.0</v>
      </c>
      <c r="B297" s="152">
        <v>1.0</v>
      </c>
      <c r="C297" s="152" t="s">
        <v>45</v>
      </c>
      <c r="D297" s="152">
        <v>2.0</v>
      </c>
      <c r="E297" s="153">
        <v>7062.0</v>
      </c>
      <c r="F297" s="154">
        <v>1.2</v>
      </c>
      <c r="G297" s="155">
        <v>8474.4</v>
      </c>
      <c r="H297" s="159">
        <f>SUMIFS('Historical Orders'!$E297, 'Historical Orders'!$D297, "1", 'Historical Orders'!$C297, "A", 'Historical Orders'!$B297, "1")</f>
        <v>0</v>
      </c>
      <c r="I297" s="157">
        <f>SUMIFS('Historical Orders'!$G297, 'Historical Orders'!$D297, "1", 'Historical Orders'!$C297, "A", 'Historical Orders'!$B297, "1")</f>
        <v>0</v>
      </c>
      <c r="J297" s="157">
        <f>SUMIFS('Historical Orders'!$E297, 'Historical Orders'!$D297, "1", 'Historical Orders'!$C297, "B", 'Historical Orders'!$B297, "1")</f>
        <v>0</v>
      </c>
      <c r="K297" s="157">
        <f>SUMIFS('Historical Orders'!$G297, 'Historical Orders'!$D297, "1", 'Historical Orders'!$C297, "B", 'Historical Orders'!$B297, "1")</f>
        <v>0</v>
      </c>
      <c r="L297" s="159">
        <f>SUMIFS('Historical Orders'!$E297, 'Historical Orders'!$D297, "1", 'Historical Orders'!$C297, "A", 'Historical Orders'!$B297, "2")</f>
        <v>0</v>
      </c>
      <c r="M297" s="157">
        <f>SUMIFS('Historical Orders'!$G297, 'Historical Orders'!$D297, "1", 'Historical Orders'!$C297, "A", 'Historical Orders'!$B297, "2")</f>
        <v>0</v>
      </c>
      <c r="N297" s="157">
        <f>SUMIFS('Historical Orders'!$E297, 'Historical Orders'!$D297, "1", 'Historical Orders'!$C297, "B", 'Historical Orders'!$B297, "2")</f>
        <v>0</v>
      </c>
      <c r="O297" s="157">
        <f>SUMIFS('Historical Orders'!$G297, 'Historical Orders'!$D297, "1", 'Historical Orders'!$C297, "B", 'Historical Orders'!$B297, "2")</f>
        <v>0</v>
      </c>
      <c r="P297" s="159">
        <f>SUMIFS('Historical Orders'!$E297, 'Historical Orders'!$D297, "2", 'Historical Orders'!$C297, "A", 'Historical Orders'!$B297, "1")</f>
        <v>7062</v>
      </c>
      <c r="Q297" s="157">
        <f>SUMIFS('Historical Orders'!$G297, 'Historical Orders'!$D297, "2", 'Historical Orders'!$C297, "A", 'Historical Orders'!$B297, "1")</f>
        <v>8474.4</v>
      </c>
      <c r="R297" s="159">
        <f>SUMIFS('Historical Orders'!$E297, 'Historical Orders'!$D297, "2", 'Historical Orders'!$C297, "B", 'Historical Orders'!$B297, "1")</f>
        <v>0</v>
      </c>
      <c r="S297" s="157">
        <f>SUMIFS('Historical Orders'!$G297, 'Historical Orders'!$D297, "2", 'Historical Orders'!$C297, "B", 'Historical Orders'!$B297, "1")</f>
        <v>0</v>
      </c>
      <c r="T297" s="159">
        <f>SUMIFS('Historical Orders'!$E297, 'Historical Orders'!$D297, "2", 'Historical Orders'!$C297, "A", 'Historical Orders'!$B297, "2")</f>
        <v>0</v>
      </c>
      <c r="U297" s="157">
        <f>SUMIFS('Historical Orders'!$G297, 'Historical Orders'!$D297, "2", 'Historical Orders'!$C297, "A", 'Historical Orders'!$B297, "2")</f>
        <v>0</v>
      </c>
      <c r="V297" s="159">
        <f>SUMIFS('Historical Orders'!$E297, 'Historical Orders'!$D297, "2", 'Historical Orders'!$C297, "B", 'Historical Orders'!$B297, "2")</f>
        <v>0</v>
      </c>
      <c r="W297" s="159">
        <f>SUMIFS('Historical Orders'!$G297, 'Historical Orders'!$D297, "2", 'Historical Orders'!$C297, "B", 'Historical Orders'!$B297, "2")</f>
        <v>0</v>
      </c>
      <c r="X297" s="159">
        <f>SUMIFS('Historical Orders'!$E297, 'Historical Orders'!$D297, "3", 'Historical Orders'!$C297, "A", 'Historical Orders'!$B297, "1")</f>
        <v>0</v>
      </c>
      <c r="Y297" s="159">
        <f>SUMIFS('Historical Orders'!$G297, 'Historical Orders'!$D297, "3", 'Historical Orders'!$C297, "A", 'Historical Orders'!$B297, "1")</f>
        <v>0</v>
      </c>
      <c r="Z297" s="159">
        <f>SUMIFS('Historical Orders'!$E297, 'Historical Orders'!$D297, "3", 'Historical Orders'!$C297, "B", 'Historical Orders'!$B297, "1")</f>
        <v>0</v>
      </c>
      <c r="AA297" s="159">
        <f>SUMIFS('Historical Orders'!$G297, 'Historical Orders'!$D297, "3", 'Historical Orders'!$C297, "B", 'Historical Orders'!$B297, "1")</f>
        <v>0</v>
      </c>
      <c r="AB297" s="159">
        <f>SUMIFS('Historical Orders'!$E297, 'Historical Orders'!$D297, "3", 'Historical Orders'!$C297, "A", 'Historical Orders'!$B297, "2")</f>
        <v>0</v>
      </c>
      <c r="AC297" s="159">
        <f>SUMIFS('Historical Orders'!$G297, 'Historical Orders'!$D297, "3", 'Historical Orders'!$C297, "A", 'Historical Orders'!$B297, "2")</f>
        <v>0</v>
      </c>
      <c r="AD297" s="159">
        <f>SUMIFS('Historical Orders'!$E297, 'Historical Orders'!$D297, "3", 'Historical Orders'!$C297, "B", 'Historical Orders'!$B297, "2")</f>
        <v>0</v>
      </c>
      <c r="AE297" s="157">
        <f>SUMIFS('Historical Orders'!$G297, 'Historical Orders'!$D297, "3", 'Historical Orders'!$C297, "B", 'Historical Orders'!$B297, "2")</f>
        <v>0</v>
      </c>
      <c r="AF297" s="157">
        <f>SUMIFS('Historical Orders'!$E297, 'Historical Orders'!$D297, "4", 'Historical Orders'!$C297, "A", 'Historical Orders'!$B297, "1")</f>
        <v>0</v>
      </c>
      <c r="AG297" s="157">
        <f>SUMIFS('Historical Orders'!$G297, 'Historical Orders'!$D297, "4", 'Historical Orders'!$C297, "A", 'Historical Orders'!$B297, "1")</f>
        <v>0</v>
      </c>
      <c r="AH297" s="157">
        <f>SUMIFS('Historical Orders'!$E297, 'Historical Orders'!$D297, "4", 'Historical Orders'!$C297, "B", 'Historical Orders'!$B297, "1")</f>
        <v>0</v>
      </c>
      <c r="AI297" s="157">
        <f>SUMIFS('Historical Orders'!$G297, 'Historical Orders'!$D297, "4", 'Historical Orders'!$C297, "B", 'Historical Orders'!$B297, "1")</f>
        <v>0</v>
      </c>
      <c r="AJ297" s="157">
        <f>SUMIFS('Historical Orders'!$E297, 'Historical Orders'!$D297, "4", 'Historical Orders'!$C297, "A", 'Historical Orders'!$B297, "2")</f>
        <v>0</v>
      </c>
      <c r="AK297" s="157">
        <f>SUMIFS('Historical Orders'!$G297, 'Historical Orders'!$D297, "4", 'Historical Orders'!$C297, "A", 'Historical Orders'!$B297, "2")</f>
        <v>0</v>
      </c>
      <c r="AL297" s="171">
        <f>SUMIFS('Historical Orders'!$E297, 'Historical Orders'!$D297, "4", 'Historical Orders'!$C297, "B", 'Historical Orders'!$B297, "2")</f>
        <v>0</v>
      </c>
      <c r="AM297" s="171">
        <f>SUMIFS('Historical Orders'!$G297, 'Historical Orders'!$D297, "4", 'Historical Orders'!$C297, "B", 'Historical Orders'!$B297, "2")</f>
        <v>0</v>
      </c>
      <c r="AN297" s="171">
        <f>SUMIFS('Historical Orders'!$G297, 'Historical Orders'!$C297, "A", 'Historical Orders'!$B297, "1")</f>
        <v>8474.4</v>
      </c>
      <c r="AO297" s="171">
        <f>SUMIFS('Historical Orders'!$G297, 'Historical Orders'!$C297, "B", 'Historical Orders'!$B297, "1")</f>
        <v>0</v>
      </c>
      <c r="AP297" s="171">
        <f>SUMIFS('Historical Orders'!$G297, 'Historical Orders'!$C297, "A", 'Historical Orders'!$B297, "2")</f>
        <v>0</v>
      </c>
      <c r="AQ297" s="171">
        <f>SUMIFS('Historical Orders'!$G297, 'Historical Orders'!$C297, "B", 'Historical Orders'!$B297, "2")</f>
        <v>0</v>
      </c>
      <c r="AR297" s="145"/>
      <c r="AS297" s="172"/>
      <c r="AT297" s="172"/>
      <c r="AU297" s="172"/>
      <c r="AV297" s="172"/>
      <c r="AW297" s="172"/>
      <c r="AX297" s="172"/>
      <c r="AY297" s="172"/>
      <c r="AZ297" s="172"/>
      <c r="BA297" s="172"/>
      <c r="BB297" s="172"/>
      <c r="BC297" s="172"/>
      <c r="BD297" s="172"/>
      <c r="BE297" s="172"/>
      <c r="BF297" s="172"/>
      <c r="BG297" s="172"/>
      <c r="BH297" s="172"/>
      <c r="BI297" s="172"/>
      <c r="BJ297" s="172"/>
      <c r="BK297" s="172"/>
      <c r="BL297" s="172"/>
      <c r="BM297" s="172"/>
      <c r="BN297" s="172"/>
      <c r="BO297" s="172"/>
      <c r="BP297" s="172"/>
      <c r="BQ297" s="172"/>
      <c r="BR297" s="172"/>
      <c r="BS297" s="172"/>
      <c r="BT297" s="172"/>
      <c r="BU297" s="172"/>
      <c r="BV297" s="179"/>
      <c r="BW297" s="179"/>
      <c r="BX297" s="179"/>
      <c r="BY297" s="179"/>
      <c r="BZ297" s="179"/>
      <c r="CA297" s="179"/>
      <c r="CB297" s="179"/>
      <c r="CC297" s="179"/>
      <c r="CD297" s="179"/>
      <c r="CE297" s="179"/>
    </row>
    <row r="298" ht="15.75" customHeight="1">
      <c r="A298" s="151">
        <v>42198.0</v>
      </c>
      <c r="B298" s="152">
        <v>2.0</v>
      </c>
      <c r="C298" s="152" t="s">
        <v>45</v>
      </c>
      <c r="D298" s="152">
        <v>1.0</v>
      </c>
      <c r="E298" s="153">
        <v>3776.0</v>
      </c>
      <c r="F298" s="154">
        <v>2.2</v>
      </c>
      <c r="G298" s="155">
        <v>8307.2</v>
      </c>
      <c r="H298" s="159">
        <f>SUMIFS('Historical Orders'!$E298, 'Historical Orders'!$D298, "1", 'Historical Orders'!$C298, "A", 'Historical Orders'!$B298, "1")</f>
        <v>0</v>
      </c>
      <c r="I298" s="157">
        <f>SUMIFS('Historical Orders'!$G298, 'Historical Orders'!$D298, "1", 'Historical Orders'!$C298, "A", 'Historical Orders'!$B298, "1")</f>
        <v>0</v>
      </c>
      <c r="J298" s="157">
        <f>SUMIFS('Historical Orders'!$E298, 'Historical Orders'!$D298, "1", 'Historical Orders'!$C298, "B", 'Historical Orders'!$B298, "1")</f>
        <v>0</v>
      </c>
      <c r="K298" s="157">
        <f>SUMIFS('Historical Orders'!$G298, 'Historical Orders'!$D298, "1", 'Historical Orders'!$C298, "B", 'Historical Orders'!$B298, "1")</f>
        <v>0</v>
      </c>
      <c r="L298" s="159">
        <f>SUMIFS('Historical Orders'!$E298, 'Historical Orders'!$D298, "1", 'Historical Orders'!$C298, "A", 'Historical Orders'!$B298, "2")</f>
        <v>3776</v>
      </c>
      <c r="M298" s="157">
        <f>SUMIFS('Historical Orders'!$G298, 'Historical Orders'!$D298, "1", 'Historical Orders'!$C298, "A", 'Historical Orders'!$B298, "2")</f>
        <v>8307.2</v>
      </c>
      <c r="N298" s="157">
        <f>SUMIFS('Historical Orders'!$E298, 'Historical Orders'!$D298, "1", 'Historical Orders'!$C298, "B", 'Historical Orders'!$B298, "2")</f>
        <v>0</v>
      </c>
      <c r="O298" s="157">
        <f>SUMIFS('Historical Orders'!$G298, 'Historical Orders'!$D298, "1", 'Historical Orders'!$C298, "B", 'Historical Orders'!$B298, "2")</f>
        <v>0</v>
      </c>
      <c r="P298" s="159">
        <f>SUMIFS('Historical Orders'!$E298, 'Historical Orders'!$D298, "2", 'Historical Orders'!$C298, "A", 'Historical Orders'!$B298, "1")</f>
        <v>0</v>
      </c>
      <c r="Q298" s="157">
        <f>SUMIFS('Historical Orders'!$G298, 'Historical Orders'!$D298, "2", 'Historical Orders'!$C298, "A", 'Historical Orders'!$B298, "1")</f>
        <v>0</v>
      </c>
      <c r="R298" s="159">
        <f>SUMIFS('Historical Orders'!$E298, 'Historical Orders'!$D298, "2", 'Historical Orders'!$C298, "B", 'Historical Orders'!$B298, "1")</f>
        <v>0</v>
      </c>
      <c r="S298" s="157">
        <f>SUMIFS('Historical Orders'!$G298, 'Historical Orders'!$D298, "2", 'Historical Orders'!$C298, "B", 'Historical Orders'!$B298, "1")</f>
        <v>0</v>
      </c>
      <c r="T298" s="159">
        <f>SUMIFS('Historical Orders'!$E298, 'Historical Orders'!$D298, "2", 'Historical Orders'!$C298, "A", 'Historical Orders'!$B298, "2")</f>
        <v>0</v>
      </c>
      <c r="U298" s="157">
        <f>SUMIFS('Historical Orders'!$G298, 'Historical Orders'!$D298, "2", 'Historical Orders'!$C298, "A", 'Historical Orders'!$B298, "2")</f>
        <v>0</v>
      </c>
      <c r="V298" s="159">
        <f>SUMIFS('Historical Orders'!$E298, 'Historical Orders'!$D298, "2", 'Historical Orders'!$C298, "B", 'Historical Orders'!$B298, "2")</f>
        <v>0</v>
      </c>
      <c r="W298" s="159">
        <f>SUMIFS('Historical Orders'!$G298, 'Historical Orders'!$D298, "2", 'Historical Orders'!$C298, "B", 'Historical Orders'!$B298, "2")</f>
        <v>0</v>
      </c>
      <c r="X298" s="159">
        <f>SUMIFS('Historical Orders'!$E298, 'Historical Orders'!$D298, "3", 'Historical Orders'!$C298, "A", 'Historical Orders'!$B298, "1")</f>
        <v>0</v>
      </c>
      <c r="Y298" s="159">
        <f>SUMIFS('Historical Orders'!$G298, 'Historical Orders'!$D298, "3", 'Historical Orders'!$C298, "A", 'Historical Orders'!$B298, "1")</f>
        <v>0</v>
      </c>
      <c r="Z298" s="159">
        <f>SUMIFS('Historical Orders'!$E298, 'Historical Orders'!$D298, "3", 'Historical Orders'!$C298, "B", 'Historical Orders'!$B298, "1")</f>
        <v>0</v>
      </c>
      <c r="AA298" s="159">
        <f>SUMIFS('Historical Orders'!$G298, 'Historical Orders'!$D298, "3", 'Historical Orders'!$C298, "B", 'Historical Orders'!$B298, "1")</f>
        <v>0</v>
      </c>
      <c r="AB298" s="159">
        <f>SUMIFS('Historical Orders'!$E298, 'Historical Orders'!$D298, "3", 'Historical Orders'!$C298, "A", 'Historical Orders'!$B298, "2")</f>
        <v>0</v>
      </c>
      <c r="AC298" s="159">
        <f>SUMIFS('Historical Orders'!$G298, 'Historical Orders'!$D298, "3", 'Historical Orders'!$C298, "A", 'Historical Orders'!$B298, "2")</f>
        <v>0</v>
      </c>
      <c r="AD298" s="159">
        <f>SUMIFS('Historical Orders'!$E298, 'Historical Orders'!$D298, "3", 'Historical Orders'!$C298, "B", 'Historical Orders'!$B298, "2")</f>
        <v>0</v>
      </c>
      <c r="AE298" s="157">
        <f>SUMIFS('Historical Orders'!$G298, 'Historical Orders'!$D298, "3", 'Historical Orders'!$C298, "B", 'Historical Orders'!$B298, "2")</f>
        <v>0</v>
      </c>
      <c r="AF298" s="157">
        <f>SUMIFS('Historical Orders'!$E298, 'Historical Orders'!$D298, "4", 'Historical Orders'!$C298, "A", 'Historical Orders'!$B298, "1")</f>
        <v>0</v>
      </c>
      <c r="AG298" s="157">
        <f>SUMIFS('Historical Orders'!$G298, 'Historical Orders'!$D298, "4", 'Historical Orders'!$C298, "A", 'Historical Orders'!$B298, "1")</f>
        <v>0</v>
      </c>
      <c r="AH298" s="157">
        <f>SUMIFS('Historical Orders'!$E298, 'Historical Orders'!$D298, "4", 'Historical Orders'!$C298, "B", 'Historical Orders'!$B298, "1")</f>
        <v>0</v>
      </c>
      <c r="AI298" s="157">
        <f>SUMIFS('Historical Orders'!$G298, 'Historical Orders'!$D298, "4", 'Historical Orders'!$C298, "B", 'Historical Orders'!$B298, "1")</f>
        <v>0</v>
      </c>
      <c r="AJ298" s="157">
        <f>SUMIFS('Historical Orders'!$E298, 'Historical Orders'!$D298, "4", 'Historical Orders'!$C298, "A", 'Historical Orders'!$B298, "2")</f>
        <v>0</v>
      </c>
      <c r="AK298" s="157">
        <f>SUMIFS('Historical Orders'!$G298, 'Historical Orders'!$D298, "4", 'Historical Orders'!$C298, "A", 'Historical Orders'!$B298, "2")</f>
        <v>0</v>
      </c>
      <c r="AL298" s="171">
        <f>SUMIFS('Historical Orders'!$E298, 'Historical Orders'!$D298, "4", 'Historical Orders'!$C298, "B", 'Historical Orders'!$B298, "2")</f>
        <v>0</v>
      </c>
      <c r="AM298" s="171">
        <f>SUMIFS('Historical Orders'!$G298, 'Historical Orders'!$D298, "4", 'Historical Orders'!$C298, "B", 'Historical Orders'!$B298, "2")</f>
        <v>0</v>
      </c>
      <c r="AN298" s="171">
        <f>SUMIFS('Historical Orders'!$G298, 'Historical Orders'!$C298, "A", 'Historical Orders'!$B298, "1")</f>
        <v>0</v>
      </c>
      <c r="AO298" s="171">
        <f>SUMIFS('Historical Orders'!$G298, 'Historical Orders'!$C298, "B", 'Historical Orders'!$B298, "1")</f>
        <v>0</v>
      </c>
      <c r="AP298" s="171">
        <f>SUMIFS('Historical Orders'!$G298, 'Historical Orders'!$C298, "A", 'Historical Orders'!$B298, "2")</f>
        <v>8307.2</v>
      </c>
      <c r="AQ298" s="171">
        <f>SUMIFS('Historical Orders'!$G298, 'Historical Orders'!$C298, "B", 'Historical Orders'!$B298, "2")</f>
        <v>0</v>
      </c>
      <c r="AR298" s="145"/>
      <c r="AS298" s="172"/>
      <c r="AT298" s="172"/>
      <c r="AU298" s="172"/>
      <c r="AV298" s="172"/>
      <c r="AW298" s="172"/>
      <c r="AX298" s="172"/>
      <c r="AY298" s="172"/>
      <c r="AZ298" s="172"/>
      <c r="BA298" s="172"/>
      <c r="BB298" s="172"/>
      <c r="BC298" s="172"/>
      <c r="BD298" s="172"/>
      <c r="BE298" s="172"/>
      <c r="BF298" s="172"/>
      <c r="BG298" s="172"/>
      <c r="BH298" s="172"/>
      <c r="BI298" s="172"/>
      <c r="BJ298" s="172"/>
      <c r="BK298" s="172"/>
      <c r="BL298" s="172"/>
      <c r="BM298" s="172"/>
      <c r="BN298" s="172"/>
      <c r="BO298" s="172"/>
      <c r="BP298" s="172"/>
      <c r="BQ298" s="172"/>
      <c r="BR298" s="172"/>
      <c r="BS298" s="172"/>
      <c r="BT298" s="172"/>
      <c r="BU298" s="172"/>
      <c r="BV298" s="179"/>
      <c r="BW298" s="179"/>
      <c r="BX298" s="179"/>
      <c r="BY298" s="179"/>
      <c r="BZ298" s="179"/>
      <c r="CA298" s="179"/>
      <c r="CB298" s="179"/>
      <c r="CC298" s="179"/>
      <c r="CD298" s="179"/>
      <c r="CE298" s="179"/>
    </row>
    <row r="299" ht="15.75" customHeight="1">
      <c r="A299" s="151">
        <v>42198.0</v>
      </c>
      <c r="B299" s="152">
        <v>2.0</v>
      </c>
      <c r="C299" s="152" t="s">
        <v>45</v>
      </c>
      <c r="D299" s="152">
        <v>2.0</v>
      </c>
      <c r="E299" s="153">
        <v>7860.0</v>
      </c>
      <c r="F299" s="154">
        <v>1.2</v>
      </c>
      <c r="G299" s="155">
        <v>9432.0</v>
      </c>
      <c r="H299" s="159">
        <f>SUMIFS('Historical Orders'!$E299, 'Historical Orders'!$D299, "1", 'Historical Orders'!$C299, "A", 'Historical Orders'!$B299, "1")</f>
        <v>0</v>
      </c>
      <c r="I299" s="157">
        <f>SUMIFS('Historical Orders'!$G299, 'Historical Orders'!$D299, "1", 'Historical Orders'!$C299, "A", 'Historical Orders'!$B299, "1")</f>
        <v>0</v>
      </c>
      <c r="J299" s="157">
        <f>SUMIFS('Historical Orders'!$E299, 'Historical Orders'!$D299, "1", 'Historical Orders'!$C299, "B", 'Historical Orders'!$B299, "1")</f>
        <v>0</v>
      </c>
      <c r="K299" s="157">
        <f>SUMIFS('Historical Orders'!$G299, 'Historical Orders'!$D299, "1", 'Historical Orders'!$C299, "B", 'Historical Orders'!$B299, "1")</f>
        <v>0</v>
      </c>
      <c r="L299" s="159">
        <f>SUMIFS('Historical Orders'!$E299, 'Historical Orders'!$D299, "1", 'Historical Orders'!$C299, "A", 'Historical Orders'!$B299, "2")</f>
        <v>0</v>
      </c>
      <c r="M299" s="157">
        <f>SUMIFS('Historical Orders'!$G299, 'Historical Orders'!$D299, "1", 'Historical Orders'!$C299, "A", 'Historical Orders'!$B299, "2")</f>
        <v>0</v>
      </c>
      <c r="N299" s="157">
        <f>SUMIFS('Historical Orders'!$E299, 'Historical Orders'!$D299, "1", 'Historical Orders'!$C299, "B", 'Historical Orders'!$B299, "2")</f>
        <v>0</v>
      </c>
      <c r="O299" s="157">
        <f>SUMIFS('Historical Orders'!$G299, 'Historical Orders'!$D299, "1", 'Historical Orders'!$C299, "B", 'Historical Orders'!$B299, "2")</f>
        <v>0</v>
      </c>
      <c r="P299" s="159">
        <f>SUMIFS('Historical Orders'!$E299, 'Historical Orders'!$D299, "2", 'Historical Orders'!$C299, "A", 'Historical Orders'!$B299, "1")</f>
        <v>0</v>
      </c>
      <c r="Q299" s="157">
        <f>SUMIFS('Historical Orders'!$G299, 'Historical Orders'!$D299, "2", 'Historical Orders'!$C299, "A", 'Historical Orders'!$B299, "1")</f>
        <v>0</v>
      </c>
      <c r="R299" s="159">
        <f>SUMIFS('Historical Orders'!$E299, 'Historical Orders'!$D299, "2", 'Historical Orders'!$C299, "B", 'Historical Orders'!$B299, "1")</f>
        <v>0</v>
      </c>
      <c r="S299" s="157">
        <f>SUMIFS('Historical Orders'!$G299, 'Historical Orders'!$D299, "2", 'Historical Orders'!$C299, "B", 'Historical Orders'!$B299, "1")</f>
        <v>0</v>
      </c>
      <c r="T299" s="159">
        <f>SUMIFS('Historical Orders'!$E299, 'Historical Orders'!$D299, "2", 'Historical Orders'!$C299, "A", 'Historical Orders'!$B299, "2")</f>
        <v>7860</v>
      </c>
      <c r="U299" s="157">
        <f>SUMIFS('Historical Orders'!$G299, 'Historical Orders'!$D299, "2", 'Historical Orders'!$C299, "A", 'Historical Orders'!$B299, "2")</f>
        <v>9432</v>
      </c>
      <c r="V299" s="159">
        <f>SUMIFS('Historical Orders'!$E299, 'Historical Orders'!$D299, "2", 'Historical Orders'!$C299, "B", 'Historical Orders'!$B299, "2")</f>
        <v>0</v>
      </c>
      <c r="W299" s="159">
        <f>SUMIFS('Historical Orders'!$G299, 'Historical Orders'!$D299, "2", 'Historical Orders'!$C299, "B", 'Historical Orders'!$B299, "2")</f>
        <v>0</v>
      </c>
      <c r="X299" s="159">
        <f>SUMIFS('Historical Orders'!$E299, 'Historical Orders'!$D299, "3", 'Historical Orders'!$C299, "A", 'Historical Orders'!$B299, "1")</f>
        <v>0</v>
      </c>
      <c r="Y299" s="159">
        <f>SUMIFS('Historical Orders'!$G299, 'Historical Orders'!$D299, "3", 'Historical Orders'!$C299, "A", 'Historical Orders'!$B299, "1")</f>
        <v>0</v>
      </c>
      <c r="Z299" s="159">
        <f>SUMIFS('Historical Orders'!$E299, 'Historical Orders'!$D299, "3", 'Historical Orders'!$C299, "B", 'Historical Orders'!$B299, "1")</f>
        <v>0</v>
      </c>
      <c r="AA299" s="159">
        <f>SUMIFS('Historical Orders'!$G299, 'Historical Orders'!$D299, "3", 'Historical Orders'!$C299, "B", 'Historical Orders'!$B299, "1")</f>
        <v>0</v>
      </c>
      <c r="AB299" s="159">
        <f>SUMIFS('Historical Orders'!$E299, 'Historical Orders'!$D299, "3", 'Historical Orders'!$C299, "A", 'Historical Orders'!$B299, "2")</f>
        <v>0</v>
      </c>
      <c r="AC299" s="159">
        <f>SUMIFS('Historical Orders'!$G299, 'Historical Orders'!$D299, "3", 'Historical Orders'!$C299, "A", 'Historical Orders'!$B299, "2")</f>
        <v>0</v>
      </c>
      <c r="AD299" s="159">
        <f>SUMIFS('Historical Orders'!$E299, 'Historical Orders'!$D299, "3", 'Historical Orders'!$C299, "B", 'Historical Orders'!$B299, "2")</f>
        <v>0</v>
      </c>
      <c r="AE299" s="157">
        <f>SUMIFS('Historical Orders'!$G299, 'Historical Orders'!$D299, "3", 'Historical Orders'!$C299, "B", 'Historical Orders'!$B299, "2")</f>
        <v>0</v>
      </c>
      <c r="AF299" s="157">
        <f>SUMIFS('Historical Orders'!$E299, 'Historical Orders'!$D299, "4", 'Historical Orders'!$C299, "A", 'Historical Orders'!$B299, "1")</f>
        <v>0</v>
      </c>
      <c r="AG299" s="157">
        <f>SUMIFS('Historical Orders'!$G299, 'Historical Orders'!$D299, "4", 'Historical Orders'!$C299, "A", 'Historical Orders'!$B299, "1")</f>
        <v>0</v>
      </c>
      <c r="AH299" s="157">
        <f>SUMIFS('Historical Orders'!$E299, 'Historical Orders'!$D299, "4", 'Historical Orders'!$C299, "B", 'Historical Orders'!$B299, "1")</f>
        <v>0</v>
      </c>
      <c r="AI299" s="157">
        <f>SUMIFS('Historical Orders'!$G299, 'Historical Orders'!$D299, "4", 'Historical Orders'!$C299, "B", 'Historical Orders'!$B299, "1")</f>
        <v>0</v>
      </c>
      <c r="AJ299" s="157">
        <f>SUMIFS('Historical Orders'!$E299, 'Historical Orders'!$D299, "4", 'Historical Orders'!$C299, "A", 'Historical Orders'!$B299, "2")</f>
        <v>0</v>
      </c>
      <c r="AK299" s="157">
        <f>SUMIFS('Historical Orders'!$G299, 'Historical Orders'!$D299, "4", 'Historical Orders'!$C299, "A", 'Historical Orders'!$B299, "2")</f>
        <v>0</v>
      </c>
      <c r="AL299" s="171">
        <f>SUMIFS('Historical Orders'!$E299, 'Historical Orders'!$D299, "4", 'Historical Orders'!$C299, "B", 'Historical Orders'!$B299, "2")</f>
        <v>0</v>
      </c>
      <c r="AM299" s="171">
        <f>SUMIFS('Historical Orders'!$G299, 'Historical Orders'!$D299, "4", 'Historical Orders'!$C299, "B", 'Historical Orders'!$B299, "2")</f>
        <v>0</v>
      </c>
      <c r="AN299" s="171">
        <f>SUMIFS('Historical Orders'!$G299, 'Historical Orders'!$C299, "A", 'Historical Orders'!$B299, "1")</f>
        <v>0</v>
      </c>
      <c r="AO299" s="171">
        <f>SUMIFS('Historical Orders'!$G299, 'Historical Orders'!$C299, "B", 'Historical Orders'!$B299, "1")</f>
        <v>0</v>
      </c>
      <c r="AP299" s="171">
        <f>SUMIFS('Historical Orders'!$G299, 'Historical Orders'!$C299, "A", 'Historical Orders'!$B299, "2")</f>
        <v>9432</v>
      </c>
      <c r="AQ299" s="171">
        <f>SUMIFS('Historical Orders'!$G299, 'Historical Orders'!$C299, "B", 'Historical Orders'!$B299, "2")</f>
        <v>0</v>
      </c>
      <c r="AR299" s="145"/>
      <c r="AS299" s="172"/>
      <c r="AT299" s="172"/>
      <c r="AU299" s="172"/>
      <c r="AV299" s="172"/>
      <c r="AW299" s="172"/>
      <c r="AX299" s="172"/>
      <c r="AY299" s="172"/>
      <c r="AZ299" s="172"/>
      <c r="BA299" s="172"/>
      <c r="BB299" s="172"/>
      <c r="BC299" s="172"/>
      <c r="BD299" s="172"/>
      <c r="BE299" s="172"/>
      <c r="BF299" s="172"/>
      <c r="BG299" s="172"/>
      <c r="BH299" s="172"/>
      <c r="BI299" s="172"/>
      <c r="BJ299" s="172"/>
      <c r="BK299" s="172"/>
      <c r="BL299" s="172"/>
      <c r="BM299" s="172"/>
      <c r="BN299" s="172"/>
      <c r="BO299" s="172"/>
      <c r="BP299" s="172"/>
      <c r="BQ299" s="172"/>
      <c r="BR299" s="172"/>
      <c r="BS299" s="172"/>
      <c r="BT299" s="172"/>
      <c r="BU299" s="172"/>
      <c r="BV299" s="179"/>
      <c r="BW299" s="179"/>
      <c r="BX299" s="179"/>
      <c r="BY299" s="179"/>
      <c r="BZ299" s="179"/>
      <c r="CA299" s="179"/>
      <c r="CB299" s="179"/>
      <c r="CC299" s="179"/>
      <c r="CD299" s="179"/>
      <c r="CE299" s="179"/>
    </row>
    <row r="300" ht="15.75" customHeight="1">
      <c r="A300" s="151">
        <v>42198.0</v>
      </c>
      <c r="B300" s="152">
        <v>1.0</v>
      </c>
      <c r="C300" s="152" t="s">
        <v>46</v>
      </c>
      <c r="D300" s="152">
        <v>3.0</v>
      </c>
      <c r="E300" s="153">
        <v>2254.0</v>
      </c>
      <c r="F300" s="154">
        <v>8.3</v>
      </c>
      <c r="G300" s="155">
        <v>18708.2</v>
      </c>
      <c r="H300" s="159">
        <f>SUMIFS('Historical Orders'!$E300, 'Historical Orders'!$D300, "1", 'Historical Orders'!$C300, "A", 'Historical Orders'!$B300, "1")</f>
        <v>0</v>
      </c>
      <c r="I300" s="157">
        <f>SUMIFS('Historical Orders'!$G300, 'Historical Orders'!$D300, "1", 'Historical Orders'!$C300, "A", 'Historical Orders'!$B300, "1")</f>
        <v>0</v>
      </c>
      <c r="J300" s="157">
        <f>SUMIFS('Historical Orders'!$E300, 'Historical Orders'!$D300, "1", 'Historical Orders'!$C300, "B", 'Historical Orders'!$B300, "1")</f>
        <v>0</v>
      </c>
      <c r="K300" s="157">
        <f>SUMIFS('Historical Orders'!$G300, 'Historical Orders'!$D300, "1", 'Historical Orders'!$C300, "B", 'Historical Orders'!$B300, "1")</f>
        <v>0</v>
      </c>
      <c r="L300" s="159">
        <f>SUMIFS('Historical Orders'!$E300, 'Historical Orders'!$D300, "1", 'Historical Orders'!$C300, "A", 'Historical Orders'!$B300, "2")</f>
        <v>0</v>
      </c>
      <c r="M300" s="157">
        <f>SUMIFS('Historical Orders'!$G300, 'Historical Orders'!$D300, "1", 'Historical Orders'!$C300, "A", 'Historical Orders'!$B300, "2")</f>
        <v>0</v>
      </c>
      <c r="N300" s="157">
        <f>SUMIFS('Historical Orders'!$E300, 'Historical Orders'!$D300, "1", 'Historical Orders'!$C300, "B", 'Historical Orders'!$B300, "2")</f>
        <v>0</v>
      </c>
      <c r="O300" s="157">
        <f>SUMIFS('Historical Orders'!$G300, 'Historical Orders'!$D300, "1", 'Historical Orders'!$C300, "B", 'Historical Orders'!$B300, "2")</f>
        <v>0</v>
      </c>
      <c r="P300" s="159">
        <f>SUMIFS('Historical Orders'!$E300, 'Historical Orders'!$D300, "2", 'Historical Orders'!$C300, "A", 'Historical Orders'!$B300, "1")</f>
        <v>0</v>
      </c>
      <c r="Q300" s="157">
        <f>SUMIFS('Historical Orders'!$G300, 'Historical Orders'!$D300, "2", 'Historical Orders'!$C300, "A", 'Historical Orders'!$B300, "1")</f>
        <v>0</v>
      </c>
      <c r="R300" s="159">
        <f>SUMIFS('Historical Orders'!$E300, 'Historical Orders'!$D300, "2", 'Historical Orders'!$C300, "B", 'Historical Orders'!$B300, "1")</f>
        <v>0</v>
      </c>
      <c r="S300" s="157">
        <f>SUMIFS('Historical Orders'!$G300, 'Historical Orders'!$D300, "2", 'Historical Orders'!$C300, "B", 'Historical Orders'!$B300, "1")</f>
        <v>0</v>
      </c>
      <c r="T300" s="159">
        <f>SUMIFS('Historical Orders'!$E300, 'Historical Orders'!$D300, "2", 'Historical Orders'!$C300, "A", 'Historical Orders'!$B300, "2")</f>
        <v>0</v>
      </c>
      <c r="U300" s="157">
        <f>SUMIFS('Historical Orders'!$G300, 'Historical Orders'!$D300, "2", 'Historical Orders'!$C300, "A", 'Historical Orders'!$B300, "2")</f>
        <v>0</v>
      </c>
      <c r="V300" s="159">
        <f>SUMIFS('Historical Orders'!$E300, 'Historical Orders'!$D300, "2", 'Historical Orders'!$C300, "B", 'Historical Orders'!$B300, "2")</f>
        <v>0</v>
      </c>
      <c r="W300" s="159">
        <f>SUMIFS('Historical Orders'!$G300, 'Historical Orders'!$D300, "2", 'Historical Orders'!$C300, "B", 'Historical Orders'!$B300, "2")</f>
        <v>0</v>
      </c>
      <c r="X300" s="159">
        <f>SUMIFS('Historical Orders'!$E300, 'Historical Orders'!$D300, "3", 'Historical Orders'!$C300, "A", 'Historical Orders'!$B300, "1")</f>
        <v>0</v>
      </c>
      <c r="Y300" s="159">
        <f>SUMIFS('Historical Orders'!$G300, 'Historical Orders'!$D300, "3", 'Historical Orders'!$C300, "A", 'Historical Orders'!$B300, "1")</f>
        <v>0</v>
      </c>
      <c r="Z300" s="159">
        <f>SUMIFS('Historical Orders'!$E300, 'Historical Orders'!$D300, "3", 'Historical Orders'!$C300, "B", 'Historical Orders'!$B300, "1")</f>
        <v>2254</v>
      </c>
      <c r="AA300" s="159">
        <f>SUMIFS('Historical Orders'!$G300, 'Historical Orders'!$D300, "3", 'Historical Orders'!$C300, "B", 'Historical Orders'!$B300, "1")</f>
        <v>18708.2</v>
      </c>
      <c r="AB300" s="159">
        <f>SUMIFS('Historical Orders'!$E300, 'Historical Orders'!$D300, "3", 'Historical Orders'!$C300, "A", 'Historical Orders'!$B300, "2")</f>
        <v>0</v>
      </c>
      <c r="AC300" s="159">
        <f>SUMIFS('Historical Orders'!$G300, 'Historical Orders'!$D300, "3", 'Historical Orders'!$C300, "A", 'Historical Orders'!$B300, "2")</f>
        <v>0</v>
      </c>
      <c r="AD300" s="159">
        <f>SUMIFS('Historical Orders'!$E300, 'Historical Orders'!$D300, "3", 'Historical Orders'!$C300, "B", 'Historical Orders'!$B300, "2")</f>
        <v>0</v>
      </c>
      <c r="AE300" s="157">
        <f>SUMIFS('Historical Orders'!$G300, 'Historical Orders'!$D300, "3", 'Historical Orders'!$C300, "B", 'Historical Orders'!$B300, "2")</f>
        <v>0</v>
      </c>
      <c r="AF300" s="157">
        <f>SUMIFS('Historical Orders'!$E300, 'Historical Orders'!$D300, "4", 'Historical Orders'!$C300, "A", 'Historical Orders'!$B300, "1")</f>
        <v>0</v>
      </c>
      <c r="AG300" s="157">
        <f>SUMIFS('Historical Orders'!$G300, 'Historical Orders'!$D300, "4", 'Historical Orders'!$C300, "A", 'Historical Orders'!$B300, "1")</f>
        <v>0</v>
      </c>
      <c r="AH300" s="157">
        <f>SUMIFS('Historical Orders'!$E300, 'Historical Orders'!$D300, "4", 'Historical Orders'!$C300, "B", 'Historical Orders'!$B300, "1")</f>
        <v>0</v>
      </c>
      <c r="AI300" s="157">
        <f>SUMIFS('Historical Orders'!$G300, 'Historical Orders'!$D300, "4", 'Historical Orders'!$C300, "B", 'Historical Orders'!$B300, "1")</f>
        <v>0</v>
      </c>
      <c r="AJ300" s="157">
        <f>SUMIFS('Historical Orders'!$E300, 'Historical Orders'!$D300, "4", 'Historical Orders'!$C300, "A", 'Historical Orders'!$B300, "2")</f>
        <v>0</v>
      </c>
      <c r="AK300" s="157">
        <f>SUMIFS('Historical Orders'!$G300, 'Historical Orders'!$D300, "4", 'Historical Orders'!$C300, "A", 'Historical Orders'!$B300, "2")</f>
        <v>0</v>
      </c>
      <c r="AL300" s="171">
        <f>SUMIFS('Historical Orders'!$E300, 'Historical Orders'!$D300, "4", 'Historical Orders'!$C300, "B", 'Historical Orders'!$B300, "2")</f>
        <v>0</v>
      </c>
      <c r="AM300" s="171">
        <f>SUMIFS('Historical Orders'!$G300, 'Historical Orders'!$D300, "4", 'Historical Orders'!$C300, "B", 'Historical Orders'!$B300, "2")</f>
        <v>0</v>
      </c>
      <c r="AN300" s="171">
        <f>SUMIFS('Historical Orders'!$G300, 'Historical Orders'!$C300, "A", 'Historical Orders'!$B300, "1")</f>
        <v>0</v>
      </c>
      <c r="AO300" s="171">
        <f>SUMIFS('Historical Orders'!$G300, 'Historical Orders'!$C300, "B", 'Historical Orders'!$B300, "1")</f>
        <v>18708.2</v>
      </c>
      <c r="AP300" s="171">
        <f>SUMIFS('Historical Orders'!$G300, 'Historical Orders'!$C300, "A", 'Historical Orders'!$B300, "2")</f>
        <v>0</v>
      </c>
      <c r="AQ300" s="171">
        <f>SUMIFS('Historical Orders'!$G300, 'Historical Orders'!$C300, "B", 'Historical Orders'!$B300, "2")</f>
        <v>0</v>
      </c>
      <c r="AR300" s="145"/>
      <c r="AS300" s="172"/>
      <c r="AT300" s="172"/>
      <c r="AU300" s="172"/>
      <c r="AV300" s="172"/>
      <c r="AW300" s="172"/>
      <c r="AX300" s="172"/>
      <c r="AY300" s="172"/>
      <c r="AZ300" s="172"/>
      <c r="BA300" s="172"/>
      <c r="BB300" s="172"/>
      <c r="BC300" s="172"/>
      <c r="BD300" s="172"/>
      <c r="BE300" s="172"/>
      <c r="BF300" s="172"/>
      <c r="BG300" s="172"/>
      <c r="BH300" s="172"/>
      <c r="BI300" s="172"/>
      <c r="BJ300" s="172"/>
      <c r="BK300" s="172"/>
      <c r="BL300" s="172"/>
      <c r="BM300" s="172"/>
      <c r="BN300" s="172"/>
      <c r="BO300" s="172"/>
      <c r="BP300" s="172"/>
      <c r="BQ300" s="172"/>
      <c r="BR300" s="172"/>
      <c r="BS300" s="172"/>
      <c r="BT300" s="172"/>
      <c r="BU300" s="172"/>
      <c r="BV300" s="179"/>
      <c r="BW300" s="179"/>
      <c r="BX300" s="179"/>
      <c r="BY300" s="179"/>
      <c r="BZ300" s="179"/>
      <c r="CA300" s="179"/>
      <c r="CB300" s="179"/>
      <c r="CC300" s="179"/>
      <c r="CD300" s="179"/>
      <c r="CE300" s="179"/>
    </row>
    <row r="301" ht="15.75" customHeight="1">
      <c r="A301" s="151">
        <v>42198.0</v>
      </c>
      <c r="B301" s="152">
        <v>2.0</v>
      </c>
      <c r="C301" s="152" t="s">
        <v>46</v>
      </c>
      <c r="D301" s="152">
        <v>3.0</v>
      </c>
      <c r="E301" s="153">
        <v>3084.0</v>
      </c>
      <c r="F301" s="154">
        <v>8.3</v>
      </c>
      <c r="G301" s="155">
        <v>25597.2</v>
      </c>
      <c r="H301" s="159">
        <f>SUMIFS('Historical Orders'!$E301, 'Historical Orders'!$D301, "1", 'Historical Orders'!$C301, "A", 'Historical Orders'!$B301, "1")</f>
        <v>0</v>
      </c>
      <c r="I301" s="157">
        <f>SUMIFS('Historical Orders'!$G301, 'Historical Orders'!$D301, "1", 'Historical Orders'!$C301, "A", 'Historical Orders'!$B301, "1")</f>
        <v>0</v>
      </c>
      <c r="J301" s="157">
        <f>SUMIFS('Historical Orders'!$E301, 'Historical Orders'!$D301, "1", 'Historical Orders'!$C301, "B", 'Historical Orders'!$B301, "1")</f>
        <v>0</v>
      </c>
      <c r="K301" s="157">
        <f>SUMIFS('Historical Orders'!$G301, 'Historical Orders'!$D301, "1", 'Historical Orders'!$C301, "B", 'Historical Orders'!$B301, "1")</f>
        <v>0</v>
      </c>
      <c r="L301" s="159">
        <f>SUMIFS('Historical Orders'!$E301, 'Historical Orders'!$D301, "1", 'Historical Orders'!$C301, "A", 'Historical Orders'!$B301, "2")</f>
        <v>0</v>
      </c>
      <c r="M301" s="157">
        <f>SUMIFS('Historical Orders'!$G301, 'Historical Orders'!$D301, "1", 'Historical Orders'!$C301, "A", 'Historical Orders'!$B301, "2")</f>
        <v>0</v>
      </c>
      <c r="N301" s="157">
        <f>SUMIFS('Historical Orders'!$E301, 'Historical Orders'!$D301, "1", 'Historical Orders'!$C301, "B", 'Historical Orders'!$B301, "2")</f>
        <v>0</v>
      </c>
      <c r="O301" s="157">
        <f>SUMIFS('Historical Orders'!$G301, 'Historical Orders'!$D301, "1", 'Historical Orders'!$C301, "B", 'Historical Orders'!$B301, "2")</f>
        <v>0</v>
      </c>
      <c r="P301" s="159">
        <f>SUMIFS('Historical Orders'!$E301, 'Historical Orders'!$D301, "2", 'Historical Orders'!$C301, "A", 'Historical Orders'!$B301, "1")</f>
        <v>0</v>
      </c>
      <c r="Q301" s="157">
        <f>SUMIFS('Historical Orders'!$G301, 'Historical Orders'!$D301, "2", 'Historical Orders'!$C301, "A", 'Historical Orders'!$B301, "1")</f>
        <v>0</v>
      </c>
      <c r="R301" s="159">
        <f>SUMIFS('Historical Orders'!$E301, 'Historical Orders'!$D301, "2", 'Historical Orders'!$C301, "B", 'Historical Orders'!$B301, "1")</f>
        <v>0</v>
      </c>
      <c r="S301" s="157">
        <f>SUMIFS('Historical Orders'!$G301, 'Historical Orders'!$D301, "2", 'Historical Orders'!$C301, "B", 'Historical Orders'!$B301, "1")</f>
        <v>0</v>
      </c>
      <c r="T301" s="159">
        <f>SUMIFS('Historical Orders'!$E301, 'Historical Orders'!$D301, "2", 'Historical Orders'!$C301, "A", 'Historical Orders'!$B301, "2")</f>
        <v>0</v>
      </c>
      <c r="U301" s="157">
        <f>SUMIFS('Historical Orders'!$G301, 'Historical Orders'!$D301, "2", 'Historical Orders'!$C301, "A", 'Historical Orders'!$B301, "2")</f>
        <v>0</v>
      </c>
      <c r="V301" s="159">
        <f>SUMIFS('Historical Orders'!$E301, 'Historical Orders'!$D301, "2", 'Historical Orders'!$C301, "B", 'Historical Orders'!$B301, "2")</f>
        <v>0</v>
      </c>
      <c r="W301" s="159">
        <f>SUMIFS('Historical Orders'!$G301, 'Historical Orders'!$D301, "2", 'Historical Orders'!$C301, "B", 'Historical Orders'!$B301, "2")</f>
        <v>0</v>
      </c>
      <c r="X301" s="159">
        <f>SUMIFS('Historical Orders'!$E301, 'Historical Orders'!$D301, "3", 'Historical Orders'!$C301, "A", 'Historical Orders'!$B301, "1")</f>
        <v>0</v>
      </c>
      <c r="Y301" s="159">
        <f>SUMIFS('Historical Orders'!$G301, 'Historical Orders'!$D301, "3", 'Historical Orders'!$C301, "A", 'Historical Orders'!$B301, "1")</f>
        <v>0</v>
      </c>
      <c r="Z301" s="159">
        <f>SUMIFS('Historical Orders'!$E301, 'Historical Orders'!$D301, "3", 'Historical Orders'!$C301, "B", 'Historical Orders'!$B301, "1")</f>
        <v>0</v>
      </c>
      <c r="AA301" s="159">
        <f>SUMIFS('Historical Orders'!$G301, 'Historical Orders'!$D301, "3", 'Historical Orders'!$C301, "B", 'Historical Orders'!$B301, "1")</f>
        <v>0</v>
      </c>
      <c r="AB301" s="159">
        <f>SUMIFS('Historical Orders'!$E301, 'Historical Orders'!$D301, "3", 'Historical Orders'!$C301, "A", 'Historical Orders'!$B301, "2")</f>
        <v>0</v>
      </c>
      <c r="AC301" s="159">
        <f>SUMIFS('Historical Orders'!$G301, 'Historical Orders'!$D301, "3", 'Historical Orders'!$C301, "A", 'Historical Orders'!$B301, "2")</f>
        <v>0</v>
      </c>
      <c r="AD301" s="159">
        <f>SUMIFS('Historical Orders'!$E301, 'Historical Orders'!$D301, "3", 'Historical Orders'!$C301, "B", 'Historical Orders'!$B301, "2")</f>
        <v>3084</v>
      </c>
      <c r="AE301" s="157">
        <f>SUMIFS('Historical Orders'!$G301, 'Historical Orders'!$D301, "3", 'Historical Orders'!$C301, "B", 'Historical Orders'!$B301, "2")</f>
        <v>25597.2</v>
      </c>
      <c r="AF301" s="157">
        <f>SUMIFS('Historical Orders'!$E301, 'Historical Orders'!$D301, "4", 'Historical Orders'!$C301, "A", 'Historical Orders'!$B301, "1")</f>
        <v>0</v>
      </c>
      <c r="AG301" s="157">
        <f>SUMIFS('Historical Orders'!$G301, 'Historical Orders'!$D301, "4", 'Historical Orders'!$C301, "A", 'Historical Orders'!$B301, "1")</f>
        <v>0</v>
      </c>
      <c r="AH301" s="157">
        <f>SUMIFS('Historical Orders'!$E301, 'Historical Orders'!$D301, "4", 'Historical Orders'!$C301, "B", 'Historical Orders'!$B301, "1")</f>
        <v>0</v>
      </c>
      <c r="AI301" s="157">
        <f>SUMIFS('Historical Orders'!$G301, 'Historical Orders'!$D301, "4", 'Historical Orders'!$C301, "B", 'Historical Orders'!$B301, "1")</f>
        <v>0</v>
      </c>
      <c r="AJ301" s="157">
        <f>SUMIFS('Historical Orders'!$E301, 'Historical Orders'!$D301, "4", 'Historical Orders'!$C301, "A", 'Historical Orders'!$B301, "2")</f>
        <v>0</v>
      </c>
      <c r="AK301" s="157">
        <f>SUMIFS('Historical Orders'!$G301, 'Historical Orders'!$D301, "4", 'Historical Orders'!$C301, "A", 'Historical Orders'!$B301, "2")</f>
        <v>0</v>
      </c>
      <c r="AL301" s="171">
        <f>SUMIFS('Historical Orders'!$E301, 'Historical Orders'!$D301, "4", 'Historical Orders'!$C301, "B", 'Historical Orders'!$B301, "2")</f>
        <v>0</v>
      </c>
      <c r="AM301" s="171">
        <f>SUMIFS('Historical Orders'!$G301, 'Historical Orders'!$D301, "4", 'Historical Orders'!$C301, "B", 'Historical Orders'!$B301, "2")</f>
        <v>0</v>
      </c>
      <c r="AN301" s="171">
        <f>SUMIFS('Historical Orders'!$G301, 'Historical Orders'!$C301, "A", 'Historical Orders'!$B301, "1")</f>
        <v>0</v>
      </c>
      <c r="AO301" s="171">
        <f>SUMIFS('Historical Orders'!$G301, 'Historical Orders'!$C301, "B", 'Historical Orders'!$B301, "1")</f>
        <v>0</v>
      </c>
      <c r="AP301" s="171">
        <f>SUMIFS('Historical Orders'!$G301, 'Historical Orders'!$C301, "A", 'Historical Orders'!$B301, "2")</f>
        <v>0</v>
      </c>
      <c r="AQ301" s="171">
        <f>SUMIFS('Historical Orders'!$G301, 'Historical Orders'!$C301, "B", 'Historical Orders'!$B301, "2")</f>
        <v>25597.2</v>
      </c>
      <c r="AR301" s="145"/>
      <c r="AS301" s="172"/>
      <c r="AT301" s="172"/>
      <c r="AU301" s="172"/>
      <c r="AV301" s="172"/>
      <c r="AW301" s="172"/>
      <c r="AX301" s="172"/>
      <c r="AY301" s="172"/>
      <c r="AZ301" s="172"/>
      <c r="BA301" s="172"/>
      <c r="BB301" s="172"/>
      <c r="BC301" s="172"/>
      <c r="BD301" s="172"/>
      <c r="BE301" s="172"/>
      <c r="BF301" s="172"/>
      <c r="BG301" s="172"/>
      <c r="BH301" s="172"/>
      <c r="BI301" s="172"/>
      <c r="BJ301" s="172"/>
      <c r="BK301" s="172"/>
      <c r="BL301" s="172"/>
      <c r="BM301" s="172"/>
      <c r="BN301" s="172"/>
      <c r="BO301" s="172"/>
      <c r="BP301" s="172"/>
      <c r="BQ301" s="172"/>
      <c r="BR301" s="172"/>
      <c r="BS301" s="172"/>
      <c r="BT301" s="172"/>
      <c r="BU301" s="172"/>
      <c r="BV301" s="179"/>
      <c r="BW301" s="179"/>
      <c r="BX301" s="179"/>
      <c r="BY301" s="179"/>
      <c r="BZ301" s="179"/>
      <c r="CA301" s="179"/>
      <c r="CB301" s="179"/>
      <c r="CC301" s="179"/>
      <c r="CD301" s="179"/>
      <c r="CE301" s="179"/>
    </row>
    <row r="302" ht="15.75" customHeight="1">
      <c r="A302" s="151">
        <v>42205.0</v>
      </c>
      <c r="B302" s="152">
        <v>1.0</v>
      </c>
      <c r="C302" s="152" t="s">
        <v>45</v>
      </c>
      <c r="D302" s="152">
        <v>1.0</v>
      </c>
      <c r="E302" s="153">
        <v>5355.0</v>
      </c>
      <c r="F302" s="154">
        <v>2.2</v>
      </c>
      <c r="G302" s="155">
        <v>11781.000000000002</v>
      </c>
      <c r="H302" s="159">
        <f>SUMIFS('Historical Orders'!$E302, 'Historical Orders'!$D302, "1", 'Historical Orders'!$C302, "A", 'Historical Orders'!$B302, "1")</f>
        <v>5355</v>
      </c>
      <c r="I302" s="157">
        <f>SUMIFS('Historical Orders'!$G302, 'Historical Orders'!$D302, "1", 'Historical Orders'!$C302, "A", 'Historical Orders'!$B302, "1")</f>
        <v>11781</v>
      </c>
      <c r="J302" s="157">
        <f>SUMIFS('Historical Orders'!$E302, 'Historical Orders'!$D302, "1", 'Historical Orders'!$C302, "B", 'Historical Orders'!$B302, "1")</f>
        <v>0</v>
      </c>
      <c r="K302" s="157">
        <f>SUMIFS('Historical Orders'!$G302, 'Historical Orders'!$D302, "1", 'Historical Orders'!$C302, "B", 'Historical Orders'!$B302, "1")</f>
        <v>0</v>
      </c>
      <c r="L302" s="159">
        <f>SUMIFS('Historical Orders'!$E302, 'Historical Orders'!$D302, "1", 'Historical Orders'!$C302, "A", 'Historical Orders'!$B302, "2")</f>
        <v>0</v>
      </c>
      <c r="M302" s="157">
        <f>SUMIFS('Historical Orders'!$G302, 'Historical Orders'!$D302, "1", 'Historical Orders'!$C302, "A", 'Historical Orders'!$B302, "2")</f>
        <v>0</v>
      </c>
      <c r="N302" s="157">
        <f>SUMIFS('Historical Orders'!$E302, 'Historical Orders'!$D302, "1", 'Historical Orders'!$C302, "B", 'Historical Orders'!$B302, "2")</f>
        <v>0</v>
      </c>
      <c r="O302" s="157">
        <f>SUMIFS('Historical Orders'!$G302, 'Historical Orders'!$D302, "1", 'Historical Orders'!$C302, "B", 'Historical Orders'!$B302, "2")</f>
        <v>0</v>
      </c>
      <c r="P302" s="159">
        <f>SUMIFS('Historical Orders'!$E302, 'Historical Orders'!$D302, "2", 'Historical Orders'!$C302, "A", 'Historical Orders'!$B302, "1")</f>
        <v>0</v>
      </c>
      <c r="Q302" s="157">
        <f>SUMIFS('Historical Orders'!$G302, 'Historical Orders'!$D302, "2", 'Historical Orders'!$C302, "A", 'Historical Orders'!$B302, "1")</f>
        <v>0</v>
      </c>
      <c r="R302" s="159">
        <f>SUMIFS('Historical Orders'!$E302, 'Historical Orders'!$D302, "2", 'Historical Orders'!$C302, "B", 'Historical Orders'!$B302, "1")</f>
        <v>0</v>
      </c>
      <c r="S302" s="157">
        <f>SUMIFS('Historical Orders'!$G302, 'Historical Orders'!$D302, "2", 'Historical Orders'!$C302, "B", 'Historical Orders'!$B302, "1")</f>
        <v>0</v>
      </c>
      <c r="T302" s="159">
        <f>SUMIFS('Historical Orders'!$E302, 'Historical Orders'!$D302, "2", 'Historical Orders'!$C302, "A", 'Historical Orders'!$B302, "2")</f>
        <v>0</v>
      </c>
      <c r="U302" s="157">
        <f>SUMIFS('Historical Orders'!$G302, 'Historical Orders'!$D302, "2", 'Historical Orders'!$C302, "A", 'Historical Orders'!$B302, "2")</f>
        <v>0</v>
      </c>
      <c r="V302" s="159">
        <f>SUMIFS('Historical Orders'!$E302, 'Historical Orders'!$D302, "2", 'Historical Orders'!$C302, "B", 'Historical Orders'!$B302, "2")</f>
        <v>0</v>
      </c>
      <c r="W302" s="159">
        <f>SUMIFS('Historical Orders'!$G302, 'Historical Orders'!$D302, "2", 'Historical Orders'!$C302, "B", 'Historical Orders'!$B302, "2")</f>
        <v>0</v>
      </c>
      <c r="X302" s="159">
        <f>SUMIFS('Historical Orders'!$E302, 'Historical Orders'!$D302, "3", 'Historical Orders'!$C302, "A", 'Historical Orders'!$B302, "1")</f>
        <v>0</v>
      </c>
      <c r="Y302" s="159">
        <f>SUMIFS('Historical Orders'!$G302, 'Historical Orders'!$D302, "3", 'Historical Orders'!$C302, "A", 'Historical Orders'!$B302, "1")</f>
        <v>0</v>
      </c>
      <c r="Z302" s="159">
        <f>SUMIFS('Historical Orders'!$E302, 'Historical Orders'!$D302, "3", 'Historical Orders'!$C302, "B", 'Historical Orders'!$B302, "1")</f>
        <v>0</v>
      </c>
      <c r="AA302" s="159">
        <f>SUMIFS('Historical Orders'!$G302, 'Historical Orders'!$D302, "3", 'Historical Orders'!$C302, "B", 'Historical Orders'!$B302, "1")</f>
        <v>0</v>
      </c>
      <c r="AB302" s="159">
        <f>SUMIFS('Historical Orders'!$E302, 'Historical Orders'!$D302, "3", 'Historical Orders'!$C302, "A", 'Historical Orders'!$B302, "2")</f>
        <v>0</v>
      </c>
      <c r="AC302" s="159">
        <f>SUMIFS('Historical Orders'!$G302, 'Historical Orders'!$D302, "3", 'Historical Orders'!$C302, "A", 'Historical Orders'!$B302, "2")</f>
        <v>0</v>
      </c>
      <c r="AD302" s="159">
        <f>SUMIFS('Historical Orders'!$E302, 'Historical Orders'!$D302, "3", 'Historical Orders'!$C302, "B", 'Historical Orders'!$B302, "2")</f>
        <v>0</v>
      </c>
      <c r="AE302" s="157">
        <f>SUMIFS('Historical Orders'!$G302, 'Historical Orders'!$D302, "3", 'Historical Orders'!$C302, "B", 'Historical Orders'!$B302, "2")</f>
        <v>0</v>
      </c>
      <c r="AF302" s="157">
        <f>SUMIFS('Historical Orders'!$E302, 'Historical Orders'!$D302, "4", 'Historical Orders'!$C302, "A", 'Historical Orders'!$B302, "1")</f>
        <v>0</v>
      </c>
      <c r="AG302" s="157">
        <f>SUMIFS('Historical Orders'!$G302, 'Historical Orders'!$D302, "4", 'Historical Orders'!$C302, "A", 'Historical Orders'!$B302, "1")</f>
        <v>0</v>
      </c>
      <c r="AH302" s="157">
        <f>SUMIFS('Historical Orders'!$E302, 'Historical Orders'!$D302, "4", 'Historical Orders'!$C302, "B", 'Historical Orders'!$B302, "1")</f>
        <v>0</v>
      </c>
      <c r="AI302" s="157">
        <f>SUMIFS('Historical Orders'!$G302, 'Historical Orders'!$D302, "4", 'Historical Orders'!$C302, "B", 'Historical Orders'!$B302, "1")</f>
        <v>0</v>
      </c>
      <c r="AJ302" s="157">
        <f>SUMIFS('Historical Orders'!$E302, 'Historical Orders'!$D302, "4", 'Historical Orders'!$C302, "A", 'Historical Orders'!$B302, "2")</f>
        <v>0</v>
      </c>
      <c r="AK302" s="157">
        <f>SUMIFS('Historical Orders'!$G302, 'Historical Orders'!$D302, "4", 'Historical Orders'!$C302, "A", 'Historical Orders'!$B302, "2")</f>
        <v>0</v>
      </c>
      <c r="AL302" s="171">
        <f>SUMIFS('Historical Orders'!$E302, 'Historical Orders'!$D302, "4", 'Historical Orders'!$C302, "B", 'Historical Orders'!$B302, "2")</f>
        <v>0</v>
      </c>
      <c r="AM302" s="171">
        <f>SUMIFS('Historical Orders'!$G302, 'Historical Orders'!$D302, "4", 'Historical Orders'!$C302, "B", 'Historical Orders'!$B302, "2")</f>
        <v>0</v>
      </c>
      <c r="AN302" s="171">
        <f>SUMIFS('Historical Orders'!$G302, 'Historical Orders'!$C302, "A", 'Historical Orders'!$B302, "1")</f>
        <v>11781</v>
      </c>
      <c r="AO302" s="171">
        <f>SUMIFS('Historical Orders'!$G302, 'Historical Orders'!$C302, "B", 'Historical Orders'!$B302, "1")</f>
        <v>0</v>
      </c>
      <c r="AP302" s="171">
        <f>SUMIFS('Historical Orders'!$G302, 'Historical Orders'!$C302, "A", 'Historical Orders'!$B302, "2")</f>
        <v>0</v>
      </c>
      <c r="AQ302" s="171">
        <f>SUMIFS('Historical Orders'!$G302, 'Historical Orders'!$C302, "B", 'Historical Orders'!$B302, "2")</f>
        <v>0</v>
      </c>
      <c r="AR302" s="145"/>
      <c r="AS302" s="172"/>
      <c r="AT302" s="172"/>
      <c r="AU302" s="172"/>
      <c r="AV302" s="172"/>
      <c r="AW302" s="172"/>
      <c r="AX302" s="172"/>
      <c r="AY302" s="172"/>
      <c r="AZ302" s="172"/>
      <c r="BA302" s="172"/>
      <c r="BB302" s="172"/>
      <c r="BC302" s="172"/>
      <c r="BD302" s="172"/>
      <c r="BE302" s="172"/>
      <c r="BF302" s="172"/>
      <c r="BG302" s="172"/>
      <c r="BH302" s="172"/>
      <c r="BI302" s="172"/>
      <c r="BJ302" s="172"/>
      <c r="BK302" s="172"/>
      <c r="BL302" s="172"/>
      <c r="BM302" s="172"/>
      <c r="BN302" s="172"/>
      <c r="BO302" s="172"/>
      <c r="BP302" s="172"/>
      <c r="BQ302" s="172"/>
      <c r="BR302" s="172"/>
      <c r="BS302" s="172"/>
      <c r="BT302" s="172"/>
      <c r="BU302" s="172"/>
      <c r="BV302" s="179"/>
      <c r="BW302" s="179"/>
      <c r="BX302" s="179"/>
      <c r="BY302" s="179"/>
      <c r="BZ302" s="179"/>
      <c r="CA302" s="179"/>
      <c r="CB302" s="179"/>
      <c r="CC302" s="179"/>
      <c r="CD302" s="179"/>
      <c r="CE302" s="179"/>
    </row>
    <row r="303" ht="15.75" customHeight="1">
      <c r="A303" s="151">
        <v>42205.0</v>
      </c>
      <c r="B303" s="152">
        <v>1.0</v>
      </c>
      <c r="C303" s="152" t="s">
        <v>45</v>
      </c>
      <c r="D303" s="152">
        <v>2.0</v>
      </c>
      <c r="E303" s="153">
        <v>6326.0</v>
      </c>
      <c r="F303" s="154">
        <v>1.2</v>
      </c>
      <c r="G303" s="155">
        <v>7591.2</v>
      </c>
      <c r="H303" s="159">
        <f>SUMIFS('Historical Orders'!$E303, 'Historical Orders'!$D303, "1", 'Historical Orders'!$C303, "A", 'Historical Orders'!$B303, "1")</f>
        <v>0</v>
      </c>
      <c r="I303" s="157">
        <f>SUMIFS('Historical Orders'!$G303, 'Historical Orders'!$D303, "1", 'Historical Orders'!$C303, "A", 'Historical Orders'!$B303, "1")</f>
        <v>0</v>
      </c>
      <c r="J303" s="157">
        <f>SUMIFS('Historical Orders'!$E303, 'Historical Orders'!$D303, "1", 'Historical Orders'!$C303, "B", 'Historical Orders'!$B303, "1")</f>
        <v>0</v>
      </c>
      <c r="K303" s="157">
        <f>SUMIFS('Historical Orders'!$G303, 'Historical Orders'!$D303, "1", 'Historical Orders'!$C303, "B", 'Historical Orders'!$B303, "1")</f>
        <v>0</v>
      </c>
      <c r="L303" s="159">
        <f>SUMIFS('Historical Orders'!$E303, 'Historical Orders'!$D303, "1", 'Historical Orders'!$C303, "A", 'Historical Orders'!$B303, "2")</f>
        <v>0</v>
      </c>
      <c r="M303" s="157">
        <f>SUMIFS('Historical Orders'!$G303, 'Historical Orders'!$D303, "1", 'Historical Orders'!$C303, "A", 'Historical Orders'!$B303, "2")</f>
        <v>0</v>
      </c>
      <c r="N303" s="157">
        <f>SUMIFS('Historical Orders'!$E303, 'Historical Orders'!$D303, "1", 'Historical Orders'!$C303, "B", 'Historical Orders'!$B303, "2")</f>
        <v>0</v>
      </c>
      <c r="O303" s="157">
        <f>SUMIFS('Historical Orders'!$G303, 'Historical Orders'!$D303, "1", 'Historical Orders'!$C303, "B", 'Historical Orders'!$B303, "2")</f>
        <v>0</v>
      </c>
      <c r="P303" s="159">
        <f>SUMIFS('Historical Orders'!$E303, 'Historical Orders'!$D303, "2", 'Historical Orders'!$C303, "A", 'Historical Orders'!$B303, "1")</f>
        <v>6326</v>
      </c>
      <c r="Q303" s="157">
        <f>SUMIFS('Historical Orders'!$G303, 'Historical Orders'!$D303, "2", 'Historical Orders'!$C303, "A", 'Historical Orders'!$B303, "1")</f>
        <v>7591.2</v>
      </c>
      <c r="R303" s="159">
        <f>SUMIFS('Historical Orders'!$E303, 'Historical Orders'!$D303, "2", 'Historical Orders'!$C303, "B", 'Historical Orders'!$B303, "1")</f>
        <v>0</v>
      </c>
      <c r="S303" s="157">
        <f>SUMIFS('Historical Orders'!$G303, 'Historical Orders'!$D303, "2", 'Historical Orders'!$C303, "B", 'Historical Orders'!$B303, "1")</f>
        <v>0</v>
      </c>
      <c r="T303" s="159">
        <f>SUMIFS('Historical Orders'!$E303, 'Historical Orders'!$D303, "2", 'Historical Orders'!$C303, "A", 'Historical Orders'!$B303, "2")</f>
        <v>0</v>
      </c>
      <c r="U303" s="157">
        <f>SUMIFS('Historical Orders'!$G303, 'Historical Orders'!$D303, "2", 'Historical Orders'!$C303, "A", 'Historical Orders'!$B303, "2")</f>
        <v>0</v>
      </c>
      <c r="V303" s="159">
        <f>SUMIFS('Historical Orders'!$E303, 'Historical Orders'!$D303, "2", 'Historical Orders'!$C303, "B", 'Historical Orders'!$B303, "2")</f>
        <v>0</v>
      </c>
      <c r="W303" s="159">
        <f>SUMIFS('Historical Orders'!$G303, 'Historical Orders'!$D303, "2", 'Historical Orders'!$C303, "B", 'Historical Orders'!$B303, "2")</f>
        <v>0</v>
      </c>
      <c r="X303" s="159">
        <f>SUMIFS('Historical Orders'!$E303, 'Historical Orders'!$D303, "3", 'Historical Orders'!$C303, "A", 'Historical Orders'!$B303, "1")</f>
        <v>0</v>
      </c>
      <c r="Y303" s="159">
        <f>SUMIFS('Historical Orders'!$G303, 'Historical Orders'!$D303, "3", 'Historical Orders'!$C303, "A", 'Historical Orders'!$B303, "1")</f>
        <v>0</v>
      </c>
      <c r="Z303" s="159">
        <f>SUMIFS('Historical Orders'!$E303, 'Historical Orders'!$D303, "3", 'Historical Orders'!$C303, "B", 'Historical Orders'!$B303, "1")</f>
        <v>0</v>
      </c>
      <c r="AA303" s="159">
        <f>SUMIFS('Historical Orders'!$G303, 'Historical Orders'!$D303, "3", 'Historical Orders'!$C303, "B", 'Historical Orders'!$B303, "1")</f>
        <v>0</v>
      </c>
      <c r="AB303" s="159">
        <f>SUMIFS('Historical Orders'!$E303, 'Historical Orders'!$D303, "3", 'Historical Orders'!$C303, "A", 'Historical Orders'!$B303, "2")</f>
        <v>0</v>
      </c>
      <c r="AC303" s="159">
        <f>SUMIFS('Historical Orders'!$G303, 'Historical Orders'!$D303, "3", 'Historical Orders'!$C303, "A", 'Historical Orders'!$B303, "2")</f>
        <v>0</v>
      </c>
      <c r="AD303" s="159">
        <f>SUMIFS('Historical Orders'!$E303, 'Historical Orders'!$D303, "3", 'Historical Orders'!$C303, "B", 'Historical Orders'!$B303, "2")</f>
        <v>0</v>
      </c>
      <c r="AE303" s="157">
        <f>SUMIFS('Historical Orders'!$G303, 'Historical Orders'!$D303, "3", 'Historical Orders'!$C303, "B", 'Historical Orders'!$B303, "2")</f>
        <v>0</v>
      </c>
      <c r="AF303" s="157">
        <f>SUMIFS('Historical Orders'!$E303, 'Historical Orders'!$D303, "4", 'Historical Orders'!$C303, "A", 'Historical Orders'!$B303, "1")</f>
        <v>0</v>
      </c>
      <c r="AG303" s="157">
        <f>SUMIFS('Historical Orders'!$G303, 'Historical Orders'!$D303, "4", 'Historical Orders'!$C303, "A", 'Historical Orders'!$B303, "1")</f>
        <v>0</v>
      </c>
      <c r="AH303" s="157">
        <f>SUMIFS('Historical Orders'!$E303, 'Historical Orders'!$D303, "4", 'Historical Orders'!$C303, "B", 'Historical Orders'!$B303, "1")</f>
        <v>0</v>
      </c>
      <c r="AI303" s="157">
        <f>SUMIFS('Historical Orders'!$G303, 'Historical Orders'!$D303, "4", 'Historical Orders'!$C303, "B", 'Historical Orders'!$B303, "1")</f>
        <v>0</v>
      </c>
      <c r="AJ303" s="157">
        <f>SUMIFS('Historical Orders'!$E303, 'Historical Orders'!$D303, "4", 'Historical Orders'!$C303, "A", 'Historical Orders'!$B303, "2")</f>
        <v>0</v>
      </c>
      <c r="AK303" s="157">
        <f>SUMIFS('Historical Orders'!$G303, 'Historical Orders'!$D303, "4", 'Historical Orders'!$C303, "A", 'Historical Orders'!$B303, "2")</f>
        <v>0</v>
      </c>
      <c r="AL303" s="171">
        <f>SUMIFS('Historical Orders'!$E303, 'Historical Orders'!$D303, "4", 'Historical Orders'!$C303, "B", 'Historical Orders'!$B303, "2")</f>
        <v>0</v>
      </c>
      <c r="AM303" s="171">
        <f>SUMIFS('Historical Orders'!$G303, 'Historical Orders'!$D303, "4", 'Historical Orders'!$C303, "B", 'Historical Orders'!$B303, "2")</f>
        <v>0</v>
      </c>
      <c r="AN303" s="171">
        <f>SUMIFS('Historical Orders'!$G303, 'Historical Orders'!$C303, "A", 'Historical Orders'!$B303, "1")</f>
        <v>7591.2</v>
      </c>
      <c r="AO303" s="171">
        <f>SUMIFS('Historical Orders'!$G303, 'Historical Orders'!$C303, "B", 'Historical Orders'!$B303, "1")</f>
        <v>0</v>
      </c>
      <c r="AP303" s="171">
        <f>SUMIFS('Historical Orders'!$G303, 'Historical Orders'!$C303, "A", 'Historical Orders'!$B303, "2")</f>
        <v>0</v>
      </c>
      <c r="AQ303" s="171">
        <f>SUMIFS('Historical Orders'!$G303, 'Historical Orders'!$C303, "B", 'Historical Orders'!$B303, "2")</f>
        <v>0</v>
      </c>
      <c r="AR303" s="145"/>
      <c r="AS303" s="172"/>
      <c r="AT303" s="172"/>
      <c r="AU303" s="172"/>
      <c r="AV303" s="172"/>
      <c r="AW303" s="172"/>
      <c r="AX303" s="172"/>
      <c r="AY303" s="172"/>
      <c r="AZ303" s="172"/>
      <c r="BA303" s="172"/>
      <c r="BB303" s="172"/>
      <c r="BC303" s="172"/>
      <c r="BD303" s="172"/>
      <c r="BE303" s="172"/>
      <c r="BF303" s="172"/>
      <c r="BG303" s="172"/>
      <c r="BH303" s="172"/>
      <c r="BI303" s="172"/>
      <c r="BJ303" s="172"/>
      <c r="BK303" s="172"/>
      <c r="BL303" s="172"/>
      <c r="BM303" s="172"/>
      <c r="BN303" s="172"/>
      <c r="BO303" s="172"/>
      <c r="BP303" s="172"/>
      <c r="BQ303" s="172"/>
      <c r="BR303" s="172"/>
      <c r="BS303" s="172"/>
      <c r="BT303" s="172"/>
      <c r="BU303" s="172"/>
      <c r="BV303" s="179"/>
      <c r="BW303" s="179"/>
      <c r="BX303" s="179"/>
      <c r="BY303" s="179"/>
      <c r="BZ303" s="179"/>
      <c r="CA303" s="179"/>
      <c r="CB303" s="179"/>
      <c r="CC303" s="179"/>
      <c r="CD303" s="179"/>
      <c r="CE303" s="179"/>
    </row>
    <row r="304" ht="15.75" customHeight="1">
      <c r="A304" s="151">
        <v>42205.0</v>
      </c>
      <c r="B304" s="152">
        <v>2.0</v>
      </c>
      <c r="C304" s="152" t="s">
        <v>45</v>
      </c>
      <c r="D304" s="152">
        <v>1.0</v>
      </c>
      <c r="E304" s="153">
        <v>4522.0</v>
      </c>
      <c r="F304" s="154">
        <v>2.2</v>
      </c>
      <c r="G304" s="155">
        <v>9948.400000000001</v>
      </c>
      <c r="H304" s="159">
        <f>SUMIFS('Historical Orders'!$E304, 'Historical Orders'!$D304, "1", 'Historical Orders'!$C304, "A", 'Historical Orders'!$B304, "1")</f>
        <v>0</v>
      </c>
      <c r="I304" s="157">
        <f>SUMIFS('Historical Orders'!$G304, 'Historical Orders'!$D304, "1", 'Historical Orders'!$C304, "A", 'Historical Orders'!$B304, "1")</f>
        <v>0</v>
      </c>
      <c r="J304" s="157">
        <f>SUMIFS('Historical Orders'!$E304, 'Historical Orders'!$D304, "1", 'Historical Orders'!$C304, "B", 'Historical Orders'!$B304, "1")</f>
        <v>0</v>
      </c>
      <c r="K304" s="157">
        <f>SUMIFS('Historical Orders'!$G304, 'Historical Orders'!$D304, "1", 'Historical Orders'!$C304, "B", 'Historical Orders'!$B304, "1")</f>
        <v>0</v>
      </c>
      <c r="L304" s="159">
        <f>SUMIFS('Historical Orders'!$E304, 'Historical Orders'!$D304, "1", 'Historical Orders'!$C304, "A", 'Historical Orders'!$B304, "2")</f>
        <v>4522</v>
      </c>
      <c r="M304" s="157">
        <f>SUMIFS('Historical Orders'!$G304, 'Historical Orders'!$D304, "1", 'Historical Orders'!$C304, "A", 'Historical Orders'!$B304, "2")</f>
        <v>9948.4</v>
      </c>
      <c r="N304" s="157">
        <f>SUMIFS('Historical Orders'!$E304, 'Historical Orders'!$D304, "1", 'Historical Orders'!$C304, "B", 'Historical Orders'!$B304, "2")</f>
        <v>0</v>
      </c>
      <c r="O304" s="157">
        <f>SUMIFS('Historical Orders'!$G304, 'Historical Orders'!$D304, "1", 'Historical Orders'!$C304, "B", 'Historical Orders'!$B304, "2")</f>
        <v>0</v>
      </c>
      <c r="P304" s="159">
        <f>SUMIFS('Historical Orders'!$E304, 'Historical Orders'!$D304, "2", 'Historical Orders'!$C304, "A", 'Historical Orders'!$B304, "1")</f>
        <v>0</v>
      </c>
      <c r="Q304" s="157">
        <f>SUMIFS('Historical Orders'!$G304, 'Historical Orders'!$D304, "2", 'Historical Orders'!$C304, "A", 'Historical Orders'!$B304, "1")</f>
        <v>0</v>
      </c>
      <c r="R304" s="159">
        <f>SUMIFS('Historical Orders'!$E304, 'Historical Orders'!$D304, "2", 'Historical Orders'!$C304, "B", 'Historical Orders'!$B304, "1")</f>
        <v>0</v>
      </c>
      <c r="S304" s="157">
        <f>SUMIFS('Historical Orders'!$G304, 'Historical Orders'!$D304, "2", 'Historical Orders'!$C304, "B", 'Historical Orders'!$B304, "1")</f>
        <v>0</v>
      </c>
      <c r="T304" s="159">
        <f>SUMIFS('Historical Orders'!$E304, 'Historical Orders'!$D304, "2", 'Historical Orders'!$C304, "A", 'Historical Orders'!$B304, "2")</f>
        <v>0</v>
      </c>
      <c r="U304" s="157">
        <f>SUMIFS('Historical Orders'!$G304, 'Historical Orders'!$D304, "2", 'Historical Orders'!$C304, "A", 'Historical Orders'!$B304, "2")</f>
        <v>0</v>
      </c>
      <c r="V304" s="159">
        <f>SUMIFS('Historical Orders'!$E304, 'Historical Orders'!$D304, "2", 'Historical Orders'!$C304, "B", 'Historical Orders'!$B304, "2")</f>
        <v>0</v>
      </c>
      <c r="W304" s="159">
        <f>SUMIFS('Historical Orders'!$G304, 'Historical Orders'!$D304, "2", 'Historical Orders'!$C304, "B", 'Historical Orders'!$B304, "2")</f>
        <v>0</v>
      </c>
      <c r="X304" s="159">
        <f>SUMIFS('Historical Orders'!$E304, 'Historical Orders'!$D304, "3", 'Historical Orders'!$C304, "A", 'Historical Orders'!$B304, "1")</f>
        <v>0</v>
      </c>
      <c r="Y304" s="159">
        <f>SUMIFS('Historical Orders'!$G304, 'Historical Orders'!$D304, "3", 'Historical Orders'!$C304, "A", 'Historical Orders'!$B304, "1")</f>
        <v>0</v>
      </c>
      <c r="Z304" s="159">
        <f>SUMIFS('Historical Orders'!$E304, 'Historical Orders'!$D304, "3", 'Historical Orders'!$C304, "B", 'Historical Orders'!$B304, "1")</f>
        <v>0</v>
      </c>
      <c r="AA304" s="159">
        <f>SUMIFS('Historical Orders'!$G304, 'Historical Orders'!$D304, "3", 'Historical Orders'!$C304, "B", 'Historical Orders'!$B304, "1")</f>
        <v>0</v>
      </c>
      <c r="AB304" s="159">
        <f>SUMIFS('Historical Orders'!$E304, 'Historical Orders'!$D304, "3", 'Historical Orders'!$C304, "A", 'Historical Orders'!$B304, "2")</f>
        <v>0</v>
      </c>
      <c r="AC304" s="159">
        <f>SUMIFS('Historical Orders'!$G304, 'Historical Orders'!$D304, "3", 'Historical Orders'!$C304, "A", 'Historical Orders'!$B304, "2")</f>
        <v>0</v>
      </c>
      <c r="AD304" s="159">
        <f>SUMIFS('Historical Orders'!$E304, 'Historical Orders'!$D304, "3", 'Historical Orders'!$C304, "B", 'Historical Orders'!$B304, "2")</f>
        <v>0</v>
      </c>
      <c r="AE304" s="157">
        <f>SUMIFS('Historical Orders'!$G304, 'Historical Orders'!$D304, "3", 'Historical Orders'!$C304, "B", 'Historical Orders'!$B304, "2")</f>
        <v>0</v>
      </c>
      <c r="AF304" s="157">
        <f>SUMIFS('Historical Orders'!$E304, 'Historical Orders'!$D304, "4", 'Historical Orders'!$C304, "A", 'Historical Orders'!$B304, "1")</f>
        <v>0</v>
      </c>
      <c r="AG304" s="157">
        <f>SUMIFS('Historical Orders'!$G304, 'Historical Orders'!$D304, "4", 'Historical Orders'!$C304, "A", 'Historical Orders'!$B304, "1")</f>
        <v>0</v>
      </c>
      <c r="AH304" s="157">
        <f>SUMIFS('Historical Orders'!$E304, 'Historical Orders'!$D304, "4", 'Historical Orders'!$C304, "B", 'Historical Orders'!$B304, "1")</f>
        <v>0</v>
      </c>
      <c r="AI304" s="157">
        <f>SUMIFS('Historical Orders'!$G304, 'Historical Orders'!$D304, "4", 'Historical Orders'!$C304, "B", 'Historical Orders'!$B304, "1")</f>
        <v>0</v>
      </c>
      <c r="AJ304" s="157">
        <f>SUMIFS('Historical Orders'!$E304, 'Historical Orders'!$D304, "4", 'Historical Orders'!$C304, "A", 'Historical Orders'!$B304, "2")</f>
        <v>0</v>
      </c>
      <c r="AK304" s="157">
        <f>SUMIFS('Historical Orders'!$G304, 'Historical Orders'!$D304, "4", 'Historical Orders'!$C304, "A", 'Historical Orders'!$B304, "2")</f>
        <v>0</v>
      </c>
      <c r="AL304" s="171">
        <f>SUMIFS('Historical Orders'!$E304, 'Historical Orders'!$D304, "4", 'Historical Orders'!$C304, "B", 'Historical Orders'!$B304, "2")</f>
        <v>0</v>
      </c>
      <c r="AM304" s="171">
        <f>SUMIFS('Historical Orders'!$G304, 'Historical Orders'!$D304, "4", 'Historical Orders'!$C304, "B", 'Historical Orders'!$B304, "2")</f>
        <v>0</v>
      </c>
      <c r="AN304" s="171">
        <f>SUMIFS('Historical Orders'!$G304, 'Historical Orders'!$C304, "A", 'Historical Orders'!$B304, "1")</f>
        <v>0</v>
      </c>
      <c r="AO304" s="171">
        <f>SUMIFS('Historical Orders'!$G304, 'Historical Orders'!$C304, "B", 'Historical Orders'!$B304, "1")</f>
        <v>0</v>
      </c>
      <c r="AP304" s="171">
        <f>SUMIFS('Historical Orders'!$G304, 'Historical Orders'!$C304, "A", 'Historical Orders'!$B304, "2")</f>
        <v>9948.4</v>
      </c>
      <c r="AQ304" s="171">
        <f>SUMIFS('Historical Orders'!$G304, 'Historical Orders'!$C304, "B", 'Historical Orders'!$B304, "2")</f>
        <v>0</v>
      </c>
      <c r="AR304" s="145"/>
      <c r="AS304" s="172"/>
      <c r="AT304" s="172"/>
      <c r="AU304" s="172"/>
      <c r="AV304" s="172"/>
      <c r="AW304" s="172"/>
      <c r="AX304" s="172"/>
      <c r="AY304" s="172"/>
      <c r="AZ304" s="172"/>
      <c r="BA304" s="172"/>
      <c r="BB304" s="172"/>
      <c r="BC304" s="172"/>
      <c r="BD304" s="172"/>
      <c r="BE304" s="172"/>
      <c r="BF304" s="172"/>
      <c r="BG304" s="172"/>
      <c r="BH304" s="172"/>
      <c r="BI304" s="172"/>
      <c r="BJ304" s="172"/>
      <c r="BK304" s="172"/>
      <c r="BL304" s="172"/>
      <c r="BM304" s="172"/>
      <c r="BN304" s="172"/>
      <c r="BO304" s="172"/>
      <c r="BP304" s="172"/>
      <c r="BQ304" s="172"/>
      <c r="BR304" s="172"/>
      <c r="BS304" s="172"/>
      <c r="BT304" s="172"/>
      <c r="BU304" s="172"/>
      <c r="BV304" s="179"/>
      <c r="BW304" s="179"/>
      <c r="BX304" s="179"/>
      <c r="BY304" s="179"/>
      <c r="BZ304" s="179"/>
      <c r="CA304" s="179"/>
      <c r="CB304" s="179"/>
      <c r="CC304" s="179"/>
      <c r="CD304" s="179"/>
      <c r="CE304" s="179"/>
    </row>
    <row r="305" ht="15.75" customHeight="1">
      <c r="A305" s="151">
        <v>42205.0</v>
      </c>
      <c r="B305" s="152">
        <v>2.0</v>
      </c>
      <c r="C305" s="152" t="s">
        <v>45</v>
      </c>
      <c r="D305" s="152">
        <v>2.0</v>
      </c>
      <c r="E305" s="153">
        <v>6182.0</v>
      </c>
      <c r="F305" s="154">
        <v>1.2</v>
      </c>
      <c r="G305" s="155">
        <v>7418.4</v>
      </c>
      <c r="H305" s="159">
        <f>SUMIFS('Historical Orders'!$E305, 'Historical Orders'!$D305, "1", 'Historical Orders'!$C305, "A", 'Historical Orders'!$B305, "1")</f>
        <v>0</v>
      </c>
      <c r="I305" s="157">
        <f>SUMIFS('Historical Orders'!$G305, 'Historical Orders'!$D305, "1", 'Historical Orders'!$C305, "A", 'Historical Orders'!$B305, "1")</f>
        <v>0</v>
      </c>
      <c r="J305" s="157">
        <f>SUMIFS('Historical Orders'!$E305, 'Historical Orders'!$D305, "1", 'Historical Orders'!$C305, "B", 'Historical Orders'!$B305, "1")</f>
        <v>0</v>
      </c>
      <c r="K305" s="157">
        <f>SUMIFS('Historical Orders'!$G305, 'Historical Orders'!$D305, "1", 'Historical Orders'!$C305, "B", 'Historical Orders'!$B305, "1")</f>
        <v>0</v>
      </c>
      <c r="L305" s="159">
        <f>SUMIFS('Historical Orders'!$E305, 'Historical Orders'!$D305, "1", 'Historical Orders'!$C305, "A", 'Historical Orders'!$B305, "2")</f>
        <v>0</v>
      </c>
      <c r="M305" s="157">
        <f>SUMIFS('Historical Orders'!$G305, 'Historical Orders'!$D305, "1", 'Historical Orders'!$C305, "A", 'Historical Orders'!$B305, "2")</f>
        <v>0</v>
      </c>
      <c r="N305" s="157">
        <f>SUMIFS('Historical Orders'!$E305, 'Historical Orders'!$D305, "1", 'Historical Orders'!$C305, "B", 'Historical Orders'!$B305, "2")</f>
        <v>0</v>
      </c>
      <c r="O305" s="157">
        <f>SUMIFS('Historical Orders'!$G305, 'Historical Orders'!$D305, "1", 'Historical Orders'!$C305, "B", 'Historical Orders'!$B305, "2")</f>
        <v>0</v>
      </c>
      <c r="P305" s="159">
        <f>SUMIFS('Historical Orders'!$E305, 'Historical Orders'!$D305, "2", 'Historical Orders'!$C305, "A", 'Historical Orders'!$B305, "1")</f>
        <v>0</v>
      </c>
      <c r="Q305" s="157">
        <f>SUMIFS('Historical Orders'!$G305, 'Historical Orders'!$D305, "2", 'Historical Orders'!$C305, "A", 'Historical Orders'!$B305, "1")</f>
        <v>0</v>
      </c>
      <c r="R305" s="159">
        <f>SUMIFS('Historical Orders'!$E305, 'Historical Orders'!$D305, "2", 'Historical Orders'!$C305, "B", 'Historical Orders'!$B305, "1")</f>
        <v>0</v>
      </c>
      <c r="S305" s="157">
        <f>SUMIFS('Historical Orders'!$G305, 'Historical Orders'!$D305, "2", 'Historical Orders'!$C305, "B", 'Historical Orders'!$B305, "1")</f>
        <v>0</v>
      </c>
      <c r="T305" s="159">
        <f>SUMIFS('Historical Orders'!$E305, 'Historical Orders'!$D305, "2", 'Historical Orders'!$C305, "A", 'Historical Orders'!$B305, "2")</f>
        <v>6182</v>
      </c>
      <c r="U305" s="157">
        <f>SUMIFS('Historical Orders'!$G305, 'Historical Orders'!$D305, "2", 'Historical Orders'!$C305, "A", 'Historical Orders'!$B305, "2")</f>
        <v>7418.4</v>
      </c>
      <c r="V305" s="159">
        <f>SUMIFS('Historical Orders'!$E305, 'Historical Orders'!$D305, "2", 'Historical Orders'!$C305, "B", 'Historical Orders'!$B305, "2")</f>
        <v>0</v>
      </c>
      <c r="W305" s="159">
        <f>SUMIFS('Historical Orders'!$G305, 'Historical Orders'!$D305, "2", 'Historical Orders'!$C305, "B", 'Historical Orders'!$B305, "2")</f>
        <v>0</v>
      </c>
      <c r="X305" s="159">
        <f>SUMIFS('Historical Orders'!$E305, 'Historical Orders'!$D305, "3", 'Historical Orders'!$C305, "A", 'Historical Orders'!$B305, "1")</f>
        <v>0</v>
      </c>
      <c r="Y305" s="159">
        <f>SUMIFS('Historical Orders'!$G305, 'Historical Orders'!$D305, "3", 'Historical Orders'!$C305, "A", 'Historical Orders'!$B305, "1")</f>
        <v>0</v>
      </c>
      <c r="Z305" s="159">
        <f>SUMIFS('Historical Orders'!$E305, 'Historical Orders'!$D305, "3", 'Historical Orders'!$C305, "B", 'Historical Orders'!$B305, "1")</f>
        <v>0</v>
      </c>
      <c r="AA305" s="159">
        <f>SUMIFS('Historical Orders'!$G305, 'Historical Orders'!$D305, "3", 'Historical Orders'!$C305, "B", 'Historical Orders'!$B305, "1")</f>
        <v>0</v>
      </c>
      <c r="AB305" s="159">
        <f>SUMIFS('Historical Orders'!$E305, 'Historical Orders'!$D305, "3", 'Historical Orders'!$C305, "A", 'Historical Orders'!$B305, "2")</f>
        <v>0</v>
      </c>
      <c r="AC305" s="159">
        <f>SUMIFS('Historical Orders'!$G305, 'Historical Orders'!$D305, "3", 'Historical Orders'!$C305, "A", 'Historical Orders'!$B305, "2")</f>
        <v>0</v>
      </c>
      <c r="AD305" s="159">
        <f>SUMIFS('Historical Orders'!$E305, 'Historical Orders'!$D305, "3", 'Historical Orders'!$C305, "B", 'Historical Orders'!$B305, "2")</f>
        <v>0</v>
      </c>
      <c r="AE305" s="157">
        <f>SUMIFS('Historical Orders'!$G305, 'Historical Orders'!$D305, "3", 'Historical Orders'!$C305, "B", 'Historical Orders'!$B305, "2")</f>
        <v>0</v>
      </c>
      <c r="AF305" s="157">
        <f>SUMIFS('Historical Orders'!$E305, 'Historical Orders'!$D305, "4", 'Historical Orders'!$C305, "A", 'Historical Orders'!$B305, "1")</f>
        <v>0</v>
      </c>
      <c r="AG305" s="157">
        <f>SUMIFS('Historical Orders'!$G305, 'Historical Orders'!$D305, "4", 'Historical Orders'!$C305, "A", 'Historical Orders'!$B305, "1")</f>
        <v>0</v>
      </c>
      <c r="AH305" s="157">
        <f>SUMIFS('Historical Orders'!$E305, 'Historical Orders'!$D305, "4", 'Historical Orders'!$C305, "B", 'Historical Orders'!$B305, "1")</f>
        <v>0</v>
      </c>
      <c r="AI305" s="157">
        <f>SUMIFS('Historical Orders'!$G305, 'Historical Orders'!$D305, "4", 'Historical Orders'!$C305, "B", 'Historical Orders'!$B305, "1")</f>
        <v>0</v>
      </c>
      <c r="AJ305" s="157">
        <f>SUMIFS('Historical Orders'!$E305, 'Historical Orders'!$D305, "4", 'Historical Orders'!$C305, "A", 'Historical Orders'!$B305, "2")</f>
        <v>0</v>
      </c>
      <c r="AK305" s="157">
        <f>SUMIFS('Historical Orders'!$G305, 'Historical Orders'!$D305, "4", 'Historical Orders'!$C305, "A", 'Historical Orders'!$B305, "2")</f>
        <v>0</v>
      </c>
      <c r="AL305" s="171">
        <f>SUMIFS('Historical Orders'!$E305, 'Historical Orders'!$D305, "4", 'Historical Orders'!$C305, "B", 'Historical Orders'!$B305, "2")</f>
        <v>0</v>
      </c>
      <c r="AM305" s="171">
        <f>SUMIFS('Historical Orders'!$G305, 'Historical Orders'!$D305, "4", 'Historical Orders'!$C305, "B", 'Historical Orders'!$B305, "2")</f>
        <v>0</v>
      </c>
      <c r="AN305" s="171">
        <f>SUMIFS('Historical Orders'!$G305, 'Historical Orders'!$C305, "A", 'Historical Orders'!$B305, "1")</f>
        <v>0</v>
      </c>
      <c r="AO305" s="171">
        <f>SUMIFS('Historical Orders'!$G305, 'Historical Orders'!$C305, "B", 'Historical Orders'!$B305, "1")</f>
        <v>0</v>
      </c>
      <c r="AP305" s="171">
        <f>SUMIFS('Historical Orders'!$G305, 'Historical Orders'!$C305, "A", 'Historical Orders'!$B305, "2")</f>
        <v>7418.4</v>
      </c>
      <c r="AQ305" s="171">
        <f>SUMIFS('Historical Orders'!$G305, 'Historical Orders'!$C305, "B", 'Historical Orders'!$B305, "2")</f>
        <v>0</v>
      </c>
      <c r="AR305" s="145"/>
      <c r="AS305" s="172"/>
      <c r="AT305" s="172"/>
      <c r="AU305" s="172"/>
      <c r="AV305" s="172"/>
      <c r="AW305" s="172"/>
      <c r="AX305" s="172"/>
      <c r="AY305" s="172"/>
      <c r="AZ305" s="172"/>
      <c r="BA305" s="172"/>
      <c r="BB305" s="172"/>
      <c r="BC305" s="172"/>
      <c r="BD305" s="172"/>
      <c r="BE305" s="172"/>
      <c r="BF305" s="172"/>
      <c r="BG305" s="172"/>
      <c r="BH305" s="172"/>
      <c r="BI305" s="172"/>
      <c r="BJ305" s="172"/>
      <c r="BK305" s="172"/>
      <c r="BL305" s="172"/>
      <c r="BM305" s="172"/>
      <c r="BN305" s="172"/>
      <c r="BO305" s="172"/>
      <c r="BP305" s="172"/>
      <c r="BQ305" s="172"/>
      <c r="BR305" s="172"/>
      <c r="BS305" s="172"/>
      <c r="BT305" s="172"/>
      <c r="BU305" s="172"/>
      <c r="BV305" s="179"/>
      <c r="BW305" s="179"/>
      <c r="BX305" s="179"/>
      <c r="BY305" s="179"/>
      <c r="BZ305" s="179"/>
      <c r="CA305" s="179"/>
      <c r="CB305" s="179"/>
      <c r="CC305" s="179"/>
      <c r="CD305" s="179"/>
      <c r="CE305" s="179"/>
    </row>
    <row r="306" ht="15.75" customHeight="1">
      <c r="A306" s="151">
        <v>42205.0</v>
      </c>
      <c r="B306" s="152">
        <v>1.0</v>
      </c>
      <c r="C306" s="152" t="s">
        <v>46</v>
      </c>
      <c r="D306" s="152">
        <v>3.0</v>
      </c>
      <c r="E306" s="153">
        <v>2242.0</v>
      </c>
      <c r="F306" s="154">
        <v>8.3</v>
      </c>
      <c r="G306" s="155">
        <v>18608.600000000002</v>
      </c>
      <c r="H306" s="159">
        <f>SUMIFS('Historical Orders'!$E306, 'Historical Orders'!$D306, "1", 'Historical Orders'!$C306, "A", 'Historical Orders'!$B306, "1")</f>
        <v>0</v>
      </c>
      <c r="I306" s="157">
        <f>SUMIFS('Historical Orders'!$G306, 'Historical Orders'!$D306, "1", 'Historical Orders'!$C306, "A", 'Historical Orders'!$B306, "1")</f>
        <v>0</v>
      </c>
      <c r="J306" s="157">
        <f>SUMIFS('Historical Orders'!$E306, 'Historical Orders'!$D306, "1", 'Historical Orders'!$C306, "B", 'Historical Orders'!$B306, "1")</f>
        <v>0</v>
      </c>
      <c r="K306" s="157">
        <f>SUMIFS('Historical Orders'!$G306, 'Historical Orders'!$D306, "1", 'Historical Orders'!$C306, "B", 'Historical Orders'!$B306, "1")</f>
        <v>0</v>
      </c>
      <c r="L306" s="159">
        <f>SUMIFS('Historical Orders'!$E306, 'Historical Orders'!$D306, "1", 'Historical Orders'!$C306, "A", 'Historical Orders'!$B306, "2")</f>
        <v>0</v>
      </c>
      <c r="M306" s="157">
        <f>SUMIFS('Historical Orders'!$G306, 'Historical Orders'!$D306, "1", 'Historical Orders'!$C306, "A", 'Historical Orders'!$B306, "2")</f>
        <v>0</v>
      </c>
      <c r="N306" s="157">
        <f>SUMIFS('Historical Orders'!$E306, 'Historical Orders'!$D306, "1", 'Historical Orders'!$C306, "B", 'Historical Orders'!$B306, "2")</f>
        <v>0</v>
      </c>
      <c r="O306" s="157">
        <f>SUMIFS('Historical Orders'!$G306, 'Historical Orders'!$D306, "1", 'Historical Orders'!$C306, "B", 'Historical Orders'!$B306, "2")</f>
        <v>0</v>
      </c>
      <c r="P306" s="159">
        <f>SUMIFS('Historical Orders'!$E306, 'Historical Orders'!$D306, "2", 'Historical Orders'!$C306, "A", 'Historical Orders'!$B306, "1")</f>
        <v>0</v>
      </c>
      <c r="Q306" s="157">
        <f>SUMIFS('Historical Orders'!$G306, 'Historical Orders'!$D306, "2", 'Historical Orders'!$C306, "A", 'Historical Orders'!$B306, "1")</f>
        <v>0</v>
      </c>
      <c r="R306" s="159">
        <f>SUMIFS('Historical Orders'!$E306, 'Historical Orders'!$D306, "2", 'Historical Orders'!$C306, "B", 'Historical Orders'!$B306, "1")</f>
        <v>0</v>
      </c>
      <c r="S306" s="157">
        <f>SUMIFS('Historical Orders'!$G306, 'Historical Orders'!$D306, "2", 'Historical Orders'!$C306, "B", 'Historical Orders'!$B306, "1")</f>
        <v>0</v>
      </c>
      <c r="T306" s="159">
        <f>SUMIFS('Historical Orders'!$E306, 'Historical Orders'!$D306, "2", 'Historical Orders'!$C306, "A", 'Historical Orders'!$B306, "2")</f>
        <v>0</v>
      </c>
      <c r="U306" s="157">
        <f>SUMIFS('Historical Orders'!$G306, 'Historical Orders'!$D306, "2", 'Historical Orders'!$C306, "A", 'Historical Orders'!$B306, "2")</f>
        <v>0</v>
      </c>
      <c r="V306" s="159">
        <f>SUMIFS('Historical Orders'!$E306, 'Historical Orders'!$D306, "2", 'Historical Orders'!$C306, "B", 'Historical Orders'!$B306, "2")</f>
        <v>0</v>
      </c>
      <c r="W306" s="159">
        <f>SUMIFS('Historical Orders'!$G306, 'Historical Orders'!$D306, "2", 'Historical Orders'!$C306, "B", 'Historical Orders'!$B306, "2")</f>
        <v>0</v>
      </c>
      <c r="X306" s="159">
        <f>SUMIFS('Historical Orders'!$E306, 'Historical Orders'!$D306, "3", 'Historical Orders'!$C306, "A", 'Historical Orders'!$B306, "1")</f>
        <v>0</v>
      </c>
      <c r="Y306" s="159">
        <f>SUMIFS('Historical Orders'!$G306, 'Historical Orders'!$D306, "3", 'Historical Orders'!$C306, "A", 'Historical Orders'!$B306, "1")</f>
        <v>0</v>
      </c>
      <c r="Z306" s="159">
        <f>SUMIFS('Historical Orders'!$E306, 'Historical Orders'!$D306, "3", 'Historical Orders'!$C306, "B", 'Historical Orders'!$B306, "1")</f>
        <v>2242</v>
      </c>
      <c r="AA306" s="159">
        <f>SUMIFS('Historical Orders'!$G306, 'Historical Orders'!$D306, "3", 'Historical Orders'!$C306, "B", 'Historical Orders'!$B306, "1")</f>
        <v>18608.6</v>
      </c>
      <c r="AB306" s="159">
        <f>SUMIFS('Historical Orders'!$E306, 'Historical Orders'!$D306, "3", 'Historical Orders'!$C306, "A", 'Historical Orders'!$B306, "2")</f>
        <v>0</v>
      </c>
      <c r="AC306" s="159">
        <f>SUMIFS('Historical Orders'!$G306, 'Historical Orders'!$D306, "3", 'Historical Orders'!$C306, "A", 'Historical Orders'!$B306, "2")</f>
        <v>0</v>
      </c>
      <c r="AD306" s="159">
        <f>SUMIFS('Historical Orders'!$E306, 'Historical Orders'!$D306, "3", 'Historical Orders'!$C306, "B", 'Historical Orders'!$B306, "2")</f>
        <v>0</v>
      </c>
      <c r="AE306" s="157">
        <f>SUMIFS('Historical Orders'!$G306, 'Historical Orders'!$D306, "3", 'Historical Orders'!$C306, "B", 'Historical Orders'!$B306, "2")</f>
        <v>0</v>
      </c>
      <c r="AF306" s="157">
        <f>SUMIFS('Historical Orders'!$E306, 'Historical Orders'!$D306, "4", 'Historical Orders'!$C306, "A", 'Historical Orders'!$B306, "1")</f>
        <v>0</v>
      </c>
      <c r="AG306" s="157">
        <f>SUMIFS('Historical Orders'!$G306, 'Historical Orders'!$D306, "4", 'Historical Orders'!$C306, "A", 'Historical Orders'!$B306, "1")</f>
        <v>0</v>
      </c>
      <c r="AH306" s="157">
        <f>SUMIFS('Historical Orders'!$E306, 'Historical Orders'!$D306, "4", 'Historical Orders'!$C306, "B", 'Historical Orders'!$B306, "1")</f>
        <v>0</v>
      </c>
      <c r="AI306" s="157">
        <f>SUMIFS('Historical Orders'!$G306, 'Historical Orders'!$D306, "4", 'Historical Orders'!$C306, "B", 'Historical Orders'!$B306, "1")</f>
        <v>0</v>
      </c>
      <c r="AJ306" s="157">
        <f>SUMIFS('Historical Orders'!$E306, 'Historical Orders'!$D306, "4", 'Historical Orders'!$C306, "A", 'Historical Orders'!$B306, "2")</f>
        <v>0</v>
      </c>
      <c r="AK306" s="157">
        <f>SUMIFS('Historical Orders'!$G306, 'Historical Orders'!$D306, "4", 'Historical Orders'!$C306, "A", 'Historical Orders'!$B306, "2")</f>
        <v>0</v>
      </c>
      <c r="AL306" s="171">
        <f>SUMIFS('Historical Orders'!$E306, 'Historical Orders'!$D306, "4", 'Historical Orders'!$C306, "B", 'Historical Orders'!$B306, "2")</f>
        <v>0</v>
      </c>
      <c r="AM306" s="171">
        <f>SUMIFS('Historical Orders'!$G306, 'Historical Orders'!$D306, "4", 'Historical Orders'!$C306, "B", 'Historical Orders'!$B306, "2")</f>
        <v>0</v>
      </c>
      <c r="AN306" s="171">
        <f>SUMIFS('Historical Orders'!$G306, 'Historical Orders'!$C306, "A", 'Historical Orders'!$B306, "1")</f>
        <v>0</v>
      </c>
      <c r="AO306" s="171">
        <f>SUMIFS('Historical Orders'!$G306, 'Historical Orders'!$C306, "B", 'Historical Orders'!$B306, "1")</f>
        <v>18608.6</v>
      </c>
      <c r="AP306" s="171">
        <f>SUMIFS('Historical Orders'!$G306, 'Historical Orders'!$C306, "A", 'Historical Orders'!$B306, "2")</f>
        <v>0</v>
      </c>
      <c r="AQ306" s="171">
        <f>SUMIFS('Historical Orders'!$G306, 'Historical Orders'!$C306, "B", 'Historical Orders'!$B306, "2")</f>
        <v>0</v>
      </c>
      <c r="AR306" s="145"/>
      <c r="AS306" s="172"/>
      <c r="AT306" s="172"/>
      <c r="AU306" s="172"/>
      <c r="AV306" s="172"/>
      <c r="AW306" s="172"/>
      <c r="AX306" s="172"/>
      <c r="AY306" s="172"/>
      <c r="AZ306" s="172"/>
      <c r="BA306" s="172"/>
      <c r="BB306" s="172"/>
      <c r="BC306" s="172"/>
      <c r="BD306" s="172"/>
      <c r="BE306" s="172"/>
      <c r="BF306" s="172"/>
      <c r="BG306" s="172"/>
      <c r="BH306" s="172"/>
      <c r="BI306" s="172"/>
      <c r="BJ306" s="172"/>
      <c r="BK306" s="172"/>
      <c r="BL306" s="172"/>
      <c r="BM306" s="172"/>
      <c r="BN306" s="172"/>
      <c r="BO306" s="172"/>
      <c r="BP306" s="172"/>
      <c r="BQ306" s="172"/>
      <c r="BR306" s="172"/>
      <c r="BS306" s="172"/>
      <c r="BT306" s="172"/>
      <c r="BU306" s="172"/>
      <c r="BV306" s="179"/>
      <c r="BW306" s="179"/>
      <c r="BX306" s="179"/>
      <c r="BY306" s="179"/>
      <c r="BZ306" s="179"/>
      <c r="CA306" s="179"/>
      <c r="CB306" s="179"/>
      <c r="CC306" s="179"/>
      <c r="CD306" s="179"/>
      <c r="CE306" s="179"/>
    </row>
    <row r="307" ht="15.75" customHeight="1">
      <c r="A307" s="151">
        <v>42205.0</v>
      </c>
      <c r="B307" s="152">
        <v>2.0</v>
      </c>
      <c r="C307" s="152" t="s">
        <v>46</v>
      </c>
      <c r="D307" s="152">
        <v>3.0</v>
      </c>
      <c r="E307" s="153">
        <v>2768.0</v>
      </c>
      <c r="F307" s="154">
        <v>8.3</v>
      </c>
      <c r="G307" s="155">
        <v>22974.4</v>
      </c>
      <c r="H307" s="159">
        <f>SUMIFS('Historical Orders'!$E307, 'Historical Orders'!$D307, "1", 'Historical Orders'!$C307, "A", 'Historical Orders'!$B307, "1")</f>
        <v>0</v>
      </c>
      <c r="I307" s="157">
        <f>SUMIFS('Historical Orders'!$G307, 'Historical Orders'!$D307, "1", 'Historical Orders'!$C307, "A", 'Historical Orders'!$B307, "1")</f>
        <v>0</v>
      </c>
      <c r="J307" s="157">
        <f>SUMIFS('Historical Orders'!$E307, 'Historical Orders'!$D307, "1", 'Historical Orders'!$C307, "B", 'Historical Orders'!$B307, "1")</f>
        <v>0</v>
      </c>
      <c r="K307" s="157">
        <f>SUMIFS('Historical Orders'!$G307, 'Historical Orders'!$D307, "1", 'Historical Orders'!$C307, "B", 'Historical Orders'!$B307, "1")</f>
        <v>0</v>
      </c>
      <c r="L307" s="159">
        <f>SUMIFS('Historical Orders'!$E307, 'Historical Orders'!$D307, "1", 'Historical Orders'!$C307, "A", 'Historical Orders'!$B307, "2")</f>
        <v>0</v>
      </c>
      <c r="M307" s="157">
        <f>SUMIFS('Historical Orders'!$G307, 'Historical Orders'!$D307, "1", 'Historical Orders'!$C307, "A", 'Historical Orders'!$B307, "2")</f>
        <v>0</v>
      </c>
      <c r="N307" s="157">
        <f>SUMIFS('Historical Orders'!$E307, 'Historical Orders'!$D307, "1", 'Historical Orders'!$C307, "B", 'Historical Orders'!$B307, "2")</f>
        <v>0</v>
      </c>
      <c r="O307" s="157">
        <f>SUMIFS('Historical Orders'!$G307, 'Historical Orders'!$D307, "1", 'Historical Orders'!$C307, "B", 'Historical Orders'!$B307, "2")</f>
        <v>0</v>
      </c>
      <c r="P307" s="159">
        <f>SUMIFS('Historical Orders'!$E307, 'Historical Orders'!$D307, "2", 'Historical Orders'!$C307, "A", 'Historical Orders'!$B307, "1")</f>
        <v>0</v>
      </c>
      <c r="Q307" s="157">
        <f>SUMIFS('Historical Orders'!$G307, 'Historical Orders'!$D307, "2", 'Historical Orders'!$C307, "A", 'Historical Orders'!$B307, "1")</f>
        <v>0</v>
      </c>
      <c r="R307" s="159">
        <f>SUMIFS('Historical Orders'!$E307, 'Historical Orders'!$D307, "2", 'Historical Orders'!$C307, "B", 'Historical Orders'!$B307, "1")</f>
        <v>0</v>
      </c>
      <c r="S307" s="157">
        <f>SUMIFS('Historical Orders'!$G307, 'Historical Orders'!$D307, "2", 'Historical Orders'!$C307, "B", 'Historical Orders'!$B307, "1")</f>
        <v>0</v>
      </c>
      <c r="T307" s="159">
        <f>SUMIFS('Historical Orders'!$E307, 'Historical Orders'!$D307, "2", 'Historical Orders'!$C307, "A", 'Historical Orders'!$B307, "2")</f>
        <v>0</v>
      </c>
      <c r="U307" s="157">
        <f>SUMIFS('Historical Orders'!$G307, 'Historical Orders'!$D307, "2", 'Historical Orders'!$C307, "A", 'Historical Orders'!$B307, "2")</f>
        <v>0</v>
      </c>
      <c r="V307" s="159">
        <f>SUMIFS('Historical Orders'!$E307, 'Historical Orders'!$D307, "2", 'Historical Orders'!$C307, "B", 'Historical Orders'!$B307, "2")</f>
        <v>0</v>
      </c>
      <c r="W307" s="159">
        <f>SUMIFS('Historical Orders'!$G307, 'Historical Orders'!$D307, "2", 'Historical Orders'!$C307, "B", 'Historical Orders'!$B307, "2")</f>
        <v>0</v>
      </c>
      <c r="X307" s="159">
        <f>SUMIFS('Historical Orders'!$E307, 'Historical Orders'!$D307, "3", 'Historical Orders'!$C307, "A", 'Historical Orders'!$B307, "1")</f>
        <v>0</v>
      </c>
      <c r="Y307" s="159">
        <f>SUMIFS('Historical Orders'!$G307, 'Historical Orders'!$D307, "3", 'Historical Orders'!$C307, "A", 'Historical Orders'!$B307, "1")</f>
        <v>0</v>
      </c>
      <c r="Z307" s="159">
        <f>SUMIFS('Historical Orders'!$E307, 'Historical Orders'!$D307, "3", 'Historical Orders'!$C307, "B", 'Historical Orders'!$B307, "1")</f>
        <v>0</v>
      </c>
      <c r="AA307" s="159">
        <f>SUMIFS('Historical Orders'!$G307, 'Historical Orders'!$D307, "3", 'Historical Orders'!$C307, "B", 'Historical Orders'!$B307, "1")</f>
        <v>0</v>
      </c>
      <c r="AB307" s="159">
        <f>SUMIFS('Historical Orders'!$E307, 'Historical Orders'!$D307, "3", 'Historical Orders'!$C307, "A", 'Historical Orders'!$B307, "2")</f>
        <v>0</v>
      </c>
      <c r="AC307" s="159">
        <f>SUMIFS('Historical Orders'!$G307, 'Historical Orders'!$D307, "3", 'Historical Orders'!$C307, "A", 'Historical Orders'!$B307, "2")</f>
        <v>0</v>
      </c>
      <c r="AD307" s="159">
        <f>SUMIFS('Historical Orders'!$E307, 'Historical Orders'!$D307, "3", 'Historical Orders'!$C307, "B", 'Historical Orders'!$B307, "2")</f>
        <v>2768</v>
      </c>
      <c r="AE307" s="157">
        <f>SUMIFS('Historical Orders'!$G307, 'Historical Orders'!$D307, "3", 'Historical Orders'!$C307, "B", 'Historical Orders'!$B307, "2")</f>
        <v>22974.4</v>
      </c>
      <c r="AF307" s="157">
        <f>SUMIFS('Historical Orders'!$E307, 'Historical Orders'!$D307, "4", 'Historical Orders'!$C307, "A", 'Historical Orders'!$B307, "1")</f>
        <v>0</v>
      </c>
      <c r="AG307" s="157">
        <f>SUMIFS('Historical Orders'!$G307, 'Historical Orders'!$D307, "4", 'Historical Orders'!$C307, "A", 'Historical Orders'!$B307, "1")</f>
        <v>0</v>
      </c>
      <c r="AH307" s="157">
        <f>SUMIFS('Historical Orders'!$E307, 'Historical Orders'!$D307, "4", 'Historical Orders'!$C307, "B", 'Historical Orders'!$B307, "1")</f>
        <v>0</v>
      </c>
      <c r="AI307" s="157">
        <f>SUMIFS('Historical Orders'!$G307, 'Historical Orders'!$D307, "4", 'Historical Orders'!$C307, "B", 'Historical Orders'!$B307, "1")</f>
        <v>0</v>
      </c>
      <c r="AJ307" s="157">
        <f>SUMIFS('Historical Orders'!$E307, 'Historical Orders'!$D307, "4", 'Historical Orders'!$C307, "A", 'Historical Orders'!$B307, "2")</f>
        <v>0</v>
      </c>
      <c r="AK307" s="157">
        <f>SUMIFS('Historical Orders'!$G307, 'Historical Orders'!$D307, "4", 'Historical Orders'!$C307, "A", 'Historical Orders'!$B307, "2")</f>
        <v>0</v>
      </c>
      <c r="AL307" s="171">
        <f>SUMIFS('Historical Orders'!$E307, 'Historical Orders'!$D307, "4", 'Historical Orders'!$C307, "B", 'Historical Orders'!$B307, "2")</f>
        <v>0</v>
      </c>
      <c r="AM307" s="171">
        <f>SUMIFS('Historical Orders'!$G307, 'Historical Orders'!$D307, "4", 'Historical Orders'!$C307, "B", 'Historical Orders'!$B307, "2")</f>
        <v>0</v>
      </c>
      <c r="AN307" s="171">
        <f>SUMIFS('Historical Orders'!$G307, 'Historical Orders'!$C307, "A", 'Historical Orders'!$B307, "1")</f>
        <v>0</v>
      </c>
      <c r="AO307" s="171">
        <f>SUMIFS('Historical Orders'!$G307, 'Historical Orders'!$C307, "B", 'Historical Orders'!$B307, "1")</f>
        <v>0</v>
      </c>
      <c r="AP307" s="171">
        <f>SUMIFS('Historical Orders'!$G307, 'Historical Orders'!$C307, "A", 'Historical Orders'!$B307, "2")</f>
        <v>0</v>
      </c>
      <c r="AQ307" s="171">
        <f>SUMIFS('Historical Orders'!$G307, 'Historical Orders'!$C307, "B", 'Historical Orders'!$B307, "2")</f>
        <v>22974.4</v>
      </c>
      <c r="AR307" s="145"/>
      <c r="AS307" s="172"/>
      <c r="AT307" s="172"/>
      <c r="AU307" s="172"/>
      <c r="AV307" s="172"/>
      <c r="AW307" s="172"/>
      <c r="AX307" s="172"/>
      <c r="AY307" s="172"/>
      <c r="AZ307" s="172"/>
      <c r="BA307" s="172"/>
      <c r="BB307" s="172"/>
      <c r="BC307" s="172"/>
      <c r="BD307" s="172"/>
      <c r="BE307" s="172"/>
      <c r="BF307" s="172"/>
      <c r="BG307" s="172"/>
      <c r="BH307" s="172"/>
      <c r="BI307" s="172"/>
      <c r="BJ307" s="172"/>
      <c r="BK307" s="172"/>
      <c r="BL307" s="172"/>
      <c r="BM307" s="172"/>
      <c r="BN307" s="172"/>
      <c r="BO307" s="172"/>
      <c r="BP307" s="172"/>
      <c r="BQ307" s="172"/>
      <c r="BR307" s="172"/>
      <c r="BS307" s="172"/>
      <c r="BT307" s="172"/>
      <c r="BU307" s="172"/>
      <c r="BV307" s="179"/>
      <c r="BW307" s="179"/>
      <c r="BX307" s="179"/>
      <c r="BY307" s="179"/>
      <c r="BZ307" s="179"/>
      <c r="CA307" s="179"/>
      <c r="CB307" s="179"/>
      <c r="CC307" s="179"/>
      <c r="CD307" s="179"/>
      <c r="CE307" s="179"/>
    </row>
    <row r="308" ht="15.75" customHeight="1">
      <c r="A308" s="151">
        <v>42212.0</v>
      </c>
      <c r="B308" s="152">
        <v>1.0</v>
      </c>
      <c r="C308" s="152" t="s">
        <v>45</v>
      </c>
      <c r="D308" s="152">
        <v>1.0</v>
      </c>
      <c r="E308" s="153">
        <v>5038.0</v>
      </c>
      <c r="F308" s="154">
        <v>2.2</v>
      </c>
      <c r="G308" s="155">
        <v>11083.6</v>
      </c>
      <c r="H308" s="159">
        <f>SUMIFS('Historical Orders'!$E308, 'Historical Orders'!$D308, "1", 'Historical Orders'!$C308, "A", 'Historical Orders'!$B308, "1")</f>
        <v>5038</v>
      </c>
      <c r="I308" s="157">
        <f>SUMIFS('Historical Orders'!$G308, 'Historical Orders'!$D308, "1", 'Historical Orders'!$C308, "A", 'Historical Orders'!$B308, "1")</f>
        <v>11083.6</v>
      </c>
      <c r="J308" s="157">
        <f>SUMIFS('Historical Orders'!$E308, 'Historical Orders'!$D308, "1", 'Historical Orders'!$C308, "B", 'Historical Orders'!$B308, "1")</f>
        <v>0</v>
      </c>
      <c r="K308" s="157">
        <f>SUMIFS('Historical Orders'!$G308, 'Historical Orders'!$D308, "1", 'Historical Orders'!$C308, "B", 'Historical Orders'!$B308, "1")</f>
        <v>0</v>
      </c>
      <c r="L308" s="159">
        <f>SUMIFS('Historical Orders'!$E308, 'Historical Orders'!$D308, "1", 'Historical Orders'!$C308, "A", 'Historical Orders'!$B308, "2")</f>
        <v>0</v>
      </c>
      <c r="M308" s="157">
        <f>SUMIFS('Historical Orders'!$G308, 'Historical Orders'!$D308, "1", 'Historical Orders'!$C308, "A", 'Historical Orders'!$B308, "2")</f>
        <v>0</v>
      </c>
      <c r="N308" s="157">
        <f>SUMIFS('Historical Orders'!$E308, 'Historical Orders'!$D308, "1", 'Historical Orders'!$C308, "B", 'Historical Orders'!$B308, "2")</f>
        <v>0</v>
      </c>
      <c r="O308" s="157">
        <f>SUMIFS('Historical Orders'!$G308, 'Historical Orders'!$D308, "1", 'Historical Orders'!$C308, "B", 'Historical Orders'!$B308, "2")</f>
        <v>0</v>
      </c>
      <c r="P308" s="159">
        <f>SUMIFS('Historical Orders'!$E308, 'Historical Orders'!$D308, "2", 'Historical Orders'!$C308, "A", 'Historical Orders'!$B308, "1")</f>
        <v>0</v>
      </c>
      <c r="Q308" s="157">
        <f>SUMIFS('Historical Orders'!$G308, 'Historical Orders'!$D308, "2", 'Historical Orders'!$C308, "A", 'Historical Orders'!$B308, "1")</f>
        <v>0</v>
      </c>
      <c r="R308" s="159">
        <f>SUMIFS('Historical Orders'!$E308, 'Historical Orders'!$D308, "2", 'Historical Orders'!$C308, "B", 'Historical Orders'!$B308, "1")</f>
        <v>0</v>
      </c>
      <c r="S308" s="157">
        <f>SUMIFS('Historical Orders'!$G308, 'Historical Orders'!$D308, "2", 'Historical Orders'!$C308, "B", 'Historical Orders'!$B308, "1")</f>
        <v>0</v>
      </c>
      <c r="T308" s="159">
        <f>SUMIFS('Historical Orders'!$E308, 'Historical Orders'!$D308, "2", 'Historical Orders'!$C308, "A", 'Historical Orders'!$B308, "2")</f>
        <v>0</v>
      </c>
      <c r="U308" s="157">
        <f>SUMIFS('Historical Orders'!$G308, 'Historical Orders'!$D308, "2", 'Historical Orders'!$C308, "A", 'Historical Orders'!$B308, "2")</f>
        <v>0</v>
      </c>
      <c r="V308" s="159">
        <f>SUMIFS('Historical Orders'!$E308, 'Historical Orders'!$D308, "2", 'Historical Orders'!$C308, "B", 'Historical Orders'!$B308, "2")</f>
        <v>0</v>
      </c>
      <c r="W308" s="159">
        <f>SUMIFS('Historical Orders'!$G308, 'Historical Orders'!$D308, "2", 'Historical Orders'!$C308, "B", 'Historical Orders'!$B308, "2")</f>
        <v>0</v>
      </c>
      <c r="X308" s="159">
        <f>SUMIFS('Historical Orders'!$E308, 'Historical Orders'!$D308, "3", 'Historical Orders'!$C308, "A", 'Historical Orders'!$B308, "1")</f>
        <v>0</v>
      </c>
      <c r="Y308" s="159">
        <f>SUMIFS('Historical Orders'!$G308, 'Historical Orders'!$D308, "3", 'Historical Orders'!$C308, "A", 'Historical Orders'!$B308, "1")</f>
        <v>0</v>
      </c>
      <c r="Z308" s="159">
        <f>SUMIFS('Historical Orders'!$E308, 'Historical Orders'!$D308, "3", 'Historical Orders'!$C308, "B", 'Historical Orders'!$B308, "1")</f>
        <v>0</v>
      </c>
      <c r="AA308" s="159">
        <f>SUMIFS('Historical Orders'!$G308, 'Historical Orders'!$D308, "3", 'Historical Orders'!$C308, "B", 'Historical Orders'!$B308, "1")</f>
        <v>0</v>
      </c>
      <c r="AB308" s="159">
        <f>SUMIFS('Historical Orders'!$E308, 'Historical Orders'!$D308, "3", 'Historical Orders'!$C308, "A", 'Historical Orders'!$B308, "2")</f>
        <v>0</v>
      </c>
      <c r="AC308" s="159">
        <f>SUMIFS('Historical Orders'!$G308, 'Historical Orders'!$D308, "3", 'Historical Orders'!$C308, "A", 'Historical Orders'!$B308, "2")</f>
        <v>0</v>
      </c>
      <c r="AD308" s="159">
        <f>SUMIFS('Historical Orders'!$E308, 'Historical Orders'!$D308, "3", 'Historical Orders'!$C308, "B", 'Historical Orders'!$B308, "2")</f>
        <v>0</v>
      </c>
      <c r="AE308" s="157">
        <f>SUMIFS('Historical Orders'!$G308, 'Historical Orders'!$D308, "3", 'Historical Orders'!$C308, "B", 'Historical Orders'!$B308, "2")</f>
        <v>0</v>
      </c>
      <c r="AF308" s="157">
        <f>SUMIFS('Historical Orders'!$E308, 'Historical Orders'!$D308, "4", 'Historical Orders'!$C308, "A", 'Historical Orders'!$B308, "1")</f>
        <v>0</v>
      </c>
      <c r="AG308" s="157">
        <f>SUMIFS('Historical Orders'!$G308, 'Historical Orders'!$D308, "4", 'Historical Orders'!$C308, "A", 'Historical Orders'!$B308, "1")</f>
        <v>0</v>
      </c>
      <c r="AH308" s="157">
        <f>SUMIFS('Historical Orders'!$E308, 'Historical Orders'!$D308, "4", 'Historical Orders'!$C308, "B", 'Historical Orders'!$B308, "1")</f>
        <v>0</v>
      </c>
      <c r="AI308" s="157">
        <f>SUMIFS('Historical Orders'!$G308, 'Historical Orders'!$D308, "4", 'Historical Orders'!$C308, "B", 'Historical Orders'!$B308, "1")</f>
        <v>0</v>
      </c>
      <c r="AJ308" s="157">
        <f>SUMIFS('Historical Orders'!$E308, 'Historical Orders'!$D308, "4", 'Historical Orders'!$C308, "A", 'Historical Orders'!$B308, "2")</f>
        <v>0</v>
      </c>
      <c r="AK308" s="157">
        <f>SUMIFS('Historical Orders'!$G308, 'Historical Orders'!$D308, "4", 'Historical Orders'!$C308, "A", 'Historical Orders'!$B308, "2")</f>
        <v>0</v>
      </c>
      <c r="AL308" s="171">
        <f>SUMIFS('Historical Orders'!$E308, 'Historical Orders'!$D308, "4", 'Historical Orders'!$C308, "B", 'Historical Orders'!$B308, "2")</f>
        <v>0</v>
      </c>
      <c r="AM308" s="171">
        <f>SUMIFS('Historical Orders'!$G308, 'Historical Orders'!$D308, "4", 'Historical Orders'!$C308, "B", 'Historical Orders'!$B308, "2")</f>
        <v>0</v>
      </c>
      <c r="AN308" s="171">
        <f>SUMIFS('Historical Orders'!$G308, 'Historical Orders'!$C308, "A", 'Historical Orders'!$B308, "1")</f>
        <v>11083.6</v>
      </c>
      <c r="AO308" s="171">
        <f>SUMIFS('Historical Orders'!$G308, 'Historical Orders'!$C308, "B", 'Historical Orders'!$B308, "1")</f>
        <v>0</v>
      </c>
      <c r="AP308" s="171">
        <f>SUMIFS('Historical Orders'!$G308, 'Historical Orders'!$C308, "A", 'Historical Orders'!$B308, "2")</f>
        <v>0</v>
      </c>
      <c r="AQ308" s="171">
        <f>SUMIFS('Historical Orders'!$G308, 'Historical Orders'!$C308, "B", 'Historical Orders'!$B308, "2")</f>
        <v>0</v>
      </c>
      <c r="AR308" s="145"/>
      <c r="AS308" s="172"/>
      <c r="AT308" s="172"/>
      <c r="AU308" s="172"/>
      <c r="AV308" s="172"/>
      <c r="AW308" s="172"/>
      <c r="AX308" s="172"/>
      <c r="AY308" s="172"/>
      <c r="AZ308" s="172"/>
      <c r="BA308" s="172"/>
      <c r="BB308" s="172"/>
      <c r="BC308" s="172"/>
      <c r="BD308" s="172"/>
      <c r="BE308" s="172"/>
      <c r="BF308" s="172"/>
      <c r="BG308" s="172"/>
      <c r="BH308" s="172"/>
      <c r="BI308" s="172"/>
      <c r="BJ308" s="172"/>
      <c r="BK308" s="172"/>
      <c r="BL308" s="172"/>
      <c r="BM308" s="172"/>
      <c r="BN308" s="172"/>
      <c r="BO308" s="172"/>
      <c r="BP308" s="172"/>
      <c r="BQ308" s="172"/>
      <c r="BR308" s="172"/>
      <c r="BS308" s="172"/>
      <c r="BT308" s="172"/>
      <c r="BU308" s="172"/>
      <c r="BV308" s="179"/>
      <c r="BW308" s="179"/>
      <c r="BX308" s="179"/>
      <c r="BY308" s="179"/>
      <c r="BZ308" s="179"/>
      <c r="CA308" s="179"/>
      <c r="CB308" s="179"/>
      <c r="CC308" s="179"/>
      <c r="CD308" s="179"/>
      <c r="CE308" s="179"/>
    </row>
    <row r="309" ht="15.75" customHeight="1">
      <c r="A309" s="151">
        <v>42212.0</v>
      </c>
      <c r="B309" s="152">
        <v>1.0</v>
      </c>
      <c r="C309" s="152" t="s">
        <v>45</v>
      </c>
      <c r="D309" s="152">
        <v>2.0</v>
      </c>
      <c r="E309" s="153">
        <v>6156.0</v>
      </c>
      <c r="F309" s="154">
        <v>1.2</v>
      </c>
      <c r="G309" s="155">
        <v>7387.2</v>
      </c>
      <c r="H309" s="159">
        <f>SUMIFS('Historical Orders'!$E309, 'Historical Orders'!$D309, "1", 'Historical Orders'!$C309, "A", 'Historical Orders'!$B309, "1")</f>
        <v>0</v>
      </c>
      <c r="I309" s="157">
        <f>SUMIFS('Historical Orders'!$G309, 'Historical Orders'!$D309, "1", 'Historical Orders'!$C309, "A", 'Historical Orders'!$B309, "1")</f>
        <v>0</v>
      </c>
      <c r="J309" s="157">
        <f>SUMIFS('Historical Orders'!$E309, 'Historical Orders'!$D309, "1", 'Historical Orders'!$C309, "B", 'Historical Orders'!$B309, "1")</f>
        <v>0</v>
      </c>
      <c r="K309" s="157">
        <f>SUMIFS('Historical Orders'!$G309, 'Historical Orders'!$D309, "1", 'Historical Orders'!$C309, "B", 'Historical Orders'!$B309, "1")</f>
        <v>0</v>
      </c>
      <c r="L309" s="159">
        <f>SUMIFS('Historical Orders'!$E309, 'Historical Orders'!$D309, "1", 'Historical Orders'!$C309, "A", 'Historical Orders'!$B309, "2")</f>
        <v>0</v>
      </c>
      <c r="M309" s="157">
        <f>SUMIFS('Historical Orders'!$G309, 'Historical Orders'!$D309, "1", 'Historical Orders'!$C309, "A", 'Historical Orders'!$B309, "2")</f>
        <v>0</v>
      </c>
      <c r="N309" s="157">
        <f>SUMIFS('Historical Orders'!$E309, 'Historical Orders'!$D309, "1", 'Historical Orders'!$C309, "B", 'Historical Orders'!$B309, "2")</f>
        <v>0</v>
      </c>
      <c r="O309" s="157">
        <f>SUMIFS('Historical Orders'!$G309, 'Historical Orders'!$D309, "1", 'Historical Orders'!$C309, "B", 'Historical Orders'!$B309, "2")</f>
        <v>0</v>
      </c>
      <c r="P309" s="159">
        <f>SUMIFS('Historical Orders'!$E309, 'Historical Orders'!$D309, "2", 'Historical Orders'!$C309, "A", 'Historical Orders'!$B309, "1")</f>
        <v>6156</v>
      </c>
      <c r="Q309" s="157">
        <f>SUMIFS('Historical Orders'!$G309, 'Historical Orders'!$D309, "2", 'Historical Orders'!$C309, "A", 'Historical Orders'!$B309, "1")</f>
        <v>7387.2</v>
      </c>
      <c r="R309" s="159">
        <f>SUMIFS('Historical Orders'!$E309, 'Historical Orders'!$D309, "2", 'Historical Orders'!$C309, "B", 'Historical Orders'!$B309, "1")</f>
        <v>0</v>
      </c>
      <c r="S309" s="157">
        <f>SUMIFS('Historical Orders'!$G309, 'Historical Orders'!$D309, "2", 'Historical Orders'!$C309, "B", 'Historical Orders'!$B309, "1")</f>
        <v>0</v>
      </c>
      <c r="T309" s="159">
        <f>SUMIFS('Historical Orders'!$E309, 'Historical Orders'!$D309, "2", 'Historical Orders'!$C309, "A", 'Historical Orders'!$B309, "2")</f>
        <v>0</v>
      </c>
      <c r="U309" s="157">
        <f>SUMIFS('Historical Orders'!$G309, 'Historical Orders'!$D309, "2", 'Historical Orders'!$C309, "A", 'Historical Orders'!$B309, "2")</f>
        <v>0</v>
      </c>
      <c r="V309" s="159">
        <f>SUMIFS('Historical Orders'!$E309, 'Historical Orders'!$D309, "2", 'Historical Orders'!$C309, "B", 'Historical Orders'!$B309, "2")</f>
        <v>0</v>
      </c>
      <c r="W309" s="159">
        <f>SUMIFS('Historical Orders'!$G309, 'Historical Orders'!$D309, "2", 'Historical Orders'!$C309, "B", 'Historical Orders'!$B309, "2")</f>
        <v>0</v>
      </c>
      <c r="X309" s="159">
        <f>SUMIFS('Historical Orders'!$E309, 'Historical Orders'!$D309, "3", 'Historical Orders'!$C309, "A", 'Historical Orders'!$B309, "1")</f>
        <v>0</v>
      </c>
      <c r="Y309" s="159">
        <f>SUMIFS('Historical Orders'!$G309, 'Historical Orders'!$D309, "3", 'Historical Orders'!$C309, "A", 'Historical Orders'!$B309, "1")</f>
        <v>0</v>
      </c>
      <c r="Z309" s="159">
        <f>SUMIFS('Historical Orders'!$E309, 'Historical Orders'!$D309, "3", 'Historical Orders'!$C309, "B", 'Historical Orders'!$B309, "1")</f>
        <v>0</v>
      </c>
      <c r="AA309" s="159">
        <f>SUMIFS('Historical Orders'!$G309, 'Historical Orders'!$D309, "3", 'Historical Orders'!$C309, "B", 'Historical Orders'!$B309, "1")</f>
        <v>0</v>
      </c>
      <c r="AB309" s="159">
        <f>SUMIFS('Historical Orders'!$E309, 'Historical Orders'!$D309, "3", 'Historical Orders'!$C309, "A", 'Historical Orders'!$B309, "2")</f>
        <v>0</v>
      </c>
      <c r="AC309" s="159">
        <f>SUMIFS('Historical Orders'!$G309, 'Historical Orders'!$D309, "3", 'Historical Orders'!$C309, "A", 'Historical Orders'!$B309, "2")</f>
        <v>0</v>
      </c>
      <c r="AD309" s="159">
        <f>SUMIFS('Historical Orders'!$E309, 'Historical Orders'!$D309, "3", 'Historical Orders'!$C309, "B", 'Historical Orders'!$B309, "2")</f>
        <v>0</v>
      </c>
      <c r="AE309" s="157">
        <f>SUMIFS('Historical Orders'!$G309, 'Historical Orders'!$D309, "3", 'Historical Orders'!$C309, "B", 'Historical Orders'!$B309, "2")</f>
        <v>0</v>
      </c>
      <c r="AF309" s="157">
        <f>SUMIFS('Historical Orders'!$E309, 'Historical Orders'!$D309, "4", 'Historical Orders'!$C309, "A", 'Historical Orders'!$B309, "1")</f>
        <v>0</v>
      </c>
      <c r="AG309" s="157">
        <f>SUMIFS('Historical Orders'!$G309, 'Historical Orders'!$D309, "4", 'Historical Orders'!$C309, "A", 'Historical Orders'!$B309, "1")</f>
        <v>0</v>
      </c>
      <c r="AH309" s="157">
        <f>SUMIFS('Historical Orders'!$E309, 'Historical Orders'!$D309, "4", 'Historical Orders'!$C309, "B", 'Historical Orders'!$B309, "1")</f>
        <v>0</v>
      </c>
      <c r="AI309" s="157">
        <f>SUMIFS('Historical Orders'!$G309, 'Historical Orders'!$D309, "4", 'Historical Orders'!$C309, "B", 'Historical Orders'!$B309, "1")</f>
        <v>0</v>
      </c>
      <c r="AJ309" s="157">
        <f>SUMIFS('Historical Orders'!$E309, 'Historical Orders'!$D309, "4", 'Historical Orders'!$C309, "A", 'Historical Orders'!$B309, "2")</f>
        <v>0</v>
      </c>
      <c r="AK309" s="157">
        <f>SUMIFS('Historical Orders'!$G309, 'Historical Orders'!$D309, "4", 'Historical Orders'!$C309, "A", 'Historical Orders'!$B309, "2")</f>
        <v>0</v>
      </c>
      <c r="AL309" s="171">
        <f>SUMIFS('Historical Orders'!$E309, 'Historical Orders'!$D309, "4", 'Historical Orders'!$C309, "B", 'Historical Orders'!$B309, "2")</f>
        <v>0</v>
      </c>
      <c r="AM309" s="171">
        <f>SUMIFS('Historical Orders'!$G309, 'Historical Orders'!$D309, "4", 'Historical Orders'!$C309, "B", 'Historical Orders'!$B309, "2")</f>
        <v>0</v>
      </c>
      <c r="AN309" s="171">
        <f>SUMIFS('Historical Orders'!$G309, 'Historical Orders'!$C309, "A", 'Historical Orders'!$B309, "1")</f>
        <v>7387.2</v>
      </c>
      <c r="AO309" s="171">
        <f>SUMIFS('Historical Orders'!$G309, 'Historical Orders'!$C309, "B", 'Historical Orders'!$B309, "1")</f>
        <v>0</v>
      </c>
      <c r="AP309" s="171">
        <f>SUMIFS('Historical Orders'!$G309, 'Historical Orders'!$C309, "A", 'Historical Orders'!$B309, "2")</f>
        <v>0</v>
      </c>
      <c r="AQ309" s="171">
        <f>SUMIFS('Historical Orders'!$G309, 'Historical Orders'!$C309, "B", 'Historical Orders'!$B309, "2")</f>
        <v>0</v>
      </c>
      <c r="AR309" s="145"/>
      <c r="AS309" s="172"/>
      <c r="AT309" s="172"/>
      <c r="AU309" s="172"/>
      <c r="AV309" s="172"/>
      <c r="AW309" s="172"/>
      <c r="AX309" s="172"/>
      <c r="AY309" s="172"/>
      <c r="AZ309" s="172"/>
      <c r="BA309" s="172"/>
      <c r="BB309" s="172"/>
      <c r="BC309" s="172"/>
      <c r="BD309" s="172"/>
      <c r="BE309" s="172"/>
      <c r="BF309" s="172"/>
      <c r="BG309" s="172"/>
      <c r="BH309" s="172"/>
      <c r="BI309" s="172"/>
      <c r="BJ309" s="172"/>
      <c r="BK309" s="172"/>
      <c r="BL309" s="172"/>
      <c r="BM309" s="172"/>
      <c r="BN309" s="172"/>
      <c r="BO309" s="172"/>
      <c r="BP309" s="172"/>
      <c r="BQ309" s="172"/>
      <c r="BR309" s="172"/>
      <c r="BS309" s="172"/>
      <c r="BT309" s="172"/>
      <c r="BU309" s="172"/>
      <c r="BV309" s="179"/>
      <c r="BW309" s="179"/>
      <c r="BX309" s="179"/>
      <c r="BY309" s="179"/>
      <c r="BZ309" s="179"/>
      <c r="CA309" s="179"/>
      <c r="CB309" s="179"/>
      <c r="CC309" s="179"/>
      <c r="CD309" s="179"/>
      <c r="CE309" s="179"/>
    </row>
    <row r="310" ht="15.75" customHeight="1">
      <c r="A310" s="151">
        <v>42212.0</v>
      </c>
      <c r="B310" s="152">
        <v>2.0</v>
      </c>
      <c r="C310" s="152" t="s">
        <v>45</v>
      </c>
      <c r="D310" s="152">
        <v>1.0</v>
      </c>
      <c r="E310" s="153">
        <v>3924.0</v>
      </c>
      <c r="F310" s="154">
        <v>2.2</v>
      </c>
      <c r="G310" s="155">
        <v>8632.800000000001</v>
      </c>
      <c r="H310" s="159">
        <f>SUMIFS('Historical Orders'!$E310, 'Historical Orders'!$D310, "1", 'Historical Orders'!$C310, "A", 'Historical Orders'!$B310, "1")</f>
        <v>0</v>
      </c>
      <c r="I310" s="157">
        <f>SUMIFS('Historical Orders'!$G310, 'Historical Orders'!$D310, "1", 'Historical Orders'!$C310, "A", 'Historical Orders'!$B310, "1")</f>
        <v>0</v>
      </c>
      <c r="J310" s="157">
        <f>SUMIFS('Historical Orders'!$E310, 'Historical Orders'!$D310, "1", 'Historical Orders'!$C310, "B", 'Historical Orders'!$B310, "1")</f>
        <v>0</v>
      </c>
      <c r="K310" s="157">
        <f>SUMIFS('Historical Orders'!$G310, 'Historical Orders'!$D310, "1", 'Historical Orders'!$C310, "B", 'Historical Orders'!$B310, "1")</f>
        <v>0</v>
      </c>
      <c r="L310" s="159">
        <f>SUMIFS('Historical Orders'!$E310, 'Historical Orders'!$D310, "1", 'Historical Orders'!$C310, "A", 'Historical Orders'!$B310, "2")</f>
        <v>3924</v>
      </c>
      <c r="M310" s="157">
        <f>SUMIFS('Historical Orders'!$G310, 'Historical Orders'!$D310, "1", 'Historical Orders'!$C310, "A", 'Historical Orders'!$B310, "2")</f>
        <v>8632.8</v>
      </c>
      <c r="N310" s="157">
        <f>SUMIFS('Historical Orders'!$E310, 'Historical Orders'!$D310, "1", 'Historical Orders'!$C310, "B", 'Historical Orders'!$B310, "2")</f>
        <v>0</v>
      </c>
      <c r="O310" s="157">
        <f>SUMIFS('Historical Orders'!$G310, 'Historical Orders'!$D310, "1", 'Historical Orders'!$C310, "B", 'Historical Orders'!$B310, "2")</f>
        <v>0</v>
      </c>
      <c r="P310" s="159">
        <f>SUMIFS('Historical Orders'!$E310, 'Historical Orders'!$D310, "2", 'Historical Orders'!$C310, "A", 'Historical Orders'!$B310, "1")</f>
        <v>0</v>
      </c>
      <c r="Q310" s="157">
        <f>SUMIFS('Historical Orders'!$G310, 'Historical Orders'!$D310, "2", 'Historical Orders'!$C310, "A", 'Historical Orders'!$B310, "1")</f>
        <v>0</v>
      </c>
      <c r="R310" s="159">
        <f>SUMIFS('Historical Orders'!$E310, 'Historical Orders'!$D310, "2", 'Historical Orders'!$C310, "B", 'Historical Orders'!$B310, "1")</f>
        <v>0</v>
      </c>
      <c r="S310" s="157">
        <f>SUMIFS('Historical Orders'!$G310, 'Historical Orders'!$D310, "2", 'Historical Orders'!$C310, "B", 'Historical Orders'!$B310, "1")</f>
        <v>0</v>
      </c>
      <c r="T310" s="159">
        <f>SUMIFS('Historical Orders'!$E310, 'Historical Orders'!$D310, "2", 'Historical Orders'!$C310, "A", 'Historical Orders'!$B310, "2")</f>
        <v>0</v>
      </c>
      <c r="U310" s="157">
        <f>SUMIFS('Historical Orders'!$G310, 'Historical Orders'!$D310, "2", 'Historical Orders'!$C310, "A", 'Historical Orders'!$B310, "2")</f>
        <v>0</v>
      </c>
      <c r="V310" s="159">
        <f>SUMIFS('Historical Orders'!$E310, 'Historical Orders'!$D310, "2", 'Historical Orders'!$C310, "B", 'Historical Orders'!$B310, "2")</f>
        <v>0</v>
      </c>
      <c r="W310" s="159">
        <f>SUMIFS('Historical Orders'!$G310, 'Historical Orders'!$D310, "2", 'Historical Orders'!$C310, "B", 'Historical Orders'!$B310, "2")</f>
        <v>0</v>
      </c>
      <c r="X310" s="159">
        <f>SUMIFS('Historical Orders'!$E310, 'Historical Orders'!$D310, "3", 'Historical Orders'!$C310, "A", 'Historical Orders'!$B310, "1")</f>
        <v>0</v>
      </c>
      <c r="Y310" s="159">
        <f>SUMIFS('Historical Orders'!$G310, 'Historical Orders'!$D310, "3", 'Historical Orders'!$C310, "A", 'Historical Orders'!$B310, "1")</f>
        <v>0</v>
      </c>
      <c r="Z310" s="159">
        <f>SUMIFS('Historical Orders'!$E310, 'Historical Orders'!$D310, "3", 'Historical Orders'!$C310, "B", 'Historical Orders'!$B310, "1")</f>
        <v>0</v>
      </c>
      <c r="AA310" s="159">
        <f>SUMIFS('Historical Orders'!$G310, 'Historical Orders'!$D310, "3", 'Historical Orders'!$C310, "B", 'Historical Orders'!$B310, "1")</f>
        <v>0</v>
      </c>
      <c r="AB310" s="159">
        <f>SUMIFS('Historical Orders'!$E310, 'Historical Orders'!$D310, "3", 'Historical Orders'!$C310, "A", 'Historical Orders'!$B310, "2")</f>
        <v>0</v>
      </c>
      <c r="AC310" s="159">
        <f>SUMIFS('Historical Orders'!$G310, 'Historical Orders'!$D310, "3", 'Historical Orders'!$C310, "A", 'Historical Orders'!$B310, "2")</f>
        <v>0</v>
      </c>
      <c r="AD310" s="159">
        <f>SUMIFS('Historical Orders'!$E310, 'Historical Orders'!$D310, "3", 'Historical Orders'!$C310, "B", 'Historical Orders'!$B310, "2")</f>
        <v>0</v>
      </c>
      <c r="AE310" s="157">
        <f>SUMIFS('Historical Orders'!$G310, 'Historical Orders'!$D310, "3", 'Historical Orders'!$C310, "B", 'Historical Orders'!$B310, "2")</f>
        <v>0</v>
      </c>
      <c r="AF310" s="157">
        <f>SUMIFS('Historical Orders'!$E310, 'Historical Orders'!$D310, "4", 'Historical Orders'!$C310, "A", 'Historical Orders'!$B310, "1")</f>
        <v>0</v>
      </c>
      <c r="AG310" s="157">
        <f>SUMIFS('Historical Orders'!$G310, 'Historical Orders'!$D310, "4", 'Historical Orders'!$C310, "A", 'Historical Orders'!$B310, "1")</f>
        <v>0</v>
      </c>
      <c r="AH310" s="157">
        <f>SUMIFS('Historical Orders'!$E310, 'Historical Orders'!$D310, "4", 'Historical Orders'!$C310, "B", 'Historical Orders'!$B310, "1")</f>
        <v>0</v>
      </c>
      <c r="AI310" s="157">
        <f>SUMIFS('Historical Orders'!$G310, 'Historical Orders'!$D310, "4", 'Historical Orders'!$C310, "B", 'Historical Orders'!$B310, "1")</f>
        <v>0</v>
      </c>
      <c r="AJ310" s="157">
        <f>SUMIFS('Historical Orders'!$E310, 'Historical Orders'!$D310, "4", 'Historical Orders'!$C310, "A", 'Historical Orders'!$B310, "2")</f>
        <v>0</v>
      </c>
      <c r="AK310" s="157">
        <f>SUMIFS('Historical Orders'!$G310, 'Historical Orders'!$D310, "4", 'Historical Orders'!$C310, "A", 'Historical Orders'!$B310, "2")</f>
        <v>0</v>
      </c>
      <c r="AL310" s="171">
        <f>SUMIFS('Historical Orders'!$E310, 'Historical Orders'!$D310, "4", 'Historical Orders'!$C310, "B", 'Historical Orders'!$B310, "2")</f>
        <v>0</v>
      </c>
      <c r="AM310" s="171">
        <f>SUMIFS('Historical Orders'!$G310, 'Historical Orders'!$D310, "4", 'Historical Orders'!$C310, "B", 'Historical Orders'!$B310, "2")</f>
        <v>0</v>
      </c>
      <c r="AN310" s="171">
        <f>SUMIFS('Historical Orders'!$G310, 'Historical Orders'!$C310, "A", 'Historical Orders'!$B310, "1")</f>
        <v>0</v>
      </c>
      <c r="AO310" s="171">
        <f>SUMIFS('Historical Orders'!$G310, 'Historical Orders'!$C310, "B", 'Historical Orders'!$B310, "1")</f>
        <v>0</v>
      </c>
      <c r="AP310" s="171">
        <f>SUMIFS('Historical Orders'!$G310, 'Historical Orders'!$C310, "A", 'Historical Orders'!$B310, "2")</f>
        <v>8632.8</v>
      </c>
      <c r="AQ310" s="171">
        <f>SUMIFS('Historical Orders'!$G310, 'Historical Orders'!$C310, "B", 'Historical Orders'!$B310, "2")</f>
        <v>0</v>
      </c>
      <c r="AR310" s="145"/>
      <c r="AS310" s="172"/>
      <c r="AT310" s="172"/>
      <c r="AU310" s="172"/>
      <c r="AV310" s="172"/>
      <c r="AW310" s="172"/>
      <c r="AX310" s="172"/>
      <c r="AY310" s="172"/>
      <c r="AZ310" s="172"/>
      <c r="BA310" s="172"/>
      <c r="BB310" s="172"/>
      <c r="BC310" s="172"/>
      <c r="BD310" s="172"/>
      <c r="BE310" s="172"/>
      <c r="BF310" s="172"/>
      <c r="BG310" s="172"/>
      <c r="BH310" s="172"/>
      <c r="BI310" s="172"/>
      <c r="BJ310" s="172"/>
      <c r="BK310" s="172"/>
      <c r="BL310" s="172"/>
      <c r="BM310" s="172"/>
      <c r="BN310" s="172"/>
      <c r="BO310" s="172"/>
      <c r="BP310" s="172"/>
      <c r="BQ310" s="172"/>
      <c r="BR310" s="172"/>
      <c r="BS310" s="172"/>
      <c r="BT310" s="172"/>
      <c r="BU310" s="172"/>
      <c r="BV310" s="179"/>
      <c r="BW310" s="179"/>
      <c r="BX310" s="179"/>
      <c r="BY310" s="179"/>
      <c r="BZ310" s="179"/>
      <c r="CA310" s="179"/>
      <c r="CB310" s="179"/>
      <c r="CC310" s="179"/>
      <c r="CD310" s="179"/>
      <c r="CE310" s="179"/>
    </row>
    <row r="311" ht="15.75" customHeight="1">
      <c r="A311" s="151">
        <v>42212.0</v>
      </c>
      <c r="B311" s="152">
        <v>2.0</v>
      </c>
      <c r="C311" s="152" t="s">
        <v>45</v>
      </c>
      <c r="D311" s="152">
        <v>2.0</v>
      </c>
      <c r="E311" s="153">
        <v>7368.0</v>
      </c>
      <c r="F311" s="154">
        <v>1.2</v>
      </c>
      <c r="G311" s="155">
        <v>8841.6</v>
      </c>
      <c r="H311" s="159">
        <f>SUMIFS('Historical Orders'!$E311, 'Historical Orders'!$D311, "1", 'Historical Orders'!$C311, "A", 'Historical Orders'!$B311, "1")</f>
        <v>0</v>
      </c>
      <c r="I311" s="157">
        <f>SUMIFS('Historical Orders'!$G311, 'Historical Orders'!$D311, "1", 'Historical Orders'!$C311, "A", 'Historical Orders'!$B311, "1")</f>
        <v>0</v>
      </c>
      <c r="J311" s="157">
        <f>SUMIFS('Historical Orders'!$E311, 'Historical Orders'!$D311, "1", 'Historical Orders'!$C311, "B", 'Historical Orders'!$B311, "1")</f>
        <v>0</v>
      </c>
      <c r="K311" s="157">
        <f>SUMIFS('Historical Orders'!$G311, 'Historical Orders'!$D311, "1", 'Historical Orders'!$C311, "B", 'Historical Orders'!$B311, "1")</f>
        <v>0</v>
      </c>
      <c r="L311" s="159">
        <f>SUMIFS('Historical Orders'!$E311, 'Historical Orders'!$D311, "1", 'Historical Orders'!$C311, "A", 'Historical Orders'!$B311, "2")</f>
        <v>0</v>
      </c>
      <c r="M311" s="157">
        <f>SUMIFS('Historical Orders'!$G311, 'Historical Orders'!$D311, "1", 'Historical Orders'!$C311, "A", 'Historical Orders'!$B311, "2")</f>
        <v>0</v>
      </c>
      <c r="N311" s="157">
        <f>SUMIFS('Historical Orders'!$E311, 'Historical Orders'!$D311, "1", 'Historical Orders'!$C311, "B", 'Historical Orders'!$B311, "2")</f>
        <v>0</v>
      </c>
      <c r="O311" s="157">
        <f>SUMIFS('Historical Orders'!$G311, 'Historical Orders'!$D311, "1", 'Historical Orders'!$C311, "B", 'Historical Orders'!$B311, "2")</f>
        <v>0</v>
      </c>
      <c r="P311" s="159">
        <f>SUMIFS('Historical Orders'!$E311, 'Historical Orders'!$D311, "2", 'Historical Orders'!$C311, "A", 'Historical Orders'!$B311, "1")</f>
        <v>0</v>
      </c>
      <c r="Q311" s="157">
        <f>SUMIFS('Historical Orders'!$G311, 'Historical Orders'!$D311, "2", 'Historical Orders'!$C311, "A", 'Historical Orders'!$B311, "1")</f>
        <v>0</v>
      </c>
      <c r="R311" s="159">
        <f>SUMIFS('Historical Orders'!$E311, 'Historical Orders'!$D311, "2", 'Historical Orders'!$C311, "B", 'Historical Orders'!$B311, "1")</f>
        <v>0</v>
      </c>
      <c r="S311" s="157">
        <f>SUMIFS('Historical Orders'!$G311, 'Historical Orders'!$D311, "2", 'Historical Orders'!$C311, "B", 'Historical Orders'!$B311, "1")</f>
        <v>0</v>
      </c>
      <c r="T311" s="159">
        <f>SUMIFS('Historical Orders'!$E311, 'Historical Orders'!$D311, "2", 'Historical Orders'!$C311, "A", 'Historical Orders'!$B311, "2")</f>
        <v>7368</v>
      </c>
      <c r="U311" s="157">
        <f>SUMIFS('Historical Orders'!$G311, 'Historical Orders'!$D311, "2", 'Historical Orders'!$C311, "A", 'Historical Orders'!$B311, "2")</f>
        <v>8841.6</v>
      </c>
      <c r="V311" s="159">
        <f>SUMIFS('Historical Orders'!$E311, 'Historical Orders'!$D311, "2", 'Historical Orders'!$C311, "B", 'Historical Orders'!$B311, "2")</f>
        <v>0</v>
      </c>
      <c r="W311" s="159">
        <f>SUMIFS('Historical Orders'!$G311, 'Historical Orders'!$D311, "2", 'Historical Orders'!$C311, "B", 'Historical Orders'!$B311, "2")</f>
        <v>0</v>
      </c>
      <c r="X311" s="159">
        <f>SUMIFS('Historical Orders'!$E311, 'Historical Orders'!$D311, "3", 'Historical Orders'!$C311, "A", 'Historical Orders'!$B311, "1")</f>
        <v>0</v>
      </c>
      <c r="Y311" s="159">
        <f>SUMIFS('Historical Orders'!$G311, 'Historical Orders'!$D311, "3", 'Historical Orders'!$C311, "A", 'Historical Orders'!$B311, "1")</f>
        <v>0</v>
      </c>
      <c r="Z311" s="159">
        <f>SUMIFS('Historical Orders'!$E311, 'Historical Orders'!$D311, "3", 'Historical Orders'!$C311, "B", 'Historical Orders'!$B311, "1")</f>
        <v>0</v>
      </c>
      <c r="AA311" s="159">
        <f>SUMIFS('Historical Orders'!$G311, 'Historical Orders'!$D311, "3", 'Historical Orders'!$C311, "B", 'Historical Orders'!$B311, "1")</f>
        <v>0</v>
      </c>
      <c r="AB311" s="159">
        <f>SUMIFS('Historical Orders'!$E311, 'Historical Orders'!$D311, "3", 'Historical Orders'!$C311, "A", 'Historical Orders'!$B311, "2")</f>
        <v>0</v>
      </c>
      <c r="AC311" s="159">
        <f>SUMIFS('Historical Orders'!$G311, 'Historical Orders'!$D311, "3", 'Historical Orders'!$C311, "A", 'Historical Orders'!$B311, "2")</f>
        <v>0</v>
      </c>
      <c r="AD311" s="159">
        <f>SUMIFS('Historical Orders'!$E311, 'Historical Orders'!$D311, "3", 'Historical Orders'!$C311, "B", 'Historical Orders'!$B311, "2")</f>
        <v>0</v>
      </c>
      <c r="AE311" s="157">
        <f>SUMIFS('Historical Orders'!$G311, 'Historical Orders'!$D311, "3", 'Historical Orders'!$C311, "B", 'Historical Orders'!$B311, "2")</f>
        <v>0</v>
      </c>
      <c r="AF311" s="157">
        <f>SUMIFS('Historical Orders'!$E311, 'Historical Orders'!$D311, "4", 'Historical Orders'!$C311, "A", 'Historical Orders'!$B311, "1")</f>
        <v>0</v>
      </c>
      <c r="AG311" s="157">
        <f>SUMIFS('Historical Orders'!$G311, 'Historical Orders'!$D311, "4", 'Historical Orders'!$C311, "A", 'Historical Orders'!$B311, "1")</f>
        <v>0</v>
      </c>
      <c r="AH311" s="157">
        <f>SUMIFS('Historical Orders'!$E311, 'Historical Orders'!$D311, "4", 'Historical Orders'!$C311, "B", 'Historical Orders'!$B311, "1")</f>
        <v>0</v>
      </c>
      <c r="AI311" s="157">
        <f>SUMIFS('Historical Orders'!$G311, 'Historical Orders'!$D311, "4", 'Historical Orders'!$C311, "B", 'Historical Orders'!$B311, "1")</f>
        <v>0</v>
      </c>
      <c r="AJ311" s="157">
        <f>SUMIFS('Historical Orders'!$E311, 'Historical Orders'!$D311, "4", 'Historical Orders'!$C311, "A", 'Historical Orders'!$B311, "2")</f>
        <v>0</v>
      </c>
      <c r="AK311" s="157">
        <f>SUMIFS('Historical Orders'!$G311, 'Historical Orders'!$D311, "4", 'Historical Orders'!$C311, "A", 'Historical Orders'!$B311, "2")</f>
        <v>0</v>
      </c>
      <c r="AL311" s="171">
        <f>SUMIFS('Historical Orders'!$E311, 'Historical Orders'!$D311, "4", 'Historical Orders'!$C311, "B", 'Historical Orders'!$B311, "2")</f>
        <v>0</v>
      </c>
      <c r="AM311" s="171">
        <f>SUMIFS('Historical Orders'!$G311, 'Historical Orders'!$D311, "4", 'Historical Orders'!$C311, "B", 'Historical Orders'!$B311, "2")</f>
        <v>0</v>
      </c>
      <c r="AN311" s="171">
        <f>SUMIFS('Historical Orders'!$G311, 'Historical Orders'!$C311, "A", 'Historical Orders'!$B311, "1")</f>
        <v>0</v>
      </c>
      <c r="AO311" s="171">
        <f>SUMIFS('Historical Orders'!$G311, 'Historical Orders'!$C311, "B", 'Historical Orders'!$B311, "1")</f>
        <v>0</v>
      </c>
      <c r="AP311" s="171">
        <f>SUMIFS('Historical Orders'!$G311, 'Historical Orders'!$C311, "A", 'Historical Orders'!$B311, "2")</f>
        <v>8841.6</v>
      </c>
      <c r="AQ311" s="171">
        <f>SUMIFS('Historical Orders'!$G311, 'Historical Orders'!$C311, "B", 'Historical Orders'!$B311, "2")</f>
        <v>0</v>
      </c>
      <c r="AR311" s="145"/>
      <c r="AS311" s="172"/>
      <c r="AT311" s="172"/>
      <c r="AU311" s="172"/>
      <c r="AV311" s="172"/>
      <c r="AW311" s="172"/>
      <c r="AX311" s="172"/>
      <c r="AY311" s="172"/>
      <c r="AZ311" s="172"/>
      <c r="BA311" s="172"/>
      <c r="BB311" s="172"/>
      <c r="BC311" s="172"/>
      <c r="BD311" s="172"/>
      <c r="BE311" s="172"/>
      <c r="BF311" s="172"/>
      <c r="BG311" s="172"/>
      <c r="BH311" s="172"/>
      <c r="BI311" s="172"/>
      <c r="BJ311" s="172"/>
      <c r="BK311" s="172"/>
      <c r="BL311" s="172"/>
      <c r="BM311" s="172"/>
      <c r="BN311" s="172"/>
      <c r="BO311" s="172"/>
      <c r="BP311" s="172"/>
      <c r="BQ311" s="172"/>
      <c r="BR311" s="172"/>
      <c r="BS311" s="172"/>
      <c r="BT311" s="172"/>
      <c r="BU311" s="172"/>
      <c r="BV311" s="179"/>
      <c r="BW311" s="179"/>
      <c r="BX311" s="179"/>
      <c r="BY311" s="179"/>
      <c r="BZ311" s="179"/>
      <c r="CA311" s="179"/>
      <c r="CB311" s="179"/>
      <c r="CC311" s="179"/>
      <c r="CD311" s="179"/>
      <c r="CE311" s="179"/>
    </row>
    <row r="312" ht="15.75" customHeight="1">
      <c r="A312" s="151">
        <v>42212.0</v>
      </c>
      <c r="B312" s="152">
        <v>1.0</v>
      </c>
      <c r="C312" s="152" t="s">
        <v>46</v>
      </c>
      <c r="D312" s="152">
        <v>3.0</v>
      </c>
      <c r="E312" s="153">
        <v>2517.0</v>
      </c>
      <c r="F312" s="154">
        <v>8.3</v>
      </c>
      <c r="G312" s="155">
        <v>20891.100000000002</v>
      </c>
      <c r="H312" s="159">
        <f>SUMIFS('Historical Orders'!$E312, 'Historical Orders'!$D312, "1", 'Historical Orders'!$C312, "A", 'Historical Orders'!$B312, "1")</f>
        <v>0</v>
      </c>
      <c r="I312" s="157">
        <f>SUMIFS('Historical Orders'!$G312, 'Historical Orders'!$D312, "1", 'Historical Orders'!$C312, "A", 'Historical Orders'!$B312, "1")</f>
        <v>0</v>
      </c>
      <c r="J312" s="157">
        <f>SUMIFS('Historical Orders'!$E312, 'Historical Orders'!$D312, "1", 'Historical Orders'!$C312, "B", 'Historical Orders'!$B312, "1")</f>
        <v>0</v>
      </c>
      <c r="K312" s="157">
        <f>SUMIFS('Historical Orders'!$G312, 'Historical Orders'!$D312, "1", 'Historical Orders'!$C312, "B", 'Historical Orders'!$B312, "1")</f>
        <v>0</v>
      </c>
      <c r="L312" s="159">
        <f>SUMIFS('Historical Orders'!$E312, 'Historical Orders'!$D312, "1", 'Historical Orders'!$C312, "A", 'Historical Orders'!$B312, "2")</f>
        <v>0</v>
      </c>
      <c r="M312" s="157">
        <f>SUMIFS('Historical Orders'!$G312, 'Historical Orders'!$D312, "1", 'Historical Orders'!$C312, "A", 'Historical Orders'!$B312, "2")</f>
        <v>0</v>
      </c>
      <c r="N312" s="157">
        <f>SUMIFS('Historical Orders'!$E312, 'Historical Orders'!$D312, "1", 'Historical Orders'!$C312, "B", 'Historical Orders'!$B312, "2")</f>
        <v>0</v>
      </c>
      <c r="O312" s="157">
        <f>SUMIFS('Historical Orders'!$G312, 'Historical Orders'!$D312, "1", 'Historical Orders'!$C312, "B", 'Historical Orders'!$B312, "2")</f>
        <v>0</v>
      </c>
      <c r="P312" s="159">
        <f>SUMIFS('Historical Orders'!$E312, 'Historical Orders'!$D312, "2", 'Historical Orders'!$C312, "A", 'Historical Orders'!$B312, "1")</f>
        <v>0</v>
      </c>
      <c r="Q312" s="157">
        <f>SUMIFS('Historical Orders'!$G312, 'Historical Orders'!$D312, "2", 'Historical Orders'!$C312, "A", 'Historical Orders'!$B312, "1")</f>
        <v>0</v>
      </c>
      <c r="R312" s="159">
        <f>SUMIFS('Historical Orders'!$E312, 'Historical Orders'!$D312, "2", 'Historical Orders'!$C312, "B", 'Historical Orders'!$B312, "1")</f>
        <v>0</v>
      </c>
      <c r="S312" s="157">
        <f>SUMIFS('Historical Orders'!$G312, 'Historical Orders'!$D312, "2", 'Historical Orders'!$C312, "B", 'Historical Orders'!$B312, "1")</f>
        <v>0</v>
      </c>
      <c r="T312" s="159">
        <f>SUMIFS('Historical Orders'!$E312, 'Historical Orders'!$D312, "2", 'Historical Orders'!$C312, "A", 'Historical Orders'!$B312, "2")</f>
        <v>0</v>
      </c>
      <c r="U312" s="157">
        <f>SUMIFS('Historical Orders'!$G312, 'Historical Orders'!$D312, "2", 'Historical Orders'!$C312, "A", 'Historical Orders'!$B312, "2")</f>
        <v>0</v>
      </c>
      <c r="V312" s="159">
        <f>SUMIFS('Historical Orders'!$E312, 'Historical Orders'!$D312, "2", 'Historical Orders'!$C312, "B", 'Historical Orders'!$B312, "2")</f>
        <v>0</v>
      </c>
      <c r="W312" s="159">
        <f>SUMIFS('Historical Orders'!$G312, 'Historical Orders'!$D312, "2", 'Historical Orders'!$C312, "B", 'Historical Orders'!$B312, "2")</f>
        <v>0</v>
      </c>
      <c r="X312" s="159">
        <f>SUMIFS('Historical Orders'!$E312, 'Historical Orders'!$D312, "3", 'Historical Orders'!$C312, "A", 'Historical Orders'!$B312, "1")</f>
        <v>0</v>
      </c>
      <c r="Y312" s="159">
        <f>SUMIFS('Historical Orders'!$G312, 'Historical Orders'!$D312, "3", 'Historical Orders'!$C312, "A", 'Historical Orders'!$B312, "1")</f>
        <v>0</v>
      </c>
      <c r="Z312" s="159">
        <f>SUMIFS('Historical Orders'!$E312, 'Historical Orders'!$D312, "3", 'Historical Orders'!$C312, "B", 'Historical Orders'!$B312, "1")</f>
        <v>2517</v>
      </c>
      <c r="AA312" s="159">
        <f>SUMIFS('Historical Orders'!$G312, 'Historical Orders'!$D312, "3", 'Historical Orders'!$C312, "B", 'Historical Orders'!$B312, "1")</f>
        <v>20891.1</v>
      </c>
      <c r="AB312" s="159">
        <f>SUMIFS('Historical Orders'!$E312, 'Historical Orders'!$D312, "3", 'Historical Orders'!$C312, "A", 'Historical Orders'!$B312, "2")</f>
        <v>0</v>
      </c>
      <c r="AC312" s="159">
        <f>SUMIFS('Historical Orders'!$G312, 'Historical Orders'!$D312, "3", 'Historical Orders'!$C312, "A", 'Historical Orders'!$B312, "2")</f>
        <v>0</v>
      </c>
      <c r="AD312" s="159">
        <f>SUMIFS('Historical Orders'!$E312, 'Historical Orders'!$D312, "3", 'Historical Orders'!$C312, "B", 'Historical Orders'!$B312, "2")</f>
        <v>0</v>
      </c>
      <c r="AE312" s="157">
        <f>SUMIFS('Historical Orders'!$G312, 'Historical Orders'!$D312, "3", 'Historical Orders'!$C312, "B", 'Historical Orders'!$B312, "2")</f>
        <v>0</v>
      </c>
      <c r="AF312" s="157">
        <f>SUMIFS('Historical Orders'!$E312, 'Historical Orders'!$D312, "4", 'Historical Orders'!$C312, "A", 'Historical Orders'!$B312, "1")</f>
        <v>0</v>
      </c>
      <c r="AG312" s="157">
        <f>SUMIFS('Historical Orders'!$G312, 'Historical Orders'!$D312, "4", 'Historical Orders'!$C312, "A", 'Historical Orders'!$B312, "1")</f>
        <v>0</v>
      </c>
      <c r="AH312" s="157">
        <f>SUMIFS('Historical Orders'!$E312, 'Historical Orders'!$D312, "4", 'Historical Orders'!$C312, "B", 'Historical Orders'!$B312, "1")</f>
        <v>0</v>
      </c>
      <c r="AI312" s="157">
        <f>SUMIFS('Historical Orders'!$G312, 'Historical Orders'!$D312, "4", 'Historical Orders'!$C312, "B", 'Historical Orders'!$B312, "1")</f>
        <v>0</v>
      </c>
      <c r="AJ312" s="157">
        <f>SUMIFS('Historical Orders'!$E312, 'Historical Orders'!$D312, "4", 'Historical Orders'!$C312, "A", 'Historical Orders'!$B312, "2")</f>
        <v>0</v>
      </c>
      <c r="AK312" s="157">
        <f>SUMIFS('Historical Orders'!$G312, 'Historical Orders'!$D312, "4", 'Historical Orders'!$C312, "A", 'Historical Orders'!$B312, "2")</f>
        <v>0</v>
      </c>
      <c r="AL312" s="171">
        <f>SUMIFS('Historical Orders'!$E312, 'Historical Orders'!$D312, "4", 'Historical Orders'!$C312, "B", 'Historical Orders'!$B312, "2")</f>
        <v>0</v>
      </c>
      <c r="AM312" s="171">
        <f>SUMIFS('Historical Orders'!$G312, 'Historical Orders'!$D312, "4", 'Historical Orders'!$C312, "B", 'Historical Orders'!$B312, "2")</f>
        <v>0</v>
      </c>
      <c r="AN312" s="171">
        <f>SUMIFS('Historical Orders'!$G312, 'Historical Orders'!$C312, "A", 'Historical Orders'!$B312, "1")</f>
        <v>0</v>
      </c>
      <c r="AO312" s="171">
        <f>SUMIFS('Historical Orders'!$G312, 'Historical Orders'!$C312, "B", 'Historical Orders'!$B312, "1")</f>
        <v>20891.1</v>
      </c>
      <c r="AP312" s="171">
        <f>SUMIFS('Historical Orders'!$G312, 'Historical Orders'!$C312, "A", 'Historical Orders'!$B312, "2")</f>
        <v>0</v>
      </c>
      <c r="AQ312" s="171">
        <f>SUMIFS('Historical Orders'!$G312, 'Historical Orders'!$C312, "B", 'Historical Orders'!$B312, "2")</f>
        <v>0</v>
      </c>
      <c r="AR312" s="145"/>
      <c r="AS312" s="172"/>
      <c r="AT312" s="172"/>
      <c r="AU312" s="172"/>
      <c r="AV312" s="172"/>
      <c r="AW312" s="172"/>
      <c r="AX312" s="172"/>
      <c r="AY312" s="172"/>
      <c r="AZ312" s="172"/>
      <c r="BA312" s="172"/>
      <c r="BB312" s="172"/>
      <c r="BC312" s="172"/>
      <c r="BD312" s="172"/>
      <c r="BE312" s="172"/>
      <c r="BF312" s="172"/>
      <c r="BG312" s="172"/>
      <c r="BH312" s="172"/>
      <c r="BI312" s="172"/>
      <c r="BJ312" s="172"/>
      <c r="BK312" s="172"/>
      <c r="BL312" s="172"/>
      <c r="BM312" s="172"/>
      <c r="BN312" s="172"/>
      <c r="BO312" s="172"/>
      <c r="BP312" s="172"/>
      <c r="BQ312" s="172"/>
      <c r="BR312" s="172"/>
      <c r="BS312" s="172"/>
      <c r="BT312" s="172"/>
      <c r="BU312" s="172"/>
      <c r="BV312" s="179"/>
      <c r="BW312" s="179"/>
      <c r="BX312" s="179"/>
      <c r="BY312" s="179"/>
      <c r="BZ312" s="179"/>
      <c r="CA312" s="179"/>
      <c r="CB312" s="179"/>
      <c r="CC312" s="179"/>
      <c r="CD312" s="179"/>
      <c r="CE312" s="179"/>
    </row>
    <row r="313" ht="15.75" customHeight="1">
      <c r="A313" s="151">
        <v>42212.0</v>
      </c>
      <c r="B313" s="152">
        <v>2.0</v>
      </c>
      <c r="C313" s="152" t="s">
        <v>46</v>
      </c>
      <c r="D313" s="152">
        <v>3.0</v>
      </c>
      <c r="E313" s="153">
        <v>2888.0</v>
      </c>
      <c r="F313" s="154">
        <v>8.3</v>
      </c>
      <c r="G313" s="155">
        <v>23970.4</v>
      </c>
      <c r="H313" s="159">
        <f>SUMIFS('Historical Orders'!$E313, 'Historical Orders'!$D313, "1", 'Historical Orders'!$C313, "A", 'Historical Orders'!$B313, "1")</f>
        <v>0</v>
      </c>
      <c r="I313" s="157">
        <f>SUMIFS('Historical Orders'!$G313, 'Historical Orders'!$D313, "1", 'Historical Orders'!$C313, "A", 'Historical Orders'!$B313, "1")</f>
        <v>0</v>
      </c>
      <c r="J313" s="157">
        <f>SUMIFS('Historical Orders'!$E313, 'Historical Orders'!$D313, "1", 'Historical Orders'!$C313, "B", 'Historical Orders'!$B313, "1")</f>
        <v>0</v>
      </c>
      <c r="K313" s="157">
        <f>SUMIFS('Historical Orders'!$G313, 'Historical Orders'!$D313, "1", 'Historical Orders'!$C313, "B", 'Historical Orders'!$B313, "1")</f>
        <v>0</v>
      </c>
      <c r="L313" s="159">
        <f>SUMIFS('Historical Orders'!$E313, 'Historical Orders'!$D313, "1", 'Historical Orders'!$C313, "A", 'Historical Orders'!$B313, "2")</f>
        <v>0</v>
      </c>
      <c r="M313" s="157">
        <f>SUMIFS('Historical Orders'!$G313, 'Historical Orders'!$D313, "1", 'Historical Orders'!$C313, "A", 'Historical Orders'!$B313, "2")</f>
        <v>0</v>
      </c>
      <c r="N313" s="157">
        <f>SUMIFS('Historical Orders'!$E313, 'Historical Orders'!$D313, "1", 'Historical Orders'!$C313, "B", 'Historical Orders'!$B313, "2")</f>
        <v>0</v>
      </c>
      <c r="O313" s="157">
        <f>SUMIFS('Historical Orders'!$G313, 'Historical Orders'!$D313, "1", 'Historical Orders'!$C313, "B", 'Historical Orders'!$B313, "2")</f>
        <v>0</v>
      </c>
      <c r="P313" s="159">
        <f>SUMIFS('Historical Orders'!$E313, 'Historical Orders'!$D313, "2", 'Historical Orders'!$C313, "A", 'Historical Orders'!$B313, "1")</f>
        <v>0</v>
      </c>
      <c r="Q313" s="157">
        <f>SUMIFS('Historical Orders'!$G313, 'Historical Orders'!$D313, "2", 'Historical Orders'!$C313, "A", 'Historical Orders'!$B313, "1")</f>
        <v>0</v>
      </c>
      <c r="R313" s="159">
        <f>SUMIFS('Historical Orders'!$E313, 'Historical Orders'!$D313, "2", 'Historical Orders'!$C313, "B", 'Historical Orders'!$B313, "1")</f>
        <v>0</v>
      </c>
      <c r="S313" s="157">
        <f>SUMIFS('Historical Orders'!$G313, 'Historical Orders'!$D313, "2", 'Historical Orders'!$C313, "B", 'Historical Orders'!$B313, "1")</f>
        <v>0</v>
      </c>
      <c r="T313" s="159">
        <f>SUMIFS('Historical Orders'!$E313, 'Historical Orders'!$D313, "2", 'Historical Orders'!$C313, "A", 'Historical Orders'!$B313, "2")</f>
        <v>0</v>
      </c>
      <c r="U313" s="157">
        <f>SUMIFS('Historical Orders'!$G313, 'Historical Orders'!$D313, "2", 'Historical Orders'!$C313, "A", 'Historical Orders'!$B313, "2")</f>
        <v>0</v>
      </c>
      <c r="V313" s="159">
        <f>SUMIFS('Historical Orders'!$E313, 'Historical Orders'!$D313, "2", 'Historical Orders'!$C313, "B", 'Historical Orders'!$B313, "2")</f>
        <v>0</v>
      </c>
      <c r="W313" s="159">
        <f>SUMIFS('Historical Orders'!$G313, 'Historical Orders'!$D313, "2", 'Historical Orders'!$C313, "B", 'Historical Orders'!$B313, "2")</f>
        <v>0</v>
      </c>
      <c r="X313" s="159">
        <f>SUMIFS('Historical Orders'!$E313, 'Historical Orders'!$D313, "3", 'Historical Orders'!$C313, "A", 'Historical Orders'!$B313, "1")</f>
        <v>0</v>
      </c>
      <c r="Y313" s="159">
        <f>SUMIFS('Historical Orders'!$G313, 'Historical Orders'!$D313, "3", 'Historical Orders'!$C313, "A", 'Historical Orders'!$B313, "1")</f>
        <v>0</v>
      </c>
      <c r="Z313" s="159">
        <f>SUMIFS('Historical Orders'!$E313, 'Historical Orders'!$D313, "3", 'Historical Orders'!$C313, "B", 'Historical Orders'!$B313, "1")</f>
        <v>0</v>
      </c>
      <c r="AA313" s="159">
        <f>SUMIFS('Historical Orders'!$G313, 'Historical Orders'!$D313, "3", 'Historical Orders'!$C313, "B", 'Historical Orders'!$B313, "1")</f>
        <v>0</v>
      </c>
      <c r="AB313" s="159">
        <f>SUMIFS('Historical Orders'!$E313, 'Historical Orders'!$D313, "3", 'Historical Orders'!$C313, "A", 'Historical Orders'!$B313, "2")</f>
        <v>0</v>
      </c>
      <c r="AC313" s="159">
        <f>SUMIFS('Historical Orders'!$G313, 'Historical Orders'!$D313, "3", 'Historical Orders'!$C313, "A", 'Historical Orders'!$B313, "2")</f>
        <v>0</v>
      </c>
      <c r="AD313" s="159">
        <f>SUMIFS('Historical Orders'!$E313, 'Historical Orders'!$D313, "3", 'Historical Orders'!$C313, "B", 'Historical Orders'!$B313, "2")</f>
        <v>2888</v>
      </c>
      <c r="AE313" s="157">
        <f>SUMIFS('Historical Orders'!$G313, 'Historical Orders'!$D313, "3", 'Historical Orders'!$C313, "B", 'Historical Orders'!$B313, "2")</f>
        <v>23970.4</v>
      </c>
      <c r="AF313" s="157">
        <f>SUMIFS('Historical Orders'!$E313, 'Historical Orders'!$D313, "4", 'Historical Orders'!$C313, "A", 'Historical Orders'!$B313, "1")</f>
        <v>0</v>
      </c>
      <c r="AG313" s="157">
        <f>SUMIFS('Historical Orders'!$G313, 'Historical Orders'!$D313, "4", 'Historical Orders'!$C313, "A", 'Historical Orders'!$B313, "1")</f>
        <v>0</v>
      </c>
      <c r="AH313" s="157">
        <f>SUMIFS('Historical Orders'!$E313, 'Historical Orders'!$D313, "4", 'Historical Orders'!$C313, "B", 'Historical Orders'!$B313, "1")</f>
        <v>0</v>
      </c>
      <c r="AI313" s="157">
        <f>SUMIFS('Historical Orders'!$G313, 'Historical Orders'!$D313, "4", 'Historical Orders'!$C313, "B", 'Historical Orders'!$B313, "1")</f>
        <v>0</v>
      </c>
      <c r="AJ313" s="157">
        <f>SUMIFS('Historical Orders'!$E313, 'Historical Orders'!$D313, "4", 'Historical Orders'!$C313, "A", 'Historical Orders'!$B313, "2")</f>
        <v>0</v>
      </c>
      <c r="AK313" s="157">
        <f>SUMIFS('Historical Orders'!$G313, 'Historical Orders'!$D313, "4", 'Historical Orders'!$C313, "A", 'Historical Orders'!$B313, "2")</f>
        <v>0</v>
      </c>
      <c r="AL313" s="171">
        <f>SUMIFS('Historical Orders'!$E313, 'Historical Orders'!$D313, "4", 'Historical Orders'!$C313, "B", 'Historical Orders'!$B313, "2")</f>
        <v>0</v>
      </c>
      <c r="AM313" s="171">
        <f>SUMIFS('Historical Orders'!$G313, 'Historical Orders'!$D313, "4", 'Historical Orders'!$C313, "B", 'Historical Orders'!$B313, "2")</f>
        <v>0</v>
      </c>
      <c r="AN313" s="171">
        <f>SUMIFS('Historical Orders'!$G313, 'Historical Orders'!$C313, "A", 'Historical Orders'!$B313, "1")</f>
        <v>0</v>
      </c>
      <c r="AO313" s="171">
        <f>SUMIFS('Historical Orders'!$G313, 'Historical Orders'!$C313, "B", 'Historical Orders'!$B313, "1")</f>
        <v>0</v>
      </c>
      <c r="AP313" s="171">
        <f>SUMIFS('Historical Orders'!$G313, 'Historical Orders'!$C313, "A", 'Historical Orders'!$B313, "2")</f>
        <v>0</v>
      </c>
      <c r="AQ313" s="171">
        <f>SUMIFS('Historical Orders'!$G313, 'Historical Orders'!$C313, "B", 'Historical Orders'!$B313, "2")</f>
        <v>23970.4</v>
      </c>
      <c r="AR313" s="145"/>
      <c r="AS313" s="172"/>
      <c r="AT313" s="172"/>
      <c r="AU313" s="172"/>
      <c r="AV313" s="172"/>
      <c r="AW313" s="172"/>
      <c r="AX313" s="172"/>
      <c r="AY313" s="172"/>
      <c r="AZ313" s="172"/>
      <c r="BA313" s="172"/>
      <c r="BB313" s="172"/>
      <c r="BC313" s="172"/>
      <c r="BD313" s="172"/>
      <c r="BE313" s="172"/>
      <c r="BF313" s="172"/>
      <c r="BG313" s="172"/>
      <c r="BH313" s="172"/>
      <c r="BI313" s="172"/>
      <c r="BJ313" s="172"/>
      <c r="BK313" s="172"/>
      <c r="BL313" s="172"/>
      <c r="BM313" s="172"/>
      <c r="BN313" s="172"/>
      <c r="BO313" s="172"/>
      <c r="BP313" s="172"/>
      <c r="BQ313" s="172"/>
      <c r="BR313" s="172"/>
      <c r="BS313" s="172"/>
      <c r="BT313" s="172"/>
      <c r="BU313" s="172"/>
      <c r="BV313" s="179"/>
      <c r="BW313" s="179"/>
      <c r="BX313" s="179"/>
      <c r="BY313" s="179"/>
      <c r="BZ313" s="179"/>
      <c r="CA313" s="179"/>
      <c r="CB313" s="179"/>
      <c r="CC313" s="179"/>
      <c r="CD313" s="179"/>
      <c r="CE313" s="179"/>
    </row>
    <row r="314" ht="15.75" customHeight="1">
      <c r="A314" s="180" t="s">
        <v>7</v>
      </c>
      <c r="B314" s="154"/>
      <c r="C314" s="154"/>
      <c r="D314" s="154"/>
      <c r="E314" s="181">
        <f>SUBTOTAL(109,'Historical Orders'!$E$2:$E$313)</f>
        <v>1259788</v>
      </c>
      <c r="F314" s="181">
        <f>SUBTOTAL(109,'Historical Orders'!$F$2:$F$313)</f>
        <v>1216.8</v>
      </c>
      <c r="G314" s="181">
        <f>SUBTOTAL(109,'Historical Orders'!$G$2:$G$313)</f>
        <v>3659475.3</v>
      </c>
      <c r="H314" s="182">
        <f>SUBTOTAL(109,'Historical Orders'!$H$2:$H$313)</f>
        <v>234967</v>
      </c>
      <c r="I314" s="182">
        <f>SUBTOTAL(109,'Historical Orders'!$I$2:$I$313)</f>
        <v>516927.4</v>
      </c>
      <c r="J314" s="182">
        <f>SUBTOTAL(109,'Historical Orders'!$J$2:$J$313)</f>
        <v>0</v>
      </c>
      <c r="K314" s="182">
        <f>SUBTOTAL(109,'Historical Orders'!$K$2:$K$313)</f>
        <v>0</v>
      </c>
      <c r="L314" s="182">
        <f>SUBTOTAL(109,'Historical Orders'!$L$2:$L$313)</f>
        <v>175698</v>
      </c>
      <c r="M314" s="182">
        <f>SUBTOTAL(109,'Historical Orders'!$M$2:$M$313)</f>
        <v>386535.6</v>
      </c>
      <c r="N314" s="182">
        <f>SUBTOTAL(109,'Historical Orders'!$N$2:$N$313)</f>
        <v>0</v>
      </c>
      <c r="O314" s="182">
        <f>SUBTOTAL(109,'Historical Orders'!$O$2:$O$313)</f>
        <v>0</v>
      </c>
      <c r="P314" s="182">
        <f>SUBTOTAL(109,'Historical Orders'!$P$2:$P$313)</f>
        <v>295588</v>
      </c>
      <c r="Q314" s="182">
        <f>SUBTOTAL(109,'Historical Orders'!$Q$2:$Q$313)</f>
        <v>354705.6</v>
      </c>
      <c r="R314" s="182">
        <f>SUBTOTAL(109,'Historical Orders'!$R$2:$R$313)</f>
        <v>0</v>
      </c>
      <c r="S314" s="182">
        <f>SUBTOTAL(109,'Historical Orders'!$S$2:$S$313)</f>
        <v>0</v>
      </c>
      <c r="T314" s="182">
        <f>SUBTOTAL(109,'Historical Orders'!$T$2:$T$313)</f>
        <v>308878</v>
      </c>
      <c r="U314" s="182">
        <f>SUBTOTAL(109,'Historical Orders'!$U$2:$U$313)</f>
        <v>370653.6</v>
      </c>
      <c r="V314" s="182">
        <f>SUBTOTAL(109,'Historical Orders'!$V$2:$V$313)</f>
        <v>0</v>
      </c>
      <c r="W314" s="182">
        <f>SUBTOTAL(109,'Historical Orders'!$W$2:$W$313)</f>
        <v>0</v>
      </c>
      <c r="X314" s="182">
        <f>SUBTOTAL(109,'Historical Orders'!$X$2:$X$313)</f>
        <v>0</v>
      </c>
      <c r="Y314" s="182">
        <f>SUBTOTAL(109,'Historical Orders'!$Y$2:$Y$313)</f>
        <v>0</v>
      </c>
      <c r="Z314" s="182">
        <f>SUBTOTAL(109,'Historical Orders'!$Z$2:$Z$313)</f>
        <v>108913</v>
      </c>
      <c r="AA314" s="182">
        <f>SUBTOTAL(109,'Historical Orders'!$AA$2:$AA$313)</f>
        <v>903977.9</v>
      </c>
      <c r="AB314" s="182">
        <f>SUBTOTAL(109,'Historical Orders'!$AB$2:$AB$313)</f>
        <v>0</v>
      </c>
      <c r="AC314" s="182">
        <f>SUBTOTAL(109,'Historical Orders'!$AC$2:$AC$313)</f>
        <v>0</v>
      </c>
      <c r="AD314" s="182">
        <f>SUBTOTAL(109,'Historical Orders'!$AD$2:$AD$313)</f>
        <v>135744</v>
      </c>
      <c r="AE314" s="182">
        <f>SUBTOTAL(109,'Historical Orders'!$AE$2:$AE$313)</f>
        <v>1126675.2</v>
      </c>
      <c r="AF314" s="182">
        <f>SUBTOTAL(109,'Historical Orders'!$AF$2:$AF$313)</f>
        <v>0</v>
      </c>
      <c r="AG314" s="182">
        <f>SUBTOTAL(109,'Historical Orders'!$AG$2:$AG$313)</f>
        <v>0</v>
      </c>
      <c r="AH314" s="182">
        <f>SUBTOTAL(109,'Historical Orders'!$AH$2:$AH$313)</f>
        <v>0</v>
      </c>
      <c r="AI314" s="182">
        <f>SUBTOTAL(109,'Historical Orders'!$AI$2:$AI$313)</f>
        <v>0</v>
      </c>
      <c r="AJ314" s="182">
        <f>SUBTOTAL(109,'Historical Orders'!$AJ$2:$AJ$313)</f>
        <v>0</v>
      </c>
      <c r="AK314" s="182">
        <f>SUBTOTAL(109,'Historical Orders'!$AK$2:$AK$313)</f>
        <v>0</v>
      </c>
      <c r="AL314" s="182">
        <f>SUBTOTAL(109,'Historical Orders'!$AL$2:$AL$313)</f>
        <v>0</v>
      </c>
      <c r="AM314" s="182"/>
      <c r="AN314" s="182"/>
      <c r="AO314" s="182"/>
      <c r="AP314" s="182"/>
      <c r="AQ314" s="182">
        <f>SUBTOTAL(109,'Historical Orders'!$AQ$2:$AQ$313)</f>
        <v>1126675.2</v>
      </c>
      <c r="AT314" s="172"/>
      <c r="AV314" s="172"/>
      <c r="AW314" s="172"/>
      <c r="AX314" s="172"/>
      <c r="AY314" s="172"/>
      <c r="AZ314" s="172"/>
      <c r="BA314" s="172"/>
      <c r="BB314" s="172"/>
      <c r="BC314" s="172"/>
      <c r="BD314" s="172"/>
      <c r="BE314" s="172"/>
      <c r="BF314" s="172"/>
      <c r="BG314" s="172"/>
      <c r="BH314" s="172"/>
      <c r="BI314" s="172"/>
      <c r="BJ314" s="172"/>
      <c r="BK314" s="172"/>
      <c r="BL314" s="172"/>
      <c r="BM314" s="172"/>
      <c r="BN314" s="172"/>
      <c r="BO314" s="172"/>
      <c r="BP314" s="172"/>
      <c r="BQ314" s="172"/>
      <c r="BR314" s="172"/>
      <c r="BS314" s="172"/>
      <c r="BT314" s="172"/>
      <c r="BU314" s="172"/>
      <c r="BV314" s="179"/>
      <c r="BW314" s="179"/>
      <c r="BX314" s="179"/>
      <c r="BY314" s="179"/>
      <c r="BZ314" s="179"/>
      <c r="CA314" s="179"/>
      <c r="CB314" s="179"/>
      <c r="CC314" s="179"/>
      <c r="CD314" s="179"/>
      <c r="CE314" s="179"/>
    </row>
    <row r="315" ht="15.75" customHeight="1">
      <c r="A315" s="183"/>
      <c r="E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</row>
    <row r="316" ht="15.75" customHeight="1">
      <c r="A316" s="183"/>
      <c r="E316" s="172"/>
      <c r="G316" s="172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</row>
    <row r="317" ht="15.75" customHeight="1">
      <c r="A317" s="183"/>
      <c r="E317" s="172"/>
      <c r="G317" s="172"/>
      <c r="H317" s="172">
        <f>'Historical Orders'!$H$314+'Historical Orders'!$J$314+'Historical Orders'!$L$314+'Historical Orders'!$N$314</f>
        <v>410665</v>
      </c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</row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11.43"/>
    <col customWidth="1" min="2" max="2" width="9.29"/>
    <col customWidth="1" min="3" max="3" width="10.57"/>
    <col customWidth="1" min="4" max="4" width="12.14"/>
    <col customWidth="1" min="5" max="6" width="13.29"/>
    <col customWidth="1" min="7" max="7" width="18.43"/>
    <col customWidth="1" min="8" max="9" width="16.71"/>
    <col customWidth="1" hidden="1" min="10" max="45" width="19.57" outlineLevel="1"/>
    <col customWidth="1" min="46" max="46" width="20.0"/>
    <col customWidth="1" min="47" max="47" width="3.57"/>
    <col customWidth="1" min="48" max="48" width="20.57"/>
    <col customWidth="1" hidden="1" min="49" max="49" width="3.57" outlineLevel="1"/>
    <col customWidth="1" hidden="1" min="50" max="55" width="20.57" outlineLevel="1"/>
    <col customWidth="1" min="56" max="56" width="3.57"/>
    <col customWidth="1" min="57" max="57" width="20.57"/>
    <col customWidth="1" hidden="1" min="58" max="59" width="20.57" outlineLevel="1"/>
    <col customWidth="1" min="60" max="60" width="3.57"/>
    <col customWidth="1" min="61" max="64" width="20.57" outlineLevel="1"/>
    <col customWidth="1" min="65" max="65" width="20.57"/>
    <col customWidth="1" min="66" max="66" width="3.57"/>
    <col customWidth="1" hidden="1" min="67" max="70" width="20.57" outlineLevel="1"/>
    <col customWidth="1" min="71" max="71" width="20.57"/>
    <col customWidth="1" min="72" max="72" width="3.57"/>
    <col customWidth="1" hidden="1" min="73" max="76" width="20.57" outlineLevel="1"/>
    <col customWidth="1" min="77" max="77" width="20.57"/>
    <col customWidth="1" min="78" max="78" width="3.57"/>
    <col customWidth="1" hidden="1" min="79" max="82" width="20.57" outlineLevel="1"/>
    <col customWidth="1" min="83" max="83" width="20.57"/>
    <col customWidth="1" min="84" max="84" width="3.57" outlineLevel="1"/>
    <col customWidth="1" min="85" max="88" width="20.57" outlineLevel="1"/>
    <col customWidth="1" min="89" max="89" width="3.57"/>
    <col customWidth="1" min="90" max="94" width="14.86" outlineLevel="1"/>
    <col customWidth="1" min="95" max="95" width="3.57" outlineLevel="1"/>
    <col customWidth="1" min="96" max="96" width="23.29" outlineLevel="1"/>
    <col customWidth="1" min="97" max="97" width="4.14" outlineLevel="1"/>
    <col customWidth="1" min="98" max="98" width="4.14"/>
    <col customWidth="1" min="99" max="99" width="23.43"/>
    <col customWidth="1" min="100" max="100" width="4.14"/>
  </cols>
  <sheetData>
    <row r="1" ht="42.0" customHeight="1">
      <c r="A1" s="184" t="s">
        <v>60</v>
      </c>
      <c r="B1" s="41" t="s">
        <v>42</v>
      </c>
      <c r="C1" s="41" t="s">
        <v>41</v>
      </c>
      <c r="D1" s="41" t="s">
        <v>14</v>
      </c>
      <c r="E1" s="41" t="s">
        <v>61</v>
      </c>
      <c r="F1" s="41" t="s">
        <v>140</v>
      </c>
      <c r="G1" s="41" t="s">
        <v>62</v>
      </c>
      <c r="H1" s="41" t="s">
        <v>63</v>
      </c>
      <c r="I1" s="184" t="s">
        <v>141</v>
      </c>
      <c r="J1" s="144" t="s">
        <v>64</v>
      </c>
      <c r="K1" s="144" t="s">
        <v>65</v>
      </c>
      <c r="L1" s="144" t="s">
        <v>66</v>
      </c>
      <c r="M1" s="144" t="s">
        <v>67</v>
      </c>
      <c r="N1" s="144" t="s">
        <v>68</v>
      </c>
      <c r="O1" s="144" t="s">
        <v>69</v>
      </c>
      <c r="P1" s="144" t="s">
        <v>70</v>
      </c>
      <c r="Q1" s="144" t="s">
        <v>71</v>
      </c>
      <c r="R1" s="144" t="s">
        <v>72</v>
      </c>
      <c r="S1" s="144" t="s">
        <v>73</v>
      </c>
      <c r="T1" s="144" t="s">
        <v>74</v>
      </c>
      <c r="U1" s="144" t="s">
        <v>75</v>
      </c>
      <c r="V1" s="144" t="s">
        <v>76</v>
      </c>
      <c r="W1" s="144" t="s">
        <v>77</v>
      </c>
      <c r="X1" s="144" t="s">
        <v>78</v>
      </c>
      <c r="Y1" s="144" t="s">
        <v>79</v>
      </c>
      <c r="Z1" s="144" t="s">
        <v>80</v>
      </c>
      <c r="AA1" s="144" t="s">
        <v>81</v>
      </c>
      <c r="AB1" s="144" t="s">
        <v>82</v>
      </c>
      <c r="AC1" s="144" t="s">
        <v>83</v>
      </c>
      <c r="AD1" s="144" t="s">
        <v>84</v>
      </c>
      <c r="AE1" s="144" t="s">
        <v>85</v>
      </c>
      <c r="AF1" s="144" t="s">
        <v>86</v>
      </c>
      <c r="AG1" s="144" t="s">
        <v>87</v>
      </c>
      <c r="AH1" s="144" t="s">
        <v>88</v>
      </c>
      <c r="AI1" s="144" t="s">
        <v>89</v>
      </c>
      <c r="AJ1" s="144" t="s">
        <v>90</v>
      </c>
      <c r="AK1" s="144" t="s">
        <v>91</v>
      </c>
      <c r="AL1" s="144" t="s">
        <v>92</v>
      </c>
      <c r="AM1" s="144" t="s">
        <v>93</v>
      </c>
      <c r="AN1" s="144" t="s">
        <v>94</v>
      </c>
      <c r="AO1" s="144" t="s">
        <v>95</v>
      </c>
      <c r="AP1" s="144" t="s">
        <v>96</v>
      </c>
      <c r="AQ1" s="144" t="s">
        <v>97</v>
      </c>
      <c r="AR1" s="144" t="s">
        <v>98</v>
      </c>
      <c r="AS1" s="144" t="s">
        <v>99</v>
      </c>
      <c r="AT1" s="145"/>
      <c r="AU1" s="146"/>
      <c r="AV1" s="41" t="s">
        <v>100</v>
      </c>
      <c r="AW1" s="147" t="s">
        <v>101</v>
      </c>
      <c r="AX1" s="148" t="s">
        <v>100</v>
      </c>
      <c r="AY1" s="148" t="s">
        <v>102</v>
      </c>
      <c r="AZ1" s="148" t="s">
        <v>103</v>
      </c>
      <c r="BA1" s="148" t="s">
        <v>104</v>
      </c>
      <c r="BB1" s="148" t="s">
        <v>105</v>
      </c>
      <c r="BC1" s="148" t="s">
        <v>106</v>
      </c>
      <c r="BD1" s="149" t="s">
        <v>107</v>
      </c>
      <c r="BE1" s="148" t="s">
        <v>108</v>
      </c>
      <c r="BF1" s="148" t="s">
        <v>109</v>
      </c>
      <c r="BG1" s="148" t="s">
        <v>110</v>
      </c>
      <c r="BH1" s="149" t="s">
        <v>111</v>
      </c>
      <c r="BI1" s="148" t="s">
        <v>112</v>
      </c>
      <c r="BJ1" s="148" t="s">
        <v>113</v>
      </c>
      <c r="BK1" s="148" t="s">
        <v>114</v>
      </c>
      <c r="BL1" s="148" t="s">
        <v>142</v>
      </c>
      <c r="BM1" s="148" t="s">
        <v>115</v>
      </c>
      <c r="BN1" s="149" t="s">
        <v>116</v>
      </c>
      <c r="BO1" s="148" t="s">
        <v>117</v>
      </c>
      <c r="BP1" s="148" t="s">
        <v>118</v>
      </c>
      <c r="BQ1" s="148" t="s">
        <v>119</v>
      </c>
      <c r="BR1" s="148" t="s">
        <v>143</v>
      </c>
      <c r="BS1" s="148" t="s">
        <v>120</v>
      </c>
      <c r="BT1" s="149" t="s">
        <v>121</v>
      </c>
      <c r="BU1" s="148" t="s">
        <v>122</v>
      </c>
      <c r="BV1" s="148" t="s">
        <v>123</v>
      </c>
      <c r="BW1" s="148" t="s">
        <v>124</v>
      </c>
      <c r="BX1" s="148" t="s">
        <v>144</v>
      </c>
      <c r="BY1" s="148" t="s">
        <v>125</v>
      </c>
      <c r="BZ1" s="149" t="s">
        <v>126</v>
      </c>
      <c r="CA1" s="148" t="s">
        <v>127</v>
      </c>
      <c r="CB1" s="148" t="s">
        <v>128</v>
      </c>
      <c r="CC1" s="148" t="s">
        <v>129</v>
      </c>
      <c r="CD1" s="148" t="s">
        <v>145</v>
      </c>
      <c r="CE1" s="148" t="s">
        <v>130</v>
      </c>
      <c r="CF1" s="149" t="s">
        <v>131</v>
      </c>
      <c r="CG1" s="148" t="s">
        <v>146</v>
      </c>
      <c r="CH1" s="148" t="s">
        <v>147</v>
      </c>
      <c r="CI1" s="148" t="s">
        <v>148</v>
      </c>
      <c r="CJ1" s="148" t="s">
        <v>149</v>
      </c>
      <c r="CK1" s="149" t="s">
        <v>139</v>
      </c>
      <c r="CL1" s="148" t="s">
        <v>132</v>
      </c>
      <c r="CM1" s="148" t="s">
        <v>133</v>
      </c>
      <c r="CN1" s="148" t="s">
        <v>134</v>
      </c>
      <c r="CO1" s="148" t="s">
        <v>135</v>
      </c>
      <c r="CP1" s="148" t="s">
        <v>136</v>
      </c>
      <c r="CQ1" s="150" t="s">
        <v>137</v>
      </c>
      <c r="CR1" s="150" t="s">
        <v>138</v>
      </c>
      <c r="CS1" s="149" t="s">
        <v>150</v>
      </c>
    </row>
    <row r="2" ht="14.25" customHeight="1">
      <c r="A2" s="151">
        <v>41855.0</v>
      </c>
      <c r="B2" s="152">
        <v>1.0</v>
      </c>
      <c r="C2" s="152" t="s">
        <v>45</v>
      </c>
      <c r="D2" s="152">
        <v>1.0</v>
      </c>
      <c r="E2" s="153">
        <v>4338.0</v>
      </c>
      <c r="F2" s="153">
        <f>SUM(('Future Orders'!$E2) * (1.1))</f>
        <v>4771.8</v>
      </c>
      <c r="G2" s="154">
        <v>2.2</v>
      </c>
      <c r="H2" s="155">
        <v>9543.6</v>
      </c>
      <c r="I2" s="155">
        <f>SUM(('Future Orders'!$H2) * (1.1))</f>
        <v>10497.96</v>
      </c>
      <c r="J2" s="156">
        <f>SUMIFS('Future Orders'!$F2, 'Future Orders'!$D2, "1", 'Future Orders'!$C2, "A", 'Future Orders'!$B2, "1")</f>
        <v>4771.8</v>
      </c>
      <c r="K2" s="157">
        <f>SUMIFS('Future Orders'!$I2, 'Future Orders'!$D2, "1", 'Future Orders'!$C2, "A", 'Future Orders'!$B2, "1")</f>
        <v>10497.96</v>
      </c>
      <c r="L2" s="157">
        <f>SUMIFS('Future Orders'!$F2, 'Future Orders'!$D2, "1", 'Future Orders'!$C2, "B", 'Future Orders'!$B2, "1")</f>
        <v>0</v>
      </c>
      <c r="M2" s="157">
        <f>SUMIFS('Future Orders'!$I2, 'Future Orders'!$D2, "1", 'Future Orders'!$C2, "B", 'Future Orders'!$B2, "1")</f>
        <v>0</v>
      </c>
      <c r="N2" s="156">
        <f>SUMIFS('Future Orders'!$F2, 'Future Orders'!$D2, "1", 'Future Orders'!$C2, "A", 'Future Orders'!$B2, "2")</f>
        <v>0</v>
      </c>
      <c r="O2" s="158">
        <f>SUMIFS('Future Orders'!$I2, 'Future Orders'!$D2, "1", 'Future Orders'!$C2, "A", 'Future Orders'!$B2, "2")</f>
        <v>0</v>
      </c>
      <c r="P2" s="158">
        <f>SUMIFS('Future Orders'!$F2, 'Future Orders'!$D2, "1", 'Future Orders'!$C2, "B", 'Future Orders'!$B2, "2")</f>
        <v>0</v>
      </c>
      <c r="Q2" s="158">
        <f>SUMIFS('Future Orders'!$I2, 'Future Orders'!$D2, "1", 'Future Orders'!$C2, "B", 'Future Orders'!$B2, "2")</f>
        <v>0</v>
      </c>
      <c r="R2" s="156">
        <f>SUMIFS('Future Orders'!$F2, 'Future Orders'!$D2, "2", 'Future Orders'!$C2, "A", 'Future Orders'!$B2, "1")</f>
        <v>0</v>
      </c>
      <c r="S2" s="158">
        <f>SUMIFS('Future Orders'!$I2, 'Future Orders'!$D2, "2", 'Future Orders'!$C2, "A", 'Future Orders'!$B2, "1")</f>
        <v>0</v>
      </c>
      <c r="T2" s="156">
        <f>SUMIFS('Future Orders'!$F2, 'Future Orders'!$D2, "2", 'Future Orders'!$C2, "B", 'Future Orders'!$B2, "1")</f>
        <v>0</v>
      </c>
      <c r="U2" s="158">
        <f>SUMIFS('Future Orders'!$I2, 'Future Orders'!$D2, "2", 'Future Orders'!$C2, "B", 'Future Orders'!$B2, "1")</f>
        <v>0</v>
      </c>
      <c r="V2" s="156">
        <f>SUMIFS('Future Orders'!$F2, 'Future Orders'!$D2, "2", 'Future Orders'!$C2, "A", 'Future Orders'!$B2, "2")</f>
        <v>0</v>
      </c>
      <c r="W2" s="158">
        <f>SUMIFS('Future Orders'!$I2, 'Future Orders'!$D2, "2", 'Future Orders'!$C2, "A", 'Future Orders'!$B2, "2")</f>
        <v>0</v>
      </c>
      <c r="X2" s="159">
        <f>SUMIFS('Future Orders'!$F2, 'Future Orders'!$D2, "2", 'Future Orders'!$C2, "B", 'Future Orders'!$B2, "2")</f>
        <v>0</v>
      </c>
      <c r="Y2" s="159">
        <f>SUMIFS('Future Orders'!$I2, 'Future Orders'!$D2, "2", 'Future Orders'!$C2, "B", 'Future Orders'!$B2, "2")</f>
        <v>0</v>
      </c>
      <c r="Z2" s="159">
        <f>SUMIFS('Future Orders'!$F2, 'Future Orders'!$D2, "3", 'Future Orders'!$C2, "A", 'Future Orders'!$B2, "1")</f>
        <v>0</v>
      </c>
      <c r="AA2" s="159">
        <f>SUMIFS('Future Orders'!$I2, 'Future Orders'!$D2, "3", 'Future Orders'!$C2, "A", 'Future Orders'!$B2, "1")</f>
        <v>0</v>
      </c>
      <c r="AB2" s="159">
        <f>SUMIFS('Future Orders'!$F2, 'Future Orders'!$D2, "3", 'Future Orders'!$C2, "B", 'Future Orders'!$B2, "1")</f>
        <v>0</v>
      </c>
      <c r="AC2" s="159">
        <f>SUMIFS('Future Orders'!$I2, 'Future Orders'!$D2, "3", 'Future Orders'!$C2, "B", 'Future Orders'!$B2, "1")</f>
        <v>0</v>
      </c>
      <c r="AD2" s="159">
        <f>SUMIFS('Future Orders'!$F2, 'Future Orders'!$D2, "3", 'Future Orders'!$C2, "A", 'Future Orders'!$B2, "2")</f>
        <v>0</v>
      </c>
      <c r="AE2" s="159">
        <f>SUMIFS('Future Orders'!$I2, 'Future Orders'!$D2, "3", 'Future Orders'!$C2, "A", 'Future Orders'!$B2, "2")</f>
        <v>0</v>
      </c>
      <c r="AF2" s="159">
        <f>SUMIFS('Future Orders'!$F2, 'Future Orders'!$D2, "3", 'Future Orders'!$C2, "B", 'Future Orders'!$B2, "2")</f>
        <v>0</v>
      </c>
      <c r="AG2" s="157">
        <f>SUMIFS('Future Orders'!$I2, 'Future Orders'!$D2, "3", 'Future Orders'!$C2, "B", 'Future Orders'!$B2, "2")</f>
        <v>0</v>
      </c>
      <c r="AH2" s="159">
        <f>SUMIFS('Future Orders'!$F2, 'Future Orders'!$D2, "4", 'Future Orders'!$C2, "A", 'Future Orders'!$B2, "1")</f>
        <v>0</v>
      </c>
      <c r="AI2" s="159">
        <f>SUMIFS('Future Orders'!$I2, 'Future Orders'!$D2, "4", 'Future Orders'!$C2, "A", 'Future Orders'!$B2, "1")</f>
        <v>0</v>
      </c>
      <c r="AJ2" s="159">
        <f>SUMIFS('Future Orders'!$F2, 'Future Orders'!$D2, "4", 'Future Orders'!$C2, "B", 'Future Orders'!$B2, "1")</f>
        <v>0</v>
      </c>
      <c r="AK2" s="159">
        <f>SUMIFS('Future Orders'!$I2, 'Future Orders'!$D2, "4", 'Future Orders'!$C2, "B", 'Future Orders'!$B2, "1")</f>
        <v>0</v>
      </c>
      <c r="AL2" s="159">
        <f>SUMIFS('Future Orders'!$F2, 'Future Orders'!$D2, "4", 'Future Orders'!$C2, "A", 'Future Orders'!$B2, "2")</f>
        <v>0</v>
      </c>
      <c r="AM2" s="159">
        <f>SUMIFS('Future Orders'!$I2, 'Future Orders'!$D2, "4", 'Future Orders'!$C2, "A", 'Future Orders'!$B2, "2")</f>
        <v>0</v>
      </c>
      <c r="AN2" s="159">
        <f>SUMIFS('Future Orders'!$F2, 'Future Orders'!$D2, "4", 'Future Orders'!$C2, "B", 'Future Orders'!$B2, "2")</f>
        <v>0</v>
      </c>
      <c r="AO2" s="157">
        <f>SUMIFS('Future Orders'!$I2, 'Future Orders'!$D2, "4", 'Future Orders'!$C2, "B", 'Future Orders'!$B2, "2")</f>
        <v>0</v>
      </c>
      <c r="AP2" s="159">
        <f>SUMIFS('Future Orders'!$H2, 'Future Orders'!$C2, "A", 'Future Orders'!$B2, "1")</f>
        <v>9543.6</v>
      </c>
      <c r="AQ2" s="159">
        <f>SUMIFS('Future Orders'!$I2, 'Future Orders'!$C2, "B", 'Future Orders'!$B2, "1")</f>
        <v>0</v>
      </c>
      <c r="AR2" s="159">
        <f>SUMIFS('Future Orders'!$H2, 'Future Orders'!$C2, "A", 'Future Orders'!$B2, "2")</f>
        <v>0</v>
      </c>
      <c r="AS2" s="160">
        <f>SUMIFS('Future Orders'!$I2, 'Future Orders'!$C2, "B", 'Future Orders'!$B2, "2")</f>
        <v>0</v>
      </c>
      <c r="AT2" s="145"/>
      <c r="AU2" s="146"/>
      <c r="AV2" s="161">
        <f t="array" ref="AV2:AV53">UNIQUE('Future Orders'!$A$2:$A$313)</f>
        <v>41855</v>
      </c>
      <c r="AW2" s="162"/>
      <c r="AX2" s="163">
        <f t="shared" ref="AX2:AX53" si="1">AV2</f>
        <v>41855</v>
      </c>
      <c r="AY2" s="164">
        <f t="shared" ref="AY2:AY53" si="2">SUMIFS(E:E, A:A, AV2)</f>
        <v>22543</v>
      </c>
      <c r="AZ2" s="164">
        <f t="shared" ref="AZ2:AZ53" si="3">SUMIFS(E:E, A:A, AV2, B:B, "1")</f>
        <v>11234</v>
      </c>
      <c r="BA2" s="164">
        <f t="shared" ref="BA2:BA53" si="4">SUMIFS(E:E, A:A, AV2, B:B, "2")</f>
        <v>11309</v>
      </c>
      <c r="BB2" s="164">
        <f t="shared" ref="BB2:BB53" si="5">SUMIFS(E:E, A:A, AV2, C:C, "A")</f>
        <v>18117</v>
      </c>
      <c r="BC2" s="164">
        <f t="shared" ref="BC2:BC53" si="6">SUMIFS(E:E, A:A, AV2, C:C, "B")</f>
        <v>4426</v>
      </c>
      <c r="BD2" s="165"/>
      <c r="BE2" s="166">
        <f t="shared" ref="BE2:BE53" si="7">SUMIFS(I:I, A:A, AV2)</f>
        <v>73055.62</v>
      </c>
      <c r="BF2" s="166">
        <f t="shared" ref="BF2:BF53" si="8">SUMIFS(I:I, A:A, AV2, B:B, "1")</f>
        <v>34361.58</v>
      </c>
      <c r="BG2" s="166">
        <f t="shared" ref="BG2:BG53" si="9">SUMIFS(I:I, A:A, AV2, B:B, "2")</f>
        <v>38694.04</v>
      </c>
      <c r="BH2" s="167"/>
      <c r="BI2" s="166">
        <f t="shared" ref="BI2:BI53" si="10">SUMIFS(I:I, A:A, AV2, B:B, "1", D:D, "1", C:C, "A")</f>
        <v>10497.96</v>
      </c>
      <c r="BJ2" s="166">
        <f t="shared" ref="BJ2:BJ53" si="11">SUMIFS(I:I, A:A, AV2, B:B, "1", D:D, "2", C:C, "A")</f>
        <v>6607.92</v>
      </c>
      <c r="BK2" s="166">
        <f t="shared" ref="BK2:BK53" si="12">SUMIFS(I:I, A:A, AV2, B:B, "1", D:D, "3", C:C, "A")</f>
        <v>0</v>
      </c>
      <c r="BL2" s="166">
        <f t="shared" ref="BL2:BL53" si="13">SUMIFS(I:I, A:A, AV2, B:B, "1", D:D, "1", C:C, "A")</f>
        <v>10497.96</v>
      </c>
      <c r="BM2" s="166">
        <f>SUM('Future Orders'!$BI2:$BL2)</f>
        <v>27603.84</v>
      </c>
      <c r="BN2" s="167"/>
      <c r="BO2" s="166">
        <f t="shared" ref="BO2:BO53" si="14">SUMIFS(I:I, A:A, AV2, B:B, "1", D:D, "1", C:C, "B")</f>
        <v>0</v>
      </c>
      <c r="BP2" s="166">
        <f t="shared" ref="BP2:BP53" si="15">SUMIFS(I:I, A:A, AV2, B:B, "1", D:D, "2", C:C, "B")</f>
        <v>0</v>
      </c>
      <c r="BQ2" s="166">
        <f t="shared" ref="BQ2:BQ53" si="16">SUMIFS(I:I, A:A, AV2, B:B, "1", D:D, "3", C:C, "B")</f>
        <v>17255.7</v>
      </c>
      <c r="BR2" s="166">
        <f t="shared" ref="BR2:BR53" si="17">SUMIFS(I:I, A:A, AV2, B:B, "1", D:D, "1", C:C, "B")</f>
        <v>0</v>
      </c>
      <c r="BS2" s="166">
        <f>SUM('Future Orders'!$BO2:$BR2)</f>
        <v>17255.7</v>
      </c>
      <c r="BT2" s="167"/>
      <c r="BU2" s="166">
        <f t="shared" ref="BU2:BU53" si="18">SUMIFS(I:I, A:A, AV2, B:B, "2", D:D, "1", C:C, "A")</f>
        <v>8712</v>
      </c>
      <c r="BV2" s="166">
        <f t="shared" ref="BV2:BV53" si="19">SUMIFS(I:I, A:A, AV2, B:B, "2", D:D, "2", C:C, "A")</f>
        <v>6828.36</v>
      </c>
      <c r="BW2" s="166">
        <f t="shared" ref="BW2:BW53" si="20">SUMIFS(I:I, A:A, AV2, B:B, "2", D:D, "3", C:C, "A")</f>
        <v>0</v>
      </c>
      <c r="BX2" s="166">
        <f t="shared" ref="BX2:BX53" si="21">SUMIFS(I:I, A:A, AV2, B:B, "2", D:D, "1", C:C, "A")</f>
        <v>8712</v>
      </c>
      <c r="BY2" s="166">
        <f>SUM('Future Orders'!$BU2:$BX2)</f>
        <v>24252.36</v>
      </c>
      <c r="BZ2" s="167"/>
      <c r="CA2" s="166">
        <f t="shared" ref="CA2:CA53" si="22">SUMIFS(I:I, A:A, AV2, B:B, "2", D:D, "1", C:C, "B")</f>
        <v>0</v>
      </c>
      <c r="CB2" s="166">
        <f t="shared" ref="CB2:CB53" si="23">SUMIFS(I:I, A:A, AV2, B:B, "2", D:D, "2", C:C, "B")</f>
        <v>0</v>
      </c>
      <c r="CC2" s="166">
        <f t="shared" ref="CC2:CC53" si="24">SUMIFS(I:I, A:A, AV2, B:B, "2", D:D, "3", C:C, "B")</f>
        <v>23153.68</v>
      </c>
      <c r="CD2" s="166">
        <f t="shared" ref="CD2:CD53" si="25">SUMIFS(I:I, A:A, AV2, B:B, "2", D:D, "1", C:C, "B")</f>
        <v>0</v>
      </c>
      <c r="CE2" s="166">
        <f>SUM('Future Orders'!$CA2:$CD2)</f>
        <v>23153.68</v>
      </c>
      <c r="CF2" s="167"/>
      <c r="CG2" s="166">
        <f>SUM('Future Orders'!$BI2:$BJ2)
+ SUM('Future Orders'!$BU2:$BV2)</f>
        <v>32646.24</v>
      </c>
      <c r="CH2" s="166">
        <f>SUM('Future Orders'!$BQ2)
+ SUM('Future Orders'!$BX2)</f>
        <v>25967.7</v>
      </c>
      <c r="CI2" s="185">
        <f>SUM('Future Orders'!$BI2:$BJ2)
+ SUM('Future Orders'!$BU2:$BV2)
+ SUM(('Future Orders'!$BI2) * 2)</f>
        <v>53642.16</v>
      </c>
      <c r="CJ2" s="166">
        <f>SUM(('Future Orders'!$BQ2) * 2) + SUM('Future Orders'!$BX2)</f>
        <v>43223.4</v>
      </c>
      <c r="CK2" s="167"/>
      <c r="CL2" s="168">
        <f t="shared" ref="CL2:CL53" si="26">COUNTIFS(A:A, AV2, B:B, "1")</f>
        <v>3</v>
      </c>
      <c r="CM2" s="168">
        <f t="shared" ref="CM2:CM53" si="27">COUNTIFS(A:A, AV2, B:B, "2")</f>
        <v>3</v>
      </c>
      <c r="CN2" s="168">
        <f t="shared" ref="CN2:CN53" si="28">COUNTIFS(A:A, AV2, C:C, "A")</f>
        <v>4</v>
      </c>
      <c r="CO2" s="168">
        <f t="shared" ref="CO2:CO53" si="29">COUNTIFS(A:A, AV2, C:C, "B")</f>
        <v>2</v>
      </c>
      <c r="CP2" s="168">
        <f t="shared" ref="CP2:CP53" si="30">COUNTIFS(A:A, AV2, D:D, "1")</f>
        <v>2</v>
      </c>
      <c r="CQ2" s="169">
        <f t="shared" ref="CQ2:CQ53" si="31">COUNTIFS(A:A, AV2, D:D, "2")</f>
        <v>2</v>
      </c>
      <c r="CR2" s="169">
        <f t="shared" ref="CR2:CR53" si="32">COUNTIFS(A:A, AV2, D:D, "3")</f>
        <v>2</v>
      </c>
      <c r="CS2" s="170"/>
    </row>
    <row r="3">
      <c r="A3" s="151">
        <v>41855.0</v>
      </c>
      <c r="B3" s="152">
        <v>1.0</v>
      </c>
      <c r="C3" s="152" t="s">
        <v>45</v>
      </c>
      <c r="D3" s="152">
        <v>2.0</v>
      </c>
      <c r="E3" s="153">
        <v>5006.0</v>
      </c>
      <c r="F3" s="153">
        <f>SUM(('Future Orders'!$E3) * (1.1))</f>
        <v>5506.6</v>
      </c>
      <c r="G3" s="154">
        <v>1.2</v>
      </c>
      <c r="H3" s="155">
        <v>6007.2</v>
      </c>
      <c r="I3" s="155">
        <f>SUM(('Future Orders'!$H3) * (1.1))</f>
        <v>6607.92</v>
      </c>
      <c r="J3" s="159">
        <f>SUMIFS('Future Orders'!$F3, 'Future Orders'!$D3, "1", 'Future Orders'!$C3, "A", 'Future Orders'!$B3, "1")</f>
        <v>0</v>
      </c>
      <c r="K3" s="157">
        <f>SUMIFS('Future Orders'!$I3, 'Future Orders'!$D3, "1", 'Future Orders'!$C3, "A", 'Future Orders'!$B3, "1")</f>
        <v>0</v>
      </c>
      <c r="L3" s="157">
        <f>SUMIFS('Future Orders'!$F3, 'Future Orders'!$D3, "1", 'Future Orders'!$C3, "B", 'Future Orders'!$B3, "1")</f>
        <v>0</v>
      </c>
      <c r="M3" s="157">
        <f>SUMIFS('Future Orders'!$I3, 'Future Orders'!$D3, "1", 'Future Orders'!$C3, "B", 'Future Orders'!$B3, "1")</f>
        <v>0</v>
      </c>
      <c r="N3" s="159">
        <f>SUMIFS('Future Orders'!$F3, 'Future Orders'!$D3, "1", 'Future Orders'!$C3, "A", 'Future Orders'!$B3, "2")</f>
        <v>0</v>
      </c>
      <c r="O3" s="157">
        <f>SUMIFS('Future Orders'!$I3, 'Future Orders'!$D3, "1", 'Future Orders'!$C3, "A", 'Future Orders'!$B3, "2")</f>
        <v>0</v>
      </c>
      <c r="P3" s="157">
        <f>SUMIFS('Future Orders'!$E3, 'Future Orders'!$D3, "1", 'Future Orders'!$C3, "B", 'Future Orders'!$B3, "2")</f>
        <v>0</v>
      </c>
      <c r="Q3" s="157">
        <f>SUMIFS('Future Orders'!$I3, 'Future Orders'!$D3, "1", 'Future Orders'!$C3, "B", 'Future Orders'!$B3, "2")</f>
        <v>0</v>
      </c>
      <c r="R3" s="159">
        <f>SUMIFS('Future Orders'!$F3, 'Future Orders'!$D3, "2", 'Future Orders'!$C3, "A", 'Future Orders'!$B3, "1")</f>
        <v>5506.6</v>
      </c>
      <c r="S3" s="157">
        <f>SUMIFS('Future Orders'!$I3, 'Future Orders'!$D3, "2", 'Future Orders'!$C3, "A", 'Future Orders'!$B3, "1")</f>
        <v>6607.92</v>
      </c>
      <c r="T3" s="159">
        <f>SUMIFS('Future Orders'!$F3, 'Future Orders'!$D3, "2", 'Future Orders'!$C3, "B", 'Future Orders'!$B3, "1")</f>
        <v>0</v>
      </c>
      <c r="U3" s="157">
        <f>SUMIFS('Future Orders'!$I3, 'Future Orders'!$D3, "2", 'Future Orders'!$C3, "B", 'Future Orders'!$B3, "1")</f>
        <v>0</v>
      </c>
      <c r="V3" s="159">
        <f>SUMIFS('Future Orders'!$F3, 'Future Orders'!$D3, "2", 'Future Orders'!$C3, "A", 'Future Orders'!$B3, "2")</f>
        <v>0</v>
      </c>
      <c r="W3" s="157">
        <f>SUMIFS('Future Orders'!$I3, 'Future Orders'!$D3, "2", 'Future Orders'!$C3, "A", 'Future Orders'!$B3, "2")</f>
        <v>0</v>
      </c>
      <c r="X3" s="159">
        <f>SUMIFS('Future Orders'!$F3, 'Future Orders'!$D3, "2", 'Future Orders'!$C3, "B", 'Future Orders'!$B3, "2")</f>
        <v>0</v>
      </c>
      <c r="Y3" s="159">
        <f>SUMIFS('Future Orders'!$I3, 'Future Orders'!$D3, "2", 'Future Orders'!$C3, "B", 'Future Orders'!$B3, "2")</f>
        <v>0</v>
      </c>
      <c r="Z3" s="159">
        <f>SUMIFS('Future Orders'!$F3, 'Future Orders'!$D3, "3", 'Future Orders'!$C3, "A", 'Future Orders'!$B3, "1")</f>
        <v>0</v>
      </c>
      <c r="AA3" s="159">
        <f>SUMIFS('Future Orders'!$I3, 'Future Orders'!$D3, "3", 'Future Orders'!$C3, "A", 'Future Orders'!$B3, "1")</f>
        <v>0</v>
      </c>
      <c r="AB3" s="159">
        <f>SUMIFS('Future Orders'!$F3, 'Future Orders'!$D3, "3", 'Future Orders'!$C3, "B", 'Future Orders'!$B3, "1")</f>
        <v>0</v>
      </c>
      <c r="AC3" s="159">
        <f>SUMIFS('Future Orders'!$I3, 'Future Orders'!$D3, "3", 'Future Orders'!$C3, "B", 'Future Orders'!$B3, "1")</f>
        <v>0</v>
      </c>
      <c r="AD3" s="159">
        <f>SUMIFS('Future Orders'!$F3, 'Future Orders'!$D3, "3", 'Future Orders'!$C3, "A", 'Future Orders'!$B3, "2")</f>
        <v>0</v>
      </c>
      <c r="AE3" s="159">
        <f>SUMIFS('Future Orders'!$I3, 'Future Orders'!$D3, "3", 'Future Orders'!$C3, "A", 'Future Orders'!$B3, "2")</f>
        <v>0</v>
      </c>
      <c r="AF3" s="159">
        <f>SUMIFS('Future Orders'!$F3, 'Future Orders'!$D3, "3", 'Future Orders'!$C3, "B", 'Future Orders'!$B3, "2")</f>
        <v>0</v>
      </c>
      <c r="AG3" s="157">
        <f>SUMIFS('Future Orders'!$I3, 'Future Orders'!$D3, "3", 'Future Orders'!$C3, "B", 'Future Orders'!$B3, "2")</f>
        <v>0</v>
      </c>
      <c r="AH3" s="157">
        <f>SUMIFS('Future Orders'!$F3, 'Future Orders'!$D3, "4", 'Future Orders'!$C3, "A", 'Future Orders'!$B3, "1")</f>
        <v>0</v>
      </c>
      <c r="AI3" s="157">
        <f>SUMIFS('Future Orders'!$I3, 'Future Orders'!$D3, "4", 'Future Orders'!$C3, "A", 'Future Orders'!$B3, "1")</f>
        <v>0</v>
      </c>
      <c r="AJ3" s="157">
        <f>SUMIFS('Future Orders'!$F3, 'Future Orders'!$D3, "4", 'Future Orders'!$C3, "B", 'Future Orders'!$B3, "1")</f>
        <v>0</v>
      </c>
      <c r="AK3" s="157">
        <f>SUMIFS('Future Orders'!$I3, 'Future Orders'!$D3, "4", 'Future Orders'!$C3, "B", 'Future Orders'!$B3, "1")</f>
        <v>0</v>
      </c>
      <c r="AL3" s="157">
        <f>SUMIFS('Future Orders'!$F3, 'Future Orders'!$D3, "4", 'Future Orders'!$C3, "A", 'Future Orders'!$B3, "2")</f>
        <v>0</v>
      </c>
      <c r="AM3" s="157">
        <f>SUMIFS('Future Orders'!$I3, 'Future Orders'!$D3, "4", 'Future Orders'!$C3, "A", 'Future Orders'!$B3, "2")</f>
        <v>0</v>
      </c>
      <c r="AN3" s="171">
        <f>SUMIFS('Future Orders'!$F3, 'Future Orders'!$D3, "4", 'Future Orders'!$C3, "B", 'Future Orders'!$B3, "2")</f>
        <v>0</v>
      </c>
      <c r="AO3" s="171">
        <f>SUMIFS('Future Orders'!$I3, 'Future Orders'!$D3, "4", 'Future Orders'!$C3, "B", 'Future Orders'!$B3, "2")</f>
        <v>0</v>
      </c>
      <c r="AP3" s="171">
        <f>SUMIFS('Future Orders'!$H3, 'Future Orders'!$C3, "A", 'Future Orders'!$B3, "1")</f>
        <v>6007.2</v>
      </c>
      <c r="AQ3" s="171">
        <f>SUMIFS('Future Orders'!$I3, 'Future Orders'!$C3, "B", 'Future Orders'!$B3, "1")</f>
        <v>0</v>
      </c>
      <c r="AR3" s="171">
        <f>SUMIFS('Future Orders'!$H3, 'Future Orders'!$C3, "A", 'Future Orders'!$B3, "2")</f>
        <v>0</v>
      </c>
      <c r="AS3" s="171">
        <f>SUMIFS('Future Orders'!$I3, 'Future Orders'!$C3, "B", 'Future Orders'!$B3, "2")</f>
        <v>0</v>
      </c>
      <c r="AT3" s="145"/>
      <c r="AU3" s="146"/>
      <c r="AV3" s="161">
        <v>41862.0</v>
      </c>
      <c r="AW3" s="162"/>
      <c r="AX3" s="163">
        <f t="shared" si="1"/>
        <v>41862</v>
      </c>
      <c r="AY3" s="164">
        <f t="shared" si="2"/>
        <v>22097</v>
      </c>
      <c r="AZ3" s="164">
        <f t="shared" si="3"/>
        <v>11799</v>
      </c>
      <c r="BA3" s="164">
        <f t="shared" si="4"/>
        <v>10298</v>
      </c>
      <c r="BB3" s="164">
        <f t="shared" si="5"/>
        <v>18343</v>
      </c>
      <c r="BC3" s="164">
        <f t="shared" si="6"/>
        <v>3754</v>
      </c>
      <c r="BD3" s="165"/>
      <c r="BE3" s="166">
        <f t="shared" si="7"/>
        <v>67101.98</v>
      </c>
      <c r="BF3" s="166">
        <f t="shared" si="8"/>
        <v>34206.26</v>
      </c>
      <c r="BG3" s="166">
        <f t="shared" si="9"/>
        <v>32895.72</v>
      </c>
      <c r="BH3" s="167"/>
      <c r="BI3" s="166">
        <f t="shared" si="10"/>
        <v>11127.16</v>
      </c>
      <c r="BJ3" s="166">
        <f t="shared" si="11"/>
        <v>7211.16</v>
      </c>
      <c r="BK3" s="166">
        <f t="shared" si="12"/>
        <v>0</v>
      </c>
      <c r="BL3" s="166">
        <f t="shared" si="13"/>
        <v>11127.16</v>
      </c>
      <c r="BM3" s="166">
        <f>SUM('Future Orders'!$BI3:$BL3)</f>
        <v>29465.48</v>
      </c>
      <c r="BN3" s="167"/>
      <c r="BO3" s="166">
        <f t="shared" si="14"/>
        <v>0</v>
      </c>
      <c r="BP3" s="166">
        <f t="shared" si="15"/>
        <v>0</v>
      </c>
      <c r="BQ3" s="166">
        <f t="shared" si="16"/>
        <v>15867.94</v>
      </c>
      <c r="BR3" s="166">
        <f t="shared" si="17"/>
        <v>0</v>
      </c>
      <c r="BS3" s="166">
        <f>SUM('Future Orders'!$BO3:$BR3)</f>
        <v>15867.94</v>
      </c>
      <c r="BT3" s="167"/>
      <c r="BU3" s="166">
        <f t="shared" si="18"/>
        <v>7826.28</v>
      </c>
      <c r="BV3" s="166">
        <f t="shared" si="19"/>
        <v>6663.36</v>
      </c>
      <c r="BW3" s="166">
        <f t="shared" si="20"/>
        <v>0</v>
      </c>
      <c r="BX3" s="166">
        <f t="shared" si="21"/>
        <v>7826.28</v>
      </c>
      <c r="BY3" s="166">
        <f>SUM('Future Orders'!$BU3:$BX3)</f>
        <v>22315.92</v>
      </c>
      <c r="BZ3" s="167"/>
      <c r="CA3" s="166">
        <f t="shared" si="22"/>
        <v>0</v>
      </c>
      <c r="CB3" s="166">
        <f t="shared" si="23"/>
        <v>0</v>
      </c>
      <c r="CC3" s="166">
        <f t="shared" si="24"/>
        <v>18406.08</v>
      </c>
      <c r="CD3" s="166">
        <f t="shared" si="25"/>
        <v>0</v>
      </c>
      <c r="CE3" s="166">
        <f>SUM('Future Orders'!$CA3:$CD3)</f>
        <v>18406.08</v>
      </c>
      <c r="CF3" s="167"/>
      <c r="CG3" s="166">
        <f>SUM('Future Orders'!$BI3:$BJ3)
+ SUM('Future Orders'!$BU3:$BV3)</f>
        <v>32827.96</v>
      </c>
      <c r="CH3" s="166">
        <f>SUM('Future Orders'!$BQ3)
+ SUM('Future Orders'!$BX3)</f>
        <v>23694.22</v>
      </c>
      <c r="CI3" s="166">
        <f>SUM('Future Orders'!$BI3:$BJ3)
+ SUM('Future Orders'!$BU3:$BV3)
+ SUM(('Future Orders'!$BI3) * 2)</f>
        <v>55082.28</v>
      </c>
      <c r="CJ3" s="166">
        <f>SUM(('Future Orders'!$BQ3) * 2) + SUM('Future Orders'!$BX3)</f>
        <v>39562.16</v>
      </c>
      <c r="CK3" s="167"/>
      <c r="CL3" s="168">
        <f t="shared" si="26"/>
        <v>3</v>
      </c>
      <c r="CM3" s="168">
        <f t="shared" si="27"/>
        <v>3</v>
      </c>
      <c r="CN3" s="168">
        <f t="shared" si="28"/>
        <v>4</v>
      </c>
      <c r="CO3" s="168">
        <f t="shared" si="29"/>
        <v>2</v>
      </c>
      <c r="CP3" s="168">
        <f t="shared" si="30"/>
        <v>2</v>
      </c>
      <c r="CQ3" s="169">
        <f t="shared" si="31"/>
        <v>2</v>
      </c>
      <c r="CR3" s="169">
        <f t="shared" si="32"/>
        <v>2</v>
      </c>
      <c r="CS3" s="170"/>
      <c r="CV3" s="172"/>
    </row>
    <row r="4">
      <c r="A4" s="151">
        <v>41855.0</v>
      </c>
      <c r="B4" s="152">
        <v>2.0</v>
      </c>
      <c r="C4" s="152" t="s">
        <v>45</v>
      </c>
      <c r="D4" s="152">
        <v>1.0</v>
      </c>
      <c r="E4" s="153">
        <v>3600.0</v>
      </c>
      <c r="F4" s="153">
        <f>SUM(('Future Orders'!$E4) * (1.1))</f>
        <v>3960</v>
      </c>
      <c r="G4" s="154">
        <v>2.2</v>
      </c>
      <c r="H4" s="155">
        <v>7920.000000000001</v>
      </c>
      <c r="I4" s="155">
        <f>SUM(('Future Orders'!$H4) * (1.1))</f>
        <v>8712</v>
      </c>
      <c r="J4" s="159">
        <f>SUMIFS('Future Orders'!$F4, 'Future Orders'!$D4, "1", 'Future Orders'!$C4, "A", 'Future Orders'!$B4, "1")</f>
        <v>0</v>
      </c>
      <c r="K4" s="157">
        <f>SUMIFS('Future Orders'!$I4, 'Future Orders'!$D4, "1", 'Future Orders'!$C4, "A", 'Future Orders'!$B4, "1")</f>
        <v>0</v>
      </c>
      <c r="L4" s="157">
        <f>SUMIFS('Future Orders'!$F4, 'Future Orders'!$D4, "1", 'Future Orders'!$C4, "B", 'Future Orders'!$B4, "1")</f>
        <v>0</v>
      </c>
      <c r="M4" s="157">
        <f>SUMIFS('Future Orders'!$I4, 'Future Orders'!$D4, "1", 'Future Orders'!$C4, "B", 'Future Orders'!$B4, "1")</f>
        <v>0</v>
      </c>
      <c r="N4" s="159">
        <f>SUMIFS('Future Orders'!$F4, 'Future Orders'!$D4, "1", 'Future Orders'!$C4, "A", 'Future Orders'!$B4, "2")</f>
        <v>3960</v>
      </c>
      <c r="O4" s="157">
        <f>SUMIFS('Future Orders'!$I4, 'Future Orders'!$D4, "1", 'Future Orders'!$C4, "A", 'Future Orders'!$B4, "2")</f>
        <v>8712</v>
      </c>
      <c r="P4" s="157">
        <f>SUMIFS('Future Orders'!$E4, 'Future Orders'!$D4, "1", 'Future Orders'!$C4, "B", 'Future Orders'!$B4, "2")</f>
        <v>0</v>
      </c>
      <c r="Q4" s="157">
        <f>SUMIFS('Future Orders'!$I4, 'Future Orders'!$D4, "1", 'Future Orders'!$C4, "B", 'Future Orders'!$B4, "2")</f>
        <v>0</v>
      </c>
      <c r="R4" s="159">
        <f>SUMIFS('Future Orders'!$F4, 'Future Orders'!$D4, "2", 'Future Orders'!$C4, "A", 'Future Orders'!$B4, "1")</f>
        <v>0</v>
      </c>
      <c r="S4" s="157">
        <f>SUMIFS('Future Orders'!$I4, 'Future Orders'!$D4, "2", 'Future Orders'!$C4, "A", 'Future Orders'!$B4, "1")</f>
        <v>0</v>
      </c>
      <c r="T4" s="159">
        <f>SUMIFS('Future Orders'!$F4, 'Future Orders'!$D4, "2", 'Future Orders'!$C4, "B", 'Future Orders'!$B4, "1")</f>
        <v>0</v>
      </c>
      <c r="U4" s="157">
        <f>SUMIFS('Future Orders'!$I4, 'Future Orders'!$D4, "2", 'Future Orders'!$C4, "B", 'Future Orders'!$B4, "1")</f>
        <v>0</v>
      </c>
      <c r="V4" s="159">
        <f>SUMIFS('Future Orders'!$F4, 'Future Orders'!$D4, "2", 'Future Orders'!$C4, "A", 'Future Orders'!$B4, "2")</f>
        <v>0</v>
      </c>
      <c r="W4" s="157">
        <f>SUMIFS('Future Orders'!$I4, 'Future Orders'!$D4, "2", 'Future Orders'!$C4, "A", 'Future Orders'!$B4, "2")</f>
        <v>0</v>
      </c>
      <c r="X4" s="159">
        <f>SUMIFS('Future Orders'!$F4, 'Future Orders'!$D4, "2", 'Future Orders'!$C4, "B", 'Future Orders'!$B4, "2")</f>
        <v>0</v>
      </c>
      <c r="Y4" s="159">
        <f>SUMIFS('Future Orders'!$I4, 'Future Orders'!$D4, "2", 'Future Orders'!$C4, "B", 'Future Orders'!$B4, "2")</f>
        <v>0</v>
      </c>
      <c r="Z4" s="159">
        <f>SUMIFS('Future Orders'!$F4, 'Future Orders'!$D4, "3", 'Future Orders'!$C4, "A", 'Future Orders'!$B4, "1")</f>
        <v>0</v>
      </c>
      <c r="AA4" s="159">
        <f>SUMIFS('Future Orders'!$I4, 'Future Orders'!$D4, "3", 'Future Orders'!$C4, "A", 'Future Orders'!$B4, "1")</f>
        <v>0</v>
      </c>
      <c r="AB4" s="159">
        <f>SUMIFS('Future Orders'!$F4, 'Future Orders'!$D4, "3", 'Future Orders'!$C4, "B", 'Future Orders'!$B4, "1")</f>
        <v>0</v>
      </c>
      <c r="AC4" s="159">
        <f>SUMIFS('Future Orders'!$I4, 'Future Orders'!$D4, "3", 'Future Orders'!$C4, "B", 'Future Orders'!$B4, "1")</f>
        <v>0</v>
      </c>
      <c r="AD4" s="159">
        <f>SUMIFS('Future Orders'!$F4, 'Future Orders'!$D4, "3", 'Future Orders'!$C4, "A", 'Future Orders'!$B4, "2")</f>
        <v>0</v>
      </c>
      <c r="AE4" s="159">
        <f>SUMIFS('Future Orders'!$I4, 'Future Orders'!$D4, "3", 'Future Orders'!$C4, "A", 'Future Orders'!$B4, "2")</f>
        <v>0</v>
      </c>
      <c r="AF4" s="159">
        <f>SUMIFS('Future Orders'!$F4, 'Future Orders'!$D4, "3", 'Future Orders'!$C4, "B", 'Future Orders'!$B4, "2")</f>
        <v>0</v>
      </c>
      <c r="AG4" s="157">
        <f>SUMIFS('Future Orders'!$I4, 'Future Orders'!$D4, "3", 'Future Orders'!$C4, "B", 'Future Orders'!$B4, "2")</f>
        <v>0</v>
      </c>
      <c r="AH4" s="157">
        <f>SUMIFS('Future Orders'!$F4, 'Future Orders'!$D4, "4", 'Future Orders'!$C4, "A", 'Future Orders'!$B4, "1")</f>
        <v>0</v>
      </c>
      <c r="AI4" s="157">
        <f>SUMIFS('Future Orders'!$I4, 'Future Orders'!$D4, "4", 'Future Orders'!$C4, "A", 'Future Orders'!$B4, "1")</f>
        <v>0</v>
      </c>
      <c r="AJ4" s="157">
        <f>SUMIFS('Future Orders'!$F4, 'Future Orders'!$D4, "4", 'Future Orders'!$C4, "B", 'Future Orders'!$B4, "1")</f>
        <v>0</v>
      </c>
      <c r="AK4" s="157">
        <f>SUMIFS('Future Orders'!$I4, 'Future Orders'!$D4, "4", 'Future Orders'!$C4, "B", 'Future Orders'!$B4, "1")</f>
        <v>0</v>
      </c>
      <c r="AL4" s="157">
        <f>SUMIFS('Future Orders'!$F4, 'Future Orders'!$D4, "4", 'Future Orders'!$C4, "A", 'Future Orders'!$B4, "2")</f>
        <v>0</v>
      </c>
      <c r="AM4" s="157">
        <f>SUMIFS('Future Orders'!$I4, 'Future Orders'!$D4, "4", 'Future Orders'!$C4, "A", 'Future Orders'!$B4, "2")</f>
        <v>0</v>
      </c>
      <c r="AN4" s="171">
        <f>SUMIFS('Future Orders'!$F4, 'Future Orders'!$D4, "4", 'Future Orders'!$C4, "B", 'Future Orders'!$B4, "2")</f>
        <v>0</v>
      </c>
      <c r="AO4" s="171">
        <f>SUMIFS('Future Orders'!$I4, 'Future Orders'!$D4, "4", 'Future Orders'!$C4, "B", 'Future Orders'!$B4, "2")</f>
        <v>0</v>
      </c>
      <c r="AP4" s="171">
        <f>SUMIFS('Future Orders'!$H4, 'Future Orders'!$C4, "A", 'Future Orders'!$B4, "1")</f>
        <v>0</v>
      </c>
      <c r="AQ4" s="171">
        <f>SUMIFS('Future Orders'!$I4, 'Future Orders'!$C4, "B", 'Future Orders'!$B4, "1")</f>
        <v>0</v>
      </c>
      <c r="AR4" s="171">
        <f>SUMIFS('Future Orders'!$H4, 'Future Orders'!$C4, "A", 'Future Orders'!$B4, "2")</f>
        <v>7920</v>
      </c>
      <c r="AS4" s="171">
        <f>SUMIFS('Future Orders'!$I4, 'Future Orders'!$C4, "B", 'Future Orders'!$B4, "2")</f>
        <v>0</v>
      </c>
      <c r="AT4" s="145"/>
      <c r="AU4" s="146"/>
      <c r="AV4" s="161">
        <v>41869.0</v>
      </c>
      <c r="AW4" s="162"/>
      <c r="AX4" s="163">
        <f t="shared" si="1"/>
        <v>41869</v>
      </c>
      <c r="AY4" s="164">
        <f t="shared" si="2"/>
        <v>21300</v>
      </c>
      <c r="AZ4" s="164">
        <f t="shared" si="3"/>
        <v>11392</v>
      </c>
      <c r="BA4" s="164">
        <f t="shared" si="4"/>
        <v>9908</v>
      </c>
      <c r="BB4" s="164">
        <f t="shared" si="5"/>
        <v>17141</v>
      </c>
      <c r="BC4" s="164">
        <f t="shared" si="6"/>
        <v>4159</v>
      </c>
      <c r="BD4" s="165"/>
      <c r="BE4" s="166">
        <f t="shared" si="7"/>
        <v>68177.89</v>
      </c>
      <c r="BF4" s="166">
        <f t="shared" si="8"/>
        <v>33649.66</v>
      </c>
      <c r="BG4" s="166">
        <f t="shared" si="9"/>
        <v>34528.23</v>
      </c>
      <c r="BH4" s="167"/>
      <c r="BI4" s="166">
        <f t="shared" si="10"/>
        <v>10328.56</v>
      </c>
      <c r="BJ4" s="166">
        <f t="shared" si="11"/>
        <v>7051.44</v>
      </c>
      <c r="BK4" s="166">
        <f t="shared" si="12"/>
        <v>0</v>
      </c>
      <c r="BL4" s="166">
        <f t="shared" si="13"/>
        <v>10328.56</v>
      </c>
      <c r="BM4" s="166">
        <f>SUM('Future Orders'!$BI4:$BL4)</f>
        <v>27708.56</v>
      </c>
      <c r="BN4" s="167"/>
      <c r="BO4" s="166">
        <f t="shared" si="14"/>
        <v>0</v>
      </c>
      <c r="BP4" s="166">
        <f t="shared" si="15"/>
        <v>0</v>
      </c>
      <c r="BQ4" s="166">
        <f t="shared" si="16"/>
        <v>16269.66</v>
      </c>
      <c r="BR4" s="166">
        <f t="shared" si="17"/>
        <v>0</v>
      </c>
      <c r="BS4" s="166">
        <f>SUM('Future Orders'!$BO4:$BR4)</f>
        <v>16269.66</v>
      </c>
      <c r="BT4" s="167"/>
      <c r="BU4" s="166">
        <f t="shared" si="18"/>
        <v>6347.66</v>
      </c>
      <c r="BV4" s="166">
        <f t="shared" si="19"/>
        <v>6478.56</v>
      </c>
      <c r="BW4" s="166">
        <f t="shared" si="20"/>
        <v>0</v>
      </c>
      <c r="BX4" s="166">
        <f t="shared" si="21"/>
        <v>6347.66</v>
      </c>
      <c r="BY4" s="166">
        <f>SUM('Future Orders'!$BU4:$BX4)</f>
        <v>19173.88</v>
      </c>
      <c r="BZ4" s="167"/>
      <c r="CA4" s="166">
        <f t="shared" si="22"/>
        <v>0</v>
      </c>
      <c r="CB4" s="166">
        <f t="shared" si="23"/>
        <v>0</v>
      </c>
      <c r="CC4" s="166">
        <f t="shared" si="24"/>
        <v>21702.01</v>
      </c>
      <c r="CD4" s="166">
        <f t="shared" si="25"/>
        <v>0</v>
      </c>
      <c r="CE4" s="166">
        <f>SUM('Future Orders'!$CA4:$CD4)</f>
        <v>21702.01</v>
      </c>
      <c r="CF4" s="167"/>
      <c r="CG4" s="166">
        <f>SUM('Future Orders'!$BI4:$BJ4)
+ SUM('Future Orders'!$BU4:$BV4)</f>
        <v>30206.22</v>
      </c>
      <c r="CH4" s="166">
        <f>SUM('Future Orders'!$BQ4)
+ SUM('Future Orders'!$BX4)</f>
        <v>22617.32</v>
      </c>
      <c r="CI4" s="166">
        <f>SUM('Future Orders'!$BI4:$BJ4)
+ SUM('Future Orders'!$BU4:$BV4)
+ SUM(('Future Orders'!$BI4) * 2)</f>
        <v>50863.34</v>
      </c>
      <c r="CJ4" s="166">
        <f>SUM(('Future Orders'!$BQ4) * 2) + SUM('Future Orders'!$BX4)</f>
        <v>38886.98</v>
      </c>
      <c r="CK4" s="167"/>
      <c r="CL4" s="168">
        <f t="shared" si="26"/>
        <v>3</v>
      </c>
      <c r="CM4" s="168">
        <f t="shared" si="27"/>
        <v>3</v>
      </c>
      <c r="CN4" s="168">
        <f t="shared" si="28"/>
        <v>4</v>
      </c>
      <c r="CO4" s="168">
        <f t="shared" si="29"/>
        <v>2</v>
      </c>
      <c r="CP4" s="168">
        <f t="shared" si="30"/>
        <v>2</v>
      </c>
      <c r="CQ4" s="169">
        <f t="shared" si="31"/>
        <v>2</v>
      </c>
      <c r="CR4" s="169">
        <f t="shared" si="32"/>
        <v>2</v>
      </c>
      <c r="CS4" s="170"/>
    </row>
    <row r="5">
      <c r="A5" s="151">
        <v>41855.0</v>
      </c>
      <c r="B5" s="152">
        <v>2.0</v>
      </c>
      <c r="C5" s="152" t="s">
        <v>45</v>
      </c>
      <c r="D5" s="152">
        <v>2.0</v>
      </c>
      <c r="E5" s="153">
        <v>5173.0</v>
      </c>
      <c r="F5" s="153">
        <f>SUM(('Future Orders'!$E5) * (1.1))</f>
        <v>5690.3</v>
      </c>
      <c r="G5" s="154">
        <v>1.2</v>
      </c>
      <c r="H5" s="155">
        <v>6207.599999999999</v>
      </c>
      <c r="I5" s="155">
        <f>SUM(('Future Orders'!$H5) * (1.1))</f>
        <v>6828.36</v>
      </c>
      <c r="J5" s="159">
        <f>SUMIFS('Future Orders'!$F5, 'Future Orders'!$D5, "1", 'Future Orders'!$C5, "A", 'Future Orders'!$B5, "1")</f>
        <v>0</v>
      </c>
      <c r="K5" s="157">
        <f>SUMIFS('Future Orders'!$I5, 'Future Orders'!$D5, "1", 'Future Orders'!$C5, "A", 'Future Orders'!$B5, "1")</f>
        <v>0</v>
      </c>
      <c r="L5" s="157">
        <f>SUMIFS('Future Orders'!$F5, 'Future Orders'!$D5, "1", 'Future Orders'!$C5, "B", 'Future Orders'!$B5, "1")</f>
        <v>0</v>
      </c>
      <c r="M5" s="157">
        <f>SUMIFS('Future Orders'!$I5, 'Future Orders'!$D5, "1", 'Future Orders'!$C5, "B", 'Future Orders'!$B5, "1")</f>
        <v>0</v>
      </c>
      <c r="N5" s="159">
        <f>SUMIFS('Future Orders'!$F5, 'Future Orders'!$D5, "1", 'Future Orders'!$C5, "A", 'Future Orders'!$B5, "2")</f>
        <v>0</v>
      </c>
      <c r="O5" s="157">
        <f>SUMIFS('Future Orders'!$I5, 'Future Orders'!$D5, "1", 'Future Orders'!$C5, "A", 'Future Orders'!$B5, "2")</f>
        <v>0</v>
      </c>
      <c r="P5" s="157">
        <f>SUMIFS('Future Orders'!$E5, 'Future Orders'!$D5, "1", 'Future Orders'!$C5, "B", 'Future Orders'!$B5, "2")</f>
        <v>0</v>
      </c>
      <c r="Q5" s="157">
        <f>SUMIFS('Future Orders'!$I5, 'Future Orders'!$D5, "1", 'Future Orders'!$C5, "B", 'Future Orders'!$B5, "2")</f>
        <v>0</v>
      </c>
      <c r="R5" s="159">
        <f>SUMIFS('Future Orders'!$F5, 'Future Orders'!$D5, "2", 'Future Orders'!$C5, "A", 'Future Orders'!$B5, "1")</f>
        <v>0</v>
      </c>
      <c r="S5" s="157">
        <f>SUMIFS('Future Orders'!$I5, 'Future Orders'!$D5, "2", 'Future Orders'!$C5, "A", 'Future Orders'!$B5, "1")</f>
        <v>0</v>
      </c>
      <c r="T5" s="159">
        <f>SUMIFS('Future Orders'!$F5, 'Future Orders'!$D5, "2", 'Future Orders'!$C5, "B", 'Future Orders'!$B5, "1")</f>
        <v>0</v>
      </c>
      <c r="U5" s="157">
        <f>SUMIFS('Future Orders'!$I5, 'Future Orders'!$D5, "2", 'Future Orders'!$C5, "B", 'Future Orders'!$B5, "1")</f>
        <v>0</v>
      </c>
      <c r="V5" s="159">
        <f>SUMIFS('Future Orders'!$F5, 'Future Orders'!$D5, "2", 'Future Orders'!$C5, "A", 'Future Orders'!$B5, "2")</f>
        <v>5690.3</v>
      </c>
      <c r="W5" s="157">
        <f>SUMIFS('Future Orders'!$I5, 'Future Orders'!$D5, "2", 'Future Orders'!$C5, "A", 'Future Orders'!$B5, "2")</f>
        <v>6828.36</v>
      </c>
      <c r="X5" s="159">
        <f>SUMIFS('Future Orders'!$F5, 'Future Orders'!$D5, "2", 'Future Orders'!$C5, "B", 'Future Orders'!$B5, "2")</f>
        <v>0</v>
      </c>
      <c r="Y5" s="159">
        <f>SUMIFS('Future Orders'!$I5, 'Future Orders'!$D5, "2", 'Future Orders'!$C5, "B", 'Future Orders'!$B5, "2")</f>
        <v>0</v>
      </c>
      <c r="Z5" s="159">
        <f>SUMIFS('Future Orders'!$F5, 'Future Orders'!$D5, "3", 'Future Orders'!$C5, "A", 'Future Orders'!$B5, "1")</f>
        <v>0</v>
      </c>
      <c r="AA5" s="159">
        <f>SUMIFS('Future Orders'!$I5, 'Future Orders'!$D5, "3", 'Future Orders'!$C5, "A", 'Future Orders'!$B5, "1")</f>
        <v>0</v>
      </c>
      <c r="AB5" s="159">
        <f>SUMIFS('Future Orders'!$F5, 'Future Orders'!$D5, "3", 'Future Orders'!$C5, "B", 'Future Orders'!$B5, "1")</f>
        <v>0</v>
      </c>
      <c r="AC5" s="159">
        <f>SUMIFS('Future Orders'!$I5, 'Future Orders'!$D5, "3", 'Future Orders'!$C5, "B", 'Future Orders'!$B5, "1")</f>
        <v>0</v>
      </c>
      <c r="AD5" s="159">
        <f>SUMIFS('Future Orders'!$F5, 'Future Orders'!$D5, "3", 'Future Orders'!$C5, "A", 'Future Orders'!$B5, "2")</f>
        <v>0</v>
      </c>
      <c r="AE5" s="159">
        <f>SUMIFS('Future Orders'!$I5, 'Future Orders'!$D5, "3", 'Future Orders'!$C5, "A", 'Future Orders'!$B5, "2")</f>
        <v>0</v>
      </c>
      <c r="AF5" s="159">
        <f>SUMIFS('Future Orders'!$F5, 'Future Orders'!$D5, "3", 'Future Orders'!$C5, "B", 'Future Orders'!$B5, "2")</f>
        <v>0</v>
      </c>
      <c r="AG5" s="157">
        <f>SUMIFS('Future Orders'!$I5, 'Future Orders'!$D5, "3", 'Future Orders'!$C5, "B", 'Future Orders'!$B5, "2")</f>
        <v>0</v>
      </c>
      <c r="AH5" s="157">
        <f>SUMIFS('Future Orders'!$F5, 'Future Orders'!$D5, "4", 'Future Orders'!$C5, "A", 'Future Orders'!$B5, "1")</f>
        <v>0</v>
      </c>
      <c r="AI5" s="157">
        <f>SUMIFS('Future Orders'!$I5, 'Future Orders'!$D5, "4", 'Future Orders'!$C5, "A", 'Future Orders'!$B5, "1")</f>
        <v>0</v>
      </c>
      <c r="AJ5" s="157">
        <f>SUMIFS('Future Orders'!$F5, 'Future Orders'!$D5, "4", 'Future Orders'!$C5, "B", 'Future Orders'!$B5, "1")</f>
        <v>0</v>
      </c>
      <c r="AK5" s="157">
        <f>SUMIFS('Future Orders'!$I5, 'Future Orders'!$D5, "4", 'Future Orders'!$C5, "B", 'Future Orders'!$B5, "1")</f>
        <v>0</v>
      </c>
      <c r="AL5" s="157">
        <f>SUMIFS('Future Orders'!$F5, 'Future Orders'!$D5, "4", 'Future Orders'!$C5, "A", 'Future Orders'!$B5, "2")</f>
        <v>0</v>
      </c>
      <c r="AM5" s="157">
        <f>SUMIFS('Future Orders'!$I5, 'Future Orders'!$D5, "4", 'Future Orders'!$C5, "A", 'Future Orders'!$B5, "2")</f>
        <v>0</v>
      </c>
      <c r="AN5" s="171">
        <f>SUMIFS('Future Orders'!$F5, 'Future Orders'!$D5, "4", 'Future Orders'!$C5, "B", 'Future Orders'!$B5, "2")</f>
        <v>0</v>
      </c>
      <c r="AO5" s="171">
        <f>SUMIFS('Future Orders'!$I5, 'Future Orders'!$D5, "4", 'Future Orders'!$C5, "B", 'Future Orders'!$B5, "2")</f>
        <v>0</v>
      </c>
      <c r="AP5" s="171">
        <f>SUMIFS('Future Orders'!$H5, 'Future Orders'!$C5, "A", 'Future Orders'!$B5, "1")</f>
        <v>0</v>
      </c>
      <c r="AQ5" s="171">
        <f>SUMIFS('Future Orders'!$I5, 'Future Orders'!$C5, "B", 'Future Orders'!$B5, "1")</f>
        <v>0</v>
      </c>
      <c r="AR5" s="171">
        <f>SUMIFS('Future Orders'!$H5, 'Future Orders'!$C5, "A", 'Future Orders'!$B5, "2")</f>
        <v>6207.6</v>
      </c>
      <c r="AS5" s="171">
        <f>SUMIFS('Future Orders'!$I5, 'Future Orders'!$C5, "B", 'Future Orders'!$B5, "2")</f>
        <v>0</v>
      </c>
      <c r="AT5" s="145"/>
      <c r="AU5" s="146"/>
      <c r="AV5" s="161">
        <v>41876.0</v>
      </c>
      <c r="AW5" s="162"/>
      <c r="AX5" s="163">
        <f t="shared" si="1"/>
        <v>41876</v>
      </c>
      <c r="AY5" s="164">
        <f t="shared" si="2"/>
        <v>23334</v>
      </c>
      <c r="AZ5" s="164">
        <f t="shared" si="3"/>
        <v>12071</v>
      </c>
      <c r="BA5" s="164">
        <f t="shared" si="4"/>
        <v>11263</v>
      </c>
      <c r="BB5" s="164">
        <f t="shared" si="5"/>
        <v>17374</v>
      </c>
      <c r="BC5" s="164">
        <f t="shared" si="6"/>
        <v>5960</v>
      </c>
      <c r="BD5" s="165"/>
      <c r="BE5" s="166">
        <f t="shared" si="7"/>
        <v>83238.98</v>
      </c>
      <c r="BF5" s="166">
        <f t="shared" si="8"/>
        <v>39280.45</v>
      </c>
      <c r="BG5" s="166">
        <f t="shared" si="9"/>
        <v>43958.53</v>
      </c>
      <c r="BH5" s="167"/>
      <c r="BI5" s="166">
        <f t="shared" si="10"/>
        <v>8356.26</v>
      </c>
      <c r="BJ5" s="166">
        <f t="shared" si="11"/>
        <v>8071.8</v>
      </c>
      <c r="BK5" s="166">
        <f t="shared" si="12"/>
        <v>0</v>
      </c>
      <c r="BL5" s="166">
        <f t="shared" si="13"/>
        <v>8356.26</v>
      </c>
      <c r="BM5" s="166">
        <f>SUM('Future Orders'!$BI5:$BL5)</f>
        <v>24784.32</v>
      </c>
      <c r="BN5" s="167"/>
      <c r="BO5" s="166">
        <f t="shared" si="14"/>
        <v>0</v>
      </c>
      <c r="BP5" s="166">
        <f t="shared" si="15"/>
        <v>0</v>
      </c>
      <c r="BQ5" s="166">
        <f t="shared" si="16"/>
        <v>22852.39</v>
      </c>
      <c r="BR5" s="166">
        <f t="shared" si="17"/>
        <v>0</v>
      </c>
      <c r="BS5" s="166">
        <f>SUM('Future Orders'!$BO5:$BR5)</f>
        <v>22852.39</v>
      </c>
      <c r="BT5" s="167"/>
      <c r="BU5" s="166">
        <f t="shared" si="18"/>
        <v>4602.84</v>
      </c>
      <c r="BV5" s="166">
        <f t="shared" si="19"/>
        <v>7793.28</v>
      </c>
      <c r="BW5" s="166">
        <f t="shared" si="20"/>
        <v>0</v>
      </c>
      <c r="BX5" s="166">
        <f t="shared" si="21"/>
        <v>4602.84</v>
      </c>
      <c r="BY5" s="166">
        <f>SUM('Future Orders'!$BU5:$BX5)</f>
        <v>16998.96</v>
      </c>
      <c r="BZ5" s="167"/>
      <c r="CA5" s="166">
        <f t="shared" si="22"/>
        <v>0</v>
      </c>
      <c r="CB5" s="166">
        <f t="shared" si="23"/>
        <v>0</v>
      </c>
      <c r="CC5" s="166">
        <f t="shared" si="24"/>
        <v>31562.41</v>
      </c>
      <c r="CD5" s="166">
        <f t="shared" si="25"/>
        <v>0</v>
      </c>
      <c r="CE5" s="166">
        <f>SUM('Future Orders'!$CA5:$CD5)</f>
        <v>31562.41</v>
      </c>
      <c r="CF5" s="167"/>
      <c r="CG5" s="166">
        <f>SUM('Future Orders'!$BI5:$BJ5)
+ SUM('Future Orders'!$BU5:$BV5)</f>
        <v>28824.18</v>
      </c>
      <c r="CH5" s="166">
        <f>SUM('Future Orders'!$BQ5)
+ SUM('Future Orders'!$BX5)</f>
        <v>27455.23</v>
      </c>
      <c r="CI5" s="166">
        <f>SUM('Future Orders'!$BI5:$BJ5)
+ SUM('Future Orders'!$BU5:$BV5)
+ SUM(('Future Orders'!$BI5) * 2)</f>
        <v>45536.7</v>
      </c>
      <c r="CJ5" s="166">
        <f>SUM(('Future Orders'!$BQ5) * 2) + SUM('Future Orders'!$BX5)</f>
        <v>50307.62</v>
      </c>
      <c r="CK5" s="167"/>
      <c r="CL5" s="168">
        <f t="shared" si="26"/>
        <v>3</v>
      </c>
      <c r="CM5" s="168">
        <f t="shared" si="27"/>
        <v>3</v>
      </c>
      <c r="CN5" s="168">
        <f t="shared" si="28"/>
        <v>4</v>
      </c>
      <c r="CO5" s="168">
        <f t="shared" si="29"/>
        <v>2</v>
      </c>
      <c r="CP5" s="168">
        <f t="shared" si="30"/>
        <v>2</v>
      </c>
      <c r="CQ5" s="169">
        <f t="shared" si="31"/>
        <v>2</v>
      </c>
      <c r="CR5" s="169">
        <f t="shared" si="32"/>
        <v>2</v>
      </c>
      <c r="CS5" s="170"/>
    </row>
    <row r="6">
      <c r="A6" s="151">
        <v>41855.0</v>
      </c>
      <c r="B6" s="152">
        <v>1.0</v>
      </c>
      <c r="C6" s="152" t="s">
        <v>46</v>
      </c>
      <c r="D6" s="152">
        <v>3.0</v>
      </c>
      <c r="E6" s="153">
        <v>1890.0</v>
      </c>
      <c r="F6" s="153">
        <f>SUM(('Future Orders'!$E6) * (1.1))</f>
        <v>2079</v>
      </c>
      <c r="G6" s="154">
        <v>8.3</v>
      </c>
      <c r="H6" s="155">
        <v>15687.000000000002</v>
      </c>
      <c r="I6" s="155">
        <f>SUM(('Future Orders'!$H6) * (1.1))</f>
        <v>17255.7</v>
      </c>
      <c r="J6" s="159">
        <f>SUMIFS('Future Orders'!$F6, 'Future Orders'!$D6, "1", 'Future Orders'!$C6, "A", 'Future Orders'!$B6, "1")</f>
        <v>0</v>
      </c>
      <c r="K6" s="157">
        <f>SUMIFS('Future Orders'!$I6, 'Future Orders'!$D6, "1", 'Future Orders'!$C6, "A", 'Future Orders'!$B6, "1")</f>
        <v>0</v>
      </c>
      <c r="L6" s="157">
        <f>SUMIFS('Future Orders'!$F6, 'Future Orders'!$D6, "1", 'Future Orders'!$C6, "B", 'Future Orders'!$B6, "1")</f>
        <v>0</v>
      </c>
      <c r="M6" s="157">
        <f>SUMIFS('Future Orders'!$I6, 'Future Orders'!$D6, "1", 'Future Orders'!$C6, "B", 'Future Orders'!$B6, "1")</f>
        <v>0</v>
      </c>
      <c r="N6" s="159">
        <f>SUMIFS('Future Orders'!$F6, 'Future Orders'!$D6, "1", 'Future Orders'!$C6, "A", 'Future Orders'!$B6, "2")</f>
        <v>0</v>
      </c>
      <c r="O6" s="157">
        <f>SUMIFS('Future Orders'!$I6, 'Future Orders'!$D6, "1", 'Future Orders'!$C6, "A", 'Future Orders'!$B6, "2")</f>
        <v>0</v>
      </c>
      <c r="P6" s="157">
        <f>SUMIFS('Future Orders'!$E6, 'Future Orders'!$D6, "1", 'Future Orders'!$C6, "B", 'Future Orders'!$B6, "2")</f>
        <v>0</v>
      </c>
      <c r="Q6" s="157">
        <f>SUMIFS('Future Orders'!$I6, 'Future Orders'!$D6, "1", 'Future Orders'!$C6, "B", 'Future Orders'!$B6, "2")</f>
        <v>0</v>
      </c>
      <c r="R6" s="159">
        <f>SUMIFS('Future Orders'!$F6, 'Future Orders'!$D6, "2", 'Future Orders'!$C6, "A", 'Future Orders'!$B6, "1")</f>
        <v>0</v>
      </c>
      <c r="S6" s="157">
        <f>SUMIFS('Future Orders'!$I6, 'Future Orders'!$D6, "2", 'Future Orders'!$C6, "A", 'Future Orders'!$B6, "1")</f>
        <v>0</v>
      </c>
      <c r="T6" s="159">
        <f>SUMIFS('Future Orders'!$F6, 'Future Orders'!$D6, "2", 'Future Orders'!$C6, "B", 'Future Orders'!$B6, "1")</f>
        <v>0</v>
      </c>
      <c r="U6" s="157">
        <f>SUMIFS('Future Orders'!$I6, 'Future Orders'!$D6, "2", 'Future Orders'!$C6, "B", 'Future Orders'!$B6, "1")</f>
        <v>0</v>
      </c>
      <c r="V6" s="159">
        <f>SUMIFS('Future Orders'!$F6, 'Future Orders'!$D6, "2", 'Future Orders'!$C6, "A", 'Future Orders'!$B6, "2")</f>
        <v>0</v>
      </c>
      <c r="W6" s="157">
        <f>SUMIFS('Future Orders'!$I6, 'Future Orders'!$D6, "2", 'Future Orders'!$C6, "A", 'Future Orders'!$B6, "2")</f>
        <v>0</v>
      </c>
      <c r="X6" s="159">
        <f>SUMIFS('Future Orders'!$F6, 'Future Orders'!$D6, "2", 'Future Orders'!$C6, "B", 'Future Orders'!$B6, "2")</f>
        <v>0</v>
      </c>
      <c r="Y6" s="159">
        <f>SUMIFS('Future Orders'!$I6, 'Future Orders'!$D6, "2", 'Future Orders'!$C6, "B", 'Future Orders'!$B6, "2")</f>
        <v>0</v>
      </c>
      <c r="Z6" s="159">
        <f>SUMIFS('Future Orders'!$F6, 'Future Orders'!$D6, "3", 'Future Orders'!$C6, "A", 'Future Orders'!$B6, "1")</f>
        <v>0</v>
      </c>
      <c r="AA6" s="159">
        <f>SUMIFS('Future Orders'!$I6, 'Future Orders'!$D6, "3", 'Future Orders'!$C6, "A", 'Future Orders'!$B6, "1")</f>
        <v>0</v>
      </c>
      <c r="AB6" s="159">
        <f>SUMIFS('Future Orders'!$F6, 'Future Orders'!$D6, "3", 'Future Orders'!$C6, "B", 'Future Orders'!$B6, "1")</f>
        <v>2079</v>
      </c>
      <c r="AC6" s="159">
        <f>SUMIFS('Future Orders'!$I6, 'Future Orders'!$D6, "3", 'Future Orders'!$C6, "B", 'Future Orders'!$B6, "1")</f>
        <v>17255.7</v>
      </c>
      <c r="AD6" s="159">
        <f>SUMIFS('Future Orders'!$F6, 'Future Orders'!$D6, "3", 'Future Orders'!$C6, "A", 'Future Orders'!$B6, "2")</f>
        <v>0</v>
      </c>
      <c r="AE6" s="159">
        <f>SUMIFS('Future Orders'!$I6, 'Future Orders'!$D6, "3", 'Future Orders'!$C6, "A", 'Future Orders'!$B6, "2")</f>
        <v>0</v>
      </c>
      <c r="AF6" s="159">
        <f>SUMIFS('Future Orders'!$F6, 'Future Orders'!$D6, "3", 'Future Orders'!$C6, "B", 'Future Orders'!$B6, "2")</f>
        <v>0</v>
      </c>
      <c r="AG6" s="157">
        <f>SUMIFS('Future Orders'!$I6, 'Future Orders'!$D6, "3", 'Future Orders'!$C6, "B", 'Future Orders'!$B6, "2")</f>
        <v>0</v>
      </c>
      <c r="AH6" s="157">
        <f>SUMIFS('Future Orders'!$F6, 'Future Orders'!$D6, "4", 'Future Orders'!$C6, "A", 'Future Orders'!$B6, "1")</f>
        <v>0</v>
      </c>
      <c r="AI6" s="157">
        <f>SUMIFS('Future Orders'!$I6, 'Future Orders'!$D6, "4", 'Future Orders'!$C6, "A", 'Future Orders'!$B6, "1")</f>
        <v>0</v>
      </c>
      <c r="AJ6" s="157">
        <f>SUMIFS('Future Orders'!$F6, 'Future Orders'!$D6, "4", 'Future Orders'!$C6, "B", 'Future Orders'!$B6, "1")</f>
        <v>0</v>
      </c>
      <c r="AK6" s="157">
        <f>SUMIFS('Future Orders'!$I6, 'Future Orders'!$D6, "4", 'Future Orders'!$C6, "B", 'Future Orders'!$B6, "1")</f>
        <v>0</v>
      </c>
      <c r="AL6" s="157">
        <f>SUMIFS('Future Orders'!$F6, 'Future Orders'!$D6, "4", 'Future Orders'!$C6, "A", 'Future Orders'!$B6, "2")</f>
        <v>0</v>
      </c>
      <c r="AM6" s="157">
        <f>SUMIFS('Future Orders'!$I6, 'Future Orders'!$D6, "4", 'Future Orders'!$C6, "A", 'Future Orders'!$B6, "2")</f>
        <v>0</v>
      </c>
      <c r="AN6" s="171">
        <f>SUMIFS('Future Orders'!$F6, 'Future Orders'!$D6, "4", 'Future Orders'!$C6, "B", 'Future Orders'!$B6, "2")</f>
        <v>0</v>
      </c>
      <c r="AO6" s="171">
        <f>SUMIFS('Future Orders'!$I6, 'Future Orders'!$D6, "4", 'Future Orders'!$C6, "B", 'Future Orders'!$B6, "2")</f>
        <v>0</v>
      </c>
      <c r="AP6" s="171">
        <f>SUMIFS('Future Orders'!$H6, 'Future Orders'!$C6, "A", 'Future Orders'!$B6, "1")</f>
        <v>0</v>
      </c>
      <c r="AQ6" s="171">
        <f>SUMIFS('Future Orders'!$I6, 'Future Orders'!$C6, "B", 'Future Orders'!$B6, "1")</f>
        <v>17255.7</v>
      </c>
      <c r="AR6" s="171">
        <f>SUMIFS('Future Orders'!$H6, 'Future Orders'!$C6, "A", 'Future Orders'!$B6, "2")</f>
        <v>0</v>
      </c>
      <c r="AS6" s="171">
        <f>SUMIFS('Future Orders'!$I6, 'Future Orders'!$C6, "B", 'Future Orders'!$B6, "2")</f>
        <v>0</v>
      </c>
      <c r="AT6" s="145"/>
      <c r="AU6" s="146"/>
      <c r="AV6" s="161">
        <v>41883.0</v>
      </c>
      <c r="AW6" s="162"/>
      <c r="AX6" s="163">
        <f t="shared" si="1"/>
        <v>41883</v>
      </c>
      <c r="AY6" s="164">
        <f t="shared" si="2"/>
        <v>23492</v>
      </c>
      <c r="AZ6" s="164">
        <f t="shared" si="3"/>
        <v>11573</v>
      </c>
      <c r="BA6" s="164">
        <f t="shared" si="4"/>
        <v>11919</v>
      </c>
      <c r="BB6" s="164">
        <f t="shared" si="5"/>
        <v>19519</v>
      </c>
      <c r="BC6" s="164">
        <f t="shared" si="6"/>
        <v>3973</v>
      </c>
      <c r="BD6" s="165"/>
      <c r="BE6" s="166">
        <f t="shared" si="7"/>
        <v>68745.27</v>
      </c>
      <c r="BF6" s="166">
        <f t="shared" si="8"/>
        <v>34357.62</v>
      </c>
      <c r="BG6" s="166">
        <f t="shared" si="9"/>
        <v>34387.65</v>
      </c>
      <c r="BH6" s="167"/>
      <c r="BI6" s="166">
        <f t="shared" si="10"/>
        <v>8542.6</v>
      </c>
      <c r="BJ6" s="166">
        <f t="shared" si="11"/>
        <v>8048.04</v>
      </c>
      <c r="BK6" s="166">
        <f t="shared" si="12"/>
        <v>0</v>
      </c>
      <c r="BL6" s="166">
        <f t="shared" si="13"/>
        <v>8542.6</v>
      </c>
      <c r="BM6" s="166">
        <f>SUM('Future Orders'!$BI6:$BL6)</f>
        <v>25133.24</v>
      </c>
      <c r="BN6" s="167"/>
      <c r="BO6" s="166">
        <f t="shared" si="14"/>
        <v>0</v>
      </c>
      <c r="BP6" s="166">
        <f t="shared" si="15"/>
        <v>0</v>
      </c>
      <c r="BQ6" s="166">
        <f t="shared" si="16"/>
        <v>17766.98</v>
      </c>
      <c r="BR6" s="166">
        <f t="shared" si="17"/>
        <v>0</v>
      </c>
      <c r="BS6" s="166">
        <f>SUM('Future Orders'!$BO6:$BR6)</f>
        <v>17766.98</v>
      </c>
      <c r="BT6" s="167"/>
      <c r="BU6" s="166">
        <f t="shared" si="18"/>
        <v>6212.14</v>
      </c>
      <c r="BV6" s="166">
        <f t="shared" si="19"/>
        <v>9669</v>
      </c>
      <c r="BW6" s="166">
        <f t="shared" si="20"/>
        <v>0</v>
      </c>
      <c r="BX6" s="166">
        <f t="shared" si="21"/>
        <v>6212.14</v>
      </c>
      <c r="BY6" s="166">
        <f>SUM('Future Orders'!$BU6:$BX6)</f>
        <v>22093.28</v>
      </c>
      <c r="BZ6" s="167"/>
      <c r="CA6" s="166">
        <f t="shared" si="22"/>
        <v>0</v>
      </c>
      <c r="CB6" s="166">
        <f t="shared" si="23"/>
        <v>0</v>
      </c>
      <c r="CC6" s="166">
        <f t="shared" si="24"/>
        <v>18506.51</v>
      </c>
      <c r="CD6" s="166">
        <f t="shared" si="25"/>
        <v>0</v>
      </c>
      <c r="CE6" s="166">
        <f>SUM('Future Orders'!$CA6:$CD6)</f>
        <v>18506.51</v>
      </c>
      <c r="CF6" s="167"/>
      <c r="CG6" s="166">
        <f>SUM('Future Orders'!$BI6:$BJ6)
+ SUM('Future Orders'!$BU6:$BV6)</f>
        <v>32471.78</v>
      </c>
      <c r="CH6" s="166">
        <f>SUM('Future Orders'!$BQ6)
+ SUM('Future Orders'!$BX6)</f>
        <v>23979.12</v>
      </c>
      <c r="CI6" s="166">
        <f>SUM('Future Orders'!$BI6:$BJ6)
+ SUM('Future Orders'!$BU6:$BV6)
+ SUM(('Future Orders'!$BI6) * 2)</f>
        <v>49556.98</v>
      </c>
      <c r="CJ6" s="166">
        <f>SUM(('Future Orders'!$BQ6) * 2) + SUM('Future Orders'!$BX6)</f>
        <v>41746.1</v>
      </c>
      <c r="CK6" s="167"/>
      <c r="CL6" s="168">
        <f t="shared" si="26"/>
        <v>3</v>
      </c>
      <c r="CM6" s="168">
        <f t="shared" si="27"/>
        <v>3</v>
      </c>
      <c r="CN6" s="168">
        <f t="shared" si="28"/>
        <v>4</v>
      </c>
      <c r="CO6" s="168">
        <f t="shared" si="29"/>
        <v>2</v>
      </c>
      <c r="CP6" s="168">
        <f t="shared" si="30"/>
        <v>2</v>
      </c>
      <c r="CQ6" s="169">
        <f t="shared" si="31"/>
        <v>2</v>
      </c>
      <c r="CR6" s="169">
        <f t="shared" si="32"/>
        <v>2</v>
      </c>
      <c r="CS6" s="170"/>
    </row>
    <row r="7">
      <c r="A7" s="151">
        <v>41855.0</v>
      </c>
      <c r="B7" s="152">
        <v>2.0</v>
      </c>
      <c r="C7" s="152" t="s">
        <v>46</v>
      </c>
      <c r="D7" s="152">
        <v>3.0</v>
      </c>
      <c r="E7" s="153">
        <v>2536.0</v>
      </c>
      <c r="F7" s="153">
        <f>SUM(('Future Orders'!$E7) * (1.1))</f>
        <v>2789.6</v>
      </c>
      <c r="G7" s="154">
        <v>8.3</v>
      </c>
      <c r="H7" s="155">
        <v>21048.800000000003</v>
      </c>
      <c r="I7" s="155">
        <f>SUM(('Future Orders'!$H7) * (1.1))</f>
        <v>23153.68</v>
      </c>
      <c r="J7" s="159">
        <f>SUMIFS('Future Orders'!$F7, 'Future Orders'!$D7, "1", 'Future Orders'!$C7, "A", 'Future Orders'!$B7, "1")</f>
        <v>0</v>
      </c>
      <c r="K7" s="157">
        <f>SUMIFS('Future Orders'!$I7, 'Future Orders'!$D7, "1", 'Future Orders'!$C7, "A", 'Future Orders'!$B7, "1")</f>
        <v>0</v>
      </c>
      <c r="L7" s="157">
        <f>SUMIFS('Future Orders'!$F7, 'Future Orders'!$D7, "1", 'Future Orders'!$C7, "B", 'Future Orders'!$B7, "1")</f>
        <v>0</v>
      </c>
      <c r="M7" s="157">
        <f>SUMIFS('Future Orders'!$I7, 'Future Orders'!$D7, "1", 'Future Orders'!$C7, "B", 'Future Orders'!$B7, "1")</f>
        <v>0</v>
      </c>
      <c r="N7" s="159">
        <f>SUMIFS('Future Orders'!$F7, 'Future Orders'!$D7, "1", 'Future Orders'!$C7, "A", 'Future Orders'!$B7, "2")</f>
        <v>0</v>
      </c>
      <c r="O7" s="157">
        <f>SUMIFS('Future Orders'!$I7, 'Future Orders'!$D7, "1", 'Future Orders'!$C7, "A", 'Future Orders'!$B7, "2")</f>
        <v>0</v>
      </c>
      <c r="P7" s="157">
        <f>SUMIFS('Future Orders'!$E7, 'Future Orders'!$D7, "1", 'Future Orders'!$C7, "B", 'Future Orders'!$B7, "2")</f>
        <v>0</v>
      </c>
      <c r="Q7" s="157">
        <f>SUMIFS('Future Orders'!$I7, 'Future Orders'!$D7, "1", 'Future Orders'!$C7, "B", 'Future Orders'!$B7, "2")</f>
        <v>0</v>
      </c>
      <c r="R7" s="159">
        <f>SUMIFS('Future Orders'!$F7, 'Future Orders'!$D7, "2", 'Future Orders'!$C7, "A", 'Future Orders'!$B7, "1")</f>
        <v>0</v>
      </c>
      <c r="S7" s="157">
        <f>SUMIFS('Future Orders'!$I7, 'Future Orders'!$D7, "2", 'Future Orders'!$C7, "A", 'Future Orders'!$B7, "1")</f>
        <v>0</v>
      </c>
      <c r="T7" s="159">
        <f>SUMIFS('Future Orders'!$F7, 'Future Orders'!$D7, "2", 'Future Orders'!$C7, "B", 'Future Orders'!$B7, "1")</f>
        <v>0</v>
      </c>
      <c r="U7" s="157">
        <f>SUMIFS('Future Orders'!$I7, 'Future Orders'!$D7, "2", 'Future Orders'!$C7, "B", 'Future Orders'!$B7, "1")</f>
        <v>0</v>
      </c>
      <c r="V7" s="159">
        <f>SUMIFS('Future Orders'!$F7, 'Future Orders'!$D7, "2", 'Future Orders'!$C7, "A", 'Future Orders'!$B7, "2")</f>
        <v>0</v>
      </c>
      <c r="W7" s="157">
        <f>SUMIFS('Future Orders'!$I7, 'Future Orders'!$D7, "2", 'Future Orders'!$C7, "A", 'Future Orders'!$B7, "2")</f>
        <v>0</v>
      </c>
      <c r="X7" s="159">
        <f>SUMIFS('Future Orders'!$F7, 'Future Orders'!$D7, "2", 'Future Orders'!$C7, "B", 'Future Orders'!$B7, "2")</f>
        <v>0</v>
      </c>
      <c r="Y7" s="159">
        <f>SUMIFS('Future Orders'!$I7, 'Future Orders'!$D7, "2", 'Future Orders'!$C7, "B", 'Future Orders'!$B7, "2")</f>
        <v>0</v>
      </c>
      <c r="Z7" s="159">
        <f>SUMIFS('Future Orders'!$F7, 'Future Orders'!$D7, "3", 'Future Orders'!$C7, "A", 'Future Orders'!$B7, "1")</f>
        <v>0</v>
      </c>
      <c r="AA7" s="159">
        <f>SUMIFS('Future Orders'!$I7, 'Future Orders'!$D7, "3", 'Future Orders'!$C7, "A", 'Future Orders'!$B7, "1")</f>
        <v>0</v>
      </c>
      <c r="AB7" s="159">
        <f>SUMIFS('Future Orders'!$F7, 'Future Orders'!$D7, "3", 'Future Orders'!$C7, "B", 'Future Orders'!$B7, "1")</f>
        <v>0</v>
      </c>
      <c r="AC7" s="159">
        <f>SUMIFS('Future Orders'!$I7, 'Future Orders'!$D7, "3", 'Future Orders'!$C7, "B", 'Future Orders'!$B7, "1")</f>
        <v>0</v>
      </c>
      <c r="AD7" s="159">
        <f>SUMIFS('Future Orders'!$F7, 'Future Orders'!$D7, "3", 'Future Orders'!$C7, "A", 'Future Orders'!$B7, "2")</f>
        <v>0</v>
      </c>
      <c r="AE7" s="159">
        <f>SUMIFS('Future Orders'!$I7, 'Future Orders'!$D7, "3", 'Future Orders'!$C7, "A", 'Future Orders'!$B7, "2")</f>
        <v>0</v>
      </c>
      <c r="AF7" s="159">
        <f>SUMIFS('Future Orders'!$F7, 'Future Orders'!$D7, "3", 'Future Orders'!$C7, "B", 'Future Orders'!$B7, "2")</f>
        <v>2789.6</v>
      </c>
      <c r="AG7" s="157">
        <f>SUMIFS('Future Orders'!$I7, 'Future Orders'!$D7, "3", 'Future Orders'!$C7, "B", 'Future Orders'!$B7, "2")</f>
        <v>23153.68</v>
      </c>
      <c r="AH7" s="157">
        <f>SUMIFS('Future Orders'!$F7, 'Future Orders'!$D7, "4", 'Future Orders'!$C7, "A", 'Future Orders'!$B7, "1")</f>
        <v>0</v>
      </c>
      <c r="AI7" s="157">
        <f>SUMIFS('Future Orders'!$I7, 'Future Orders'!$D7, "4", 'Future Orders'!$C7, "A", 'Future Orders'!$B7, "1")</f>
        <v>0</v>
      </c>
      <c r="AJ7" s="157">
        <f>SUMIFS('Future Orders'!$F7, 'Future Orders'!$D7, "4", 'Future Orders'!$C7, "B", 'Future Orders'!$B7, "1")</f>
        <v>0</v>
      </c>
      <c r="AK7" s="157">
        <f>SUMIFS('Future Orders'!$I7, 'Future Orders'!$D7, "4", 'Future Orders'!$C7, "B", 'Future Orders'!$B7, "1")</f>
        <v>0</v>
      </c>
      <c r="AL7" s="157">
        <f>SUMIFS('Future Orders'!$F7, 'Future Orders'!$D7, "4", 'Future Orders'!$C7, "A", 'Future Orders'!$B7, "2")</f>
        <v>0</v>
      </c>
      <c r="AM7" s="157">
        <f>SUMIFS('Future Orders'!$I7, 'Future Orders'!$D7, "4", 'Future Orders'!$C7, "A", 'Future Orders'!$B7, "2")</f>
        <v>0</v>
      </c>
      <c r="AN7" s="171">
        <f>SUMIFS('Future Orders'!$F7, 'Future Orders'!$D7, "4", 'Future Orders'!$C7, "B", 'Future Orders'!$B7, "2")</f>
        <v>0</v>
      </c>
      <c r="AO7" s="171">
        <f>SUMIFS('Future Orders'!$I7, 'Future Orders'!$D7, "4", 'Future Orders'!$C7, "B", 'Future Orders'!$B7, "2")</f>
        <v>0</v>
      </c>
      <c r="AP7" s="171">
        <f>SUMIFS('Future Orders'!$H7, 'Future Orders'!$C7, "A", 'Future Orders'!$B7, "1")</f>
        <v>0</v>
      </c>
      <c r="AQ7" s="171">
        <f>SUMIFS('Future Orders'!$I7, 'Future Orders'!$C7, "B", 'Future Orders'!$B7, "1")</f>
        <v>0</v>
      </c>
      <c r="AR7" s="171">
        <f>SUMIFS('Future Orders'!$H7, 'Future Orders'!$C7, "A", 'Future Orders'!$B7, "2")</f>
        <v>0</v>
      </c>
      <c r="AS7" s="171">
        <f>SUMIFS('Future Orders'!$I7, 'Future Orders'!$C7, "B", 'Future Orders'!$B7, "2")</f>
        <v>23153.68</v>
      </c>
      <c r="AT7" s="145"/>
      <c r="AU7" s="146"/>
      <c r="AV7" s="161">
        <v>41890.0</v>
      </c>
      <c r="AW7" s="162"/>
      <c r="AX7" s="163">
        <f t="shared" si="1"/>
        <v>41890</v>
      </c>
      <c r="AY7" s="164">
        <f t="shared" si="2"/>
        <v>20640</v>
      </c>
      <c r="AZ7" s="164">
        <f t="shared" si="3"/>
        <v>10432</v>
      </c>
      <c r="BA7" s="164">
        <f t="shared" si="4"/>
        <v>10208</v>
      </c>
      <c r="BB7" s="164">
        <f t="shared" si="5"/>
        <v>16421</v>
      </c>
      <c r="BC7" s="164">
        <f t="shared" si="6"/>
        <v>4219</v>
      </c>
      <c r="BD7" s="165"/>
      <c r="BE7" s="166">
        <f t="shared" si="7"/>
        <v>66073.59</v>
      </c>
      <c r="BF7" s="166">
        <f t="shared" si="8"/>
        <v>33358.49</v>
      </c>
      <c r="BG7" s="166">
        <f t="shared" si="9"/>
        <v>32715.1</v>
      </c>
      <c r="BH7" s="167"/>
      <c r="BI7" s="166">
        <f t="shared" si="10"/>
        <v>7956.96</v>
      </c>
      <c r="BJ7" s="166">
        <f t="shared" si="11"/>
        <v>6730.68</v>
      </c>
      <c r="BK7" s="166">
        <f t="shared" si="12"/>
        <v>0</v>
      </c>
      <c r="BL7" s="166">
        <f t="shared" si="13"/>
        <v>7956.96</v>
      </c>
      <c r="BM7" s="166">
        <f>SUM('Future Orders'!$BI7:$BL7)</f>
        <v>22644.6</v>
      </c>
      <c r="BN7" s="167"/>
      <c r="BO7" s="166">
        <f t="shared" si="14"/>
        <v>0</v>
      </c>
      <c r="BP7" s="166">
        <f t="shared" si="15"/>
        <v>0</v>
      </c>
      <c r="BQ7" s="166">
        <f t="shared" si="16"/>
        <v>18670.85</v>
      </c>
      <c r="BR7" s="166">
        <f t="shared" si="17"/>
        <v>0</v>
      </c>
      <c r="BS7" s="166">
        <f>SUM('Future Orders'!$BO7:$BR7)</f>
        <v>18670.85</v>
      </c>
      <c r="BT7" s="167"/>
      <c r="BU7" s="166">
        <f t="shared" si="18"/>
        <v>4975.52</v>
      </c>
      <c r="BV7" s="166">
        <f t="shared" si="19"/>
        <v>7890.96</v>
      </c>
      <c r="BW7" s="166">
        <f t="shared" si="20"/>
        <v>0</v>
      </c>
      <c r="BX7" s="166">
        <f t="shared" si="21"/>
        <v>4975.52</v>
      </c>
      <c r="BY7" s="166">
        <f>SUM('Future Orders'!$BU7:$BX7)</f>
        <v>17842</v>
      </c>
      <c r="BZ7" s="167"/>
      <c r="CA7" s="166">
        <f t="shared" si="22"/>
        <v>0</v>
      </c>
      <c r="CB7" s="166">
        <f t="shared" si="23"/>
        <v>0</v>
      </c>
      <c r="CC7" s="166">
        <f t="shared" si="24"/>
        <v>19848.62</v>
      </c>
      <c r="CD7" s="166">
        <f t="shared" si="25"/>
        <v>0</v>
      </c>
      <c r="CE7" s="166">
        <f>SUM('Future Orders'!$CA7:$CD7)</f>
        <v>19848.62</v>
      </c>
      <c r="CF7" s="167"/>
      <c r="CG7" s="166">
        <f>SUM('Future Orders'!$BI7:$BJ7)
+ SUM('Future Orders'!$BU7:$BV7)</f>
        <v>27554.12</v>
      </c>
      <c r="CH7" s="166">
        <f>SUM('Future Orders'!$BQ7)
+ SUM('Future Orders'!$BX7)</f>
        <v>23646.37</v>
      </c>
      <c r="CI7" s="166">
        <f>SUM('Future Orders'!$BI7:$BJ7)
+ SUM('Future Orders'!$BU7:$BV7)
+ SUM(('Future Orders'!$BI7) * 2)</f>
        <v>43468.04</v>
      </c>
      <c r="CJ7" s="166">
        <f>SUM(('Future Orders'!$BQ7) * 2) + SUM('Future Orders'!$BX7)</f>
        <v>42317.22</v>
      </c>
      <c r="CK7" s="167"/>
      <c r="CL7" s="168">
        <f t="shared" si="26"/>
        <v>3</v>
      </c>
      <c r="CM7" s="168">
        <f t="shared" si="27"/>
        <v>3</v>
      </c>
      <c r="CN7" s="168">
        <f t="shared" si="28"/>
        <v>4</v>
      </c>
      <c r="CO7" s="168">
        <f t="shared" si="29"/>
        <v>2</v>
      </c>
      <c r="CP7" s="168">
        <f t="shared" si="30"/>
        <v>2</v>
      </c>
      <c r="CQ7" s="169">
        <f t="shared" si="31"/>
        <v>2</v>
      </c>
      <c r="CR7" s="169">
        <f t="shared" si="32"/>
        <v>2</v>
      </c>
      <c r="CS7" s="170"/>
    </row>
    <row r="8">
      <c r="A8" s="151">
        <v>41862.0</v>
      </c>
      <c r="B8" s="152">
        <v>1.0</v>
      </c>
      <c r="C8" s="152" t="s">
        <v>45</v>
      </c>
      <c r="D8" s="152">
        <v>1.0</v>
      </c>
      <c r="E8" s="153">
        <v>4598.0</v>
      </c>
      <c r="F8" s="153">
        <f>SUM(('Future Orders'!$E8) * (1.1))</f>
        <v>5057.8</v>
      </c>
      <c r="G8" s="154">
        <v>2.2</v>
      </c>
      <c r="H8" s="155">
        <v>10115.6</v>
      </c>
      <c r="I8" s="155">
        <f>SUM(('Future Orders'!$H8) * (1.1))</f>
        <v>11127.16</v>
      </c>
      <c r="J8" s="159">
        <f>SUMIFS('Future Orders'!$F8, 'Future Orders'!$D8, "1", 'Future Orders'!$C8, "A", 'Future Orders'!$B8, "1")</f>
        <v>5057.8</v>
      </c>
      <c r="K8" s="157">
        <f>SUMIFS('Future Orders'!$I8, 'Future Orders'!$D8, "1", 'Future Orders'!$C8, "A", 'Future Orders'!$B8, "1")</f>
        <v>11127.16</v>
      </c>
      <c r="L8" s="157">
        <f>SUMIFS('Future Orders'!$F8, 'Future Orders'!$D8, "1", 'Future Orders'!$C8, "B", 'Future Orders'!$B8, "1")</f>
        <v>0</v>
      </c>
      <c r="M8" s="157">
        <f>SUMIFS('Future Orders'!$I8, 'Future Orders'!$D8, "1", 'Future Orders'!$C8, "B", 'Future Orders'!$B8, "1")</f>
        <v>0</v>
      </c>
      <c r="N8" s="159">
        <f>SUMIFS('Future Orders'!$F8, 'Future Orders'!$D8, "1", 'Future Orders'!$C8, "A", 'Future Orders'!$B8, "2")</f>
        <v>0</v>
      </c>
      <c r="O8" s="157">
        <f>SUMIFS('Future Orders'!$I8, 'Future Orders'!$D8, "1", 'Future Orders'!$C8, "A", 'Future Orders'!$B8, "2")</f>
        <v>0</v>
      </c>
      <c r="P8" s="157">
        <f>SUMIFS('Future Orders'!$E8, 'Future Orders'!$D8, "1", 'Future Orders'!$C8, "B", 'Future Orders'!$B8, "2")</f>
        <v>0</v>
      </c>
      <c r="Q8" s="157">
        <f>SUMIFS('Future Orders'!$I8, 'Future Orders'!$D8, "1", 'Future Orders'!$C8, "B", 'Future Orders'!$B8, "2")</f>
        <v>0</v>
      </c>
      <c r="R8" s="159">
        <f>SUMIFS('Future Orders'!$F8, 'Future Orders'!$D8, "2", 'Future Orders'!$C8, "A", 'Future Orders'!$B8, "1")</f>
        <v>0</v>
      </c>
      <c r="S8" s="157">
        <f>SUMIFS('Future Orders'!$I8, 'Future Orders'!$D8, "2", 'Future Orders'!$C8, "A", 'Future Orders'!$B8, "1")</f>
        <v>0</v>
      </c>
      <c r="T8" s="159">
        <f>SUMIFS('Future Orders'!$F8, 'Future Orders'!$D8, "2", 'Future Orders'!$C8, "B", 'Future Orders'!$B8, "1")</f>
        <v>0</v>
      </c>
      <c r="U8" s="157">
        <f>SUMIFS('Future Orders'!$I8, 'Future Orders'!$D8, "2", 'Future Orders'!$C8, "B", 'Future Orders'!$B8, "1")</f>
        <v>0</v>
      </c>
      <c r="V8" s="159">
        <f>SUMIFS('Future Orders'!$F8, 'Future Orders'!$D8, "2", 'Future Orders'!$C8, "A", 'Future Orders'!$B8, "2")</f>
        <v>0</v>
      </c>
      <c r="W8" s="157">
        <f>SUMIFS('Future Orders'!$I8, 'Future Orders'!$D8, "2", 'Future Orders'!$C8, "A", 'Future Orders'!$B8, "2")</f>
        <v>0</v>
      </c>
      <c r="X8" s="159">
        <f>SUMIFS('Future Orders'!$F8, 'Future Orders'!$D8, "2", 'Future Orders'!$C8, "B", 'Future Orders'!$B8, "2")</f>
        <v>0</v>
      </c>
      <c r="Y8" s="159">
        <f>SUMIFS('Future Orders'!$I8, 'Future Orders'!$D8, "2", 'Future Orders'!$C8, "B", 'Future Orders'!$B8, "2")</f>
        <v>0</v>
      </c>
      <c r="Z8" s="159">
        <f>SUMIFS('Future Orders'!$F8, 'Future Orders'!$D8, "3", 'Future Orders'!$C8, "A", 'Future Orders'!$B8, "1")</f>
        <v>0</v>
      </c>
      <c r="AA8" s="159">
        <f>SUMIFS('Future Orders'!$I8, 'Future Orders'!$D8, "3", 'Future Orders'!$C8, "A", 'Future Orders'!$B8, "1")</f>
        <v>0</v>
      </c>
      <c r="AB8" s="159">
        <f>SUMIFS('Future Orders'!$F8, 'Future Orders'!$D8, "3", 'Future Orders'!$C8, "B", 'Future Orders'!$B8, "1")</f>
        <v>0</v>
      </c>
      <c r="AC8" s="159">
        <f>SUMIFS('Future Orders'!$I8, 'Future Orders'!$D8, "3", 'Future Orders'!$C8, "B", 'Future Orders'!$B8, "1")</f>
        <v>0</v>
      </c>
      <c r="AD8" s="159">
        <f>SUMIFS('Future Orders'!$F8, 'Future Orders'!$D8, "3", 'Future Orders'!$C8, "A", 'Future Orders'!$B8, "2")</f>
        <v>0</v>
      </c>
      <c r="AE8" s="159">
        <f>SUMIFS('Future Orders'!$I8, 'Future Orders'!$D8, "3", 'Future Orders'!$C8, "A", 'Future Orders'!$B8, "2")</f>
        <v>0</v>
      </c>
      <c r="AF8" s="159">
        <f>SUMIFS('Future Orders'!$F8, 'Future Orders'!$D8, "3", 'Future Orders'!$C8, "B", 'Future Orders'!$B8, "2")</f>
        <v>0</v>
      </c>
      <c r="AG8" s="157">
        <f>SUMIFS('Future Orders'!$I8, 'Future Orders'!$D8, "3", 'Future Orders'!$C8, "B", 'Future Orders'!$B8, "2")</f>
        <v>0</v>
      </c>
      <c r="AH8" s="157">
        <f>SUMIFS('Future Orders'!$F8, 'Future Orders'!$D8, "4", 'Future Orders'!$C8, "A", 'Future Orders'!$B8, "1")</f>
        <v>0</v>
      </c>
      <c r="AI8" s="157">
        <f>SUMIFS('Future Orders'!$I8, 'Future Orders'!$D8, "4", 'Future Orders'!$C8, "A", 'Future Orders'!$B8, "1")</f>
        <v>0</v>
      </c>
      <c r="AJ8" s="157">
        <f>SUMIFS('Future Orders'!$F8, 'Future Orders'!$D8, "4", 'Future Orders'!$C8, "B", 'Future Orders'!$B8, "1")</f>
        <v>0</v>
      </c>
      <c r="AK8" s="157">
        <f>SUMIFS('Future Orders'!$I8, 'Future Orders'!$D8, "4", 'Future Orders'!$C8, "B", 'Future Orders'!$B8, "1")</f>
        <v>0</v>
      </c>
      <c r="AL8" s="157">
        <f>SUMIFS('Future Orders'!$F8, 'Future Orders'!$D8, "4", 'Future Orders'!$C8, "A", 'Future Orders'!$B8, "2")</f>
        <v>0</v>
      </c>
      <c r="AM8" s="157">
        <f>SUMIFS('Future Orders'!$I8, 'Future Orders'!$D8, "4", 'Future Orders'!$C8, "A", 'Future Orders'!$B8, "2")</f>
        <v>0</v>
      </c>
      <c r="AN8" s="171">
        <f>SUMIFS('Future Orders'!$F8, 'Future Orders'!$D8, "4", 'Future Orders'!$C8, "B", 'Future Orders'!$B8, "2")</f>
        <v>0</v>
      </c>
      <c r="AO8" s="171">
        <f>SUMIFS('Future Orders'!$I8, 'Future Orders'!$D8, "4", 'Future Orders'!$C8, "B", 'Future Orders'!$B8, "2")</f>
        <v>0</v>
      </c>
      <c r="AP8" s="171">
        <f>SUMIFS('Future Orders'!$H8, 'Future Orders'!$C8, "A", 'Future Orders'!$B8, "1")</f>
        <v>10115.6</v>
      </c>
      <c r="AQ8" s="171">
        <f>SUMIFS('Future Orders'!$I8, 'Future Orders'!$C8, "B", 'Future Orders'!$B8, "1")</f>
        <v>0</v>
      </c>
      <c r="AR8" s="171">
        <f>SUMIFS('Future Orders'!$H8, 'Future Orders'!$C8, "A", 'Future Orders'!$B8, "2")</f>
        <v>0</v>
      </c>
      <c r="AS8" s="171">
        <f>SUMIFS('Future Orders'!$I8, 'Future Orders'!$C8, "B", 'Future Orders'!$B8, "2")</f>
        <v>0</v>
      </c>
      <c r="AT8" s="145"/>
      <c r="AU8" s="146"/>
      <c r="AV8" s="161">
        <v>41897.0</v>
      </c>
      <c r="AW8" s="162"/>
      <c r="AX8" s="163">
        <f t="shared" si="1"/>
        <v>41897</v>
      </c>
      <c r="AY8" s="164">
        <f t="shared" si="2"/>
        <v>24421</v>
      </c>
      <c r="AZ8" s="164">
        <f t="shared" si="3"/>
        <v>11791</v>
      </c>
      <c r="BA8" s="164">
        <f t="shared" si="4"/>
        <v>12630</v>
      </c>
      <c r="BB8" s="164">
        <f t="shared" si="5"/>
        <v>19277</v>
      </c>
      <c r="BC8" s="164">
        <f t="shared" si="6"/>
        <v>5144</v>
      </c>
      <c r="BD8" s="165"/>
      <c r="BE8" s="166">
        <f t="shared" si="7"/>
        <v>80433.76</v>
      </c>
      <c r="BF8" s="166">
        <f t="shared" si="8"/>
        <v>37886.97</v>
      </c>
      <c r="BG8" s="166">
        <f t="shared" si="9"/>
        <v>42546.79</v>
      </c>
      <c r="BH8" s="167"/>
      <c r="BI8" s="166">
        <f t="shared" si="10"/>
        <v>9677.58</v>
      </c>
      <c r="BJ8" s="166">
        <f t="shared" si="11"/>
        <v>7256.04</v>
      </c>
      <c r="BK8" s="166">
        <f t="shared" si="12"/>
        <v>0</v>
      </c>
      <c r="BL8" s="166">
        <f t="shared" si="13"/>
        <v>9677.58</v>
      </c>
      <c r="BM8" s="166">
        <f>SUM('Future Orders'!$BI8:$BL8)</f>
        <v>26611.2</v>
      </c>
      <c r="BN8" s="167"/>
      <c r="BO8" s="166">
        <f t="shared" si="14"/>
        <v>0</v>
      </c>
      <c r="BP8" s="166">
        <f t="shared" si="15"/>
        <v>0</v>
      </c>
      <c r="BQ8" s="166">
        <f t="shared" si="16"/>
        <v>20953.35</v>
      </c>
      <c r="BR8" s="166">
        <f t="shared" si="17"/>
        <v>0</v>
      </c>
      <c r="BS8" s="166">
        <f>SUM('Future Orders'!$BO8:$BR8)</f>
        <v>20953.35</v>
      </c>
      <c r="BT8" s="167"/>
      <c r="BU8" s="166">
        <f t="shared" si="18"/>
        <v>7973.9</v>
      </c>
      <c r="BV8" s="166">
        <f t="shared" si="19"/>
        <v>8561.52</v>
      </c>
      <c r="BW8" s="166">
        <f t="shared" si="20"/>
        <v>0</v>
      </c>
      <c r="BX8" s="166">
        <f t="shared" si="21"/>
        <v>7973.9</v>
      </c>
      <c r="BY8" s="166">
        <f>SUM('Future Orders'!$BU8:$BX8)</f>
        <v>24509.32</v>
      </c>
      <c r="BZ8" s="167"/>
      <c r="CA8" s="166">
        <f t="shared" si="22"/>
        <v>0</v>
      </c>
      <c r="CB8" s="166">
        <f t="shared" si="23"/>
        <v>0</v>
      </c>
      <c r="CC8" s="166">
        <f t="shared" si="24"/>
        <v>26011.37</v>
      </c>
      <c r="CD8" s="166">
        <f t="shared" si="25"/>
        <v>0</v>
      </c>
      <c r="CE8" s="166">
        <f>SUM('Future Orders'!$CA8:$CD8)</f>
        <v>26011.37</v>
      </c>
      <c r="CF8" s="167"/>
      <c r="CG8" s="166">
        <f>SUM('Future Orders'!$BI8:$BJ8)
+ SUM('Future Orders'!$BU8:$BV8)</f>
        <v>33469.04</v>
      </c>
      <c r="CH8" s="166">
        <f>SUM('Future Orders'!$BQ8)
+ SUM('Future Orders'!$BX8)</f>
        <v>28927.25</v>
      </c>
      <c r="CI8" s="166">
        <f>SUM('Future Orders'!$BI8:$BJ8)
+ SUM('Future Orders'!$BU8:$BV8)
+ SUM(('Future Orders'!$BI8) * 2)</f>
        <v>52824.2</v>
      </c>
      <c r="CJ8" s="166">
        <f>SUM(('Future Orders'!$BQ8) * 2) + SUM('Future Orders'!$BX8)</f>
        <v>49880.6</v>
      </c>
      <c r="CK8" s="167"/>
      <c r="CL8" s="168">
        <f t="shared" si="26"/>
        <v>3</v>
      </c>
      <c r="CM8" s="168">
        <f t="shared" si="27"/>
        <v>3</v>
      </c>
      <c r="CN8" s="168">
        <f t="shared" si="28"/>
        <v>4</v>
      </c>
      <c r="CO8" s="168">
        <f t="shared" si="29"/>
        <v>2</v>
      </c>
      <c r="CP8" s="168">
        <f t="shared" si="30"/>
        <v>2</v>
      </c>
      <c r="CQ8" s="169">
        <f t="shared" si="31"/>
        <v>2</v>
      </c>
      <c r="CR8" s="169">
        <f t="shared" si="32"/>
        <v>2</v>
      </c>
      <c r="CS8" s="170"/>
    </row>
    <row r="9">
      <c r="A9" s="151">
        <v>41862.0</v>
      </c>
      <c r="B9" s="152">
        <v>1.0</v>
      </c>
      <c r="C9" s="152" t="s">
        <v>45</v>
      </c>
      <c r="D9" s="152">
        <v>2.0</v>
      </c>
      <c r="E9" s="153">
        <v>5463.0</v>
      </c>
      <c r="F9" s="153">
        <f>SUM(('Future Orders'!$E9) * (1.1))</f>
        <v>6009.3</v>
      </c>
      <c r="G9" s="154">
        <v>1.2</v>
      </c>
      <c r="H9" s="155">
        <v>6555.599999999999</v>
      </c>
      <c r="I9" s="155">
        <f>SUM(('Future Orders'!$H9) * (1.1))</f>
        <v>7211.16</v>
      </c>
      <c r="J9" s="159">
        <f>SUMIFS('Future Orders'!$F9, 'Future Orders'!$D9, "1", 'Future Orders'!$C9, "A", 'Future Orders'!$B9, "1")</f>
        <v>0</v>
      </c>
      <c r="K9" s="157">
        <f>SUMIFS('Future Orders'!$I9, 'Future Orders'!$D9, "1", 'Future Orders'!$C9, "A", 'Future Orders'!$B9, "1")</f>
        <v>0</v>
      </c>
      <c r="L9" s="157">
        <f>SUMIFS('Future Orders'!$F9, 'Future Orders'!$D9, "1", 'Future Orders'!$C9, "B", 'Future Orders'!$B9, "1")</f>
        <v>0</v>
      </c>
      <c r="M9" s="157">
        <f>SUMIFS('Future Orders'!$I9, 'Future Orders'!$D9, "1", 'Future Orders'!$C9, "B", 'Future Orders'!$B9, "1")</f>
        <v>0</v>
      </c>
      <c r="N9" s="159">
        <f>SUMIFS('Future Orders'!$F9, 'Future Orders'!$D9, "1", 'Future Orders'!$C9, "A", 'Future Orders'!$B9, "2")</f>
        <v>0</v>
      </c>
      <c r="O9" s="157">
        <f>SUMIFS('Future Orders'!$I9, 'Future Orders'!$D9, "1", 'Future Orders'!$C9, "A", 'Future Orders'!$B9, "2")</f>
        <v>0</v>
      </c>
      <c r="P9" s="157">
        <f>SUMIFS('Future Orders'!$E9, 'Future Orders'!$D9, "1", 'Future Orders'!$C9, "B", 'Future Orders'!$B9, "2")</f>
        <v>0</v>
      </c>
      <c r="Q9" s="157">
        <f>SUMIFS('Future Orders'!$I9, 'Future Orders'!$D9, "1", 'Future Orders'!$C9, "B", 'Future Orders'!$B9, "2")</f>
        <v>0</v>
      </c>
      <c r="R9" s="159">
        <f>SUMIFS('Future Orders'!$F9, 'Future Orders'!$D9, "2", 'Future Orders'!$C9, "A", 'Future Orders'!$B9, "1")</f>
        <v>6009.3</v>
      </c>
      <c r="S9" s="157">
        <f>SUMIFS('Future Orders'!$I9, 'Future Orders'!$D9, "2", 'Future Orders'!$C9, "A", 'Future Orders'!$B9, "1")</f>
        <v>7211.16</v>
      </c>
      <c r="T9" s="159">
        <f>SUMIFS('Future Orders'!$F9, 'Future Orders'!$D9, "2", 'Future Orders'!$C9, "B", 'Future Orders'!$B9, "1")</f>
        <v>0</v>
      </c>
      <c r="U9" s="157">
        <f>SUMIFS('Future Orders'!$I9, 'Future Orders'!$D9, "2", 'Future Orders'!$C9, "B", 'Future Orders'!$B9, "1")</f>
        <v>0</v>
      </c>
      <c r="V9" s="159">
        <f>SUMIFS('Future Orders'!$F9, 'Future Orders'!$D9, "2", 'Future Orders'!$C9, "A", 'Future Orders'!$B9, "2")</f>
        <v>0</v>
      </c>
      <c r="W9" s="157">
        <f>SUMIFS('Future Orders'!$I9, 'Future Orders'!$D9, "2", 'Future Orders'!$C9, "A", 'Future Orders'!$B9, "2")</f>
        <v>0</v>
      </c>
      <c r="X9" s="159">
        <f>SUMIFS('Future Orders'!$F9, 'Future Orders'!$D9, "2", 'Future Orders'!$C9, "B", 'Future Orders'!$B9, "2")</f>
        <v>0</v>
      </c>
      <c r="Y9" s="159">
        <f>SUMIFS('Future Orders'!$I9, 'Future Orders'!$D9, "2", 'Future Orders'!$C9, "B", 'Future Orders'!$B9, "2")</f>
        <v>0</v>
      </c>
      <c r="Z9" s="159">
        <f>SUMIFS('Future Orders'!$F9, 'Future Orders'!$D9, "3", 'Future Orders'!$C9, "A", 'Future Orders'!$B9, "1")</f>
        <v>0</v>
      </c>
      <c r="AA9" s="159">
        <f>SUMIFS('Future Orders'!$I9, 'Future Orders'!$D9, "3", 'Future Orders'!$C9, "A", 'Future Orders'!$B9, "1")</f>
        <v>0</v>
      </c>
      <c r="AB9" s="159">
        <f>SUMIFS('Future Orders'!$F9, 'Future Orders'!$D9, "3", 'Future Orders'!$C9, "B", 'Future Orders'!$B9, "1")</f>
        <v>0</v>
      </c>
      <c r="AC9" s="159">
        <f>SUMIFS('Future Orders'!$I9, 'Future Orders'!$D9, "3", 'Future Orders'!$C9, "B", 'Future Orders'!$B9, "1")</f>
        <v>0</v>
      </c>
      <c r="AD9" s="159">
        <f>SUMIFS('Future Orders'!$F9, 'Future Orders'!$D9, "3", 'Future Orders'!$C9, "A", 'Future Orders'!$B9, "2")</f>
        <v>0</v>
      </c>
      <c r="AE9" s="159">
        <f>SUMIFS('Future Orders'!$I9, 'Future Orders'!$D9, "3", 'Future Orders'!$C9, "A", 'Future Orders'!$B9, "2")</f>
        <v>0</v>
      </c>
      <c r="AF9" s="159">
        <f>SUMIFS('Future Orders'!$F9, 'Future Orders'!$D9, "3", 'Future Orders'!$C9, "B", 'Future Orders'!$B9, "2")</f>
        <v>0</v>
      </c>
      <c r="AG9" s="157">
        <f>SUMIFS('Future Orders'!$I9, 'Future Orders'!$D9, "3", 'Future Orders'!$C9, "B", 'Future Orders'!$B9, "2")</f>
        <v>0</v>
      </c>
      <c r="AH9" s="157">
        <f>SUMIFS('Future Orders'!$F9, 'Future Orders'!$D9, "4", 'Future Orders'!$C9, "A", 'Future Orders'!$B9, "1")</f>
        <v>0</v>
      </c>
      <c r="AI9" s="157">
        <f>SUMIFS('Future Orders'!$I9, 'Future Orders'!$D9, "4", 'Future Orders'!$C9, "A", 'Future Orders'!$B9, "1")</f>
        <v>0</v>
      </c>
      <c r="AJ9" s="157">
        <f>SUMIFS('Future Orders'!$F9, 'Future Orders'!$D9, "4", 'Future Orders'!$C9, "B", 'Future Orders'!$B9, "1")</f>
        <v>0</v>
      </c>
      <c r="AK9" s="157">
        <f>SUMIFS('Future Orders'!$I9, 'Future Orders'!$D9, "4", 'Future Orders'!$C9, "B", 'Future Orders'!$B9, "1")</f>
        <v>0</v>
      </c>
      <c r="AL9" s="157">
        <f>SUMIFS('Future Orders'!$F9, 'Future Orders'!$D9, "4", 'Future Orders'!$C9, "A", 'Future Orders'!$B9, "2")</f>
        <v>0</v>
      </c>
      <c r="AM9" s="157">
        <f>SUMIFS('Future Orders'!$I9, 'Future Orders'!$D9, "4", 'Future Orders'!$C9, "A", 'Future Orders'!$B9, "2")</f>
        <v>0</v>
      </c>
      <c r="AN9" s="171">
        <f>SUMIFS('Future Orders'!$F9, 'Future Orders'!$D9, "4", 'Future Orders'!$C9, "B", 'Future Orders'!$B9, "2")</f>
        <v>0</v>
      </c>
      <c r="AO9" s="171">
        <f>SUMIFS('Future Orders'!$I9, 'Future Orders'!$D9, "4", 'Future Orders'!$C9, "B", 'Future Orders'!$B9, "2")</f>
        <v>0</v>
      </c>
      <c r="AP9" s="171">
        <f>SUMIFS('Future Orders'!$H9, 'Future Orders'!$C9, "A", 'Future Orders'!$B9, "1")</f>
        <v>6555.6</v>
      </c>
      <c r="AQ9" s="171">
        <f>SUMIFS('Future Orders'!$I9, 'Future Orders'!$C9, "B", 'Future Orders'!$B9, "1")</f>
        <v>0</v>
      </c>
      <c r="AR9" s="171">
        <f>SUMIFS('Future Orders'!$H9, 'Future Orders'!$C9, "A", 'Future Orders'!$B9, "2")</f>
        <v>0</v>
      </c>
      <c r="AS9" s="171">
        <f>SUMIFS('Future Orders'!$I9, 'Future Orders'!$C9, "B", 'Future Orders'!$B9, "2")</f>
        <v>0</v>
      </c>
      <c r="AT9" s="145"/>
      <c r="AU9" s="146"/>
      <c r="AV9" s="161">
        <v>41904.0</v>
      </c>
      <c r="AW9" s="162"/>
      <c r="AX9" s="163">
        <f t="shared" si="1"/>
        <v>41904</v>
      </c>
      <c r="AY9" s="164">
        <f t="shared" si="2"/>
        <v>20259</v>
      </c>
      <c r="AZ9" s="164">
        <f t="shared" si="3"/>
        <v>10864</v>
      </c>
      <c r="BA9" s="164">
        <f t="shared" si="4"/>
        <v>9395</v>
      </c>
      <c r="BB9" s="164">
        <f t="shared" si="5"/>
        <v>16068</v>
      </c>
      <c r="BC9" s="164">
        <f t="shared" si="6"/>
        <v>4191</v>
      </c>
      <c r="BD9" s="165"/>
      <c r="BE9" s="166">
        <f t="shared" si="7"/>
        <v>66547.69</v>
      </c>
      <c r="BF9" s="166">
        <f t="shared" si="8"/>
        <v>33544.83</v>
      </c>
      <c r="BG9" s="166">
        <f t="shared" si="9"/>
        <v>33002.86</v>
      </c>
      <c r="BH9" s="167"/>
      <c r="BI9" s="166">
        <f t="shared" si="10"/>
        <v>9346.04</v>
      </c>
      <c r="BJ9" s="166">
        <f t="shared" si="11"/>
        <v>6714.84</v>
      </c>
      <c r="BK9" s="166">
        <f t="shared" si="12"/>
        <v>0</v>
      </c>
      <c r="BL9" s="166">
        <f t="shared" si="13"/>
        <v>9346.04</v>
      </c>
      <c r="BM9" s="166">
        <f>SUM('Future Orders'!$BI9:$BL9)</f>
        <v>25406.92</v>
      </c>
      <c r="BN9" s="167"/>
      <c r="BO9" s="166">
        <f t="shared" si="14"/>
        <v>0</v>
      </c>
      <c r="BP9" s="166">
        <f t="shared" si="15"/>
        <v>0</v>
      </c>
      <c r="BQ9" s="166">
        <f t="shared" si="16"/>
        <v>17483.95</v>
      </c>
      <c r="BR9" s="166">
        <f t="shared" si="17"/>
        <v>0</v>
      </c>
      <c r="BS9" s="166">
        <f>SUM('Future Orders'!$BO9:$BR9)</f>
        <v>17483.95</v>
      </c>
      <c r="BT9" s="167"/>
      <c r="BU9" s="166">
        <f t="shared" si="18"/>
        <v>6216.98</v>
      </c>
      <c r="BV9" s="166">
        <f t="shared" si="19"/>
        <v>6006</v>
      </c>
      <c r="BW9" s="166">
        <f t="shared" si="20"/>
        <v>0</v>
      </c>
      <c r="BX9" s="166">
        <f t="shared" si="21"/>
        <v>6216.98</v>
      </c>
      <c r="BY9" s="166">
        <f>SUM('Future Orders'!$BU9:$BX9)</f>
        <v>18439.96</v>
      </c>
      <c r="BZ9" s="167"/>
      <c r="CA9" s="166">
        <f t="shared" si="22"/>
        <v>0</v>
      </c>
      <c r="CB9" s="166">
        <f t="shared" si="23"/>
        <v>0</v>
      </c>
      <c r="CC9" s="166">
        <f t="shared" si="24"/>
        <v>20779.88</v>
      </c>
      <c r="CD9" s="166">
        <f t="shared" si="25"/>
        <v>0</v>
      </c>
      <c r="CE9" s="166">
        <f>SUM('Future Orders'!$CA9:$CD9)</f>
        <v>20779.88</v>
      </c>
      <c r="CF9" s="167"/>
      <c r="CG9" s="166">
        <f>SUM('Future Orders'!$BI9:$BJ9)
+ SUM('Future Orders'!$BU9:$BV9)</f>
        <v>28283.86</v>
      </c>
      <c r="CH9" s="166">
        <f>SUM('Future Orders'!$BQ9)
+ SUM('Future Orders'!$BX9)</f>
        <v>23700.93</v>
      </c>
      <c r="CI9" s="166">
        <f>SUM('Future Orders'!$BI9:$BJ9)
+ SUM('Future Orders'!$BU9:$BV9)
+ SUM(('Future Orders'!$BI9) * 2)</f>
        <v>46975.94</v>
      </c>
      <c r="CJ9" s="166">
        <f>SUM(('Future Orders'!$BQ9) * 2) + SUM('Future Orders'!$BX9)</f>
        <v>41184.88</v>
      </c>
      <c r="CK9" s="167"/>
      <c r="CL9" s="168">
        <f t="shared" si="26"/>
        <v>3</v>
      </c>
      <c r="CM9" s="168">
        <f t="shared" si="27"/>
        <v>3</v>
      </c>
      <c r="CN9" s="168">
        <f t="shared" si="28"/>
        <v>4</v>
      </c>
      <c r="CO9" s="168">
        <f t="shared" si="29"/>
        <v>2</v>
      </c>
      <c r="CP9" s="168">
        <f t="shared" si="30"/>
        <v>2</v>
      </c>
      <c r="CQ9" s="169">
        <f t="shared" si="31"/>
        <v>2</v>
      </c>
      <c r="CR9" s="169">
        <f t="shared" si="32"/>
        <v>2</v>
      </c>
      <c r="CS9" s="170"/>
    </row>
    <row r="10">
      <c r="A10" s="151">
        <v>41862.0</v>
      </c>
      <c r="B10" s="152">
        <v>2.0</v>
      </c>
      <c r="C10" s="152" t="s">
        <v>45</v>
      </c>
      <c r="D10" s="152">
        <v>1.0</v>
      </c>
      <c r="E10" s="153">
        <v>3234.0</v>
      </c>
      <c r="F10" s="153">
        <f>SUM(('Future Orders'!$E10) * (1.1))</f>
        <v>3557.4</v>
      </c>
      <c r="G10" s="154">
        <v>2.2</v>
      </c>
      <c r="H10" s="155">
        <v>7114.8</v>
      </c>
      <c r="I10" s="155">
        <f>SUM(('Future Orders'!$H10) * (1.1))</f>
        <v>7826.28</v>
      </c>
      <c r="J10" s="159">
        <f>SUMIFS('Future Orders'!$F10, 'Future Orders'!$D10, "1", 'Future Orders'!$C10, "A", 'Future Orders'!$B10, "1")</f>
        <v>0</v>
      </c>
      <c r="K10" s="157">
        <f>SUMIFS('Future Orders'!$I10, 'Future Orders'!$D10, "1", 'Future Orders'!$C10, "A", 'Future Orders'!$B10, "1")</f>
        <v>0</v>
      </c>
      <c r="L10" s="157">
        <f>SUMIFS('Future Orders'!$F10, 'Future Orders'!$D10, "1", 'Future Orders'!$C10, "B", 'Future Orders'!$B10, "1")</f>
        <v>0</v>
      </c>
      <c r="M10" s="157">
        <f>SUMIFS('Future Orders'!$I10, 'Future Orders'!$D10, "1", 'Future Orders'!$C10, "B", 'Future Orders'!$B10, "1")</f>
        <v>0</v>
      </c>
      <c r="N10" s="159">
        <f>SUMIFS('Future Orders'!$F10, 'Future Orders'!$D10, "1", 'Future Orders'!$C10, "A", 'Future Orders'!$B10, "2")</f>
        <v>3557.4</v>
      </c>
      <c r="O10" s="157">
        <f>SUMIFS('Future Orders'!$I10, 'Future Orders'!$D10, "1", 'Future Orders'!$C10, "A", 'Future Orders'!$B10, "2")</f>
        <v>7826.28</v>
      </c>
      <c r="P10" s="157">
        <f>SUMIFS('Future Orders'!$E10, 'Future Orders'!$D10, "1", 'Future Orders'!$C10, "B", 'Future Orders'!$B10, "2")</f>
        <v>0</v>
      </c>
      <c r="Q10" s="157">
        <f>SUMIFS('Future Orders'!$I10, 'Future Orders'!$D10, "1", 'Future Orders'!$C10, "B", 'Future Orders'!$B10, "2")</f>
        <v>0</v>
      </c>
      <c r="R10" s="159">
        <f>SUMIFS('Future Orders'!$F10, 'Future Orders'!$D10, "2", 'Future Orders'!$C10, "A", 'Future Orders'!$B10, "1")</f>
        <v>0</v>
      </c>
      <c r="S10" s="157">
        <f>SUMIFS('Future Orders'!$I10, 'Future Orders'!$D10, "2", 'Future Orders'!$C10, "A", 'Future Orders'!$B10, "1")</f>
        <v>0</v>
      </c>
      <c r="T10" s="159">
        <f>SUMIFS('Future Orders'!$F10, 'Future Orders'!$D10, "2", 'Future Orders'!$C10, "B", 'Future Orders'!$B10, "1")</f>
        <v>0</v>
      </c>
      <c r="U10" s="157">
        <f>SUMIFS('Future Orders'!$I10, 'Future Orders'!$D10, "2", 'Future Orders'!$C10, "B", 'Future Orders'!$B10, "1")</f>
        <v>0</v>
      </c>
      <c r="V10" s="159">
        <f>SUMIFS('Future Orders'!$F10, 'Future Orders'!$D10, "2", 'Future Orders'!$C10, "A", 'Future Orders'!$B10, "2")</f>
        <v>0</v>
      </c>
      <c r="W10" s="157">
        <f>SUMIFS('Future Orders'!$I10, 'Future Orders'!$D10, "2", 'Future Orders'!$C10, "A", 'Future Orders'!$B10, "2")</f>
        <v>0</v>
      </c>
      <c r="X10" s="159">
        <f>SUMIFS('Future Orders'!$F10, 'Future Orders'!$D10, "2", 'Future Orders'!$C10, "B", 'Future Orders'!$B10, "2")</f>
        <v>0</v>
      </c>
      <c r="Y10" s="159">
        <f>SUMIFS('Future Orders'!$I10, 'Future Orders'!$D10, "2", 'Future Orders'!$C10, "B", 'Future Orders'!$B10, "2")</f>
        <v>0</v>
      </c>
      <c r="Z10" s="159">
        <f>SUMIFS('Future Orders'!$F10, 'Future Orders'!$D10, "3", 'Future Orders'!$C10, "A", 'Future Orders'!$B10, "1")</f>
        <v>0</v>
      </c>
      <c r="AA10" s="159">
        <f>SUMIFS('Future Orders'!$I10, 'Future Orders'!$D10, "3", 'Future Orders'!$C10, "A", 'Future Orders'!$B10, "1")</f>
        <v>0</v>
      </c>
      <c r="AB10" s="159">
        <f>SUMIFS('Future Orders'!$F10, 'Future Orders'!$D10, "3", 'Future Orders'!$C10, "B", 'Future Orders'!$B10, "1")</f>
        <v>0</v>
      </c>
      <c r="AC10" s="159">
        <f>SUMIFS('Future Orders'!$I10, 'Future Orders'!$D10, "3", 'Future Orders'!$C10, "B", 'Future Orders'!$B10, "1")</f>
        <v>0</v>
      </c>
      <c r="AD10" s="159">
        <f>SUMIFS('Future Orders'!$F10, 'Future Orders'!$D10, "3", 'Future Orders'!$C10, "A", 'Future Orders'!$B10, "2")</f>
        <v>0</v>
      </c>
      <c r="AE10" s="159">
        <f>SUMIFS('Future Orders'!$I10, 'Future Orders'!$D10, "3", 'Future Orders'!$C10, "A", 'Future Orders'!$B10, "2")</f>
        <v>0</v>
      </c>
      <c r="AF10" s="159">
        <f>SUMIFS('Future Orders'!$F10, 'Future Orders'!$D10, "3", 'Future Orders'!$C10, "B", 'Future Orders'!$B10, "2")</f>
        <v>0</v>
      </c>
      <c r="AG10" s="157">
        <f>SUMIFS('Future Orders'!$I10, 'Future Orders'!$D10, "3", 'Future Orders'!$C10, "B", 'Future Orders'!$B10, "2")</f>
        <v>0</v>
      </c>
      <c r="AH10" s="157">
        <f>SUMIFS('Future Orders'!$F10, 'Future Orders'!$D10, "4", 'Future Orders'!$C10, "A", 'Future Orders'!$B10, "1")</f>
        <v>0</v>
      </c>
      <c r="AI10" s="157">
        <f>SUMIFS('Future Orders'!$I10, 'Future Orders'!$D10, "4", 'Future Orders'!$C10, "A", 'Future Orders'!$B10, "1")</f>
        <v>0</v>
      </c>
      <c r="AJ10" s="157">
        <f>SUMIFS('Future Orders'!$F10, 'Future Orders'!$D10, "4", 'Future Orders'!$C10, "B", 'Future Orders'!$B10, "1")</f>
        <v>0</v>
      </c>
      <c r="AK10" s="157">
        <f>SUMIFS('Future Orders'!$I10, 'Future Orders'!$D10, "4", 'Future Orders'!$C10, "B", 'Future Orders'!$B10, "1")</f>
        <v>0</v>
      </c>
      <c r="AL10" s="157">
        <f>SUMIFS('Future Orders'!$F10, 'Future Orders'!$D10, "4", 'Future Orders'!$C10, "A", 'Future Orders'!$B10, "2")</f>
        <v>0</v>
      </c>
      <c r="AM10" s="157">
        <f>SUMIFS('Future Orders'!$I10, 'Future Orders'!$D10, "4", 'Future Orders'!$C10, "A", 'Future Orders'!$B10, "2")</f>
        <v>0</v>
      </c>
      <c r="AN10" s="171">
        <f>SUMIFS('Future Orders'!$F10, 'Future Orders'!$D10, "4", 'Future Orders'!$C10, "B", 'Future Orders'!$B10, "2")</f>
        <v>0</v>
      </c>
      <c r="AO10" s="171">
        <f>SUMIFS('Future Orders'!$I10, 'Future Orders'!$D10, "4", 'Future Orders'!$C10, "B", 'Future Orders'!$B10, "2")</f>
        <v>0</v>
      </c>
      <c r="AP10" s="171">
        <f>SUMIFS('Future Orders'!$H10, 'Future Orders'!$C10, "A", 'Future Orders'!$B10, "1")</f>
        <v>0</v>
      </c>
      <c r="AQ10" s="171">
        <f>SUMIFS('Future Orders'!$I10, 'Future Orders'!$C10, "B", 'Future Orders'!$B10, "1")</f>
        <v>0</v>
      </c>
      <c r="AR10" s="171">
        <f>SUMIFS('Future Orders'!$H10, 'Future Orders'!$C10, "A", 'Future Orders'!$B10, "2")</f>
        <v>7114.8</v>
      </c>
      <c r="AS10" s="171">
        <f>SUMIFS('Future Orders'!$I10, 'Future Orders'!$C10, "B", 'Future Orders'!$B10, "2")</f>
        <v>0</v>
      </c>
      <c r="AT10" s="145"/>
      <c r="AU10" s="146"/>
      <c r="AV10" s="161">
        <v>41911.0</v>
      </c>
      <c r="AW10" s="162"/>
      <c r="AX10" s="163">
        <f t="shared" si="1"/>
        <v>41911</v>
      </c>
      <c r="AY10" s="164">
        <f t="shared" si="2"/>
        <v>19403</v>
      </c>
      <c r="AZ10" s="164">
        <f t="shared" si="3"/>
        <v>9996</v>
      </c>
      <c r="BA10" s="164">
        <f t="shared" si="4"/>
        <v>9407</v>
      </c>
      <c r="BB10" s="164">
        <f t="shared" si="5"/>
        <v>14949</v>
      </c>
      <c r="BC10" s="164">
        <f t="shared" si="6"/>
        <v>4454</v>
      </c>
      <c r="BD10" s="165"/>
      <c r="BE10" s="166">
        <f t="shared" si="7"/>
        <v>66866.8</v>
      </c>
      <c r="BF10" s="166">
        <f t="shared" si="8"/>
        <v>31617.52</v>
      </c>
      <c r="BG10" s="166">
        <f t="shared" si="9"/>
        <v>35249.28</v>
      </c>
      <c r="BH10" s="167"/>
      <c r="BI10" s="166">
        <f t="shared" si="10"/>
        <v>7884.36</v>
      </c>
      <c r="BJ10" s="166">
        <f t="shared" si="11"/>
        <v>6386.16</v>
      </c>
      <c r="BK10" s="166">
        <f t="shared" si="12"/>
        <v>0</v>
      </c>
      <c r="BL10" s="166">
        <f t="shared" si="13"/>
        <v>7884.36</v>
      </c>
      <c r="BM10" s="166">
        <f>SUM('Future Orders'!$BI10:$BL10)</f>
        <v>22154.88</v>
      </c>
      <c r="BN10" s="167"/>
      <c r="BO10" s="166">
        <f t="shared" si="14"/>
        <v>0</v>
      </c>
      <c r="BP10" s="166">
        <f t="shared" si="15"/>
        <v>0</v>
      </c>
      <c r="BQ10" s="166">
        <f t="shared" si="16"/>
        <v>17347</v>
      </c>
      <c r="BR10" s="166">
        <f t="shared" si="17"/>
        <v>0</v>
      </c>
      <c r="BS10" s="166">
        <f>SUM('Future Orders'!$BO10:$BR10)</f>
        <v>17347</v>
      </c>
      <c r="BT10" s="167"/>
      <c r="BU10" s="166">
        <f t="shared" si="18"/>
        <v>6347.66</v>
      </c>
      <c r="BV10" s="166">
        <f t="shared" si="19"/>
        <v>5583.6</v>
      </c>
      <c r="BW10" s="166">
        <f t="shared" si="20"/>
        <v>0</v>
      </c>
      <c r="BX10" s="166">
        <f t="shared" si="21"/>
        <v>6347.66</v>
      </c>
      <c r="BY10" s="166">
        <f>SUM('Future Orders'!$BU10:$BX10)</f>
        <v>18278.92</v>
      </c>
      <c r="BZ10" s="167"/>
      <c r="CA10" s="166">
        <f t="shared" si="22"/>
        <v>0</v>
      </c>
      <c r="CB10" s="166">
        <f t="shared" si="23"/>
        <v>0</v>
      </c>
      <c r="CC10" s="166">
        <f t="shared" si="24"/>
        <v>23318.02</v>
      </c>
      <c r="CD10" s="166">
        <f t="shared" si="25"/>
        <v>0</v>
      </c>
      <c r="CE10" s="166">
        <f>SUM('Future Orders'!$CA10:$CD10)</f>
        <v>23318.02</v>
      </c>
      <c r="CF10" s="167"/>
      <c r="CG10" s="166">
        <f>SUM('Future Orders'!$BI10:$BJ10)
+ SUM('Future Orders'!$BU10:$BV10)</f>
        <v>26201.78</v>
      </c>
      <c r="CH10" s="166">
        <f>SUM('Future Orders'!$BQ10)
+ SUM('Future Orders'!$BX10)</f>
        <v>23694.66</v>
      </c>
      <c r="CI10" s="166">
        <f>SUM('Future Orders'!$BI10:$BJ10)
+ SUM('Future Orders'!$BU10:$BV10)
+ SUM(('Future Orders'!$BI10) * 2)</f>
        <v>41970.5</v>
      </c>
      <c r="CJ10" s="166">
        <f>SUM(('Future Orders'!$BQ10) * 2) + SUM('Future Orders'!$BX10)</f>
        <v>41041.66</v>
      </c>
      <c r="CK10" s="167"/>
      <c r="CL10" s="168">
        <f t="shared" si="26"/>
        <v>3</v>
      </c>
      <c r="CM10" s="168">
        <f t="shared" si="27"/>
        <v>3</v>
      </c>
      <c r="CN10" s="168">
        <f t="shared" si="28"/>
        <v>4</v>
      </c>
      <c r="CO10" s="168">
        <f t="shared" si="29"/>
        <v>2</v>
      </c>
      <c r="CP10" s="168">
        <f t="shared" si="30"/>
        <v>2</v>
      </c>
      <c r="CQ10" s="169">
        <f t="shared" si="31"/>
        <v>2</v>
      </c>
      <c r="CR10" s="169">
        <f t="shared" si="32"/>
        <v>2</v>
      </c>
      <c r="CS10" s="170"/>
    </row>
    <row r="11">
      <c r="A11" s="151">
        <v>41862.0</v>
      </c>
      <c r="B11" s="152">
        <v>2.0</v>
      </c>
      <c r="C11" s="152" t="s">
        <v>45</v>
      </c>
      <c r="D11" s="152">
        <v>2.0</v>
      </c>
      <c r="E11" s="153">
        <v>5048.0</v>
      </c>
      <c r="F11" s="153">
        <f>SUM(('Future Orders'!$E11) * (1.1))</f>
        <v>5552.8</v>
      </c>
      <c r="G11" s="154">
        <v>1.2</v>
      </c>
      <c r="H11" s="155">
        <v>6057.599999999999</v>
      </c>
      <c r="I11" s="155">
        <f>SUM(('Future Orders'!$H11) * (1.1))</f>
        <v>6663.36</v>
      </c>
      <c r="J11" s="159">
        <f>SUMIFS('Future Orders'!$F11, 'Future Orders'!$D11, "1", 'Future Orders'!$C11, "A", 'Future Orders'!$B11, "1")</f>
        <v>0</v>
      </c>
      <c r="K11" s="157">
        <f>SUMIFS('Future Orders'!$I11, 'Future Orders'!$D11, "1", 'Future Orders'!$C11, "A", 'Future Orders'!$B11, "1")</f>
        <v>0</v>
      </c>
      <c r="L11" s="157">
        <f>SUMIFS('Future Orders'!$F11, 'Future Orders'!$D11, "1", 'Future Orders'!$C11, "B", 'Future Orders'!$B11, "1")</f>
        <v>0</v>
      </c>
      <c r="M11" s="157">
        <f>SUMIFS('Future Orders'!$I11, 'Future Orders'!$D11, "1", 'Future Orders'!$C11, "B", 'Future Orders'!$B11, "1")</f>
        <v>0</v>
      </c>
      <c r="N11" s="159">
        <f>SUMIFS('Future Orders'!$F11, 'Future Orders'!$D11, "1", 'Future Orders'!$C11, "A", 'Future Orders'!$B11, "2")</f>
        <v>0</v>
      </c>
      <c r="O11" s="157">
        <f>SUMIFS('Future Orders'!$I11, 'Future Orders'!$D11, "1", 'Future Orders'!$C11, "A", 'Future Orders'!$B11, "2")</f>
        <v>0</v>
      </c>
      <c r="P11" s="157">
        <f>SUMIFS('Future Orders'!$E11, 'Future Orders'!$D11, "1", 'Future Orders'!$C11, "B", 'Future Orders'!$B11, "2")</f>
        <v>0</v>
      </c>
      <c r="Q11" s="157">
        <f>SUMIFS('Future Orders'!$I11, 'Future Orders'!$D11, "1", 'Future Orders'!$C11, "B", 'Future Orders'!$B11, "2")</f>
        <v>0</v>
      </c>
      <c r="R11" s="159">
        <f>SUMIFS('Future Orders'!$F11, 'Future Orders'!$D11, "2", 'Future Orders'!$C11, "A", 'Future Orders'!$B11, "1")</f>
        <v>0</v>
      </c>
      <c r="S11" s="157">
        <f>SUMIFS('Future Orders'!$I11, 'Future Orders'!$D11, "2", 'Future Orders'!$C11, "A", 'Future Orders'!$B11, "1")</f>
        <v>0</v>
      </c>
      <c r="T11" s="159">
        <f>SUMIFS('Future Orders'!$F11, 'Future Orders'!$D11, "2", 'Future Orders'!$C11, "B", 'Future Orders'!$B11, "1")</f>
        <v>0</v>
      </c>
      <c r="U11" s="157">
        <f>SUMIFS('Future Orders'!$I11, 'Future Orders'!$D11, "2", 'Future Orders'!$C11, "B", 'Future Orders'!$B11, "1")</f>
        <v>0</v>
      </c>
      <c r="V11" s="159">
        <f>SUMIFS('Future Orders'!$F11, 'Future Orders'!$D11, "2", 'Future Orders'!$C11, "A", 'Future Orders'!$B11, "2")</f>
        <v>5552.8</v>
      </c>
      <c r="W11" s="157">
        <f>SUMIFS('Future Orders'!$I11, 'Future Orders'!$D11, "2", 'Future Orders'!$C11, "A", 'Future Orders'!$B11, "2")</f>
        <v>6663.36</v>
      </c>
      <c r="X11" s="159">
        <f>SUMIFS('Future Orders'!$F11, 'Future Orders'!$D11, "2", 'Future Orders'!$C11, "B", 'Future Orders'!$B11, "2")</f>
        <v>0</v>
      </c>
      <c r="Y11" s="159">
        <f>SUMIFS('Future Orders'!$I11, 'Future Orders'!$D11, "2", 'Future Orders'!$C11, "B", 'Future Orders'!$B11, "2")</f>
        <v>0</v>
      </c>
      <c r="Z11" s="159">
        <f>SUMIFS('Future Orders'!$F11, 'Future Orders'!$D11, "3", 'Future Orders'!$C11, "A", 'Future Orders'!$B11, "1")</f>
        <v>0</v>
      </c>
      <c r="AA11" s="159">
        <f>SUMIFS('Future Orders'!$I11, 'Future Orders'!$D11, "3", 'Future Orders'!$C11, "A", 'Future Orders'!$B11, "1")</f>
        <v>0</v>
      </c>
      <c r="AB11" s="159">
        <f>SUMIFS('Future Orders'!$F11, 'Future Orders'!$D11, "3", 'Future Orders'!$C11, "B", 'Future Orders'!$B11, "1")</f>
        <v>0</v>
      </c>
      <c r="AC11" s="159">
        <f>SUMIFS('Future Orders'!$I11, 'Future Orders'!$D11, "3", 'Future Orders'!$C11, "B", 'Future Orders'!$B11, "1")</f>
        <v>0</v>
      </c>
      <c r="AD11" s="159">
        <f>SUMIFS('Future Orders'!$F11, 'Future Orders'!$D11, "3", 'Future Orders'!$C11, "A", 'Future Orders'!$B11, "2")</f>
        <v>0</v>
      </c>
      <c r="AE11" s="159">
        <f>SUMIFS('Future Orders'!$I11, 'Future Orders'!$D11, "3", 'Future Orders'!$C11, "A", 'Future Orders'!$B11, "2")</f>
        <v>0</v>
      </c>
      <c r="AF11" s="159">
        <f>SUMIFS('Future Orders'!$F11, 'Future Orders'!$D11, "3", 'Future Orders'!$C11, "B", 'Future Orders'!$B11, "2")</f>
        <v>0</v>
      </c>
      <c r="AG11" s="157">
        <f>SUMIFS('Future Orders'!$I11, 'Future Orders'!$D11, "3", 'Future Orders'!$C11, "B", 'Future Orders'!$B11, "2")</f>
        <v>0</v>
      </c>
      <c r="AH11" s="157">
        <f>SUMIFS('Future Orders'!$F11, 'Future Orders'!$D11, "4", 'Future Orders'!$C11, "A", 'Future Orders'!$B11, "1")</f>
        <v>0</v>
      </c>
      <c r="AI11" s="157">
        <f>SUMIFS('Future Orders'!$I11, 'Future Orders'!$D11, "4", 'Future Orders'!$C11, "A", 'Future Orders'!$B11, "1")</f>
        <v>0</v>
      </c>
      <c r="AJ11" s="157">
        <f>SUMIFS('Future Orders'!$F11, 'Future Orders'!$D11, "4", 'Future Orders'!$C11, "B", 'Future Orders'!$B11, "1")</f>
        <v>0</v>
      </c>
      <c r="AK11" s="157">
        <f>SUMIFS('Future Orders'!$I11, 'Future Orders'!$D11, "4", 'Future Orders'!$C11, "B", 'Future Orders'!$B11, "1")</f>
        <v>0</v>
      </c>
      <c r="AL11" s="157">
        <f>SUMIFS('Future Orders'!$F11, 'Future Orders'!$D11, "4", 'Future Orders'!$C11, "A", 'Future Orders'!$B11, "2")</f>
        <v>0</v>
      </c>
      <c r="AM11" s="157">
        <f>SUMIFS('Future Orders'!$I11, 'Future Orders'!$D11, "4", 'Future Orders'!$C11, "A", 'Future Orders'!$B11, "2")</f>
        <v>0</v>
      </c>
      <c r="AN11" s="171">
        <f>SUMIFS('Future Orders'!$F11, 'Future Orders'!$D11, "4", 'Future Orders'!$C11, "B", 'Future Orders'!$B11, "2")</f>
        <v>0</v>
      </c>
      <c r="AO11" s="171">
        <f>SUMIFS('Future Orders'!$I11, 'Future Orders'!$D11, "4", 'Future Orders'!$C11, "B", 'Future Orders'!$B11, "2")</f>
        <v>0</v>
      </c>
      <c r="AP11" s="171">
        <f>SUMIFS('Future Orders'!$H11, 'Future Orders'!$C11, "A", 'Future Orders'!$B11, "1")</f>
        <v>0</v>
      </c>
      <c r="AQ11" s="171">
        <f>SUMIFS('Future Orders'!$I11, 'Future Orders'!$C11, "B", 'Future Orders'!$B11, "1")</f>
        <v>0</v>
      </c>
      <c r="AR11" s="171">
        <f>SUMIFS('Future Orders'!$H11, 'Future Orders'!$C11, "A", 'Future Orders'!$B11, "2")</f>
        <v>6057.6</v>
      </c>
      <c r="AS11" s="171">
        <f>SUMIFS('Future Orders'!$I11, 'Future Orders'!$C11, "B", 'Future Orders'!$B11, "2")</f>
        <v>0</v>
      </c>
      <c r="AT11" s="145"/>
      <c r="AU11" s="146"/>
      <c r="AV11" s="161">
        <v>41918.0</v>
      </c>
      <c r="AW11" s="162"/>
      <c r="AX11" s="163">
        <f t="shared" si="1"/>
        <v>41918</v>
      </c>
      <c r="AY11" s="164">
        <f t="shared" si="2"/>
        <v>21561</v>
      </c>
      <c r="AZ11" s="164">
        <f t="shared" si="3"/>
        <v>11608</v>
      </c>
      <c r="BA11" s="164">
        <f t="shared" si="4"/>
        <v>9953</v>
      </c>
      <c r="BB11" s="164">
        <f t="shared" si="5"/>
        <v>17362</v>
      </c>
      <c r="BC11" s="164">
        <f t="shared" si="6"/>
        <v>4199</v>
      </c>
      <c r="BD11" s="165"/>
      <c r="BE11" s="166">
        <f t="shared" si="7"/>
        <v>69092.21</v>
      </c>
      <c r="BF11" s="166">
        <f t="shared" si="8"/>
        <v>35890.14</v>
      </c>
      <c r="BG11" s="166">
        <f t="shared" si="9"/>
        <v>33202.07</v>
      </c>
      <c r="BH11" s="167"/>
      <c r="BI11" s="166">
        <f t="shared" si="10"/>
        <v>10231.76</v>
      </c>
      <c r="BJ11" s="166">
        <f t="shared" si="11"/>
        <v>7051.44</v>
      </c>
      <c r="BK11" s="166">
        <f t="shared" si="12"/>
        <v>0</v>
      </c>
      <c r="BL11" s="166">
        <f t="shared" si="13"/>
        <v>10231.76</v>
      </c>
      <c r="BM11" s="166">
        <f>SUM('Future Orders'!$BI11:$BL11)</f>
        <v>27514.96</v>
      </c>
      <c r="BN11" s="167"/>
      <c r="BO11" s="166">
        <f t="shared" si="14"/>
        <v>0</v>
      </c>
      <c r="BP11" s="166">
        <f t="shared" si="15"/>
        <v>0</v>
      </c>
      <c r="BQ11" s="166">
        <f t="shared" si="16"/>
        <v>18606.94</v>
      </c>
      <c r="BR11" s="166">
        <f t="shared" si="17"/>
        <v>0</v>
      </c>
      <c r="BS11" s="166">
        <f>SUM('Future Orders'!$BO11:$BR11)</f>
        <v>18606.94</v>
      </c>
      <c r="BT11" s="167"/>
      <c r="BU11" s="166">
        <f t="shared" si="18"/>
        <v>7010.74</v>
      </c>
      <c r="BV11" s="166">
        <f t="shared" si="19"/>
        <v>6461.4</v>
      </c>
      <c r="BW11" s="166">
        <f t="shared" si="20"/>
        <v>0</v>
      </c>
      <c r="BX11" s="166">
        <f t="shared" si="21"/>
        <v>7010.74</v>
      </c>
      <c r="BY11" s="166">
        <f>SUM('Future Orders'!$BU11:$BX11)</f>
        <v>20482.88</v>
      </c>
      <c r="BZ11" s="167"/>
      <c r="CA11" s="166">
        <f t="shared" si="22"/>
        <v>0</v>
      </c>
      <c r="CB11" s="166">
        <f t="shared" si="23"/>
        <v>0</v>
      </c>
      <c r="CC11" s="166">
        <f t="shared" si="24"/>
        <v>19729.93</v>
      </c>
      <c r="CD11" s="166">
        <f t="shared" si="25"/>
        <v>0</v>
      </c>
      <c r="CE11" s="166">
        <f>SUM('Future Orders'!$CA11:$CD11)</f>
        <v>19729.93</v>
      </c>
      <c r="CF11" s="167"/>
      <c r="CG11" s="166">
        <f>SUM('Future Orders'!$BI11:$BJ11)
+ SUM('Future Orders'!$BU11:$BV11)</f>
        <v>30755.34</v>
      </c>
      <c r="CH11" s="166">
        <f>SUM('Future Orders'!$BQ11)
+ SUM('Future Orders'!$BX11)</f>
        <v>25617.68</v>
      </c>
      <c r="CI11" s="166">
        <f>SUM('Future Orders'!$BI11:$BJ11)
+ SUM('Future Orders'!$BU11:$BV11)
+ SUM(('Future Orders'!$BI11) * 2)</f>
        <v>51218.86</v>
      </c>
      <c r="CJ11" s="166">
        <f>SUM(('Future Orders'!$BQ11) * 2) + SUM('Future Orders'!$BX11)</f>
        <v>44224.62</v>
      </c>
      <c r="CK11" s="167"/>
      <c r="CL11" s="168">
        <f t="shared" si="26"/>
        <v>3</v>
      </c>
      <c r="CM11" s="168">
        <f t="shared" si="27"/>
        <v>3</v>
      </c>
      <c r="CN11" s="168">
        <f t="shared" si="28"/>
        <v>4</v>
      </c>
      <c r="CO11" s="168">
        <f t="shared" si="29"/>
        <v>2</v>
      </c>
      <c r="CP11" s="168">
        <f t="shared" si="30"/>
        <v>2</v>
      </c>
      <c r="CQ11" s="169">
        <f t="shared" si="31"/>
        <v>2</v>
      </c>
      <c r="CR11" s="169">
        <f t="shared" si="32"/>
        <v>2</v>
      </c>
      <c r="CS11" s="170"/>
    </row>
    <row r="12">
      <c r="A12" s="151">
        <v>41862.0</v>
      </c>
      <c r="B12" s="152">
        <v>1.0</v>
      </c>
      <c r="C12" s="152" t="s">
        <v>46</v>
      </c>
      <c r="D12" s="152">
        <v>3.0</v>
      </c>
      <c r="E12" s="153">
        <v>1738.0</v>
      </c>
      <c r="F12" s="153">
        <f>SUM(('Future Orders'!$E12) * (1.1))</f>
        <v>1911.8</v>
      </c>
      <c r="G12" s="154">
        <v>8.3</v>
      </c>
      <c r="H12" s="155">
        <v>14425.400000000001</v>
      </c>
      <c r="I12" s="155">
        <f>SUM(('Future Orders'!$H12) * (1.1))</f>
        <v>15867.94</v>
      </c>
      <c r="J12" s="159">
        <f>SUMIFS('Future Orders'!$F12, 'Future Orders'!$D12, "1", 'Future Orders'!$C12, "A", 'Future Orders'!$B12, "1")</f>
        <v>0</v>
      </c>
      <c r="K12" s="157">
        <f>SUMIFS('Future Orders'!$I12, 'Future Orders'!$D12, "1", 'Future Orders'!$C12, "A", 'Future Orders'!$B12, "1")</f>
        <v>0</v>
      </c>
      <c r="L12" s="157">
        <f>SUMIFS('Future Orders'!$F12, 'Future Orders'!$D12, "1", 'Future Orders'!$C12, "B", 'Future Orders'!$B12, "1")</f>
        <v>0</v>
      </c>
      <c r="M12" s="157">
        <f>SUMIFS('Future Orders'!$I12, 'Future Orders'!$D12, "1", 'Future Orders'!$C12, "B", 'Future Orders'!$B12, "1")</f>
        <v>0</v>
      </c>
      <c r="N12" s="159">
        <f>SUMIFS('Future Orders'!$F12, 'Future Orders'!$D12, "1", 'Future Orders'!$C12, "A", 'Future Orders'!$B12, "2")</f>
        <v>0</v>
      </c>
      <c r="O12" s="157">
        <f>SUMIFS('Future Orders'!$I12, 'Future Orders'!$D12, "1", 'Future Orders'!$C12, "A", 'Future Orders'!$B12, "2")</f>
        <v>0</v>
      </c>
      <c r="P12" s="157">
        <f>SUMIFS('Future Orders'!$E12, 'Future Orders'!$D12, "1", 'Future Orders'!$C12, "B", 'Future Orders'!$B12, "2")</f>
        <v>0</v>
      </c>
      <c r="Q12" s="157">
        <f>SUMIFS('Future Orders'!$I12, 'Future Orders'!$D12, "1", 'Future Orders'!$C12, "B", 'Future Orders'!$B12, "2")</f>
        <v>0</v>
      </c>
      <c r="R12" s="159">
        <f>SUMIFS('Future Orders'!$F12, 'Future Orders'!$D12, "2", 'Future Orders'!$C12, "A", 'Future Orders'!$B12, "1")</f>
        <v>0</v>
      </c>
      <c r="S12" s="157">
        <f>SUMIFS('Future Orders'!$I12, 'Future Orders'!$D12, "2", 'Future Orders'!$C12, "A", 'Future Orders'!$B12, "1")</f>
        <v>0</v>
      </c>
      <c r="T12" s="159">
        <f>SUMIFS('Future Orders'!$F12, 'Future Orders'!$D12, "2", 'Future Orders'!$C12, "B", 'Future Orders'!$B12, "1")</f>
        <v>0</v>
      </c>
      <c r="U12" s="157">
        <f>SUMIFS('Future Orders'!$I12, 'Future Orders'!$D12, "2", 'Future Orders'!$C12, "B", 'Future Orders'!$B12, "1")</f>
        <v>0</v>
      </c>
      <c r="V12" s="159">
        <f>SUMIFS('Future Orders'!$F12, 'Future Orders'!$D12, "2", 'Future Orders'!$C12, "A", 'Future Orders'!$B12, "2")</f>
        <v>0</v>
      </c>
      <c r="W12" s="157">
        <f>SUMIFS('Future Orders'!$I12, 'Future Orders'!$D12, "2", 'Future Orders'!$C12, "A", 'Future Orders'!$B12, "2")</f>
        <v>0</v>
      </c>
      <c r="X12" s="159">
        <f>SUMIFS('Future Orders'!$F12, 'Future Orders'!$D12, "2", 'Future Orders'!$C12, "B", 'Future Orders'!$B12, "2")</f>
        <v>0</v>
      </c>
      <c r="Y12" s="159">
        <f>SUMIFS('Future Orders'!$I12, 'Future Orders'!$D12, "2", 'Future Orders'!$C12, "B", 'Future Orders'!$B12, "2")</f>
        <v>0</v>
      </c>
      <c r="Z12" s="159">
        <f>SUMIFS('Future Orders'!$F12, 'Future Orders'!$D12, "3", 'Future Orders'!$C12, "A", 'Future Orders'!$B12, "1")</f>
        <v>0</v>
      </c>
      <c r="AA12" s="159">
        <f>SUMIFS('Future Orders'!$I12, 'Future Orders'!$D12, "3", 'Future Orders'!$C12, "A", 'Future Orders'!$B12, "1")</f>
        <v>0</v>
      </c>
      <c r="AB12" s="159">
        <f>SUMIFS('Future Orders'!$F12, 'Future Orders'!$D12, "3", 'Future Orders'!$C12, "B", 'Future Orders'!$B12, "1")</f>
        <v>1911.8</v>
      </c>
      <c r="AC12" s="159">
        <f>SUMIFS('Future Orders'!$I12, 'Future Orders'!$D12, "3", 'Future Orders'!$C12, "B", 'Future Orders'!$B12, "1")</f>
        <v>15867.94</v>
      </c>
      <c r="AD12" s="159">
        <f>SUMIFS('Future Orders'!$F12, 'Future Orders'!$D12, "3", 'Future Orders'!$C12, "A", 'Future Orders'!$B12, "2")</f>
        <v>0</v>
      </c>
      <c r="AE12" s="159">
        <f>SUMIFS('Future Orders'!$I12, 'Future Orders'!$D12, "3", 'Future Orders'!$C12, "A", 'Future Orders'!$B12, "2")</f>
        <v>0</v>
      </c>
      <c r="AF12" s="159">
        <f>SUMIFS('Future Orders'!$F12, 'Future Orders'!$D12, "3", 'Future Orders'!$C12, "B", 'Future Orders'!$B12, "2")</f>
        <v>0</v>
      </c>
      <c r="AG12" s="157">
        <f>SUMIFS('Future Orders'!$I12, 'Future Orders'!$D12, "3", 'Future Orders'!$C12, "B", 'Future Orders'!$B12, "2")</f>
        <v>0</v>
      </c>
      <c r="AH12" s="157">
        <f>SUMIFS('Future Orders'!$F12, 'Future Orders'!$D12, "4", 'Future Orders'!$C12, "A", 'Future Orders'!$B12, "1")</f>
        <v>0</v>
      </c>
      <c r="AI12" s="157">
        <f>SUMIFS('Future Orders'!$I12, 'Future Orders'!$D12, "4", 'Future Orders'!$C12, "A", 'Future Orders'!$B12, "1")</f>
        <v>0</v>
      </c>
      <c r="AJ12" s="157">
        <f>SUMIFS('Future Orders'!$F12, 'Future Orders'!$D12, "4", 'Future Orders'!$C12, "B", 'Future Orders'!$B12, "1")</f>
        <v>0</v>
      </c>
      <c r="AK12" s="157">
        <f>SUMIFS('Future Orders'!$I12, 'Future Orders'!$D12, "4", 'Future Orders'!$C12, "B", 'Future Orders'!$B12, "1")</f>
        <v>0</v>
      </c>
      <c r="AL12" s="157">
        <f>SUMIFS('Future Orders'!$F12, 'Future Orders'!$D12, "4", 'Future Orders'!$C12, "A", 'Future Orders'!$B12, "2")</f>
        <v>0</v>
      </c>
      <c r="AM12" s="157">
        <f>SUMIFS('Future Orders'!$I12, 'Future Orders'!$D12, "4", 'Future Orders'!$C12, "A", 'Future Orders'!$B12, "2")</f>
        <v>0</v>
      </c>
      <c r="AN12" s="171">
        <f>SUMIFS('Future Orders'!$F12, 'Future Orders'!$D12, "4", 'Future Orders'!$C12, "B", 'Future Orders'!$B12, "2")</f>
        <v>0</v>
      </c>
      <c r="AO12" s="171">
        <f>SUMIFS('Future Orders'!$I12, 'Future Orders'!$D12, "4", 'Future Orders'!$C12, "B", 'Future Orders'!$B12, "2")</f>
        <v>0</v>
      </c>
      <c r="AP12" s="171">
        <f>SUMIFS('Future Orders'!$H12, 'Future Orders'!$C12, "A", 'Future Orders'!$B12, "1")</f>
        <v>0</v>
      </c>
      <c r="AQ12" s="171">
        <f>SUMIFS('Future Orders'!$I12, 'Future Orders'!$C12, "B", 'Future Orders'!$B12, "1")</f>
        <v>15867.94</v>
      </c>
      <c r="AR12" s="171">
        <f>SUMIFS('Future Orders'!$H12, 'Future Orders'!$C12, "A", 'Future Orders'!$B12, "2")</f>
        <v>0</v>
      </c>
      <c r="AS12" s="171">
        <f>SUMIFS('Future Orders'!$I12, 'Future Orders'!$C12, "B", 'Future Orders'!$B12, "2")</f>
        <v>0</v>
      </c>
      <c r="AT12" s="145"/>
      <c r="AU12" s="146"/>
      <c r="AV12" s="161">
        <v>41925.0</v>
      </c>
      <c r="AW12" s="162"/>
      <c r="AX12" s="163">
        <f t="shared" si="1"/>
        <v>41925</v>
      </c>
      <c r="AY12" s="164">
        <f t="shared" si="2"/>
        <v>20009</v>
      </c>
      <c r="AZ12" s="164">
        <f t="shared" si="3"/>
        <v>10548</v>
      </c>
      <c r="BA12" s="164">
        <f t="shared" si="4"/>
        <v>9461</v>
      </c>
      <c r="BB12" s="164">
        <f t="shared" si="5"/>
        <v>15780</v>
      </c>
      <c r="BC12" s="164">
        <f t="shared" si="6"/>
        <v>4229</v>
      </c>
      <c r="BD12" s="165"/>
      <c r="BE12" s="166">
        <f t="shared" si="7"/>
        <v>66478.17</v>
      </c>
      <c r="BF12" s="166">
        <f t="shared" si="8"/>
        <v>33816.86</v>
      </c>
      <c r="BG12" s="166">
        <f t="shared" si="9"/>
        <v>32661.31</v>
      </c>
      <c r="BH12" s="167"/>
      <c r="BI12" s="166">
        <f t="shared" si="10"/>
        <v>8542.6</v>
      </c>
      <c r="BJ12" s="166">
        <f t="shared" si="11"/>
        <v>6557.76</v>
      </c>
      <c r="BK12" s="166">
        <f t="shared" si="12"/>
        <v>0</v>
      </c>
      <c r="BL12" s="166">
        <f t="shared" si="13"/>
        <v>8542.6</v>
      </c>
      <c r="BM12" s="166">
        <f>SUM('Future Orders'!$BI12:$BL12)</f>
        <v>23642.96</v>
      </c>
      <c r="BN12" s="167"/>
      <c r="BO12" s="166">
        <f t="shared" si="14"/>
        <v>0</v>
      </c>
      <c r="BP12" s="166">
        <f t="shared" si="15"/>
        <v>0</v>
      </c>
      <c r="BQ12" s="166">
        <f t="shared" si="16"/>
        <v>18716.5</v>
      </c>
      <c r="BR12" s="166">
        <f t="shared" si="17"/>
        <v>0</v>
      </c>
      <c r="BS12" s="166">
        <f>SUM('Future Orders'!$BO12:$BR12)</f>
        <v>18716.5</v>
      </c>
      <c r="BT12" s="167"/>
      <c r="BU12" s="166">
        <f t="shared" si="18"/>
        <v>6940.56</v>
      </c>
      <c r="BV12" s="166">
        <f t="shared" si="19"/>
        <v>5826.48</v>
      </c>
      <c r="BW12" s="166">
        <f t="shared" si="20"/>
        <v>0</v>
      </c>
      <c r="BX12" s="166">
        <f t="shared" si="21"/>
        <v>6940.56</v>
      </c>
      <c r="BY12" s="166">
        <f>SUM('Future Orders'!$BU12:$BX12)</f>
        <v>19707.6</v>
      </c>
      <c r="BZ12" s="167"/>
      <c r="CA12" s="166">
        <f t="shared" si="22"/>
        <v>0</v>
      </c>
      <c r="CB12" s="166">
        <f t="shared" si="23"/>
        <v>0</v>
      </c>
      <c r="CC12" s="166">
        <f t="shared" si="24"/>
        <v>19894.27</v>
      </c>
      <c r="CD12" s="166">
        <f t="shared" si="25"/>
        <v>0</v>
      </c>
      <c r="CE12" s="166">
        <f>SUM('Future Orders'!$CA12:$CD12)</f>
        <v>19894.27</v>
      </c>
      <c r="CF12" s="167"/>
      <c r="CG12" s="166">
        <f>SUM('Future Orders'!$BI12:$BJ12)
+ SUM('Future Orders'!$BU12:$BV12)</f>
        <v>27867.4</v>
      </c>
      <c r="CH12" s="166">
        <f>SUM('Future Orders'!$BQ12)
+ SUM('Future Orders'!$BX12)</f>
        <v>25657.06</v>
      </c>
      <c r="CI12" s="166">
        <f>SUM('Future Orders'!$BI12:$BJ12)
+ SUM('Future Orders'!$BU12:$BV12)
+ SUM(('Future Orders'!$BI12) * 2)</f>
        <v>44952.6</v>
      </c>
      <c r="CJ12" s="166">
        <f>SUM(('Future Orders'!$BQ12) * 2) + SUM('Future Orders'!$BX12)</f>
        <v>44373.56</v>
      </c>
      <c r="CK12" s="167"/>
      <c r="CL12" s="168">
        <f t="shared" si="26"/>
        <v>3</v>
      </c>
      <c r="CM12" s="168">
        <f t="shared" si="27"/>
        <v>3</v>
      </c>
      <c r="CN12" s="168">
        <f t="shared" si="28"/>
        <v>4</v>
      </c>
      <c r="CO12" s="168">
        <f t="shared" si="29"/>
        <v>2</v>
      </c>
      <c r="CP12" s="168">
        <f t="shared" si="30"/>
        <v>2</v>
      </c>
      <c r="CQ12" s="169">
        <f t="shared" si="31"/>
        <v>2</v>
      </c>
      <c r="CR12" s="169">
        <f t="shared" si="32"/>
        <v>2</v>
      </c>
      <c r="CS12" s="170"/>
    </row>
    <row r="13">
      <c r="A13" s="151">
        <v>41862.0</v>
      </c>
      <c r="B13" s="152">
        <v>2.0</v>
      </c>
      <c r="C13" s="152" t="s">
        <v>46</v>
      </c>
      <c r="D13" s="152">
        <v>3.0</v>
      </c>
      <c r="E13" s="153">
        <v>2016.0</v>
      </c>
      <c r="F13" s="153">
        <f>SUM(('Future Orders'!$E13) * (1.1))</f>
        <v>2217.6</v>
      </c>
      <c r="G13" s="154">
        <v>8.3</v>
      </c>
      <c r="H13" s="155">
        <v>16732.800000000003</v>
      </c>
      <c r="I13" s="155">
        <f>SUM(('Future Orders'!$H13) * (1.1))</f>
        <v>18406.08</v>
      </c>
      <c r="J13" s="159">
        <f>SUMIFS('Future Orders'!$F13, 'Future Orders'!$D13, "1", 'Future Orders'!$C13, "A", 'Future Orders'!$B13, "1")</f>
        <v>0</v>
      </c>
      <c r="K13" s="157">
        <f>SUMIFS('Future Orders'!$I13, 'Future Orders'!$D13, "1", 'Future Orders'!$C13, "A", 'Future Orders'!$B13, "1")</f>
        <v>0</v>
      </c>
      <c r="L13" s="157">
        <f>SUMIFS('Future Orders'!$F13, 'Future Orders'!$D13, "1", 'Future Orders'!$C13, "B", 'Future Orders'!$B13, "1")</f>
        <v>0</v>
      </c>
      <c r="M13" s="157">
        <f>SUMIFS('Future Orders'!$I13, 'Future Orders'!$D13, "1", 'Future Orders'!$C13, "B", 'Future Orders'!$B13, "1")</f>
        <v>0</v>
      </c>
      <c r="N13" s="159">
        <f>SUMIFS('Future Orders'!$F13, 'Future Orders'!$D13, "1", 'Future Orders'!$C13, "A", 'Future Orders'!$B13, "2")</f>
        <v>0</v>
      </c>
      <c r="O13" s="157">
        <f>SUMIFS('Future Orders'!$I13, 'Future Orders'!$D13, "1", 'Future Orders'!$C13, "A", 'Future Orders'!$B13, "2")</f>
        <v>0</v>
      </c>
      <c r="P13" s="157">
        <f>SUMIFS('Future Orders'!$E13, 'Future Orders'!$D13, "1", 'Future Orders'!$C13, "B", 'Future Orders'!$B13, "2")</f>
        <v>0</v>
      </c>
      <c r="Q13" s="157">
        <f>SUMIFS('Future Orders'!$I13, 'Future Orders'!$D13, "1", 'Future Orders'!$C13, "B", 'Future Orders'!$B13, "2")</f>
        <v>0</v>
      </c>
      <c r="R13" s="159">
        <f>SUMIFS('Future Orders'!$F13, 'Future Orders'!$D13, "2", 'Future Orders'!$C13, "A", 'Future Orders'!$B13, "1")</f>
        <v>0</v>
      </c>
      <c r="S13" s="157">
        <f>SUMIFS('Future Orders'!$I13, 'Future Orders'!$D13, "2", 'Future Orders'!$C13, "A", 'Future Orders'!$B13, "1")</f>
        <v>0</v>
      </c>
      <c r="T13" s="159">
        <f>SUMIFS('Future Orders'!$F13, 'Future Orders'!$D13, "2", 'Future Orders'!$C13, "B", 'Future Orders'!$B13, "1")</f>
        <v>0</v>
      </c>
      <c r="U13" s="157">
        <f>SUMIFS('Future Orders'!$I13, 'Future Orders'!$D13, "2", 'Future Orders'!$C13, "B", 'Future Orders'!$B13, "1")</f>
        <v>0</v>
      </c>
      <c r="V13" s="159">
        <f>SUMIFS('Future Orders'!$F13, 'Future Orders'!$D13, "2", 'Future Orders'!$C13, "A", 'Future Orders'!$B13, "2")</f>
        <v>0</v>
      </c>
      <c r="W13" s="157">
        <f>SUMIFS('Future Orders'!$I13, 'Future Orders'!$D13, "2", 'Future Orders'!$C13, "A", 'Future Orders'!$B13, "2")</f>
        <v>0</v>
      </c>
      <c r="X13" s="159">
        <f>SUMIFS('Future Orders'!$F13, 'Future Orders'!$D13, "2", 'Future Orders'!$C13, "B", 'Future Orders'!$B13, "2")</f>
        <v>0</v>
      </c>
      <c r="Y13" s="159">
        <f>SUMIFS('Future Orders'!$I13, 'Future Orders'!$D13, "2", 'Future Orders'!$C13, "B", 'Future Orders'!$B13, "2")</f>
        <v>0</v>
      </c>
      <c r="Z13" s="159">
        <f>SUMIFS('Future Orders'!$F13, 'Future Orders'!$D13, "3", 'Future Orders'!$C13, "A", 'Future Orders'!$B13, "1")</f>
        <v>0</v>
      </c>
      <c r="AA13" s="159">
        <f>SUMIFS('Future Orders'!$I13, 'Future Orders'!$D13, "3", 'Future Orders'!$C13, "A", 'Future Orders'!$B13, "1")</f>
        <v>0</v>
      </c>
      <c r="AB13" s="159">
        <f>SUMIFS('Future Orders'!$F13, 'Future Orders'!$D13, "3", 'Future Orders'!$C13, "B", 'Future Orders'!$B13, "1")</f>
        <v>0</v>
      </c>
      <c r="AC13" s="159">
        <f>SUMIFS('Future Orders'!$I13, 'Future Orders'!$D13, "3", 'Future Orders'!$C13, "B", 'Future Orders'!$B13, "1")</f>
        <v>0</v>
      </c>
      <c r="AD13" s="159">
        <f>SUMIFS('Future Orders'!$F13, 'Future Orders'!$D13, "3", 'Future Orders'!$C13, "A", 'Future Orders'!$B13, "2")</f>
        <v>0</v>
      </c>
      <c r="AE13" s="159">
        <f>SUMIFS('Future Orders'!$I13, 'Future Orders'!$D13, "3", 'Future Orders'!$C13, "A", 'Future Orders'!$B13, "2")</f>
        <v>0</v>
      </c>
      <c r="AF13" s="159">
        <f>SUMIFS('Future Orders'!$F13, 'Future Orders'!$D13, "3", 'Future Orders'!$C13, "B", 'Future Orders'!$B13, "2")</f>
        <v>2217.6</v>
      </c>
      <c r="AG13" s="157">
        <f>SUMIFS('Future Orders'!$I13, 'Future Orders'!$D13, "3", 'Future Orders'!$C13, "B", 'Future Orders'!$B13, "2")</f>
        <v>18406.08</v>
      </c>
      <c r="AH13" s="157">
        <f>SUMIFS('Future Orders'!$F13, 'Future Orders'!$D13, "4", 'Future Orders'!$C13, "A", 'Future Orders'!$B13, "1")</f>
        <v>0</v>
      </c>
      <c r="AI13" s="157">
        <f>SUMIFS('Future Orders'!$I13, 'Future Orders'!$D13, "4", 'Future Orders'!$C13, "A", 'Future Orders'!$B13, "1")</f>
        <v>0</v>
      </c>
      <c r="AJ13" s="157">
        <f>SUMIFS('Future Orders'!$F13, 'Future Orders'!$D13, "4", 'Future Orders'!$C13, "B", 'Future Orders'!$B13, "1")</f>
        <v>0</v>
      </c>
      <c r="AK13" s="157">
        <f>SUMIFS('Future Orders'!$I13, 'Future Orders'!$D13, "4", 'Future Orders'!$C13, "B", 'Future Orders'!$B13, "1")</f>
        <v>0</v>
      </c>
      <c r="AL13" s="157">
        <f>SUMIFS('Future Orders'!$F13, 'Future Orders'!$D13, "4", 'Future Orders'!$C13, "A", 'Future Orders'!$B13, "2")</f>
        <v>0</v>
      </c>
      <c r="AM13" s="157">
        <f>SUMIFS('Future Orders'!$I13, 'Future Orders'!$D13, "4", 'Future Orders'!$C13, "A", 'Future Orders'!$B13, "2")</f>
        <v>0</v>
      </c>
      <c r="AN13" s="171">
        <f>SUMIFS('Future Orders'!$F13, 'Future Orders'!$D13, "4", 'Future Orders'!$C13, "B", 'Future Orders'!$B13, "2")</f>
        <v>0</v>
      </c>
      <c r="AO13" s="171">
        <f>SUMIFS('Future Orders'!$I13, 'Future Orders'!$D13, "4", 'Future Orders'!$C13, "B", 'Future Orders'!$B13, "2")</f>
        <v>0</v>
      </c>
      <c r="AP13" s="171">
        <f>SUMIFS('Future Orders'!$H13, 'Future Orders'!$C13, "A", 'Future Orders'!$B13, "1")</f>
        <v>0</v>
      </c>
      <c r="AQ13" s="171">
        <f>SUMIFS('Future Orders'!$I13, 'Future Orders'!$C13, "B", 'Future Orders'!$B13, "1")</f>
        <v>0</v>
      </c>
      <c r="AR13" s="171">
        <f>SUMIFS('Future Orders'!$H13, 'Future Orders'!$C13, "A", 'Future Orders'!$B13, "2")</f>
        <v>0</v>
      </c>
      <c r="AS13" s="171">
        <f>SUMIFS('Future Orders'!$I13, 'Future Orders'!$C13, "B", 'Future Orders'!$B13, "2")</f>
        <v>18406.08</v>
      </c>
      <c r="AT13" s="145"/>
      <c r="AU13" s="146"/>
      <c r="AV13" s="161">
        <v>41932.0</v>
      </c>
      <c r="AW13" s="162"/>
      <c r="AX13" s="163">
        <f t="shared" si="1"/>
        <v>41932</v>
      </c>
      <c r="AY13" s="164">
        <f t="shared" si="2"/>
        <v>23215</v>
      </c>
      <c r="AZ13" s="164">
        <f t="shared" si="3"/>
        <v>11640</v>
      </c>
      <c r="BA13" s="164">
        <f t="shared" si="4"/>
        <v>11575</v>
      </c>
      <c r="BB13" s="164">
        <f t="shared" si="5"/>
        <v>18787</v>
      </c>
      <c r="BC13" s="164">
        <f t="shared" si="6"/>
        <v>4428</v>
      </c>
      <c r="BD13" s="165"/>
      <c r="BE13" s="166">
        <f t="shared" si="7"/>
        <v>73401.68</v>
      </c>
      <c r="BF13" s="166">
        <f t="shared" si="8"/>
        <v>34775.4</v>
      </c>
      <c r="BG13" s="166">
        <f t="shared" si="9"/>
        <v>38626.28</v>
      </c>
      <c r="BH13" s="167"/>
      <c r="BI13" s="166">
        <f t="shared" si="10"/>
        <v>10229.34</v>
      </c>
      <c r="BJ13" s="166">
        <f t="shared" si="11"/>
        <v>7290.36</v>
      </c>
      <c r="BK13" s="166">
        <f t="shared" si="12"/>
        <v>0</v>
      </c>
      <c r="BL13" s="166">
        <f t="shared" si="13"/>
        <v>10229.34</v>
      </c>
      <c r="BM13" s="166">
        <f>SUM('Future Orders'!$BI13:$BL13)</f>
        <v>27749.04</v>
      </c>
      <c r="BN13" s="167"/>
      <c r="BO13" s="166">
        <f t="shared" si="14"/>
        <v>0</v>
      </c>
      <c r="BP13" s="166">
        <f t="shared" si="15"/>
        <v>0</v>
      </c>
      <c r="BQ13" s="166">
        <f t="shared" si="16"/>
        <v>17255.7</v>
      </c>
      <c r="BR13" s="166">
        <f t="shared" si="17"/>
        <v>0</v>
      </c>
      <c r="BS13" s="166">
        <f>SUM('Future Orders'!$BO13:$BR13)</f>
        <v>17255.7</v>
      </c>
      <c r="BT13" s="167"/>
      <c r="BU13" s="166">
        <f t="shared" si="18"/>
        <v>7756.1</v>
      </c>
      <c r="BV13" s="166">
        <f t="shared" si="19"/>
        <v>7698.24</v>
      </c>
      <c r="BW13" s="166">
        <f t="shared" si="20"/>
        <v>0</v>
      </c>
      <c r="BX13" s="166">
        <f t="shared" si="21"/>
        <v>7756.1</v>
      </c>
      <c r="BY13" s="166">
        <f>SUM('Future Orders'!$BU13:$BX13)</f>
        <v>23210.44</v>
      </c>
      <c r="BZ13" s="167"/>
      <c r="CA13" s="166">
        <f t="shared" si="22"/>
        <v>0</v>
      </c>
      <c r="CB13" s="166">
        <f t="shared" si="23"/>
        <v>0</v>
      </c>
      <c r="CC13" s="166">
        <f t="shared" si="24"/>
        <v>23171.94</v>
      </c>
      <c r="CD13" s="166">
        <f t="shared" si="25"/>
        <v>0</v>
      </c>
      <c r="CE13" s="166">
        <f>SUM('Future Orders'!$CA13:$CD13)</f>
        <v>23171.94</v>
      </c>
      <c r="CF13" s="167"/>
      <c r="CG13" s="166">
        <f>SUM('Future Orders'!$BI13:$BJ13)
+ SUM('Future Orders'!$BU13:$BV13)</f>
        <v>32974.04</v>
      </c>
      <c r="CH13" s="166">
        <f>SUM('Future Orders'!$BQ13)
+ SUM('Future Orders'!$BX13)</f>
        <v>25011.8</v>
      </c>
      <c r="CI13" s="166">
        <f>SUM('Future Orders'!$BI13:$BJ13)
+ SUM('Future Orders'!$BU13:$BV13)
+ SUM(('Future Orders'!$BI13) * 2)</f>
        <v>53432.72</v>
      </c>
      <c r="CJ13" s="166">
        <f>SUM(('Future Orders'!$BQ13) * 2) + SUM('Future Orders'!$BX13)</f>
        <v>42267.5</v>
      </c>
      <c r="CK13" s="167"/>
      <c r="CL13" s="168">
        <f t="shared" si="26"/>
        <v>3</v>
      </c>
      <c r="CM13" s="168">
        <f t="shared" si="27"/>
        <v>3</v>
      </c>
      <c r="CN13" s="168">
        <f t="shared" si="28"/>
        <v>4</v>
      </c>
      <c r="CO13" s="168">
        <f t="shared" si="29"/>
        <v>2</v>
      </c>
      <c r="CP13" s="168">
        <f t="shared" si="30"/>
        <v>2</v>
      </c>
      <c r="CQ13" s="169">
        <f t="shared" si="31"/>
        <v>2</v>
      </c>
      <c r="CR13" s="169">
        <f t="shared" si="32"/>
        <v>2</v>
      </c>
      <c r="CS13" s="170"/>
    </row>
    <row r="14">
      <c r="A14" s="151">
        <v>41869.0</v>
      </c>
      <c r="B14" s="152">
        <v>1.0</v>
      </c>
      <c r="C14" s="152" t="s">
        <v>45</v>
      </c>
      <c r="D14" s="152">
        <v>1.0</v>
      </c>
      <c r="E14" s="153">
        <v>4268.0</v>
      </c>
      <c r="F14" s="153">
        <f>SUM(('Future Orders'!$E14) * (1.1))</f>
        <v>4694.8</v>
      </c>
      <c r="G14" s="154">
        <v>2.2</v>
      </c>
      <c r="H14" s="155">
        <v>9389.6</v>
      </c>
      <c r="I14" s="155">
        <f>SUM(('Future Orders'!$H14) * (1.1))</f>
        <v>10328.56</v>
      </c>
      <c r="J14" s="159">
        <f>SUMIFS('Future Orders'!$F14, 'Future Orders'!$D14, "1", 'Future Orders'!$C14, "A", 'Future Orders'!$B14, "1")</f>
        <v>4694.8</v>
      </c>
      <c r="K14" s="157">
        <f>SUMIFS('Future Orders'!$I14, 'Future Orders'!$D14, "1", 'Future Orders'!$C14, "A", 'Future Orders'!$B14, "1")</f>
        <v>10328.56</v>
      </c>
      <c r="L14" s="157">
        <f>SUMIFS('Future Orders'!$F14, 'Future Orders'!$D14, "1", 'Future Orders'!$C14, "B", 'Future Orders'!$B14, "1")</f>
        <v>0</v>
      </c>
      <c r="M14" s="157">
        <f>SUMIFS('Future Orders'!$I14, 'Future Orders'!$D14, "1", 'Future Orders'!$C14, "B", 'Future Orders'!$B14, "1")</f>
        <v>0</v>
      </c>
      <c r="N14" s="159">
        <f>SUMIFS('Future Orders'!$F14, 'Future Orders'!$D14, "1", 'Future Orders'!$C14, "A", 'Future Orders'!$B14, "2")</f>
        <v>0</v>
      </c>
      <c r="O14" s="157">
        <f>SUMIFS('Future Orders'!$I14, 'Future Orders'!$D14, "1", 'Future Orders'!$C14, "A", 'Future Orders'!$B14, "2")</f>
        <v>0</v>
      </c>
      <c r="P14" s="157">
        <f>SUMIFS('Future Orders'!$E14, 'Future Orders'!$D14, "1", 'Future Orders'!$C14, "B", 'Future Orders'!$B14, "2")</f>
        <v>0</v>
      </c>
      <c r="Q14" s="157">
        <f>SUMIFS('Future Orders'!$I14, 'Future Orders'!$D14, "1", 'Future Orders'!$C14, "B", 'Future Orders'!$B14, "2")</f>
        <v>0</v>
      </c>
      <c r="R14" s="159">
        <f>SUMIFS('Future Orders'!$F14, 'Future Orders'!$D14, "2", 'Future Orders'!$C14, "A", 'Future Orders'!$B14, "1")</f>
        <v>0</v>
      </c>
      <c r="S14" s="157">
        <f>SUMIFS('Future Orders'!$I14, 'Future Orders'!$D14, "2", 'Future Orders'!$C14, "A", 'Future Orders'!$B14, "1")</f>
        <v>0</v>
      </c>
      <c r="T14" s="159">
        <f>SUMIFS('Future Orders'!$F14, 'Future Orders'!$D14, "2", 'Future Orders'!$C14, "B", 'Future Orders'!$B14, "1")</f>
        <v>0</v>
      </c>
      <c r="U14" s="157">
        <f>SUMIFS('Future Orders'!$I14, 'Future Orders'!$D14, "2", 'Future Orders'!$C14, "B", 'Future Orders'!$B14, "1")</f>
        <v>0</v>
      </c>
      <c r="V14" s="159">
        <f>SUMIFS('Future Orders'!$F14, 'Future Orders'!$D14, "2", 'Future Orders'!$C14, "A", 'Future Orders'!$B14, "2")</f>
        <v>0</v>
      </c>
      <c r="W14" s="157">
        <f>SUMIFS('Future Orders'!$I14, 'Future Orders'!$D14, "2", 'Future Orders'!$C14, "A", 'Future Orders'!$B14, "2")</f>
        <v>0</v>
      </c>
      <c r="X14" s="159">
        <f>SUMIFS('Future Orders'!$F14, 'Future Orders'!$D14, "2", 'Future Orders'!$C14, "B", 'Future Orders'!$B14, "2")</f>
        <v>0</v>
      </c>
      <c r="Y14" s="159">
        <f>SUMIFS('Future Orders'!$I14, 'Future Orders'!$D14, "2", 'Future Orders'!$C14, "B", 'Future Orders'!$B14, "2")</f>
        <v>0</v>
      </c>
      <c r="Z14" s="159">
        <f>SUMIFS('Future Orders'!$F14, 'Future Orders'!$D14, "3", 'Future Orders'!$C14, "A", 'Future Orders'!$B14, "1")</f>
        <v>0</v>
      </c>
      <c r="AA14" s="159">
        <f>SUMIFS('Future Orders'!$I14, 'Future Orders'!$D14, "3", 'Future Orders'!$C14, "A", 'Future Orders'!$B14, "1")</f>
        <v>0</v>
      </c>
      <c r="AB14" s="159">
        <f>SUMIFS('Future Orders'!$F14, 'Future Orders'!$D14, "3", 'Future Orders'!$C14, "B", 'Future Orders'!$B14, "1")</f>
        <v>0</v>
      </c>
      <c r="AC14" s="159">
        <f>SUMIFS('Future Orders'!$I14, 'Future Orders'!$D14, "3", 'Future Orders'!$C14, "B", 'Future Orders'!$B14, "1")</f>
        <v>0</v>
      </c>
      <c r="AD14" s="159">
        <f>SUMIFS('Future Orders'!$F14, 'Future Orders'!$D14, "3", 'Future Orders'!$C14, "A", 'Future Orders'!$B14, "2")</f>
        <v>0</v>
      </c>
      <c r="AE14" s="159">
        <f>SUMIFS('Future Orders'!$I14, 'Future Orders'!$D14, "3", 'Future Orders'!$C14, "A", 'Future Orders'!$B14, "2")</f>
        <v>0</v>
      </c>
      <c r="AF14" s="159">
        <f>SUMIFS('Future Orders'!$F14, 'Future Orders'!$D14, "3", 'Future Orders'!$C14, "B", 'Future Orders'!$B14, "2")</f>
        <v>0</v>
      </c>
      <c r="AG14" s="157">
        <f>SUMIFS('Future Orders'!$I14, 'Future Orders'!$D14, "3", 'Future Orders'!$C14, "B", 'Future Orders'!$B14, "2")</f>
        <v>0</v>
      </c>
      <c r="AH14" s="157">
        <f>SUMIFS('Future Orders'!$F14, 'Future Orders'!$D14, "4", 'Future Orders'!$C14, "A", 'Future Orders'!$B14, "1")</f>
        <v>0</v>
      </c>
      <c r="AI14" s="157">
        <f>SUMIFS('Future Orders'!$I14, 'Future Orders'!$D14, "4", 'Future Orders'!$C14, "A", 'Future Orders'!$B14, "1")</f>
        <v>0</v>
      </c>
      <c r="AJ14" s="157">
        <f>SUMIFS('Future Orders'!$F14, 'Future Orders'!$D14, "4", 'Future Orders'!$C14, "B", 'Future Orders'!$B14, "1")</f>
        <v>0</v>
      </c>
      <c r="AK14" s="157">
        <f>SUMIFS('Future Orders'!$I14, 'Future Orders'!$D14, "4", 'Future Orders'!$C14, "B", 'Future Orders'!$B14, "1")</f>
        <v>0</v>
      </c>
      <c r="AL14" s="157">
        <f>SUMIFS('Future Orders'!$F14, 'Future Orders'!$D14, "4", 'Future Orders'!$C14, "A", 'Future Orders'!$B14, "2")</f>
        <v>0</v>
      </c>
      <c r="AM14" s="157">
        <f>SUMIFS('Future Orders'!$I14, 'Future Orders'!$D14, "4", 'Future Orders'!$C14, "A", 'Future Orders'!$B14, "2")</f>
        <v>0</v>
      </c>
      <c r="AN14" s="171">
        <f>SUMIFS('Future Orders'!$F14, 'Future Orders'!$D14, "4", 'Future Orders'!$C14, "B", 'Future Orders'!$B14, "2")</f>
        <v>0</v>
      </c>
      <c r="AO14" s="171">
        <f>SUMIFS('Future Orders'!$I14, 'Future Orders'!$D14, "4", 'Future Orders'!$C14, "B", 'Future Orders'!$B14, "2")</f>
        <v>0</v>
      </c>
      <c r="AP14" s="171">
        <f>SUMIFS('Future Orders'!$H14, 'Future Orders'!$C14, "A", 'Future Orders'!$B14, "1")</f>
        <v>9389.6</v>
      </c>
      <c r="AQ14" s="171">
        <f>SUMIFS('Future Orders'!$I14, 'Future Orders'!$C14, "B", 'Future Orders'!$B14, "1")</f>
        <v>0</v>
      </c>
      <c r="AR14" s="171">
        <f>SUMIFS('Future Orders'!$H14, 'Future Orders'!$C14, "A", 'Future Orders'!$B14, "2")</f>
        <v>0</v>
      </c>
      <c r="AS14" s="171">
        <f>SUMIFS('Future Orders'!$I14, 'Future Orders'!$C14, "B", 'Future Orders'!$B14, "2")</f>
        <v>0</v>
      </c>
      <c r="AT14" s="145"/>
      <c r="AU14" s="146"/>
      <c r="AV14" s="161">
        <v>41939.0</v>
      </c>
      <c r="AW14" s="162"/>
      <c r="AX14" s="163">
        <f t="shared" si="1"/>
        <v>41939</v>
      </c>
      <c r="AY14" s="164">
        <f t="shared" si="2"/>
        <v>19945</v>
      </c>
      <c r="AZ14" s="164">
        <f t="shared" si="3"/>
        <v>10566</v>
      </c>
      <c r="BA14" s="164">
        <f t="shared" si="4"/>
        <v>9379</v>
      </c>
      <c r="BB14" s="164">
        <f t="shared" si="5"/>
        <v>15026</v>
      </c>
      <c r="BC14" s="164">
        <f t="shared" si="6"/>
        <v>4919</v>
      </c>
      <c r="BD14" s="165"/>
      <c r="BE14" s="166">
        <f t="shared" si="7"/>
        <v>69650.79</v>
      </c>
      <c r="BF14" s="166">
        <f t="shared" si="8"/>
        <v>33527.78</v>
      </c>
      <c r="BG14" s="166">
        <f t="shared" si="9"/>
        <v>36123.01</v>
      </c>
      <c r="BH14" s="167"/>
      <c r="BI14" s="166">
        <f t="shared" si="10"/>
        <v>7235.8</v>
      </c>
      <c r="BJ14" s="166">
        <f t="shared" si="11"/>
        <v>7246.8</v>
      </c>
      <c r="BK14" s="166">
        <f t="shared" si="12"/>
        <v>0</v>
      </c>
      <c r="BL14" s="166">
        <f t="shared" si="13"/>
        <v>7235.8</v>
      </c>
      <c r="BM14" s="166">
        <f>SUM('Future Orders'!$BI14:$BL14)</f>
        <v>21718.4</v>
      </c>
      <c r="BN14" s="167"/>
      <c r="BO14" s="166">
        <f t="shared" si="14"/>
        <v>0</v>
      </c>
      <c r="BP14" s="166">
        <f t="shared" si="15"/>
        <v>0</v>
      </c>
      <c r="BQ14" s="166">
        <f t="shared" si="16"/>
        <v>19045.18</v>
      </c>
      <c r="BR14" s="166">
        <f t="shared" si="17"/>
        <v>0</v>
      </c>
      <c r="BS14" s="166">
        <f>SUM('Future Orders'!$BO14:$BR14)</f>
        <v>19045.18</v>
      </c>
      <c r="BT14" s="167"/>
      <c r="BU14" s="166">
        <f t="shared" si="18"/>
        <v>3557.4</v>
      </c>
      <c r="BV14" s="166">
        <f t="shared" si="19"/>
        <v>6700.32</v>
      </c>
      <c r="BW14" s="166">
        <f t="shared" si="20"/>
        <v>0</v>
      </c>
      <c r="BX14" s="166">
        <f t="shared" si="21"/>
        <v>3557.4</v>
      </c>
      <c r="BY14" s="166">
        <f>SUM('Future Orders'!$BU14:$BX14)</f>
        <v>13815.12</v>
      </c>
      <c r="BZ14" s="167"/>
      <c r="CA14" s="166">
        <f t="shared" si="22"/>
        <v>0</v>
      </c>
      <c r="CB14" s="166">
        <f t="shared" si="23"/>
        <v>0</v>
      </c>
      <c r="CC14" s="166">
        <f t="shared" si="24"/>
        <v>25865.29</v>
      </c>
      <c r="CD14" s="166">
        <f t="shared" si="25"/>
        <v>0</v>
      </c>
      <c r="CE14" s="166">
        <f>SUM('Future Orders'!$CA14:$CD14)</f>
        <v>25865.29</v>
      </c>
      <c r="CF14" s="167"/>
      <c r="CG14" s="166">
        <f>SUM('Future Orders'!$BI14:$BJ14)
+ SUM('Future Orders'!$BU14:$BV14)</f>
        <v>24740.32</v>
      </c>
      <c r="CH14" s="166">
        <f>SUM('Future Orders'!$BQ14)
+ SUM('Future Orders'!$BX14)</f>
        <v>22602.58</v>
      </c>
      <c r="CI14" s="166">
        <f>SUM('Future Orders'!$BI14:$BJ14)
+ SUM('Future Orders'!$BU14:$BV14)
+ SUM(('Future Orders'!$BI14) * 2)</f>
        <v>39211.92</v>
      </c>
      <c r="CJ14" s="166">
        <f>SUM(('Future Orders'!$BQ14) * 2) + SUM('Future Orders'!$BX14)</f>
        <v>41647.76</v>
      </c>
      <c r="CK14" s="167"/>
      <c r="CL14" s="168">
        <f t="shared" si="26"/>
        <v>3</v>
      </c>
      <c r="CM14" s="168">
        <f t="shared" si="27"/>
        <v>3</v>
      </c>
      <c r="CN14" s="168">
        <f t="shared" si="28"/>
        <v>4</v>
      </c>
      <c r="CO14" s="168">
        <f t="shared" si="29"/>
        <v>2</v>
      </c>
      <c r="CP14" s="168">
        <f t="shared" si="30"/>
        <v>2</v>
      </c>
      <c r="CQ14" s="169">
        <f t="shared" si="31"/>
        <v>2</v>
      </c>
      <c r="CR14" s="169">
        <f t="shared" si="32"/>
        <v>2</v>
      </c>
      <c r="CS14" s="170"/>
    </row>
    <row r="15">
      <c r="A15" s="151">
        <v>41869.0</v>
      </c>
      <c r="B15" s="152">
        <v>1.0</v>
      </c>
      <c r="C15" s="152" t="s">
        <v>45</v>
      </c>
      <c r="D15" s="152">
        <v>2.0</v>
      </c>
      <c r="E15" s="153">
        <v>5342.0</v>
      </c>
      <c r="F15" s="153">
        <f>SUM(('Future Orders'!$E15) * (1.1))</f>
        <v>5876.2</v>
      </c>
      <c r="G15" s="154">
        <v>1.2</v>
      </c>
      <c r="H15" s="155">
        <v>6410.4</v>
      </c>
      <c r="I15" s="155">
        <f>SUM(('Future Orders'!$H15) * (1.1))</f>
        <v>7051.44</v>
      </c>
      <c r="J15" s="159">
        <f>SUMIFS('Future Orders'!$F15, 'Future Orders'!$D15, "1", 'Future Orders'!$C15, "A", 'Future Orders'!$B15, "1")</f>
        <v>0</v>
      </c>
      <c r="K15" s="157">
        <f>SUMIFS('Future Orders'!$I15, 'Future Orders'!$D15, "1", 'Future Orders'!$C15, "A", 'Future Orders'!$B15, "1")</f>
        <v>0</v>
      </c>
      <c r="L15" s="157">
        <f>SUMIFS('Future Orders'!$F15, 'Future Orders'!$D15, "1", 'Future Orders'!$C15, "B", 'Future Orders'!$B15, "1")</f>
        <v>0</v>
      </c>
      <c r="M15" s="157">
        <f>SUMIFS('Future Orders'!$I15, 'Future Orders'!$D15, "1", 'Future Orders'!$C15, "B", 'Future Orders'!$B15, "1")</f>
        <v>0</v>
      </c>
      <c r="N15" s="159">
        <f>SUMIFS('Future Orders'!$F15, 'Future Orders'!$D15, "1", 'Future Orders'!$C15, "A", 'Future Orders'!$B15, "2")</f>
        <v>0</v>
      </c>
      <c r="O15" s="157">
        <f>SUMIFS('Future Orders'!$I15, 'Future Orders'!$D15, "1", 'Future Orders'!$C15, "A", 'Future Orders'!$B15, "2")</f>
        <v>0</v>
      </c>
      <c r="P15" s="157">
        <f>SUMIFS('Future Orders'!$E15, 'Future Orders'!$D15, "1", 'Future Orders'!$C15, "B", 'Future Orders'!$B15, "2")</f>
        <v>0</v>
      </c>
      <c r="Q15" s="157">
        <f>SUMIFS('Future Orders'!$I15, 'Future Orders'!$D15, "1", 'Future Orders'!$C15, "B", 'Future Orders'!$B15, "2")</f>
        <v>0</v>
      </c>
      <c r="R15" s="159">
        <f>SUMIFS('Future Orders'!$F15, 'Future Orders'!$D15, "2", 'Future Orders'!$C15, "A", 'Future Orders'!$B15, "1")</f>
        <v>5876.2</v>
      </c>
      <c r="S15" s="157">
        <f>SUMIFS('Future Orders'!$I15, 'Future Orders'!$D15, "2", 'Future Orders'!$C15, "A", 'Future Orders'!$B15, "1")</f>
        <v>7051.44</v>
      </c>
      <c r="T15" s="159">
        <f>SUMIFS('Future Orders'!$F15, 'Future Orders'!$D15, "2", 'Future Orders'!$C15, "B", 'Future Orders'!$B15, "1")</f>
        <v>0</v>
      </c>
      <c r="U15" s="157">
        <f>SUMIFS('Future Orders'!$I15, 'Future Orders'!$D15, "2", 'Future Orders'!$C15, "B", 'Future Orders'!$B15, "1")</f>
        <v>0</v>
      </c>
      <c r="V15" s="159">
        <f>SUMIFS('Future Orders'!$F15, 'Future Orders'!$D15, "2", 'Future Orders'!$C15, "A", 'Future Orders'!$B15, "2")</f>
        <v>0</v>
      </c>
      <c r="W15" s="157">
        <f>SUMIFS('Future Orders'!$I15, 'Future Orders'!$D15, "2", 'Future Orders'!$C15, "A", 'Future Orders'!$B15, "2")</f>
        <v>0</v>
      </c>
      <c r="X15" s="159">
        <f>SUMIFS('Future Orders'!$F15, 'Future Orders'!$D15, "2", 'Future Orders'!$C15, "B", 'Future Orders'!$B15, "2")</f>
        <v>0</v>
      </c>
      <c r="Y15" s="159">
        <f>SUMIFS('Future Orders'!$I15, 'Future Orders'!$D15, "2", 'Future Orders'!$C15, "B", 'Future Orders'!$B15, "2")</f>
        <v>0</v>
      </c>
      <c r="Z15" s="159">
        <f>SUMIFS('Future Orders'!$F15, 'Future Orders'!$D15, "3", 'Future Orders'!$C15, "A", 'Future Orders'!$B15, "1")</f>
        <v>0</v>
      </c>
      <c r="AA15" s="159">
        <f>SUMIFS('Future Orders'!$I15, 'Future Orders'!$D15, "3", 'Future Orders'!$C15, "A", 'Future Orders'!$B15, "1")</f>
        <v>0</v>
      </c>
      <c r="AB15" s="159">
        <f>SUMIFS('Future Orders'!$F15, 'Future Orders'!$D15, "3", 'Future Orders'!$C15, "B", 'Future Orders'!$B15, "1")</f>
        <v>0</v>
      </c>
      <c r="AC15" s="159">
        <f>SUMIFS('Future Orders'!$I15, 'Future Orders'!$D15, "3", 'Future Orders'!$C15, "B", 'Future Orders'!$B15, "1")</f>
        <v>0</v>
      </c>
      <c r="AD15" s="159">
        <f>SUMIFS('Future Orders'!$F15, 'Future Orders'!$D15, "3", 'Future Orders'!$C15, "A", 'Future Orders'!$B15, "2")</f>
        <v>0</v>
      </c>
      <c r="AE15" s="159">
        <f>SUMIFS('Future Orders'!$I15, 'Future Orders'!$D15, "3", 'Future Orders'!$C15, "A", 'Future Orders'!$B15, "2")</f>
        <v>0</v>
      </c>
      <c r="AF15" s="159">
        <f>SUMIFS('Future Orders'!$F15, 'Future Orders'!$D15, "3", 'Future Orders'!$C15, "B", 'Future Orders'!$B15, "2")</f>
        <v>0</v>
      </c>
      <c r="AG15" s="157">
        <f>SUMIFS('Future Orders'!$I15, 'Future Orders'!$D15, "3", 'Future Orders'!$C15, "B", 'Future Orders'!$B15, "2")</f>
        <v>0</v>
      </c>
      <c r="AH15" s="157">
        <f>SUMIFS('Future Orders'!$F15, 'Future Orders'!$D15, "4", 'Future Orders'!$C15, "A", 'Future Orders'!$B15, "1")</f>
        <v>0</v>
      </c>
      <c r="AI15" s="157">
        <f>SUMIFS('Future Orders'!$I15, 'Future Orders'!$D15, "4", 'Future Orders'!$C15, "A", 'Future Orders'!$B15, "1")</f>
        <v>0</v>
      </c>
      <c r="AJ15" s="157">
        <f>SUMIFS('Future Orders'!$F15, 'Future Orders'!$D15, "4", 'Future Orders'!$C15, "B", 'Future Orders'!$B15, "1")</f>
        <v>0</v>
      </c>
      <c r="AK15" s="157">
        <f>SUMIFS('Future Orders'!$I15, 'Future Orders'!$D15, "4", 'Future Orders'!$C15, "B", 'Future Orders'!$B15, "1")</f>
        <v>0</v>
      </c>
      <c r="AL15" s="157">
        <f>SUMIFS('Future Orders'!$F15, 'Future Orders'!$D15, "4", 'Future Orders'!$C15, "A", 'Future Orders'!$B15, "2")</f>
        <v>0</v>
      </c>
      <c r="AM15" s="157">
        <f>SUMIFS('Future Orders'!$I15, 'Future Orders'!$D15, "4", 'Future Orders'!$C15, "A", 'Future Orders'!$B15, "2")</f>
        <v>0</v>
      </c>
      <c r="AN15" s="171">
        <f>SUMIFS('Future Orders'!$F15, 'Future Orders'!$D15, "4", 'Future Orders'!$C15, "B", 'Future Orders'!$B15, "2")</f>
        <v>0</v>
      </c>
      <c r="AO15" s="171">
        <f>SUMIFS('Future Orders'!$I15, 'Future Orders'!$D15, "4", 'Future Orders'!$C15, "B", 'Future Orders'!$B15, "2")</f>
        <v>0</v>
      </c>
      <c r="AP15" s="171">
        <f>SUMIFS('Future Orders'!$H15, 'Future Orders'!$C15, "A", 'Future Orders'!$B15, "1")</f>
        <v>6410.4</v>
      </c>
      <c r="AQ15" s="171">
        <f>SUMIFS('Future Orders'!$I15, 'Future Orders'!$C15, "B", 'Future Orders'!$B15, "1")</f>
        <v>0</v>
      </c>
      <c r="AR15" s="171">
        <f>SUMIFS('Future Orders'!$H15, 'Future Orders'!$C15, "A", 'Future Orders'!$B15, "2")</f>
        <v>0</v>
      </c>
      <c r="AS15" s="171">
        <f>SUMIFS('Future Orders'!$I15, 'Future Orders'!$C15, "B", 'Future Orders'!$B15, "2")</f>
        <v>0</v>
      </c>
      <c r="AT15" s="145"/>
      <c r="AU15" s="146"/>
      <c r="AV15" s="161">
        <v>41946.0</v>
      </c>
      <c r="AW15" s="162"/>
      <c r="AX15" s="163">
        <f t="shared" si="1"/>
        <v>41946</v>
      </c>
      <c r="AY15" s="164">
        <f t="shared" si="2"/>
        <v>21565</v>
      </c>
      <c r="AZ15" s="164">
        <f t="shared" si="3"/>
        <v>11077</v>
      </c>
      <c r="BA15" s="164">
        <f t="shared" si="4"/>
        <v>10488</v>
      </c>
      <c r="BB15" s="164">
        <f t="shared" si="5"/>
        <v>17246</v>
      </c>
      <c r="BC15" s="164">
        <f t="shared" si="6"/>
        <v>4319</v>
      </c>
      <c r="BD15" s="165"/>
      <c r="BE15" s="166">
        <f t="shared" si="7"/>
        <v>69165.69</v>
      </c>
      <c r="BF15" s="166">
        <f t="shared" si="8"/>
        <v>33818.4</v>
      </c>
      <c r="BG15" s="166">
        <f t="shared" si="9"/>
        <v>35347.29</v>
      </c>
      <c r="BH15" s="167"/>
      <c r="BI15" s="166">
        <f t="shared" si="10"/>
        <v>8453.06</v>
      </c>
      <c r="BJ15" s="166">
        <f t="shared" si="11"/>
        <v>7415.76</v>
      </c>
      <c r="BK15" s="166">
        <f t="shared" si="12"/>
        <v>0</v>
      </c>
      <c r="BL15" s="166">
        <f t="shared" si="13"/>
        <v>8453.06</v>
      </c>
      <c r="BM15" s="166">
        <f>SUM('Future Orders'!$BI15:$BL15)</f>
        <v>24321.88</v>
      </c>
      <c r="BN15" s="167"/>
      <c r="BO15" s="166">
        <f t="shared" si="14"/>
        <v>0</v>
      </c>
      <c r="BP15" s="166">
        <f t="shared" si="15"/>
        <v>0</v>
      </c>
      <c r="BQ15" s="166">
        <f t="shared" si="16"/>
        <v>17949.58</v>
      </c>
      <c r="BR15" s="166">
        <f t="shared" si="17"/>
        <v>0</v>
      </c>
      <c r="BS15" s="166">
        <f>SUM('Future Orders'!$BO15:$BR15)</f>
        <v>17949.58</v>
      </c>
      <c r="BT15" s="167"/>
      <c r="BU15" s="166">
        <f t="shared" si="18"/>
        <v>6877.64</v>
      </c>
      <c r="BV15" s="166">
        <f t="shared" si="19"/>
        <v>6986.76</v>
      </c>
      <c r="BW15" s="166">
        <f t="shared" si="20"/>
        <v>0</v>
      </c>
      <c r="BX15" s="166">
        <f t="shared" si="21"/>
        <v>6877.64</v>
      </c>
      <c r="BY15" s="166">
        <f>SUM('Future Orders'!$BU15:$BX15)</f>
        <v>20742.04</v>
      </c>
      <c r="BZ15" s="167"/>
      <c r="CA15" s="166">
        <f t="shared" si="22"/>
        <v>0</v>
      </c>
      <c r="CB15" s="166">
        <f t="shared" si="23"/>
        <v>0</v>
      </c>
      <c r="CC15" s="166">
        <f t="shared" si="24"/>
        <v>21482.89</v>
      </c>
      <c r="CD15" s="166">
        <f t="shared" si="25"/>
        <v>0</v>
      </c>
      <c r="CE15" s="166">
        <f>SUM('Future Orders'!$CA15:$CD15)</f>
        <v>21482.89</v>
      </c>
      <c r="CF15" s="167"/>
      <c r="CG15" s="166">
        <f>SUM('Future Orders'!$BI15:$BJ15)
+ SUM('Future Orders'!$BU15:$BV15)</f>
        <v>29733.22</v>
      </c>
      <c r="CH15" s="166">
        <f>SUM('Future Orders'!$BQ15)
+ SUM('Future Orders'!$BX15)</f>
        <v>24827.22</v>
      </c>
      <c r="CI15" s="166">
        <f>SUM('Future Orders'!$BI15:$BJ15)
+ SUM('Future Orders'!$BU15:$BV15)
+ SUM(('Future Orders'!$BI15) * 2)</f>
        <v>46639.34</v>
      </c>
      <c r="CJ15" s="166">
        <f>SUM(('Future Orders'!$BQ15) * 2) + SUM('Future Orders'!$BX15)</f>
        <v>42776.8</v>
      </c>
      <c r="CK15" s="167"/>
      <c r="CL15" s="168">
        <f t="shared" si="26"/>
        <v>3</v>
      </c>
      <c r="CM15" s="168">
        <f t="shared" si="27"/>
        <v>3</v>
      </c>
      <c r="CN15" s="168">
        <f t="shared" si="28"/>
        <v>4</v>
      </c>
      <c r="CO15" s="168">
        <f t="shared" si="29"/>
        <v>2</v>
      </c>
      <c r="CP15" s="168">
        <f t="shared" si="30"/>
        <v>2</v>
      </c>
      <c r="CQ15" s="169">
        <f t="shared" si="31"/>
        <v>2</v>
      </c>
      <c r="CR15" s="169">
        <f t="shared" si="32"/>
        <v>2</v>
      </c>
      <c r="CS15" s="170"/>
    </row>
    <row r="16">
      <c r="A16" s="151">
        <v>41869.0</v>
      </c>
      <c r="B16" s="152">
        <v>2.0</v>
      </c>
      <c r="C16" s="152" t="s">
        <v>45</v>
      </c>
      <c r="D16" s="152">
        <v>1.0</v>
      </c>
      <c r="E16" s="153">
        <v>2623.0</v>
      </c>
      <c r="F16" s="153">
        <f>SUM(('Future Orders'!$E16) * (1.1))</f>
        <v>2885.3</v>
      </c>
      <c r="G16" s="154">
        <v>2.2</v>
      </c>
      <c r="H16" s="155">
        <v>5770.6</v>
      </c>
      <c r="I16" s="155">
        <f>SUM(('Future Orders'!$H16) * (1.1))</f>
        <v>6347.66</v>
      </c>
      <c r="J16" s="159">
        <f>SUMIFS('Future Orders'!$F16, 'Future Orders'!$D16, "1", 'Future Orders'!$C16, "A", 'Future Orders'!$B16, "1")</f>
        <v>0</v>
      </c>
      <c r="K16" s="157">
        <f>SUMIFS('Future Orders'!$I16, 'Future Orders'!$D16, "1", 'Future Orders'!$C16, "A", 'Future Orders'!$B16, "1")</f>
        <v>0</v>
      </c>
      <c r="L16" s="157">
        <f>SUMIFS('Future Orders'!$F16, 'Future Orders'!$D16, "1", 'Future Orders'!$C16, "B", 'Future Orders'!$B16, "1")</f>
        <v>0</v>
      </c>
      <c r="M16" s="157">
        <f>SUMIFS('Future Orders'!$I16, 'Future Orders'!$D16, "1", 'Future Orders'!$C16, "B", 'Future Orders'!$B16, "1")</f>
        <v>0</v>
      </c>
      <c r="N16" s="159">
        <f>SUMIFS('Future Orders'!$F16, 'Future Orders'!$D16, "1", 'Future Orders'!$C16, "A", 'Future Orders'!$B16, "2")</f>
        <v>2885.3</v>
      </c>
      <c r="O16" s="157">
        <f>SUMIFS('Future Orders'!$I16, 'Future Orders'!$D16, "1", 'Future Orders'!$C16, "A", 'Future Orders'!$B16, "2")</f>
        <v>6347.66</v>
      </c>
      <c r="P16" s="157">
        <f>SUMIFS('Future Orders'!$E16, 'Future Orders'!$D16, "1", 'Future Orders'!$C16, "B", 'Future Orders'!$B16, "2")</f>
        <v>0</v>
      </c>
      <c r="Q16" s="157">
        <f>SUMIFS('Future Orders'!$I16, 'Future Orders'!$D16, "1", 'Future Orders'!$C16, "B", 'Future Orders'!$B16, "2")</f>
        <v>0</v>
      </c>
      <c r="R16" s="159">
        <f>SUMIFS('Future Orders'!$F16, 'Future Orders'!$D16, "2", 'Future Orders'!$C16, "A", 'Future Orders'!$B16, "1")</f>
        <v>0</v>
      </c>
      <c r="S16" s="157">
        <f>SUMIFS('Future Orders'!$I16, 'Future Orders'!$D16, "2", 'Future Orders'!$C16, "A", 'Future Orders'!$B16, "1")</f>
        <v>0</v>
      </c>
      <c r="T16" s="159">
        <f>SUMIFS('Future Orders'!$F16, 'Future Orders'!$D16, "2", 'Future Orders'!$C16, "B", 'Future Orders'!$B16, "1")</f>
        <v>0</v>
      </c>
      <c r="U16" s="157">
        <f>SUMIFS('Future Orders'!$I16, 'Future Orders'!$D16, "2", 'Future Orders'!$C16, "B", 'Future Orders'!$B16, "1")</f>
        <v>0</v>
      </c>
      <c r="V16" s="159">
        <f>SUMIFS('Future Orders'!$F16, 'Future Orders'!$D16, "2", 'Future Orders'!$C16, "A", 'Future Orders'!$B16, "2")</f>
        <v>0</v>
      </c>
      <c r="W16" s="157">
        <f>SUMIFS('Future Orders'!$I16, 'Future Orders'!$D16, "2", 'Future Orders'!$C16, "A", 'Future Orders'!$B16, "2")</f>
        <v>0</v>
      </c>
      <c r="X16" s="159">
        <f>SUMIFS('Future Orders'!$F16, 'Future Orders'!$D16, "2", 'Future Orders'!$C16, "B", 'Future Orders'!$B16, "2")</f>
        <v>0</v>
      </c>
      <c r="Y16" s="159">
        <f>SUMIFS('Future Orders'!$I16, 'Future Orders'!$D16, "2", 'Future Orders'!$C16, "B", 'Future Orders'!$B16, "2")</f>
        <v>0</v>
      </c>
      <c r="Z16" s="159">
        <f>SUMIFS('Future Orders'!$F16, 'Future Orders'!$D16, "3", 'Future Orders'!$C16, "A", 'Future Orders'!$B16, "1")</f>
        <v>0</v>
      </c>
      <c r="AA16" s="159">
        <f>SUMIFS('Future Orders'!$I16, 'Future Orders'!$D16, "3", 'Future Orders'!$C16, "A", 'Future Orders'!$B16, "1")</f>
        <v>0</v>
      </c>
      <c r="AB16" s="159">
        <f>SUMIFS('Future Orders'!$F16, 'Future Orders'!$D16, "3", 'Future Orders'!$C16, "B", 'Future Orders'!$B16, "1")</f>
        <v>0</v>
      </c>
      <c r="AC16" s="159">
        <f>SUMIFS('Future Orders'!$I16, 'Future Orders'!$D16, "3", 'Future Orders'!$C16, "B", 'Future Orders'!$B16, "1")</f>
        <v>0</v>
      </c>
      <c r="AD16" s="159">
        <f>SUMIFS('Future Orders'!$F16, 'Future Orders'!$D16, "3", 'Future Orders'!$C16, "A", 'Future Orders'!$B16, "2")</f>
        <v>0</v>
      </c>
      <c r="AE16" s="159">
        <f>SUMIFS('Future Orders'!$I16, 'Future Orders'!$D16, "3", 'Future Orders'!$C16, "A", 'Future Orders'!$B16, "2")</f>
        <v>0</v>
      </c>
      <c r="AF16" s="159">
        <f>SUMIFS('Future Orders'!$F16, 'Future Orders'!$D16, "3", 'Future Orders'!$C16, "B", 'Future Orders'!$B16, "2")</f>
        <v>0</v>
      </c>
      <c r="AG16" s="157">
        <f>SUMIFS('Future Orders'!$I16, 'Future Orders'!$D16, "3", 'Future Orders'!$C16, "B", 'Future Orders'!$B16, "2")</f>
        <v>0</v>
      </c>
      <c r="AH16" s="157">
        <f>SUMIFS('Future Orders'!$F16, 'Future Orders'!$D16, "4", 'Future Orders'!$C16, "A", 'Future Orders'!$B16, "1")</f>
        <v>0</v>
      </c>
      <c r="AI16" s="157">
        <f>SUMIFS('Future Orders'!$I16, 'Future Orders'!$D16, "4", 'Future Orders'!$C16, "A", 'Future Orders'!$B16, "1")</f>
        <v>0</v>
      </c>
      <c r="AJ16" s="157">
        <f>SUMIFS('Future Orders'!$F16, 'Future Orders'!$D16, "4", 'Future Orders'!$C16, "B", 'Future Orders'!$B16, "1")</f>
        <v>0</v>
      </c>
      <c r="AK16" s="157">
        <f>SUMIFS('Future Orders'!$I16, 'Future Orders'!$D16, "4", 'Future Orders'!$C16, "B", 'Future Orders'!$B16, "1")</f>
        <v>0</v>
      </c>
      <c r="AL16" s="157">
        <f>SUMIFS('Future Orders'!$F16, 'Future Orders'!$D16, "4", 'Future Orders'!$C16, "A", 'Future Orders'!$B16, "2")</f>
        <v>0</v>
      </c>
      <c r="AM16" s="157">
        <f>SUMIFS('Future Orders'!$I16, 'Future Orders'!$D16, "4", 'Future Orders'!$C16, "A", 'Future Orders'!$B16, "2")</f>
        <v>0</v>
      </c>
      <c r="AN16" s="171">
        <f>SUMIFS('Future Orders'!$F16, 'Future Orders'!$D16, "4", 'Future Orders'!$C16, "B", 'Future Orders'!$B16, "2")</f>
        <v>0</v>
      </c>
      <c r="AO16" s="171">
        <f>SUMIFS('Future Orders'!$I16, 'Future Orders'!$D16, "4", 'Future Orders'!$C16, "B", 'Future Orders'!$B16, "2")</f>
        <v>0</v>
      </c>
      <c r="AP16" s="171">
        <f>SUMIFS('Future Orders'!$H16, 'Future Orders'!$C16, "A", 'Future Orders'!$B16, "1")</f>
        <v>0</v>
      </c>
      <c r="AQ16" s="171">
        <f>SUMIFS('Future Orders'!$I16, 'Future Orders'!$C16, "B", 'Future Orders'!$B16, "1")</f>
        <v>0</v>
      </c>
      <c r="AR16" s="171">
        <f>SUMIFS('Future Orders'!$H16, 'Future Orders'!$C16, "A", 'Future Orders'!$B16, "2")</f>
        <v>5770.6</v>
      </c>
      <c r="AS16" s="171">
        <f>SUMIFS('Future Orders'!$I16, 'Future Orders'!$C16, "B", 'Future Orders'!$B16, "2")</f>
        <v>0</v>
      </c>
      <c r="AT16" s="145"/>
      <c r="AU16" s="146"/>
      <c r="AV16" s="161">
        <v>41953.0</v>
      </c>
      <c r="AW16" s="162"/>
      <c r="AX16" s="163">
        <f t="shared" si="1"/>
        <v>41953</v>
      </c>
      <c r="AY16" s="164">
        <f t="shared" si="2"/>
        <v>25741</v>
      </c>
      <c r="AZ16" s="164">
        <f t="shared" si="3"/>
        <v>13151</v>
      </c>
      <c r="BA16" s="164">
        <f t="shared" si="4"/>
        <v>12590</v>
      </c>
      <c r="BB16" s="164">
        <f t="shared" si="5"/>
        <v>21351</v>
      </c>
      <c r="BC16" s="164">
        <f t="shared" si="6"/>
        <v>4390</v>
      </c>
      <c r="BD16" s="165"/>
      <c r="BE16" s="166">
        <f t="shared" si="7"/>
        <v>77710.82</v>
      </c>
      <c r="BF16" s="166">
        <f t="shared" si="8"/>
        <v>37324.87</v>
      </c>
      <c r="BG16" s="166">
        <f t="shared" si="9"/>
        <v>40385.95</v>
      </c>
      <c r="BH16" s="167"/>
      <c r="BI16" s="166">
        <f t="shared" si="10"/>
        <v>11707.96</v>
      </c>
      <c r="BJ16" s="166">
        <f t="shared" si="11"/>
        <v>8498.16</v>
      </c>
      <c r="BK16" s="166">
        <f t="shared" si="12"/>
        <v>0</v>
      </c>
      <c r="BL16" s="166">
        <f t="shared" si="13"/>
        <v>11707.96</v>
      </c>
      <c r="BM16" s="166">
        <f>SUM('Future Orders'!$BI16:$BL16)</f>
        <v>31914.08</v>
      </c>
      <c r="BN16" s="167"/>
      <c r="BO16" s="166">
        <f t="shared" si="14"/>
        <v>0</v>
      </c>
      <c r="BP16" s="166">
        <f t="shared" si="15"/>
        <v>0</v>
      </c>
      <c r="BQ16" s="166">
        <f t="shared" si="16"/>
        <v>17118.75</v>
      </c>
      <c r="BR16" s="166">
        <f t="shared" si="17"/>
        <v>0</v>
      </c>
      <c r="BS16" s="166">
        <f>SUM('Future Orders'!$BO16:$BR16)</f>
        <v>17118.75</v>
      </c>
      <c r="BT16" s="167"/>
      <c r="BU16" s="166">
        <f t="shared" si="18"/>
        <v>9075</v>
      </c>
      <c r="BV16" s="166">
        <f t="shared" si="19"/>
        <v>8349</v>
      </c>
      <c r="BW16" s="166">
        <f t="shared" si="20"/>
        <v>0</v>
      </c>
      <c r="BX16" s="166">
        <f t="shared" si="21"/>
        <v>9075</v>
      </c>
      <c r="BY16" s="166">
        <f>SUM('Future Orders'!$BU16:$BX16)</f>
        <v>26499</v>
      </c>
      <c r="BZ16" s="167"/>
      <c r="CA16" s="166">
        <f t="shared" si="22"/>
        <v>0</v>
      </c>
      <c r="CB16" s="166">
        <f t="shared" si="23"/>
        <v>0</v>
      </c>
      <c r="CC16" s="166">
        <f t="shared" si="24"/>
        <v>22961.95</v>
      </c>
      <c r="CD16" s="166">
        <f t="shared" si="25"/>
        <v>0</v>
      </c>
      <c r="CE16" s="166">
        <f>SUM('Future Orders'!$CA16:$CD16)</f>
        <v>22961.95</v>
      </c>
      <c r="CF16" s="167"/>
      <c r="CG16" s="166">
        <f>SUM('Future Orders'!$BI16:$BJ16)
+ SUM('Future Orders'!$BU16:$BV16)</f>
        <v>37630.12</v>
      </c>
      <c r="CH16" s="166">
        <f>SUM('Future Orders'!$BQ16)
+ SUM('Future Orders'!$BX16)</f>
        <v>26193.75</v>
      </c>
      <c r="CI16" s="166">
        <f>SUM('Future Orders'!$BI16:$BJ16)
+ SUM('Future Orders'!$BU16:$BV16)
+ SUM(('Future Orders'!$BI16) * 2)</f>
        <v>61046.04</v>
      </c>
      <c r="CJ16" s="166">
        <f>SUM(('Future Orders'!$BQ16) * 2) + SUM('Future Orders'!$BX16)</f>
        <v>43312.5</v>
      </c>
      <c r="CK16" s="167"/>
      <c r="CL16" s="168">
        <f t="shared" si="26"/>
        <v>3</v>
      </c>
      <c r="CM16" s="168">
        <f t="shared" si="27"/>
        <v>3</v>
      </c>
      <c r="CN16" s="168">
        <f t="shared" si="28"/>
        <v>4</v>
      </c>
      <c r="CO16" s="168">
        <f t="shared" si="29"/>
        <v>2</v>
      </c>
      <c r="CP16" s="168">
        <f t="shared" si="30"/>
        <v>2</v>
      </c>
      <c r="CQ16" s="169">
        <f t="shared" si="31"/>
        <v>2</v>
      </c>
      <c r="CR16" s="169">
        <f t="shared" si="32"/>
        <v>2</v>
      </c>
      <c r="CS16" s="170"/>
    </row>
    <row r="17">
      <c r="A17" s="151">
        <v>41869.0</v>
      </c>
      <c r="B17" s="152">
        <v>2.0</v>
      </c>
      <c r="C17" s="152" t="s">
        <v>45</v>
      </c>
      <c r="D17" s="152">
        <v>2.0</v>
      </c>
      <c r="E17" s="153">
        <v>4908.0</v>
      </c>
      <c r="F17" s="153">
        <f>SUM(('Future Orders'!$E17) * (1.1))</f>
        <v>5398.8</v>
      </c>
      <c r="G17" s="154">
        <v>1.2</v>
      </c>
      <c r="H17" s="155">
        <v>5889.599999999999</v>
      </c>
      <c r="I17" s="155">
        <f>SUM(('Future Orders'!$H17) * (1.1))</f>
        <v>6478.56</v>
      </c>
      <c r="J17" s="159">
        <f>SUMIFS('Future Orders'!$F17, 'Future Orders'!$D17, "1", 'Future Orders'!$C17, "A", 'Future Orders'!$B17, "1")</f>
        <v>0</v>
      </c>
      <c r="K17" s="157">
        <f>SUMIFS('Future Orders'!$I17, 'Future Orders'!$D17, "1", 'Future Orders'!$C17, "A", 'Future Orders'!$B17, "1")</f>
        <v>0</v>
      </c>
      <c r="L17" s="157">
        <f>SUMIFS('Future Orders'!$F17, 'Future Orders'!$D17, "1", 'Future Orders'!$C17, "B", 'Future Orders'!$B17, "1")</f>
        <v>0</v>
      </c>
      <c r="M17" s="157">
        <f>SUMIFS('Future Orders'!$I17, 'Future Orders'!$D17, "1", 'Future Orders'!$C17, "B", 'Future Orders'!$B17, "1")</f>
        <v>0</v>
      </c>
      <c r="N17" s="159">
        <f>SUMIFS('Future Orders'!$F17, 'Future Orders'!$D17, "1", 'Future Orders'!$C17, "A", 'Future Orders'!$B17, "2")</f>
        <v>0</v>
      </c>
      <c r="O17" s="157">
        <f>SUMIFS('Future Orders'!$I17, 'Future Orders'!$D17, "1", 'Future Orders'!$C17, "A", 'Future Orders'!$B17, "2")</f>
        <v>0</v>
      </c>
      <c r="P17" s="157">
        <f>SUMIFS('Future Orders'!$E17, 'Future Orders'!$D17, "1", 'Future Orders'!$C17, "B", 'Future Orders'!$B17, "2")</f>
        <v>0</v>
      </c>
      <c r="Q17" s="157">
        <f>SUMIFS('Future Orders'!$I17, 'Future Orders'!$D17, "1", 'Future Orders'!$C17, "B", 'Future Orders'!$B17, "2")</f>
        <v>0</v>
      </c>
      <c r="R17" s="159">
        <f>SUMIFS('Future Orders'!$F17, 'Future Orders'!$D17, "2", 'Future Orders'!$C17, "A", 'Future Orders'!$B17, "1")</f>
        <v>0</v>
      </c>
      <c r="S17" s="157">
        <f>SUMIFS('Future Orders'!$I17, 'Future Orders'!$D17, "2", 'Future Orders'!$C17, "A", 'Future Orders'!$B17, "1")</f>
        <v>0</v>
      </c>
      <c r="T17" s="159">
        <f>SUMIFS('Future Orders'!$F17, 'Future Orders'!$D17, "2", 'Future Orders'!$C17, "B", 'Future Orders'!$B17, "1")</f>
        <v>0</v>
      </c>
      <c r="U17" s="157">
        <f>SUMIFS('Future Orders'!$I17, 'Future Orders'!$D17, "2", 'Future Orders'!$C17, "B", 'Future Orders'!$B17, "1")</f>
        <v>0</v>
      </c>
      <c r="V17" s="159">
        <f>SUMIFS('Future Orders'!$F17, 'Future Orders'!$D17, "2", 'Future Orders'!$C17, "A", 'Future Orders'!$B17, "2")</f>
        <v>5398.8</v>
      </c>
      <c r="W17" s="157">
        <f>SUMIFS('Future Orders'!$I17, 'Future Orders'!$D17, "2", 'Future Orders'!$C17, "A", 'Future Orders'!$B17, "2")</f>
        <v>6478.56</v>
      </c>
      <c r="X17" s="159">
        <f>SUMIFS('Future Orders'!$F17, 'Future Orders'!$D17, "2", 'Future Orders'!$C17, "B", 'Future Orders'!$B17, "2")</f>
        <v>0</v>
      </c>
      <c r="Y17" s="159">
        <f>SUMIFS('Future Orders'!$I17, 'Future Orders'!$D17, "2", 'Future Orders'!$C17, "B", 'Future Orders'!$B17, "2")</f>
        <v>0</v>
      </c>
      <c r="Z17" s="159">
        <f>SUMIFS('Future Orders'!$F17, 'Future Orders'!$D17, "3", 'Future Orders'!$C17, "A", 'Future Orders'!$B17, "1")</f>
        <v>0</v>
      </c>
      <c r="AA17" s="159">
        <f>SUMIFS('Future Orders'!$I17, 'Future Orders'!$D17, "3", 'Future Orders'!$C17, "A", 'Future Orders'!$B17, "1")</f>
        <v>0</v>
      </c>
      <c r="AB17" s="159">
        <f>SUMIFS('Future Orders'!$F17, 'Future Orders'!$D17, "3", 'Future Orders'!$C17, "B", 'Future Orders'!$B17, "1")</f>
        <v>0</v>
      </c>
      <c r="AC17" s="159">
        <f>SUMIFS('Future Orders'!$I17, 'Future Orders'!$D17, "3", 'Future Orders'!$C17, "B", 'Future Orders'!$B17, "1")</f>
        <v>0</v>
      </c>
      <c r="AD17" s="159">
        <f>SUMIFS('Future Orders'!$F17, 'Future Orders'!$D17, "3", 'Future Orders'!$C17, "A", 'Future Orders'!$B17, "2")</f>
        <v>0</v>
      </c>
      <c r="AE17" s="159">
        <f>SUMIFS('Future Orders'!$I17, 'Future Orders'!$D17, "3", 'Future Orders'!$C17, "A", 'Future Orders'!$B17, "2")</f>
        <v>0</v>
      </c>
      <c r="AF17" s="159">
        <f>SUMIFS('Future Orders'!$F17, 'Future Orders'!$D17, "3", 'Future Orders'!$C17, "B", 'Future Orders'!$B17, "2")</f>
        <v>0</v>
      </c>
      <c r="AG17" s="157">
        <f>SUMIFS('Future Orders'!$I17, 'Future Orders'!$D17, "3", 'Future Orders'!$C17, "B", 'Future Orders'!$B17, "2")</f>
        <v>0</v>
      </c>
      <c r="AH17" s="157">
        <f>SUMIFS('Future Orders'!$F17, 'Future Orders'!$D17, "4", 'Future Orders'!$C17, "A", 'Future Orders'!$B17, "1")</f>
        <v>0</v>
      </c>
      <c r="AI17" s="157">
        <f>SUMIFS('Future Orders'!$I17, 'Future Orders'!$D17, "4", 'Future Orders'!$C17, "A", 'Future Orders'!$B17, "1")</f>
        <v>0</v>
      </c>
      <c r="AJ17" s="157">
        <f>SUMIFS('Future Orders'!$F17, 'Future Orders'!$D17, "4", 'Future Orders'!$C17, "B", 'Future Orders'!$B17, "1")</f>
        <v>0</v>
      </c>
      <c r="AK17" s="157">
        <f>SUMIFS('Future Orders'!$I17, 'Future Orders'!$D17, "4", 'Future Orders'!$C17, "B", 'Future Orders'!$B17, "1")</f>
        <v>0</v>
      </c>
      <c r="AL17" s="157">
        <f>SUMIFS('Future Orders'!$F17, 'Future Orders'!$D17, "4", 'Future Orders'!$C17, "A", 'Future Orders'!$B17, "2")</f>
        <v>0</v>
      </c>
      <c r="AM17" s="157">
        <f>SUMIFS('Future Orders'!$I17, 'Future Orders'!$D17, "4", 'Future Orders'!$C17, "A", 'Future Orders'!$B17, "2")</f>
        <v>0</v>
      </c>
      <c r="AN17" s="171">
        <f>SUMIFS('Future Orders'!$F17, 'Future Orders'!$D17, "4", 'Future Orders'!$C17, "B", 'Future Orders'!$B17, "2")</f>
        <v>0</v>
      </c>
      <c r="AO17" s="171">
        <f>SUMIFS('Future Orders'!$I17, 'Future Orders'!$D17, "4", 'Future Orders'!$C17, "B", 'Future Orders'!$B17, "2")</f>
        <v>0</v>
      </c>
      <c r="AP17" s="171">
        <f>SUMIFS('Future Orders'!$H17, 'Future Orders'!$C17, "A", 'Future Orders'!$B17, "1")</f>
        <v>0</v>
      </c>
      <c r="AQ17" s="171">
        <f>SUMIFS('Future Orders'!$I17, 'Future Orders'!$C17, "B", 'Future Orders'!$B17, "1")</f>
        <v>0</v>
      </c>
      <c r="AR17" s="171">
        <f>SUMIFS('Future Orders'!$H17, 'Future Orders'!$C17, "A", 'Future Orders'!$B17, "2")</f>
        <v>5889.6</v>
      </c>
      <c r="AS17" s="171">
        <f>SUMIFS('Future Orders'!$I17, 'Future Orders'!$C17, "B", 'Future Orders'!$B17, "2")</f>
        <v>0</v>
      </c>
      <c r="AT17" s="145"/>
      <c r="AU17" s="146"/>
      <c r="AV17" s="161">
        <v>41960.0</v>
      </c>
      <c r="AW17" s="162"/>
      <c r="AX17" s="163">
        <f t="shared" si="1"/>
        <v>41960</v>
      </c>
      <c r="AY17" s="164">
        <f t="shared" si="2"/>
        <v>22045</v>
      </c>
      <c r="AZ17" s="164">
        <f t="shared" si="3"/>
        <v>11104</v>
      </c>
      <c r="BA17" s="164">
        <f t="shared" si="4"/>
        <v>10941</v>
      </c>
      <c r="BB17" s="164">
        <f t="shared" si="5"/>
        <v>18441</v>
      </c>
      <c r="BC17" s="164">
        <f t="shared" si="6"/>
        <v>3604</v>
      </c>
      <c r="BD17" s="165"/>
      <c r="BE17" s="166">
        <f t="shared" si="7"/>
        <v>63684.94</v>
      </c>
      <c r="BF17" s="166">
        <f t="shared" si="8"/>
        <v>32615.66</v>
      </c>
      <c r="BG17" s="166">
        <f t="shared" si="9"/>
        <v>31069.28</v>
      </c>
      <c r="BH17" s="167"/>
      <c r="BI17" s="166">
        <f t="shared" si="10"/>
        <v>8615.2</v>
      </c>
      <c r="BJ17" s="166">
        <f t="shared" si="11"/>
        <v>7584.72</v>
      </c>
      <c r="BK17" s="166">
        <f t="shared" si="12"/>
        <v>0</v>
      </c>
      <c r="BL17" s="166">
        <f t="shared" si="13"/>
        <v>8615.2</v>
      </c>
      <c r="BM17" s="166">
        <f>SUM('Future Orders'!$BI17:$BL17)</f>
        <v>24815.12</v>
      </c>
      <c r="BN17" s="167"/>
      <c r="BO17" s="166">
        <f t="shared" si="14"/>
        <v>0</v>
      </c>
      <c r="BP17" s="166">
        <f t="shared" si="15"/>
        <v>0</v>
      </c>
      <c r="BQ17" s="166">
        <f t="shared" si="16"/>
        <v>16415.74</v>
      </c>
      <c r="BR17" s="166">
        <f t="shared" si="17"/>
        <v>0</v>
      </c>
      <c r="BS17" s="166">
        <f>SUM('Future Orders'!$BO17:$BR17)</f>
        <v>16415.74</v>
      </c>
      <c r="BT17" s="167"/>
      <c r="BU17" s="166">
        <f t="shared" si="18"/>
        <v>5549.06</v>
      </c>
      <c r="BV17" s="166">
        <f t="shared" si="19"/>
        <v>9031.44</v>
      </c>
      <c r="BW17" s="166">
        <f t="shared" si="20"/>
        <v>0</v>
      </c>
      <c r="BX17" s="166">
        <f t="shared" si="21"/>
        <v>5549.06</v>
      </c>
      <c r="BY17" s="166">
        <f>SUM('Future Orders'!$BU17:$BX17)</f>
        <v>20129.56</v>
      </c>
      <c r="BZ17" s="167"/>
      <c r="CA17" s="166">
        <f t="shared" si="22"/>
        <v>0</v>
      </c>
      <c r="CB17" s="166">
        <f t="shared" si="23"/>
        <v>0</v>
      </c>
      <c r="CC17" s="166">
        <f t="shared" si="24"/>
        <v>16488.78</v>
      </c>
      <c r="CD17" s="166">
        <f t="shared" si="25"/>
        <v>0</v>
      </c>
      <c r="CE17" s="166">
        <f>SUM('Future Orders'!$CA17:$CD17)</f>
        <v>16488.78</v>
      </c>
      <c r="CF17" s="167"/>
      <c r="CG17" s="166">
        <f>SUM('Future Orders'!$BI17:$BJ17)
+ SUM('Future Orders'!$BU17:$BV17)</f>
        <v>30780.42</v>
      </c>
      <c r="CH17" s="166">
        <f>SUM('Future Orders'!$BQ17)
+ SUM('Future Orders'!$BX17)</f>
        <v>21964.8</v>
      </c>
      <c r="CI17" s="166">
        <f>SUM('Future Orders'!$BI17:$BJ17)
+ SUM('Future Orders'!$BU17:$BV17)
+ SUM(('Future Orders'!$BI17) * 2)</f>
        <v>48010.82</v>
      </c>
      <c r="CJ17" s="166">
        <f>SUM(('Future Orders'!$BQ17) * 2) + SUM('Future Orders'!$BX17)</f>
        <v>38380.54</v>
      </c>
      <c r="CK17" s="167"/>
      <c r="CL17" s="168">
        <f t="shared" si="26"/>
        <v>3</v>
      </c>
      <c r="CM17" s="168">
        <f t="shared" si="27"/>
        <v>3</v>
      </c>
      <c r="CN17" s="168">
        <f t="shared" si="28"/>
        <v>4</v>
      </c>
      <c r="CO17" s="168">
        <f t="shared" si="29"/>
        <v>2</v>
      </c>
      <c r="CP17" s="168">
        <f t="shared" si="30"/>
        <v>2</v>
      </c>
      <c r="CQ17" s="169">
        <f t="shared" si="31"/>
        <v>2</v>
      </c>
      <c r="CR17" s="169">
        <f t="shared" si="32"/>
        <v>2</v>
      </c>
      <c r="CS17" s="170"/>
    </row>
    <row r="18">
      <c r="A18" s="151">
        <v>41869.0</v>
      </c>
      <c r="B18" s="152">
        <v>1.0</v>
      </c>
      <c r="C18" s="152" t="s">
        <v>46</v>
      </c>
      <c r="D18" s="152">
        <v>3.0</v>
      </c>
      <c r="E18" s="153">
        <v>1782.0</v>
      </c>
      <c r="F18" s="153">
        <f>SUM(('Future Orders'!$E18) * (1.1))</f>
        <v>1960.2</v>
      </c>
      <c r="G18" s="154">
        <v>8.3</v>
      </c>
      <c r="H18" s="155">
        <v>14790.6</v>
      </c>
      <c r="I18" s="155">
        <f>SUM(('Future Orders'!$H18) * (1.1))</f>
        <v>16269.66</v>
      </c>
      <c r="J18" s="159">
        <f>SUMIFS('Future Orders'!$F18, 'Future Orders'!$D18, "1", 'Future Orders'!$C18, "A", 'Future Orders'!$B18, "1")</f>
        <v>0</v>
      </c>
      <c r="K18" s="157">
        <f>SUMIFS('Future Orders'!$I18, 'Future Orders'!$D18, "1", 'Future Orders'!$C18, "A", 'Future Orders'!$B18, "1")</f>
        <v>0</v>
      </c>
      <c r="L18" s="157">
        <f>SUMIFS('Future Orders'!$F18, 'Future Orders'!$D18, "1", 'Future Orders'!$C18, "B", 'Future Orders'!$B18, "1")</f>
        <v>0</v>
      </c>
      <c r="M18" s="157">
        <f>SUMIFS('Future Orders'!$I18, 'Future Orders'!$D18, "1", 'Future Orders'!$C18, "B", 'Future Orders'!$B18, "1")</f>
        <v>0</v>
      </c>
      <c r="N18" s="159">
        <f>SUMIFS('Future Orders'!$F18, 'Future Orders'!$D18, "1", 'Future Orders'!$C18, "A", 'Future Orders'!$B18, "2")</f>
        <v>0</v>
      </c>
      <c r="O18" s="157">
        <f>SUMIFS('Future Orders'!$I18, 'Future Orders'!$D18, "1", 'Future Orders'!$C18, "A", 'Future Orders'!$B18, "2")</f>
        <v>0</v>
      </c>
      <c r="P18" s="157">
        <f>SUMIFS('Future Orders'!$E18, 'Future Orders'!$D18, "1", 'Future Orders'!$C18, "B", 'Future Orders'!$B18, "2")</f>
        <v>0</v>
      </c>
      <c r="Q18" s="157">
        <f>SUMIFS('Future Orders'!$I18, 'Future Orders'!$D18, "1", 'Future Orders'!$C18, "B", 'Future Orders'!$B18, "2")</f>
        <v>0</v>
      </c>
      <c r="R18" s="159">
        <f>SUMIFS('Future Orders'!$F18, 'Future Orders'!$D18, "2", 'Future Orders'!$C18, "A", 'Future Orders'!$B18, "1")</f>
        <v>0</v>
      </c>
      <c r="S18" s="157">
        <f>SUMIFS('Future Orders'!$I18, 'Future Orders'!$D18, "2", 'Future Orders'!$C18, "A", 'Future Orders'!$B18, "1")</f>
        <v>0</v>
      </c>
      <c r="T18" s="159">
        <f>SUMIFS('Future Orders'!$F18, 'Future Orders'!$D18, "2", 'Future Orders'!$C18, "B", 'Future Orders'!$B18, "1")</f>
        <v>0</v>
      </c>
      <c r="U18" s="157">
        <f>SUMIFS('Future Orders'!$I18, 'Future Orders'!$D18, "2", 'Future Orders'!$C18, "B", 'Future Orders'!$B18, "1")</f>
        <v>0</v>
      </c>
      <c r="V18" s="159">
        <f>SUMIFS('Future Orders'!$F18, 'Future Orders'!$D18, "2", 'Future Orders'!$C18, "A", 'Future Orders'!$B18, "2")</f>
        <v>0</v>
      </c>
      <c r="W18" s="157">
        <f>SUMIFS('Future Orders'!$I18, 'Future Orders'!$D18, "2", 'Future Orders'!$C18, "A", 'Future Orders'!$B18, "2")</f>
        <v>0</v>
      </c>
      <c r="X18" s="159">
        <f>SUMIFS('Future Orders'!$F18, 'Future Orders'!$D18, "2", 'Future Orders'!$C18, "B", 'Future Orders'!$B18, "2")</f>
        <v>0</v>
      </c>
      <c r="Y18" s="159">
        <f>SUMIFS('Future Orders'!$I18, 'Future Orders'!$D18, "2", 'Future Orders'!$C18, "B", 'Future Orders'!$B18, "2")</f>
        <v>0</v>
      </c>
      <c r="Z18" s="159">
        <f>SUMIFS('Future Orders'!$F18, 'Future Orders'!$D18, "3", 'Future Orders'!$C18, "A", 'Future Orders'!$B18, "1")</f>
        <v>0</v>
      </c>
      <c r="AA18" s="159">
        <f>SUMIFS('Future Orders'!$I18, 'Future Orders'!$D18, "3", 'Future Orders'!$C18, "A", 'Future Orders'!$B18, "1")</f>
        <v>0</v>
      </c>
      <c r="AB18" s="159">
        <f>SUMIFS('Future Orders'!$F18, 'Future Orders'!$D18, "3", 'Future Orders'!$C18, "B", 'Future Orders'!$B18, "1")</f>
        <v>1960.2</v>
      </c>
      <c r="AC18" s="159">
        <f>SUMIFS('Future Orders'!$I18, 'Future Orders'!$D18, "3", 'Future Orders'!$C18, "B", 'Future Orders'!$B18, "1")</f>
        <v>16269.66</v>
      </c>
      <c r="AD18" s="159">
        <f>SUMIFS('Future Orders'!$F18, 'Future Orders'!$D18, "3", 'Future Orders'!$C18, "A", 'Future Orders'!$B18, "2")</f>
        <v>0</v>
      </c>
      <c r="AE18" s="159">
        <f>SUMIFS('Future Orders'!$I18, 'Future Orders'!$D18, "3", 'Future Orders'!$C18, "A", 'Future Orders'!$B18, "2")</f>
        <v>0</v>
      </c>
      <c r="AF18" s="159">
        <f>SUMIFS('Future Orders'!$F18, 'Future Orders'!$D18, "3", 'Future Orders'!$C18, "B", 'Future Orders'!$B18, "2")</f>
        <v>0</v>
      </c>
      <c r="AG18" s="157">
        <f>SUMIFS('Future Orders'!$I18, 'Future Orders'!$D18, "3", 'Future Orders'!$C18, "B", 'Future Orders'!$B18, "2")</f>
        <v>0</v>
      </c>
      <c r="AH18" s="157">
        <f>SUMIFS('Future Orders'!$F18, 'Future Orders'!$D18, "4", 'Future Orders'!$C18, "A", 'Future Orders'!$B18, "1")</f>
        <v>0</v>
      </c>
      <c r="AI18" s="157">
        <f>SUMIFS('Future Orders'!$I18, 'Future Orders'!$D18, "4", 'Future Orders'!$C18, "A", 'Future Orders'!$B18, "1")</f>
        <v>0</v>
      </c>
      <c r="AJ18" s="157">
        <f>SUMIFS('Future Orders'!$F18, 'Future Orders'!$D18, "4", 'Future Orders'!$C18, "B", 'Future Orders'!$B18, "1")</f>
        <v>0</v>
      </c>
      <c r="AK18" s="157">
        <f>SUMIFS('Future Orders'!$I18, 'Future Orders'!$D18, "4", 'Future Orders'!$C18, "B", 'Future Orders'!$B18, "1")</f>
        <v>0</v>
      </c>
      <c r="AL18" s="157">
        <f>SUMIFS('Future Orders'!$F18, 'Future Orders'!$D18, "4", 'Future Orders'!$C18, "A", 'Future Orders'!$B18, "2")</f>
        <v>0</v>
      </c>
      <c r="AM18" s="157">
        <f>SUMIFS('Future Orders'!$I18, 'Future Orders'!$D18, "4", 'Future Orders'!$C18, "A", 'Future Orders'!$B18, "2")</f>
        <v>0</v>
      </c>
      <c r="AN18" s="171">
        <f>SUMIFS('Future Orders'!$F18, 'Future Orders'!$D18, "4", 'Future Orders'!$C18, "B", 'Future Orders'!$B18, "2")</f>
        <v>0</v>
      </c>
      <c r="AO18" s="171">
        <f>SUMIFS('Future Orders'!$I18, 'Future Orders'!$D18, "4", 'Future Orders'!$C18, "B", 'Future Orders'!$B18, "2")</f>
        <v>0</v>
      </c>
      <c r="AP18" s="171">
        <f>SUMIFS('Future Orders'!$H18, 'Future Orders'!$C18, "A", 'Future Orders'!$B18, "1")</f>
        <v>0</v>
      </c>
      <c r="AQ18" s="171">
        <f>SUMIFS('Future Orders'!$I18, 'Future Orders'!$C18, "B", 'Future Orders'!$B18, "1")</f>
        <v>16269.66</v>
      </c>
      <c r="AR18" s="171">
        <f>SUMIFS('Future Orders'!$H18, 'Future Orders'!$C18, "A", 'Future Orders'!$B18, "2")</f>
        <v>0</v>
      </c>
      <c r="AS18" s="171">
        <f>SUMIFS('Future Orders'!$I18, 'Future Orders'!$C18, "B", 'Future Orders'!$B18, "2")</f>
        <v>0</v>
      </c>
      <c r="AT18" s="145"/>
      <c r="AU18" s="146"/>
      <c r="AV18" s="161">
        <v>41967.0</v>
      </c>
      <c r="AW18" s="162"/>
      <c r="AX18" s="163">
        <f t="shared" si="1"/>
        <v>41967</v>
      </c>
      <c r="AY18" s="164">
        <f t="shared" si="2"/>
        <v>20862</v>
      </c>
      <c r="AZ18" s="164">
        <f t="shared" si="3"/>
        <v>11206</v>
      </c>
      <c r="BA18" s="164">
        <f t="shared" si="4"/>
        <v>9656</v>
      </c>
      <c r="BB18" s="164">
        <f t="shared" si="5"/>
        <v>16935</v>
      </c>
      <c r="BC18" s="164">
        <f t="shared" si="6"/>
        <v>3927</v>
      </c>
      <c r="BD18" s="165"/>
      <c r="BE18" s="166">
        <f t="shared" si="7"/>
        <v>66594.11</v>
      </c>
      <c r="BF18" s="166">
        <f t="shared" si="8"/>
        <v>34603.69</v>
      </c>
      <c r="BG18" s="166">
        <f t="shared" si="9"/>
        <v>31990.42</v>
      </c>
      <c r="BH18" s="167"/>
      <c r="BI18" s="166">
        <f t="shared" si="10"/>
        <v>10476.18</v>
      </c>
      <c r="BJ18" s="166">
        <f t="shared" si="11"/>
        <v>6534</v>
      </c>
      <c r="BK18" s="166">
        <f t="shared" si="12"/>
        <v>0</v>
      </c>
      <c r="BL18" s="166">
        <f t="shared" si="13"/>
        <v>10476.18</v>
      </c>
      <c r="BM18" s="166">
        <f>SUM('Future Orders'!$BI18:$BL18)</f>
        <v>27486.36</v>
      </c>
      <c r="BN18" s="167"/>
      <c r="BO18" s="166">
        <f t="shared" si="14"/>
        <v>0</v>
      </c>
      <c r="BP18" s="166">
        <f t="shared" si="15"/>
        <v>0</v>
      </c>
      <c r="BQ18" s="166">
        <f t="shared" si="16"/>
        <v>17593.51</v>
      </c>
      <c r="BR18" s="166">
        <f t="shared" si="17"/>
        <v>0</v>
      </c>
      <c r="BS18" s="166">
        <f>SUM('Future Orders'!$BO18:$BR18)</f>
        <v>17593.51</v>
      </c>
      <c r="BT18" s="167"/>
      <c r="BU18" s="166">
        <f t="shared" si="18"/>
        <v>7973.9</v>
      </c>
      <c r="BV18" s="166">
        <f t="shared" si="19"/>
        <v>5756.52</v>
      </c>
      <c r="BW18" s="166">
        <f t="shared" si="20"/>
        <v>0</v>
      </c>
      <c r="BX18" s="166">
        <f t="shared" si="21"/>
        <v>7973.9</v>
      </c>
      <c r="BY18" s="166">
        <f>SUM('Future Orders'!$BU18:$BX18)</f>
        <v>21704.32</v>
      </c>
      <c r="BZ18" s="167"/>
      <c r="CA18" s="166">
        <f t="shared" si="22"/>
        <v>0</v>
      </c>
      <c r="CB18" s="166">
        <f t="shared" si="23"/>
        <v>0</v>
      </c>
      <c r="CC18" s="166">
        <f t="shared" si="24"/>
        <v>18260</v>
      </c>
      <c r="CD18" s="166">
        <f t="shared" si="25"/>
        <v>0</v>
      </c>
      <c r="CE18" s="166">
        <f>SUM('Future Orders'!$CA18:$CD18)</f>
        <v>18260</v>
      </c>
      <c r="CF18" s="167"/>
      <c r="CG18" s="166">
        <f>SUM('Future Orders'!$BI18:$BJ18)
+ SUM('Future Orders'!$BU18:$BV18)</f>
        <v>30740.6</v>
      </c>
      <c r="CH18" s="166">
        <f>SUM('Future Orders'!$BQ18)
+ SUM('Future Orders'!$BX18)</f>
        <v>25567.41</v>
      </c>
      <c r="CI18" s="166">
        <f>SUM('Future Orders'!$BI18:$BJ18)
+ SUM('Future Orders'!$BU18:$BV18)
+ SUM(('Future Orders'!$BI18) * 2)</f>
        <v>51692.96</v>
      </c>
      <c r="CJ18" s="166">
        <f>SUM(('Future Orders'!$BQ18) * 2) + SUM('Future Orders'!$BX18)</f>
        <v>43160.92</v>
      </c>
      <c r="CK18" s="167"/>
      <c r="CL18" s="168">
        <f t="shared" si="26"/>
        <v>3</v>
      </c>
      <c r="CM18" s="168">
        <f t="shared" si="27"/>
        <v>3</v>
      </c>
      <c r="CN18" s="168">
        <f t="shared" si="28"/>
        <v>4</v>
      </c>
      <c r="CO18" s="168">
        <f t="shared" si="29"/>
        <v>2</v>
      </c>
      <c r="CP18" s="168">
        <f t="shared" si="30"/>
        <v>2</v>
      </c>
      <c r="CQ18" s="169">
        <f t="shared" si="31"/>
        <v>2</v>
      </c>
      <c r="CR18" s="169">
        <f t="shared" si="32"/>
        <v>2</v>
      </c>
      <c r="CS18" s="170"/>
    </row>
    <row r="19">
      <c r="A19" s="151">
        <v>41869.0</v>
      </c>
      <c r="B19" s="152">
        <v>2.0</v>
      </c>
      <c r="C19" s="152" t="s">
        <v>46</v>
      </c>
      <c r="D19" s="152">
        <v>3.0</v>
      </c>
      <c r="E19" s="153">
        <v>2377.0</v>
      </c>
      <c r="F19" s="153">
        <f>SUM(('Future Orders'!$E19) * (1.1))</f>
        <v>2614.7</v>
      </c>
      <c r="G19" s="154">
        <v>8.3</v>
      </c>
      <c r="H19" s="155">
        <v>19729.100000000002</v>
      </c>
      <c r="I19" s="155">
        <f>SUM(('Future Orders'!$H19) * (1.1))</f>
        <v>21702.01</v>
      </c>
      <c r="J19" s="159">
        <f>SUMIFS('Future Orders'!$F19, 'Future Orders'!$D19, "1", 'Future Orders'!$C19, "A", 'Future Orders'!$B19, "1")</f>
        <v>0</v>
      </c>
      <c r="K19" s="157">
        <f>SUMIFS('Future Orders'!$I19, 'Future Orders'!$D19, "1", 'Future Orders'!$C19, "A", 'Future Orders'!$B19, "1")</f>
        <v>0</v>
      </c>
      <c r="L19" s="157">
        <f>SUMIFS('Future Orders'!$F19, 'Future Orders'!$D19, "1", 'Future Orders'!$C19, "B", 'Future Orders'!$B19, "1")</f>
        <v>0</v>
      </c>
      <c r="M19" s="157">
        <f>SUMIFS('Future Orders'!$I19, 'Future Orders'!$D19, "1", 'Future Orders'!$C19, "B", 'Future Orders'!$B19, "1")</f>
        <v>0</v>
      </c>
      <c r="N19" s="159">
        <f>SUMIFS('Future Orders'!$F19, 'Future Orders'!$D19, "1", 'Future Orders'!$C19, "A", 'Future Orders'!$B19, "2")</f>
        <v>0</v>
      </c>
      <c r="O19" s="157">
        <f>SUMIFS('Future Orders'!$I19, 'Future Orders'!$D19, "1", 'Future Orders'!$C19, "A", 'Future Orders'!$B19, "2")</f>
        <v>0</v>
      </c>
      <c r="P19" s="157">
        <f>SUMIFS('Future Orders'!$E19, 'Future Orders'!$D19, "1", 'Future Orders'!$C19, "B", 'Future Orders'!$B19, "2")</f>
        <v>0</v>
      </c>
      <c r="Q19" s="157">
        <f>SUMIFS('Future Orders'!$I19, 'Future Orders'!$D19, "1", 'Future Orders'!$C19, "B", 'Future Orders'!$B19, "2")</f>
        <v>0</v>
      </c>
      <c r="R19" s="159">
        <f>SUMIFS('Future Orders'!$F19, 'Future Orders'!$D19, "2", 'Future Orders'!$C19, "A", 'Future Orders'!$B19, "1")</f>
        <v>0</v>
      </c>
      <c r="S19" s="157">
        <f>SUMIFS('Future Orders'!$I19, 'Future Orders'!$D19, "2", 'Future Orders'!$C19, "A", 'Future Orders'!$B19, "1")</f>
        <v>0</v>
      </c>
      <c r="T19" s="159">
        <f>SUMIFS('Future Orders'!$F19, 'Future Orders'!$D19, "2", 'Future Orders'!$C19, "B", 'Future Orders'!$B19, "1")</f>
        <v>0</v>
      </c>
      <c r="U19" s="157">
        <f>SUMIFS('Future Orders'!$I19, 'Future Orders'!$D19, "2", 'Future Orders'!$C19, "B", 'Future Orders'!$B19, "1")</f>
        <v>0</v>
      </c>
      <c r="V19" s="159">
        <f>SUMIFS('Future Orders'!$F19, 'Future Orders'!$D19, "2", 'Future Orders'!$C19, "A", 'Future Orders'!$B19, "2")</f>
        <v>0</v>
      </c>
      <c r="W19" s="157">
        <f>SUMIFS('Future Orders'!$I19, 'Future Orders'!$D19, "2", 'Future Orders'!$C19, "A", 'Future Orders'!$B19, "2")</f>
        <v>0</v>
      </c>
      <c r="X19" s="159">
        <f>SUMIFS('Future Orders'!$F19, 'Future Orders'!$D19, "2", 'Future Orders'!$C19, "B", 'Future Orders'!$B19, "2")</f>
        <v>0</v>
      </c>
      <c r="Y19" s="159">
        <f>SUMIFS('Future Orders'!$I19, 'Future Orders'!$D19, "2", 'Future Orders'!$C19, "B", 'Future Orders'!$B19, "2")</f>
        <v>0</v>
      </c>
      <c r="Z19" s="159">
        <f>SUMIFS('Future Orders'!$F19, 'Future Orders'!$D19, "3", 'Future Orders'!$C19, "A", 'Future Orders'!$B19, "1")</f>
        <v>0</v>
      </c>
      <c r="AA19" s="159">
        <f>SUMIFS('Future Orders'!$I19, 'Future Orders'!$D19, "3", 'Future Orders'!$C19, "A", 'Future Orders'!$B19, "1")</f>
        <v>0</v>
      </c>
      <c r="AB19" s="159">
        <f>SUMIFS('Future Orders'!$F19, 'Future Orders'!$D19, "3", 'Future Orders'!$C19, "B", 'Future Orders'!$B19, "1")</f>
        <v>0</v>
      </c>
      <c r="AC19" s="159">
        <f>SUMIFS('Future Orders'!$I19, 'Future Orders'!$D19, "3", 'Future Orders'!$C19, "B", 'Future Orders'!$B19, "1")</f>
        <v>0</v>
      </c>
      <c r="AD19" s="159">
        <f>SUMIFS('Future Orders'!$F19, 'Future Orders'!$D19, "3", 'Future Orders'!$C19, "A", 'Future Orders'!$B19, "2")</f>
        <v>0</v>
      </c>
      <c r="AE19" s="159">
        <f>SUMIFS('Future Orders'!$I19, 'Future Orders'!$D19, "3", 'Future Orders'!$C19, "A", 'Future Orders'!$B19, "2")</f>
        <v>0</v>
      </c>
      <c r="AF19" s="159">
        <f>SUMIFS('Future Orders'!$F19, 'Future Orders'!$D19, "3", 'Future Orders'!$C19, "B", 'Future Orders'!$B19, "2")</f>
        <v>2614.7</v>
      </c>
      <c r="AG19" s="157">
        <f>SUMIFS('Future Orders'!$I19, 'Future Orders'!$D19, "3", 'Future Orders'!$C19, "B", 'Future Orders'!$B19, "2")</f>
        <v>21702.01</v>
      </c>
      <c r="AH19" s="157">
        <f>SUMIFS('Future Orders'!$F19, 'Future Orders'!$D19, "4", 'Future Orders'!$C19, "A", 'Future Orders'!$B19, "1")</f>
        <v>0</v>
      </c>
      <c r="AI19" s="157">
        <f>SUMIFS('Future Orders'!$I19, 'Future Orders'!$D19, "4", 'Future Orders'!$C19, "A", 'Future Orders'!$B19, "1")</f>
        <v>0</v>
      </c>
      <c r="AJ19" s="157">
        <f>SUMIFS('Future Orders'!$F19, 'Future Orders'!$D19, "4", 'Future Orders'!$C19, "B", 'Future Orders'!$B19, "1")</f>
        <v>0</v>
      </c>
      <c r="AK19" s="157">
        <f>SUMIFS('Future Orders'!$I19, 'Future Orders'!$D19, "4", 'Future Orders'!$C19, "B", 'Future Orders'!$B19, "1")</f>
        <v>0</v>
      </c>
      <c r="AL19" s="157">
        <f>SUMIFS('Future Orders'!$F19, 'Future Orders'!$D19, "4", 'Future Orders'!$C19, "A", 'Future Orders'!$B19, "2")</f>
        <v>0</v>
      </c>
      <c r="AM19" s="157">
        <f>SUMIFS('Future Orders'!$I19, 'Future Orders'!$D19, "4", 'Future Orders'!$C19, "A", 'Future Orders'!$B19, "2")</f>
        <v>0</v>
      </c>
      <c r="AN19" s="171">
        <f>SUMIFS('Future Orders'!$F19, 'Future Orders'!$D19, "4", 'Future Orders'!$C19, "B", 'Future Orders'!$B19, "2")</f>
        <v>0</v>
      </c>
      <c r="AO19" s="171">
        <f>SUMIFS('Future Orders'!$I19, 'Future Orders'!$D19, "4", 'Future Orders'!$C19, "B", 'Future Orders'!$B19, "2")</f>
        <v>0</v>
      </c>
      <c r="AP19" s="171">
        <f>SUMIFS('Future Orders'!$H19, 'Future Orders'!$C19, "A", 'Future Orders'!$B19, "1")</f>
        <v>0</v>
      </c>
      <c r="AQ19" s="171">
        <f>SUMIFS('Future Orders'!$I19, 'Future Orders'!$C19, "B", 'Future Orders'!$B19, "1")</f>
        <v>0</v>
      </c>
      <c r="AR19" s="171">
        <f>SUMIFS('Future Orders'!$H19, 'Future Orders'!$C19, "A", 'Future Orders'!$B19, "2")</f>
        <v>0</v>
      </c>
      <c r="AS19" s="171">
        <f>SUMIFS('Future Orders'!$I19, 'Future Orders'!$C19, "B", 'Future Orders'!$B19, "2")</f>
        <v>21702.01</v>
      </c>
      <c r="AT19" s="145"/>
      <c r="AU19" s="146"/>
      <c r="AV19" s="161">
        <v>41974.0</v>
      </c>
      <c r="AW19" s="162"/>
      <c r="AX19" s="163">
        <f t="shared" si="1"/>
        <v>41974</v>
      </c>
      <c r="AY19" s="164">
        <f t="shared" si="2"/>
        <v>24332</v>
      </c>
      <c r="AZ19" s="164">
        <f t="shared" si="3"/>
        <v>11935</v>
      </c>
      <c r="BA19" s="164">
        <f t="shared" si="4"/>
        <v>12397</v>
      </c>
      <c r="BB19" s="164">
        <f t="shared" si="5"/>
        <v>20140</v>
      </c>
      <c r="BC19" s="164">
        <f t="shared" si="6"/>
        <v>4192</v>
      </c>
      <c r="BD19" s="165"/>
      <c r="BE19" s="166">
        <f t="shared" si="7"/>
        <v>74833.66</v>
      </c>
      <c r="BF19" s="166">
        <f t="shared" si="8"/>
        <v>36133.24</v>
      </c>
      <c r="BG19" s="166">
        <f t="shared" si="9"/>
        <v>38700.42</v>
      </c>
      <c r="BH19" s="167"/>
      <c r="BI19" s="166">
        <f t="shared" si="10"/>
        <v>11947.54</v>
      </c>
      <c r="BJ19" s="166">
        <f t="shared" si="11"/>
        <v>6710.88</v>
      </c>
      <c r="BK19" s="166">
        <f t="shared" si="12"/>
        <v>0</v>
      </c>
      <c r="BL19" s="166">
        <f t="shared" si="13"/>
        <v>11947.54</v>
      </c>
      <c r="BM19" s="166">
        <f>SUM('Future Orders'!$BI19:$BL19)</f>
        <v>30605.96</v>
      </c>
      <c r="BN19" s="167"/>
      <c r="BO19" s="166">
        <f t="shared" si="14"/>
        <v>0</v>
      </c>
      <c r="BP19" s="166">
        <f t="shared" si="15"/>
        <v>0</v>
      </c>
      <c r="BQ19" s="166">
        <f t="shared" si="16"/>
        <v>17474.82</v>
      </c>
      <c r="BR19" s="166">
        <f t="shared" si="17"/>
        <v>0</v>
      </c>
      <c r="BS19" s="166">
        <f>SUM('Future Orders'!$BO19:$BR19)</f>
        <v>17474.82</v>
      </c>
      <c r="BT19" s="167"/>
      <c r="BU19" s="166">
        <f t="shared" si="18"/>
        <v>9999.44</v>
      </c>
      <c r="BV19" s="166">
        <f t="shared" si="19"/>
        <v>7902.84</v>
      </c>
      <c r="BW19" s="166">
        <f t="shared" si="20"/>
        <v>0</v>
      </c>
      <c r="BX19" s="166">
        <f t="shared" si="21"/>
        <v>9999.44</v>
      </c>
      <c r="BY19" s="166">
        <f>SUM('Future Orders'!$BU19:$BX19)</f>
        <v>27901.72</v>
      </c>
      <c r="BZ19" s="167"/>
      <c r="CA19" s="166">
        <f t="shared" si="22"/>
        <v>0</v>
      </c>
      <c r="CB19" s="166">
        <f t="shared" si="23"/>
        <v>0</v>
      </c>
      <c r="CC19" s="166">
        <f t="shared" si="24"/>
        <v>20798.14</v>
      </c>
      <c r="CD19" s="166">
        <f t="shared" si="25"/>
        <v>0</v>
      </c>
      <c r="CE19" s="166">
        <f>SUM('Future Orders'!$CA19:$CD19)</f>
        <v>20798.14</v>
      </c>
      <c r="CF19" s="167"/>
      <c r="CG19" s="166">
        <f>SUM('Future Orders'!$BI19:$BJ19)
+ SUM('Future Orders'!$BU19:$BV19)</f>
        <v>36560.7</v>
      </c>
      <c r="CH19" s="166">
        <f>SUM('Future Orders'!$BQ19)
+ SUM('Future Orders'!$BX19)</f>
        <v>27474.26</v>
      </c>
      <c r="CI19" s="166">
        <f>SUM('Future Orders'!$BI19:$BJ19)
+ SUM('Future Orders'!$BU19:$BV19)
+ SUM(('Future Orders'!$BI19) * 2)</f>
        <v>60455.78</v>
      </c>
      <c r="CJ19" s="166">
        <f>SUM(('Future Orders'!$BQ19) * 2) + SUM('Future Orders'!$BX19)</f>
        <v>44949.08</v>
      </c>
      <c r="CK19" s="167"/>
      <c r="CL19" s="168">
        <f t="shared" si="26"/>
        <v>3</v>
      </c>
      <c r="CM19" s="168">
        <f t="shared" si="27"/>
        <v>3</v>
      </c>
      <c r="CN19" s="168">
        <f t="shared" si="28"/>
        <v>4</v>
      </c>
      <c r="CO19" s="168">
        <f t="shared" si="29"/>
        <v>2</v>
      </c>
      <c r="CP19" s="168">
        <f t="shared" si="30"/>
        <v>2</v>
      </c>
      <c r="CQ19" s="169">
        <f t="shared" si="31"/>
        <v>2</v>
      </c>
      <c r="CR19" s="169">
        <f t="shared" si="32"/>
        <v>2</v>
      </c>
      <c r="CS19" s="170"/>
    </row>
    <row r="20">
      <c r="A20" s="151">
        <v>41876.0</v>
      </c>
      <c r="B20" s="152">
        <v>1.0</v>
      </c>
      <c r="C20" s="152" t="s">
        <v>45</v>
      </c>
      <c r="D20" s="152">
        <v>1.0</v>
      </c>
      <c r="E20" s="153">
        <v>3453.0</v>
      </c>
      <c r="F20" s="153">
        <f>SUM(('Future Orders'!$E20) * (1.1))</f>
        <v>3798.3</v>
      </c>
      <c r="G20" s="154">
        <v>2.2</v>
      </c>
      <c r="H20" s="155">
        <v>7596.6</v>
      </c>
      <c r="I20" s="155">
        <f>SUM(('Future Orders'!$H20) * (1.1))</f>
        <v>8356.26</v>
      </c>
      <c r="J20" s="159">
        <f>SUMIFS('Future Orders'!$F20, 'Future Orders'!$D20, "1", 'Future Orders'!$C20, "A", 'Future Orders'!$B20, "1")</f>
        <v>3798.3</v>
      </c>
      <c r="K20" s="157">
        <f>SUMIFS('Future Orders'!$I20, 'Future Orders'!$D20, "1", 'Future Orders'!$C20, "A", 'Future Orders'!$B20, "1")</f>
        <v>8356.26</v>
      </c>
      <c r="L20" s="157">
        <f>SUMIFS('Future Orders'!$F20, 'Future Orders'!$D20, "1", 'Future Orders'!$C20, "B", 'Future Orders'!$B20, "1")</f>
        <v>0</v>
      </c>
      <c r="M20" s="157">
        <f>SUMIFS('Future Orders'!$I20, 'Future Orders'!$D20, "1", 'Future Orders'!$C20, "B", 'Future Orders'!$B20, "1")</f>
        <v>0</v>
      </c>
      <c r="N20" s="159">
        <f>SUMIFS('Future Orders'!$F20, 'Future Orders'!$D20, "1", 'Future Orders'!$C20, "A", 'Future Orders'!$B20, "2")</f>
        <v>0</v>
      </c>
      <c r="O20" s="157">
        <f>SUMIFS('Future Orders'!$I20, 'Future Orders'!$D20, "1", 'Future Orders'!$C20, "A", 'Future Orders'!$B20, "2")</f>
        <v>0</v>
      </c>
      <c r="P20" s="157">
        <f>SUMIFS('Future Orders'!$E20, 'Future Orders'!$D20, "1", 'Future Orders'!$C20, "B", 'Future Orders'!$B20, "2")</f>
        <v>0</v>
      </c>
      <c r="Q20" s="157">
        <f>SUMIFS('Future Orders'!$I20, 'Future Orders'!$D20, "1", 'Future Orders'!$C20, "B", 'Future Orders'!$B20, "2")</f>
        <v>0</v>
      </c>
      <c r="R20" s="159">
        <f>SUMIFS('Future Orders'!$F20, 'Future Orders'!$D20, "2", 'Future Orders'!$C20, "A", 'Future Orders'!$B20, "1")</f>
        <v>0</v>
      </c>
      <c r="S20" s="157">
        <f>SUMIFS('Future Orders'!$I20, 'Future Orders'!$D20, "2", 'Future Orders'!$C20, "A", 'Future Orders'!$B20, "1")</f>
        <v>0</v>
      </c>
      <c r="T20" s="159">
        <f>SUMIFS('Future Orders'!$F20, 'Future Orders'!$D20, "2", 'Future Orders'!$C20, "B", 'Future Orders'!$B20, "1")</f>
        <v>0</v>
      </c>
      <c r="U20" s="157">
        <f>SUMIFS('Future Orders'!$I20, 'Future Orders'!$D20, "2", 'Future Orders'!$C20, "B", 'Future Orders'!$B20, "1")</f>
        <v>0</v>
      </c>
      <c r="V20" s="159">
        <f>SUMIFS('Future Orders'!$F20, 'Future Orders'!$D20, "2", 'Future Orders'!$C20, "A", 'Future Orders'!$B20, "2")</f>
        <v>0</v>
      </c>
      <c r="W20" s="157">
        <f>SUMIFS('Future Orders'!$I20, 'Future Orders'!$D20, "2", 'Future Orders'!$C20, "A", 'Future Orders'!$B20, "2")</f>
        <v>0</v>
      </c>
      <c r="X20" s="159">
        <f>SUMIFS('Future Orders'!$F20, 'Future Orders'!$D20, "2", 'Future Orders'!$C20, "B", 'Future Orders'!$B20, "2")</f>
        <v>0</v>
      </c>
      <c r="Y20" s="159">
        <f>SUMIFS('Future Orders'!$I20, 'Future Orders'!$D20, "2", 'Future Orders'!$C20, "B", 'Future Orders'!$B20, "2")</f>
        <v>0</v>
      </c>
      <c r="Z20" s="159">
        <f>SUMIFS('Future Orders'!$F20, 'Future Orders'!$D20, "3", 'Future Orders'!$C20, "A", 'Future Orders'!$B20, "1")</f>
        <v>0</v>
      </c>
      <c r="AA20" s="159">
        <f>SUMIFS('Future Orders'!$I20, 'Future Orders'!$D20, "3", 'Future Orders'!$C20, "A", 'Future Orders'!$B20, "1")</f>
        <v>0</v>
      </c>
      <c r="AB20" s="159">
        <f>SUMIFS('Future Orders'!$F20, 'Future Orders'!$D20, "3", 'Future Orders'!$C20, "B", 'Future Orders'!$B20, "1")</f>
        <v>0</v>
      </c>
      <c r="AC20" s="159">
        <f>SUMIFS('Future Orders'!$I20, 'Future Orders'!$D20, "3", 'Future Orders'!$C20, "B", 'Future Orders'!$B20, "1")</f>
        <v>0</v>
      </c>
      <c r="AD20" s="159">
        <f>SUMIFS('Future Orders'!$F20, 'Future Orders'!$D20, "3", 'Future Orders'!$C20, "A", 'Future Orders'!$B20, "2")</f>
        <v>0</v>
      </c>
      <c r="AE20" s="159">
        <f>SUMIFS('Future Orders'!$I20, 'Future Orders'!$D20, "3", 'Future Orders'!$C20, "A", 'Future Orders'!$B20, "2")</f>
        <v>0</v>
      </c>
      <c r="AF20" s="159">
        <f>SUMIFS('Future Orders'!$F20, 'Future Orders'!$D20, "3", 'Future Orders'!$C20, "B", 'Future Orders'!$B20, "2")</f>
        <v>0</v>
      </c>
      <c r="AG20" s="157">
        <f>SUMIFS('Future Orders'!$I20, 'Future Orders'!$D20, "3", 'Future Orders'!$C20, "B", 'Future Orders'!$B20, "2")</f>
        <v>0</v>
      </c>
      <c r="AH20" s="157">
        <f>SUMIFS('Future Orders'!$F20, 'Future Orders'!$D20, "4", 'Future Orders'!$C20, "A", 'Future Orders'!$B20, "1")</f>
        <v>0</v>
      </c>
      <c r="AI20" s="157">
        <f>SUMIFS('Future Orders'!$I20, 'Future Orders'!$D20, "4", 'Future Orders'!$C20, "A", 'Future Orders'!$B20, "1")</f>
        <v>0</v>
      </c>
      <c r="AJ20" s="157">
        <f>SUMIFS('Future Orders'!$F20, 'Future Orders'!$D20, "4", 'Future Orders'!$C20, "B", 'Future Orders'!$B20, "1")</f>
        <v>0</v>
      </c>
      <c r="AK20" s="157">
        <f>SUMIFS('Future Orders'!$I20, 'Future Orders'!$D20, "4", 'Future Orders'!$C20, "B", 'Future Orders'!$B20, "1")</f>
        <v>0</v>
      </c>
      <c r="AL20" s="157">
        <f>SUMIFS('Future Orders'!$F20, 'Future Orders'!$D20, "4", 'Future Orders'!$C20, "A", 'Future Orders'!$B20, "2")</f>
        <v>0</v>
      </c>
      <c r="AM20" s="157">
        <f>SUMIFS('Future Orders'!$I20, 'Future Orders'!$D20, "4", 'Future Orders'!$C20, "A", 'Future Orders'!$B20, "2")</f>
        <v>0</v>
      </c>
      <c r="AN20" s="171">
        <f>SUMIFS('Future Orders'!$F20, 'Future Orders'!$D20, "4", 'Future Orders'!$C20, "B", 'Future Orders'!$B20, "2")</f>
        <v>0</v>
      </c>
      <c r="AO20" s="171">
        <f>SUMIFS('Future Orders'!$I20, 'Future Orders'!$D20, "4", 'Future Orders'!$C20, "B", 'Future Orders'!$B20, "2")</f>
        <v>0</v>
      </c>
      <c r="AP20" s="171">
        <f>SUMIFS('Future Orders'!$H20, 'Future Orders'!$C20, "A", 'Future Orders'!$B20, "1")</f>
        <v>7596.6</v>
      </c>
      <c r="AQ20" s="171">
        <f>SUMIFS('Future Orders'!$I20, 'Future Orders'!$C20, "B", 'Future Orders'!$B20, "1")</f>
        <v>0</v>
      </c>
      <c r="AR20" s="171">
        <f>SUMIFS('Future Orders'!$H20, 'Future Orders'!$C20, "A", 'Future Orders'!$B20, "2")</f>
        <v>0</v>
      </c>
      <c r="AS20" s="171">
        <f>SUMIFS('Future Orders'!$I20, 'Future Orders'!$C20, "B", 'Future Orders'!$B20, "2")</f>
        <v>0</v>
      </c>
      <c r="AT20" s="145"/>
      <c r="AU20" s="146"/>
      <c r="AV20" s="161">
        <v>41981.0</v>
      </c>
      <c r="AW20" s="162"/>
      <c r="AX20" s="163">
        <f t="shared" si="1"/>
        <v>41981</v>
      </c>
      <c r="AY20" s="164">
        <f t="shared" si="2"/>
        <v>20494</v>
      </c>
      <c r="AZ20" s="164">
        <f t="shared" si="3"/>
        <v>10797</v>
      </c>
      <c r="BA20" s="164">
        <f t="shared" si="4"/>
        <v>9697</v>
      </c>
      <c r="BB20" s="164">
        <f t="shared" si="5"/>
        <v>16322</v>
      </c>
      <c r="BC20" s="164">
        <f t="shared" si="6"/>
        <v>4172</v>
      </c>
      <c r="BD20" s="165"/>
      <c r="BE20" s="166">
        <f t="shared" si="7"/>
        <v>68090</v>
      </c>
      <c r="BF20" s="166">
        <f t="shared" si="8"/>
        <v>32997.8</v>
      </c>
      <c r="BG20" s="166">
        <f t="shared" si="9"/>
        <v>35092.2</v>
      </c>
      <c r="BH20" s="167"/>
      <c r="BI20" s="166">
        <f t="shared" si="10"/>
        <v>10553.62</v>
      </c>
      <c r="BJ20" s="166">
        <f t="shared" si="11"/>
        <v>6138</v>
      </c>
      <c r="BK20" s="166">
        <f t="shared" si="12"/>
        <v>0</v>
      </c>
      <c r="BL20" s="166">
        <f t="shared" si="13"/>
        <v>10553.62</v>
      </c>
      <c r="BM20" s="166">
        <f>SUM('Future Orders'!$BI20:$BL20)</f>
        <v>27245.24</v>
      </c>
      <c r="BN20" s="167"/>
      <c r="BO20" s="166">
        <f t="shared" si="14"/>
        <v>0</v>
      </c>
      <c r="BP20" s="166">
        <f t="shared" si="15"/>
        <v>0</v>
      </c>
      <c r="BQ20" s="166">
        <f t="shared" si="16"/>
        <v>16306.18</v>
      </c>
      <c r="BR20" s="166">
        <f t="shared" si="17"/>
        <v>0</v>
      </c>
      <c r="BS20" s="166">
        <f>SUM('Future Orders'!$BO20:$BR20)</f>
        <v>16306.18</v>
      </c>
      <c r="BT20" s="167"/>
      <c r="BU20" s="166">
        <f t="shared" si="18"/>
        <v>8046.5</v>
      </c>
      <c r="BV20" s="166">
        <f t="shared" si="19"/>
        <v>5261.52</v>
      </c>
      <c r="BW20" s="166">
        <f t="shared" si="20"/>
        <v>0</v>
      </c>
      <c r="BX20" s="166">
        <f t="shared" si="21"/>
        <v>8046.5</v>
      </c>
      <c r="BY20" s="166">
        <f>SUM('Future Orders'!$BU20:$BX20)</f>
        <v>21354.52</v>
      </c>
      <c r="BZ20" s="167"/>
      <c r="CA20" s="166">
        <f t="shared" si="22"/>
        <v>0</v>
      </c>
      <c r="CB20" s="166">
        <f t="shared" si="23"/>
        <v>0</v>
      </c>
      <c r="CC20" s="166">
        <f t="shared" si="24"/>
        <v>21784.18</v>
      </c>
      <c r="CD20" s="166">
        <f t="shared" si="25"/>
        <v>0</v>
      </c>
      <c r="CE20" s="166">
        <f>SUM('Future Orders'!$CA20:$CD20)</f>
        <v>21784.18</v>
      </c>
      <c r="CF20" s="167"/>
      <c r="CG20" s="166">
        <f>SUM('Future Orders'!$BI20:$BJ20)
+ SUM('Future Orders'!$BU20:$BV20)</f>
        <v>29999.64</v>
      </c>
      <c r="CH20" s="166">
        <f>SUM('Future Orders'!$BQ20)
+ SUM('Future Orders'!$BX20)</f>
        <v>24352.68</v>
      </c>
      <c r="CI20" s="166">
        <f>SUM('Future Orders'!$BI20:$BJ20)
+ SUM('Future Orders'!$BU20:$BV20)
+ SUM(('Future Orders'!$BI20) * 2)</f>
        <v>51106.88</v>
      </c>
      <c r="CJ20" s="166">
        <f>SUM(('Future Orders'!$BQ20) * 2) + SUM('Future Orders'!$BX20)</f>
        <v>40658.86</v>
      </c>
      <c r="CK20" s="167"/>
      <c r="CL20" s="168">
        <f t="shared" si="26"/>
        <v>3</v>
      </c>
      <c r="CM20" s="168">
        <f t="shared" si="27"/>
        <v>3</v>
      </c>
      <c r="CN20" s="168">
        <f t="shared" si="28"/>
        <v>4</v>
      </c>
      <c r="CO20" s="168">
        <f t="shared" si="29"/>
        <v>2</v>
      </c>
      <c r="CP20" s="168">
        <f t="shared" si="30"/>
        <v>2</v>
      </c>
      <c r="CQ20" s="169">
        <f t="shared" si="31"/>
        <v>2</v>
      </c>
      <c r="CR20" s="169">
        <f t="shared" si="32"/>
        <v>2</v>
      </c>
      <c r="CS20" s="170"/>
    </row>
    <row r="21" ht="15.75" customHeight="1">
      <c r="A21" s="151">
        <v>41876.0</v>
      </c>
      <c r="B21" s="152">
        <v>1.0</v>
      </c>
      <c r="C21" s="152" t="s">
        <v>45</v>
      </c>
      <c r="D21" s="152">
        <v>2.0</v>
      </c>
      <c r="E21" s="153">
        <v>6115.0</v>
      </c>
      <c r="F21" s="153">
        <f>SUM(('Future Orders'!$E21) * (1.1))</f>
        <v>6726.5</v>
      </c>
      <c r="G21" s="154">
        <v>1.2</v>
      </c>
      <c r="H21" s="155">
        <v>7338.0</v>
      </c>
      <c r="I21" s="155">
        <f>SUM(('Future Orders'!$H21) * (1.1))</f>
        <v>8071.8</v>
      </c>
      <c r="J21" s="159">
        <f>SUMIFS('Future Orders'!$F21, 'Future Orders'!$D21, "1", 'Future Orders'!$C21, "A", 'Future Orders'!$B21, "1")</f>
        <v>0</v>
      </c>
      <c r="K21" s="157">
        <f>SUMIFS('Future Orders'!$I21, 'Future Orders'!$D21, "1", 'Future Orders'!$C21, "A", 'Future Orders'!$B21, "1")</f>
        <v>0</v>
      </c>
      <c r="L21" s="157">
        <f>SUMIFS('Future Orders'!$F21, 'Future Orders'!$D21, "1", 'Future Orders'!$C21, "B", 'Future Orders'!$B21, "1")</f>
        <v>0</v>
      </c>
      <c r="M21" s="157">
        <f>SUMIFS('Future Orders'!$I21, 'Future Orders'!$D21, "1", 'Future Orders'!$C21, "B", 'Future Orders'!$B21, "1")</f>
        <v>0</v>
      </c>
      <c r="N21" s="159">
        <f>SUMIFS('Future Orders'!$F21, 'Future Orders'!$D21, "1", 'Future Orders'!$C21, "A", 'Future Orders'!$B21, "2")</f>
        <v>0</v>
      </c>
      <c r="O21" s="157">
        <f>SUMIFS('Future Orders'!$I21, 'Future Orders'!$D21, "1", 'Future Orders'!$C21, "A", 'Future Orders'!$B21, "2")</f>
        <v>0</v>
      </c>
      <c r="P21" s="157">
        <f>SUMIFS('Future Orders'!$E21, 'Future Orders'!$D21, "1", 'Future Orders'!$C21, "B", 'Future Orders'!$B21, "2")</f>
        <v>0</v>
      </c>
      <c r="Q21" s="157">
        <f>SUMIFS('Future Orders'!$I21, 'Future Orders'!$D21, "1", 'Future Orders'!$C21, "B", 'Future Orders'!$B21, "2")</f>
        <v>0</v>
      </c>
      <c r="R21" s="159">
        <f>SUMIFS('Future Orders'!$F21, 'Future Orders'!$D21, "2", 'Future Orders'!$C21, "A", 'Future Orders'!$B21, "1")</f>
        <v>6726.5</v>
      </c>
      <c r="S21" s="157">
        <f>SUMIFS('Future Orders'!$I21, 'Future Orders'!$D21, "2", 'Future Orders'!$C21, "A", 'Future Orders'!$B21, "1")</f>
        <v>8071.8</v>
      </c>
      <c r="T21" s="159">
        <f>SUMIFS('Future Orders'!$F21, 'Future Orders'!$D21, "2", 'Future Orders'!$C21, "B", 'Future Orders'!$B21, "1")</f>
        <v>0</v>
      </c>
      <c r="U21" s="157">
        <f>SUMIFS('Future Orders'!$I21, 'Future Orders'!$D21, "2", 'Future Orders'!$C21, "B", 'Future Orders'!$B21, "1")</f>
        <v>0</v>
      </c>
      <c r="V21" s="159">
        <f>SUMIFS('Future Orders'!$F21, 'Future Orders'!$D21, "2", 'Future Orders'!$C21, "A", 'Future Orders'!$B21, "2")</f>
        <v>0</v>
      </c>
      <c r="W21" s="157">
        <f>SUMIFS('Future Orders'!$I21, 'Future Orders'!$D21, "2", 'Future Orders'!$C21, "A", 'Future Orders'!$B21, "2")</f>
        <v>0</v>
      </c>
      <c r="X21" s="159">
        <f>SUMIFS('Future Orders'!$F21, 'Future Orders'!$D21, "2", 'Future Orders'!$C21, "B", 'Future Orders'!$B21, "2")</f>
        <v>0</v>
      </c>
      <c r="Y21" s="159">
        <f>SUMIFS('Future Orders'!$I21, 'Future Orders'!$D21, "2", 'Future Orders'!$C21, "B", 'Future Orders'!$B21, "2")</f>
        <v>0</v>
      </c>
      <c r="Z21" s="159">
        <f>SUMIFS('Future Orders'!$F21, 'Future Orders'!$D21, "3", 'Future Orders'!$C21, "A", 'Future Orders'!$B21, "1")</f>
        <v>0</v>
      </c>
      <c r="AA21" s="159">
        <f>SUMIFS('Future Orders'!$I21, 'Future Orders'!$D21, "3", 'Future Orders'!$C21, "A", 'Future Orders'!$B21, "1")</f>
        <v>0</v>
      </c>
      <c r="AB21" s="159">
        <f>SUMIFS('Future Orders'!$F21, 'Future Orders'!$D21, "3", 'Future Orders'!$C21, "B", 'Future Orders'!$B21, "1")</f>
        <v>0</v>
      </c>
      <c r="AC21" s="159">
        <f>SUMIFS('Future Orders'!$I21, 'Future Orders'!$D21, "3", 'Future Orders'!$C21, "B", 'Future Orders'!$B21, "1")</f>
        <v>0</v>
      </c>
      <c r="AD21" s="159">
        <f>SUMIFS('Future Orders'!$F21, 'Future Orders'!$D21, "3", 'Future Orders'!$C21, "A", 'Future Orders'!$B21, "2")</f>
        <v>0</v>
      </c>
      <c r="AE21" s="159">
        <f>SUMIFS('Future Orders'!$I21, 'Future Orders'!$D21, "3", 'Future Orders'!$C21, "A", 'Future Orders'!$B21, "2")</f>
        <v>0</v>
      </c>
      <c r="AF21" s="159">
        <f>SUMIFS('Future Orders'!$F21, 'Future Orders'!$D21, "3", 'Future Orders'!$C21, "B", 'Future Orders'!$B21, "2")</f>
        <v>0</v>
      </c>
      <c r="AG21" s="157">
        <f>SUMIFS('Future Orders'!$I21, 'Future Orders'!$D21, "3", 'Future Orders'!$C21, "B", 'Future Orders'!$B21, "2")</f>
        <v>0</v>
      </c>
      <c r="AH21" s="157">
        <f>SUMIFS('Future Orders'!$F21, 'Future Orders'!$D21, "4", 'Future Orders'!$C21, "A", 'Future Orders'!$B21, "1")</f>
        <v>0</v>
      </c>
      <c r="AI21" s="157">
        <f>SUMIFS('Future Orders'!$I21, 'Future Orders'!$D21, "4", 'Future Orders'!$C21, "A", 'Future Orders'!$B21, "1")</f>
        <v>0</v>
      </c>
      <c r="AJ21" s="157">
        <f>SUMIFS('Future Orders'!$F21, 'Future Orders'!$D21, "4", 'Future Orders'!$C21, "B", 'Future Orders'!$B21, "1")</f>
        <v>0</v>
      </c>
      <c r="AK21" s="157">
        <f>SUMIFS('Future Orders'!$I21, 'Future Orders'!$D21, "4", 'Future Orders'!$C21, "B", 'Future Orders'!$B21, "1")</f>
        <v>0</v>
      </c>
      <c r="AL21" s="157">
        <f>SUMIFS('Future Orders'!$F21, 'Future Orders'!$D21, "4", 'Future Orders'!$C21, "A", 'Future Orders'!$B21, "2")</f>
        <v>0</v>
      </c>
      <c r="AM21" s="157">
        <f>SUMIFS('Future Orders'!$I21, 'Future Orders'!$D21, "4", 'Future Orders'!$C21, "A", 'Future Orders'!$B21, "2")</f>
        <v>0</v>
      </c>
      <c r="AN21" s="171">
        <f>SUMIFS('Future Orders'!$F21, 'Future Orders'!$D21, "4", 'Future Orders'!$C21, "B", 'Future Orders'!$B21, "2")</f>
        <v>0</v>
      </c>
      <c r="AO21" s="171">
        <f>SUMIFS('Future Orders'!$I21, 'Future Orders'!$D21, "4", 'Future Orders'!$C21, "B", 'Future Orders'!$B21, "2")</f>
        <v>0</v>
      </c>
      <c r="AP21" s="171">
        <f>SUMIFS('Future Orders'!$H21, 'Future Orders'!$C21, "A", 'Future Orders'!$B21, "1")</f>
        <v>7338</v>
      </c>
      <c r="AQ21" s="171">
        <f>SUMIFS('Future Orders'!$I21, 'Future Orders'!$C21, "B", 'Future Orders'!$B21, "1")</f>
        <v>0</v>
      </c>
      <c r="AR21" s="171">
        <f>SUMIFS('Future Orders'!$H21, 'Future Orders'!$C21, "A", 'Future Orders'!$B21, "2")</f>
        <v>0</v>
      </c>
      <c r="AS21" s="171">
        <f>SUMIFS('Future Orders'!$I21, 'Future Orders'!$C21, "B", 'Future Orders'!$B21, "2")</f>
        <v>0</v>
      </c>
      <c r="AT21" s="145"/>
      <c r="AU21" s="146"/>
      <c r="AV21" s="161">
        <v>41988.0</v>
      </c>
      <c r="AW21" s="162"/>
      <c r="AX21" s="163">
        <f t="shared" si="1"/>
        <v>41988</v>
      </c>
      <c r="AY21" s="164">
        <f t="shared" si="2"/>
        <v>23808</v>
      </c>
      <c r="AZ21" s="164">
        <f t="shared" si="3"/>
        <v>12499</v>
      </c>
      <c r="BA21" s="164">
        <f t="shared" si="4"/>
        <v>11309</v>
      </c>
      <c r="BB21" s="164">
        <f t="shared" si="5"/>
        <v>19561</v>
      </c>
      <c r="BC21" s="164">
        <f t="shared" si="6"/>
        <v>4247</v>
      </c>
      <c r="BD21" s="165"/>
      <c r="BE21" s="166">
        <f t="shared" si="7"/>
        <v>73480.33</v>
      </c>
      <c r="BF21" s="166">
        <f t="shared" si="8"/>
        <v>37581.94</v>
      </c>
      <c r="BG21" s="166">
        <f t="shared" si="9"/>
        <v>35898.39</v>
      </c>
      <c r="BH21" s="167"/>
      <c r="BI21" s="166">
        <f t="shared" si="10"/>
        <v>11056.98</v>
      </c>
      <c r="BJ21" s="166">
        <f t="shared" si="11"/>
        <v>7753.68</v>
      </c>
      <c r="BK21" s="166">
        <f t="shared" si="12"/>
        <v>0</v>
      </c>
      <c r="BL21" s="166">
        <f t="shared" si="13"/>
        <v>11056.98</v>
      </c>
      <c r="BM21" s="166">
        <f>SUM('Future Orders'!$BI21:$BL21)</f>
        <v>29867.64</v>
      </c>
      <c r="BN21" s="167"/>
      <c r="BO21" s="166">
        <f t="shared" si="14"/>
        <v>0</v>
      </c>
      <c r="BP21" s="166">
        <f t="shared" si="15"/>
        <v>0</v>
      </c>
      <c r="BQ21" s="166">
        <f t="shared" si="16"/>
        <v>18771.28</v>
      </c>
      <c r="BR21" s="166">
        <f t="shared" si="17"/>
        <v>0</v>
      </c>
      <c r="BS21" s="166">
        <f>SUM('Future Orders'!$BO21:$BR21)</f>
        <v>18771.28</v>
      </c>
      <c r="BT21" s="167"/>
      <c r="BU21" s="166">
        <f t="shared" si="18"/>
        <v>8489.36</v>
      </c>
      <c r="BV21" s="166">
        <f t="shared" si="19"/>
        <v>7405.2</v>
      </c>
      <c r="BW21" s="166">
        <f t="shared" si="20"/>
        <v>0</v>
      </c>
      <c r="BX21" s="166">
        <f t="shared" si="21"/>
        <v>8489.36</v>
      </c>
      <c r="BY21" s="166">
        <f>SUM('Future Orders'!$BU21:$BX21)</f>
        <v>24383.92</v>
      </c>
      <c r="BZ21" s="167"/>
      <c r="CA21" s="166">
        <f t="shared" si="22"/>
        <v>0</v>
      </c>
      <c r="CB21" s="166">
        <f t="shared" si="23"/>
        <v>0</v>
      </c>
      <c r="CC21" s="166">
        <f t="shared" si="24"/>
        <v>20003.83</v>
      </c>
      <c r="CD21" s="166">
        <f t="shared" si="25"/>
        <v>0</v>
      </c>
      <c r="CE21" s="166">
        <f>SUM('Future Orders'!$CA21:$CD21)</f>
        <v>20003.83</v>
      </c>
      <c r="CF21" s="167"/>
      <c r="CG21" s="166">
        <f>SUM('Future Orders'!$BI21:$BJ21)
+ SUM('Future Orders'!$BU21:$BV21)</f>
        <v>34705.22</v>
      </c>
      <c r="CH21" s="166">
        <f>SUM('Future Orders'!$BQ21)
+ SUM('Future Orders'!$BX21)</f>
        <v>27260.64</v>
      </c>
      <c r="CI21" s="166">
        <f>SUM('Future Orders'!$BI21:$BJ21)
+ SUM('Future Orders'!$BU21:$BV21)
+ SUM(('Future Orders'!$BI21) * 2)</f>
        <v>56819.18</v>
      </c>
      <c r="CJ21" s="166">
        <f>SUM(('Future Orders'!$BQ21) * 2) + SUM('Future Orders'!$BX21)</f>
        <v>46031.92</v>
      </c>
      <c r="CK21" s="167"/>
      <c r="CL21" s="168">
        <f t="shared" si="26"/>
        <v>3</v>
      </c>
      <c r="CM21" s="168">
        <f t="shared" si="27"/>
        <v>3</v>
      </c>
      <c r="CN21" s="168">
        <f t="shared" si="28"/>
        <v>4</v>
      </c>
      <c r="CO21" s="168">
        <f t="shared" si="29"/>
        <v>2</v>
      </c>
      <c r="CP21" s="168">
        <f t="shared" si="30"/>
        <v>2</v>
      </c>
      <c r="CQ21" s="169">
        <f t="shared" si="31"/>
        <v>2</v>
      </c>
      <c r="CR21" s="169">
        <f t="shared" si="32"/>
        <v>2</v>
      </c>
      <c r="CS21" s="170"/>
    </row>
    <row r="22" ht="15.75" customHeight="1">
      <c r="A22" s="151">
        <v>41876.0</v>
      </c>
      <c r="B22" s="152">
        <v>2.0</v>
      </c>
      <c r="C22" s="152" t="s">
        <v>45</v>
      </c>
      <c r="D22" s="152">
        <v>1.0</v>
      </c>
      <c r="E22" s="153">
        <v>1902.0</v>
      </c>
      <c r="F22" s="153">
        <f>SUM(('Future Orders'!$E22) * (1.1))</f>
        <v>2092.2</v>
      </c>
      <c r="G22" s="154">
        <v>2.2</v>
      </c>
      <c r="H22" s="155">
        <v>4184.400000000001</v>
      </c>
      <c r="I22" s="155">
        <f>SUM(('Future Orders'!$H22) * (1.1))</f>
        <v>4602.84</v>
      </c>
      <c r="J22" s="159">
        <f>SUMIFS('Future Orders'!$F22, 'Future Orders'!$D22, "1", 'Future Orders'!$C22, "A", 'Future Orders'!$B22, "1")</f>
        <v>0</v>
      </c>
      <c r="K22" s="157">
        <f>SUMIFS('Future Orders'!$I22, 'Future Orders'!$D22, "1", 'Future Orders'!$C22, "A", 'Future Orders'!$B22, "1")</f>
        <v>0</v>
      </c>
      <c r="L22" s="157">
        <f>SUMIFS('Future Orders'!$F22, 'Future Orders'!$D22, "1", 'Future Orders'!$C22, "B", 'Future Orders'!$B22, "1")</f>
        <v>0</v>
      </c>
      <c r="M22" s="157">
        <f>SUMIFS('Future Orders'!$I22, 'Future Orders'!$D22, "1", 'Future Orders'!$C22, "B", 'Future Orders'!$B22, "1")</f>
        <v>0</v>
      </c>
      <c r="N22" s="159">
        <f>SUMIFS('Future Orders'!$F22, 'Future Orders'!$D22, "1", 'Future Orders'!$C22, "A", 'Future Orders'!$B22, "2")</f>
        <v>2092.2</v>
      </c>
      <c r="O22" s="157">
        <f>SUMIFS('Future Orders'!$I22, 'Future Orders'!$D22, "1", 'Future Orders'!$C22, "A", 'Future Orders'!$B22, "2")</f>
        <v>4602.84</v>
      </c>
      <c r="P22" s="157">
        <f>SUMIFS('Future Orders'!$E22, 'Future Orders'!$D22, "1", 'Future Orders'!$C22, "B", 'Future Orders'!$B22, "2")</f>
        <v>0</v>
      </c>
      <c r="Q22" s="157">
        <f>SUMIFS('Future Orders'!$I22, 'Future Orders'!$D22, "1", 'Future Orders'!$C22, "B", 'Future Orders'!$B22, "2")</f>
        <v>0</v>
      </c>
      <c r="R22" s="159">
        <f>SUMIFS('Future Orders'!$F22, 'Future Orders'!$D22, "2", 'Future Orders'!$C22, "A", 'Future Orders'!$B22, "1")</f>
        <v>0</v>
      </c>
      <c r="S22" s="157">
        <f>SUMIFS('Future Orders'!$I22, 'Future Orders'!$D22, "2", 'Future Orders'!$C22, "A", 'Future Orders'!$B22, "1")</f>
        <v>0</v>
      </c>
      <c r="T22" s="159">
        <f>SUMIFS('Future Orders'!$F22, 'Future Orders'!$D22, "2", 'Future Orders'!$C22, "B", 'Future Orders'!$B22, "1")</f>
        <v>0</v>
      </c>
      <c r="U22" s="157">
        <f>SUMIFS('Future Orders'!$I22, 'Future Orders'!$D22, "2", 'Future Orders'!$C22, "B", 'Future Orders'!$B22, "1")</f>
        <v>0</v>
      </c>
      <c r="V22" s="159">
        <f>SUMIFS('Future Orders'!$F22, 'Future Orders'!$D22, "2", 'Future Orders'!$C22, "A", 'Future Orders'!$B22, "2")</f>
        <v>0</v>
      </c>
      <c r="W22" s="157">
        <f>SUMIFS('Future Orders'!$I22, 'Future Orders'!$D22, "2", 'Future Orders'!$C22, "A", 'Future Orders'!$B22, "2")</f>
        <v>0</v>
      </c>
      <c r="X22" s="159">
        <f>SUMIFS('Future Orders'!$F22, 'Future Orders'!$D22, "2", 'Future Orders'!$C22, "B", 'Future Orders'!$B22, "2")</f>
        <v>0</v>
      </c>
      <c r="Y22" s="159">
        <f>SUMIFS('Future Orders'!$I22, 'Future Orders'!$D22, "2", 'Future Orders'!$C22, "B", 'Future Orders'!$B22, "2")</f>
        <v>0</v>
      </c>
      <c r="Z22" s="159">
        <f>SUMIFS('Future Orders'!$F22, 'Future Orders'!$D22, "3", 'Future Orders'!$C22, "A", 'Future Orders'!$B22, "1")</f>
        <v>0</v>
      </c>
      <c r="AA22" s="159">
        <f>SUMIFS('Future Orders'!$I22, 'Future Orders'!$D22, "3", 'Future Orders'!$C22, "A", 'Future Orders'!$B22, "1")</f>
        <v>0</v>
      </c>
      <c r="AB22" s="159">
        <f>SUMIFS('Future Orders'!$F22, 'Future Orders'!$D22, "3", 'Future Orders'!$C22, "B", 'Future Orders'!$B22, "1")</f>
        <v>0</v>
      </c>
      <c r="AC22" s="159">
        <f>SUMIFS('Future Orders'!$I22, 'Future Orders'!$D22, "3", 'Future Orders'!$C22, "B", 'Future Orders'!$B22, "1")</f>
        <v>0</v>
      </c>
      <c r="AD22" s="159">
        <f>SUMIFS('Future Orders'!$F22, 'Future Orders'!$D22, "3", 'Future Orders'!$C22, "A", 'Future Orders'!$B22, "2")</f>
        <v>0</v>
      </c>
      <c r="AE22" s="159">
        <f>SUMIFS('Future Orders'!$I22, 'Future Orders'!$D22, "3", 'Future Orders'!$C22, "A", 'Future Orders'!$B22, "2")</f>
        <v>0</v>
      </c>
      <c r="AF22" s="159">
        <f>SUMIFS('Future Orders'!$F22, 'Future Orders'!$D22, "3", 'Future Orders'!$C22, "B", 'Future Orders'!$B22, "2")</f>
        <v>0</v>
      </c>
      <c r="AG22" s="157">
        <f>SUMIFS('Future Orders'!$I22, 'Future Orders'!$D22, "3", 'Future Orders'!$C22, "B", 'Future Orders'!$B22, "2")</f>
        <v>0</v>
      </c>
      <c r="AH22" s="157">
        <f>SUMIFS('Future Orders'!$F22, 'Future Orders'!$D22, "4", 'Future Orders'!$C22, "A", 'Future Orders'!$B22, "1")</f>
        <v>0</v>
      </c>
      <c r="AI22" s="157">
        <f>SUMIFS('Future Orders'!$I22, 'Future Orders'!$D22, "4", 'Future Orders'!$C22, "A", 'Future Orders'!$B22, "1")</f>
        <v>0</v>
      </c>
      <c r="AJ22" s="157">
        <f>SUMIFS('Future Orders'!$F22, 'Future Orders'!$D22, "4", 'Future Orders'!$C22, "B", 'Future Orders'!$B22, "1")</f>
        <v>0</v>
      </c>
      <c r="AK22" s="157">
        <f>SUMIFS('Future Orders'!$I22, 'Future Orders'!$D22, "4", 'Future Orders'!$C22, "B", 'Future Orders'!$B22, "1")</f>
        <v>0</v>
      </c>
      <c r="AL22" s="157">
        <f>SUMIFS('Future Orders'!$F22, 'Future Orders'!$D22, "4", 'Future Orders'!$C22, "A", 'Future Orders'!$B22, "2")</f>
        <v>0</v>
      </c>
      <c r="AM22" s="157">
        <f>SUMIFS('Future Orders'!$I22, 'Future Orders'!$D22, "4", 'Future Orders'!$C22, "A", 'Future Orders'!$B22, "2")</f>
        <v>0</v>
      </c>
      <c r="AN22" s="171">
        <f>SUMIFS('Future Orders'!$F22, 'Future Orders'!$D22, "4", 'Future Orders'!$C22, "B", 'Future Orders'!$B22, "2")</f>
        <v>0</v>
      </c>
      <c r="AO22" s="171">
        <f>SUMIFS('Future Orders'!$I22, 'Future Orders'!$D22, "4", 'Future Orders'!$C22, "B", 'Future Orders'!$B22, "2")</f>
        <v>0</v>
      </c>
      <c r="AP22" s="171">
        <f>SUMIFS('Future Orders'!$H22, 'Future Orders'!$C22, "A", 'Future Orders'!$B22, "1")</f>
        <v>0</v>
      </c>
      <c r="AQ22" s="171">
        <f>SUMIFS('Future Orders'!$I22, 'Future Orders'!$C22, "B", 'Future Orders'!$B22, "1")</f>
        <v>0</v>
      </c>
      <c r="AR22" s="171">
        <f>SUMIFS('Future Orders'!$H22, 'Future Orders'!$C22, "A", 'Future Orders'!$B22, "2")</f>
        <v>4184.4</v>
      </c>
      <c r="AS22" s="171">
        <f>SUMIFS('Future Orders'!$I22, 'Future Orders'!$C22, "B", 'Future Orders'!$B22, "2")</f>
        <v>0</v>
      </c>
      <c r="AT22" s="145"/>
      <c r="AU22" s="146"/>
      <c r="AV22" s="161">
        <v>41995.0</v>
      </c>
      <c r="AW22" s="162"/>
      <c r="AX22" s="163">
        <f t="shared" si="1"/>
        <v>41995</v>
      </c>
      <c r="AY22" s="164">
        <f t="shared" si="2"/>
        <v>25614</v>
      </c>
      <c r="AZ22" s="164">
        <f t="shared" si="3"/>
        <v>12381</v>
      </c>
      <c r="BA22" s="164">
        <f t="shared" si="4"/>
        <v>13233</v>
      </c>
      <c r="BB22" s="164">
        <f t="shared" si="5"/>
        <v>20914</v>
      </c>
      <c r="BC22" s="164">
        <f t="shared" si="6"/>
        <v>4700</v>
      </c>
      <c r="BD22" s="165"/>
      <c r="BE22" s="166">
        <f t="shared" si="7"/>
        <v>79162.38</v>
      </c>
      <c r="BF22" s="166">
        <f t="shared" si="8"/>
        <v>37615.6</v>
      </c>
      <c r="BG22" s="166">
        <f t="shared" si="9"/>
        <v>41546.78</v>
      </c>
      <c r="BH22" s="167"/>
      <c r="BI22" s="166">
        <f t="shared" si="10"/>
        <v>10408.42</v>
      </c>
      <c r="BJ22" s="166">
        <f t="shared" si="11"/>
        <v>7869.84</v>
      </c>
      <c r="BK22" s="166">
        <f t="shared" si="12"/>
        <v>0</v>
      </c>
      <c r="BL22" s="166">
        <f t="shared" si="13"/>
        <v>10408.42</v>
      </c>
      <c r="BM22" s="166">
        <f>SUM('Future Orders'!$BI22:$BL22)</f>
        <v>28686.68</v>
      </c>
      <c r="BN22" s="167"/>
      <c r="BO22" s="166">
        <f t="shared" si="14"/>
        <v>0</v>
      </c>
      <c r="BP22" s="166">
        <f t="shared" si="15"/>
        <v>0</v>
      </c>
      <c r="BQ22" s="166">
        <f t="shared" si="16"/>
        <v>19337.34</v>
      </c>
      <c r="BR22" s="166">
        <f t="shared" si="17"/>
        <v>0</v>
      </c>
      <c r="BS22" s="166">
        <f>SUM('Future Orders'!$BO22:$BR22)</f>
        <v>19337.34</v>
      </c>
      <c r="BT22" s="167"/>
      <c r="BU22" s="166">
        <f t="shared" si="18"/>
        <v>8610.36</v>
      </c>
      <c r="BV22" s="166">
        <f t="shared" si="19"/>
        <v>9362.76</v>
      </c>
      <c r="BW22" s="166">
        <f t="shared" si="20"/>
        <v>0</v>
      </c>
      <c r="BX22" s="166">
        <f t="shared" si="21"/>
        <v>8610.36</v>
      </c>
      <c r="BY22" s="166">
        <f>SUM('Future Orders'!$BU22:$BX22)</f>
        <v>26583.48</v>
      </c>
      <c r="BZ22" s="167"/>
      <c r="CA22" s="166">
        <f t="shared" si="22"/>
        <v>0</v>
      </c>
      <c r="CB22" s="166">
        <f t="shared" si="23"/>
        <v>0</v>
      </c>
      <c r="CC22" s="166">
        <f t="shared" si="24"/>
        <v>23573.66</v>
      </c>
      <c r="CD22" s="166">
        <f t="shared" si="25"/>
        <v>0</v>
      </c>
      <c r="CE22" s="166">
        <f>SUM('Future Orders'!$CA22:$CD22)</f>
        <v>23573.66</v>
      </c>
      <c r="CF22" s="167"/>
      <c r="CG22" s="166">
        <f>SUM('Future Orders'!$BI22:$BJ22)
+ SUM('Future Orders'!$BU22:$BV22)</f>
        <v>36251.38</v>
      </c>
      <c r="CH22" s="166">
        <f>SUM('Future Orders'!$BQ22)
+ SUM('Future Orders'!$BX22)</f>
        <v>27947.7</v>
      </c>
      <c r="CI22" s="166">
        <f>SUM('Future Orders'!$BI22:$BJ22)
+ SUM('Future Orders'!$BU22:$BV22)
+ SUM(('Future Orders'!$BI22) * 2)</f>
        <v>57068.22</v>
      </c>
      <c r="CJ22" s="166">
        <f>SUM(('Future Orders'!$BQ22) * 2) + SUM('Future Orders'!$BX22)</f>
        <v>47285.04</v>
      </c>
      <c r="CK22" s="167"/>
      <c r="CL22" s="168">
        <f t="shared" si="26"/>
        <v>3</v>
      </c>
      <c r="CM22" s="168">
        <f t="shared" si="27"/>
        <v>3</v>
      </c>
      <c r="CN22" s="168">
        <f t="shared" si="28"/>
        <v>4</v>
      </c>
      <c r="CO22" s="168">
        <f t="shared" si="29"/>
        <v>2</v>
      </c>
      <c r="CP22" s="168">
        <f t="shared" si="30"/>
        <v>2</v>
      </c>
      <c r="CQ22" s="169">
        <f t="shared" si="31"/>
        <v>2</v>
      </c>
      <c r="CR22" s="169">
        <f t="shared" si="32"/>
        <v>2</v>
      </c>
      <c r="CS22" s="170"/>
    </row>
    <row r="23" ht="15.75" customHeight="1">
      <c r="A23" s="151">
        <v>41876.0</v>
      </c>
      <c r="B23" s="152">
        <v>2.0</v>
      </c>
      <c r="C23" s="152" t="s">
        <v>45</v>
      </c>
      <c r="D23" s="152">
        <v>2.0</v>
      </c>
      <c r="E23" s="153">
        <v>5904.0</v>
      </c>
      <c r="F23" s="153">
        <f>SUM(('Future Orders'!$E23) * (1.1))</f>
        <v>6494.4</v>
      </c>
      <c r="G23" s="154">
        <v>1.2</v>
      </c>
      <c r="H23" s="155">
        <v>7084.8</v>
      </c>
      <c r="I23" s="155">
        <f>SUM(('Future Orders'!$H23) * (1.1))</f>
        <v>7793.28</v>
      </c>
      <c r="J23" s="159">
        <f>SUMIFS('Future Orders'!$F23, 'Future Orders'!$D23, "1", 'Future Orders'!$C23, "A", 'Future Orders'!$B23, "1")</f>
        <v>0</v>
      </c>
      <c r="K23" s="157">
        <f>SUMIFS('Future Orders'!$I23, 'Future Orders'!$D23, "1", 'Future Orders'!$C23, "A", 'Future Orders'!$B23, "1")</f>
        <v>0</v>
      </c>
      <c r="L23" s="157">
        <f>SUMIFS('Future Orders'!$F23, 'Future Orders'!$D23, "1", 'Future Orders'!$C23, "B", 'Future Orders'!$B23, "1")</f>
        <v>0</v>
      </c>
      <c r="M23" s="157">
        <f>SUMIFS('Future Orders'!$I23, 'Future Orders'!$D23, "1", 'Future Orders'!$C23, "B", 'Future Orders'!$B23, "1")</f>
        <v>0</v>
      </c>
      <c r="N23" s="159">
        <f>SUMIFS('Future Orders'!$F23, 'Future Orders'!$D23, "1", 'Future Orders'!$C23, "A", 'Future Orders'!$B23, "2")</f>
        <v>0</v>
      </c>
      <c r="O23" s="157">
        <f>SUMIFS('Future Orders'!$I23, 'Future Orders'!$D23, "1", 'Future Orders'!$C23, "A", 'Future Orders'!$B23, "2")</f>
        <v>0</v>
      </c>
      <c r="P23" s="157">
        <f>SUMIFS('Future Orders'!$E23, 'Future Orders'!$D23, "1", 'Future Orders'!$C23, "B", 'Future Orders'!$B23, "2")</f>
        <v>0</v>
      </c>
      <c r="Q23" s="157">
        <f>SUMIFS('Future Orders'!$I23, 'Future Orders'!$D23, "1", 'Future Orders'!$C23, "B", 'Future Orders'!$B23, "2")</f>
        <v>0</v>
      </c>
      <c r="R23" s="159">
        <f>SUMIFS('Future Orders'!$F23, 'Future Orders'!$D23, "2", 'Future Orders'!$C23, "A", 'Future Orders'!$B23, "1")</f>
        <v>0</v>
      </c>
      <c r="S23" s="157">
        <f>SUMIFS('Future Orders'!$I23, 'Future Orders'!$D23, "2", 'Future Orders'!$C23, "A", 'Future Orders'!$B23, "1")</f>
        <v>0</v>
      </c>
      <c r="T23" s="159">
        <f>SUMIFS('Future Orders'!$F23, 'Future Orders'!$D23, "2", 'Future Orders'!$C23, "B", 'Future Orders'!$B23, "1")</f>
        <v>0</v>
      </c>
      <c r="U23" s="157">
        <f>SUMIFS('Future Orders'!$I23, 'Future Orders'!$D23, "2", 'Future Orders'!$C23, "B", 'Future Orders'!$B23, "1")</f>
        <v>0</v>
      </c>
      <c r="V23" s="159">
        <f>SUMIFS('Future Orders'!$F23, 'Future Orders'!$D23, "2", 'Future Orders'!$C23, "A", 'Future Orders'!$B23, "2")</f>
        <v>6494.4</v>
      </c>
      <c r="W23" s="157">
        <f>SUMIFS('Future Orders'!$I23, 'Future Orders'!$D23, "2", 'Future Orders'!$C23, "A", 'Future Orders'!$B23, "2")</f>
        <v>7793.28</v>
      </c>
      <c r="X23" s="159">
        <f>SUMIFS('Future Orders'!$F23, 'Future Orders'!$D23, "2", 'Future Orders'!$C23, "B", 'Future Orders'!$B23, "2")</f>
        <v>0</v>
      </c>
      <c r="Y23" s="159">
        <f>SUMIFS('Future Orders'!$I23, 'Future Orders'!$D23, "2", 'Future Orders'!$C23, "B", 'Future Orders'!$B23, "2")</f>
        <v>0</v>
      </c>
      <c r="Z23" s="159">
        <f>SUMIFS('Future Orders'!$F23, 'Future Orders'!$D23, "3", 'Future Orders'!$C23, "A", 'Future Orders'!$B23, "1")</f>
        <v>0</v>
      </c>
      <c r="AA23" s="159">
        <f>SUMIFS('Future Orders'!$I23, 'Future Orders'!$D23, "3", 'Future Orders'!$C23, "A", 'Future Orders'!$B23, "1")</f>
        <v>0</v>
      </c>
      <c r="AB23" s="159">
        <f>SUMIFS('Future Orders'!$F23, 'Future Orders'!$D23, "3", 'Future Orders'!$C23, "B", 'Future Orders'!$B23, "1")</f>
        <v>0</v>
      </c>
      <c r="AC23" s="159">
        <f>SUMIFS('Future Orders'!$I23, 'Future Orders'!$D23, "3", 'Future Orders'!$C23, "B", 'Future Orders'!$B23, "1")</f>
        <v>0</v>
      </c>
      <c r="AD23" s="159">
        <f>SUMIFS('Future Orders'!$F23, 'Future Orders'!$D23, "3", 'Future Orders'!$C23, "A", 'Future Orders'!$B23, "2")</f>
        <v>0</v>
      </c>
      <c r="AE23" s="159">
        <f>SUMIFS('Future Orders'!$I23, 'Future Orders'!$D23, "3", 'Future Orders'!$C23, "A", 'Future Orders'!$B23, "2")</f>
        <v>0</v>
      </c>
      <c r="AF23" s="159">
        <f>SUMIFS('Future Orders'!$F23, 'Future Orders'!$D23, "3", 'Future Orders'!$C23, "B", 'Future Orders'!$B23, "2")</f>
        <v>0</v>
      </c>
      <c r="AG23" s="157">
        <f>SUMIFS('Future Orders'!$I23, 'Future Orders'!$D23, "3", 'Future Orders'!$C23, "B", 'Future Orders'!$B23, "2")</f>
        <v>0</v>
      </c>
      <c r="AH23" s="157">
        <f>SUMIFS('Future Orders'!$F23, 'Future Orders'!$D23, "4", 'Future Orders'!$C23, "A", 'Future Orders'!$B23, "1")</f>
        <v>0</v>
      </c>
      <c r="AI23" s="157">
        <f>SUMIFS('Future Orders'!$I23, 'Future Orders'!$D23, "4", 'Future Orders'!$C23, "A", 'Future Orders'!$B23, "1")</f>
        <v>0</v>
      </c>
      <c r="AJ23" s="157">
        <f>SUMIFS('Future Orders'!$F23, 'Future Orders'!$D23, "4", 'Future Orders'!$C23, "B", 'Future Orders'!$B23, "1")</f>
        <v>0</v>
      </c>
      <c r="AK23" s="157">
        <f>SUMIFS('Future Orders'!$I23, 'Future Orders'!$D23, "4", 'Future Orders'!$C23, "B", 'Future Orders'!$B23, "1")</f>
        <v>0</v>
      </c>
      <c r="AL23" s="157">
        <f>SUMIFS('Future Orders'!$F23, 'Future Orders'!$D23, "4", 'Future Orders'!$C23, "A", 'Future Orders'!$B23, "2")</f>
        <v>0</v>
      </c>
      <c r="AM23" s="157">
        <f>SUMIFS('Future Orders'!$I23, 'Future Orders'!$D23, "4", 'Future Orders'!$C23, "A", 'Future Orders'!$B23, "2")</f>
        <v>0</v>
      </c>
      <c r="AN23" s="171">
        <f>SUMIFS('Future Orders'!$F23, 'Future Orders'!$D23, "4", 'Future Orders'!$C23, "B", 'Future Orders'!$B23, "2")</f>
        <v>0</v>
      </c>
      <c r="AO23" s="171">
        <f>SUMIFS('Future Orders'!$I23, 'Future Orders'!$D23, "4", 'Future Orders'!$C23, "B", 'Future Orders'!$B23, "2")</f>
        <v>0</v>
      </c>
      <c r="AP23" s="171">
        <f>SUMIFS('Future Orders'!$H23, 'Future Orders'!$C23, "A", 'Future Orders'!$B23, "1")</f>
        <v>0</v>
      </c>
      <c r="AQ23" s="171">
        <f>SUMIFS('Future Orders'!$I23, 'Future Orders'!$C23, "B", 'Future Orders'!$B23, "1")</f>
        <v>0</v>
      </c>
      <c r="AR23" s="171">
        <f>SUMIFS('Future Orders'!$H23, 'Future Orders'!$C23, "A", 'Future Orders'!$B23, "2")</f>
        <v>7084.8</v>
      </c>
      <c r="AS23" s="171">
        <f>SUMIFS('Future Orders'!$I23, 'Future Orders'!$C23, "B", 'Future Orders'!$B23, "2")</f>
        <v>0</v>
      </c>
      <c r="AT23" s="145"/>
      <c r="AU23" s="146"/>
      <c r="AV23" s="161">
        <v>42002.0</v>
      </c>
      <c r="AW23" s="162"/>
      <c r="AX23" s="163">
        <f t="shared" si="1"/>
        <v>42002</v>
      </c>
      <c r="AY23" s="164">
        <f t="shared" si="2"/>
        <v>28752</v>
      </c>
      <c r="AZ23" s="164">
        <f t="shared" si="3"/>
        <v>13730</v>
      </c>
      <c r="BA23" s="164">
        <f t="shared" si="4"/>
        <v>15022</v>
      </c>
      <c r="BB23" s="164">
        <f t="shared" si="5"/>
        <v>23795</v>
      </c>
      <c r="BC23" s="164">
        <f t="shared" si="6"/>
        <v>4957</v>
      </c>
      <c r="BD23" s="165"/>
      <c r="BE23" s="166">
        <f t="shared" si="7"/>
        <v>87006.81</v>
      </c>
      <c r="BF23" s="166">
        <f t="shared" si="8"/>
        <v>40156.82</v>
      </c>
      <c r="BG23" s="166">
        <f t="shared" si="9"/>
        <v>46849.99</v>
      </c>
      <c r="BH23" s="167"/>
      <c r="BI23" s="166">
        <f t="shared" si="10"/>
        <v>12356.52</v>
      </c>
      <c r="BJ23" s="166">
        <f t="shared" si="11"/>
        <v>8609.04</v>
      </c>
      <c r="BK23" s="166">
        <f t="shared" si="12"/>
        <v>0</v>
      </c>
      <c r="BL23" s="166">
        <f t="shared" si="13"/>
        <v>12356.52</v>
      </c>
      <c r="BM23" s="166">
        <f>SUM('Future Orders'!$BI23:$BL23)</f>
        <v>33322.08</v>
      </c>
      <c r="BN23" s="167"/>
      <c r="BO23" s="166">
        <f t="shared" si="14"/>
        <v>0</v>
      </c>
      <c r="BP23" s="166">
        <f t="shared" si="15"/>
        <v>0</v>
      </c>
      <c r="BQ23" s="166">
        <f t="shared" si="16"/>
        <v>19191.26</v>
      </c>
      <c r="BR23" s="166">
        <f t="shared" si="17"/>
        <v>0</v>
      </c>
      <c r="BS23" s="166">
        <f>SUM('Future Orders'!$BO23:$BR23)</f>
        <v>19191.26</v>
      </c>
      <c r="BT23" s="167"/>
      <c r="BU23" s="166">
        <f t="shared" si="18"/>
        <v>10391.48</v>
      </c>
      <c r="BV23" s="166">
        <f t="shared" si="19"/>
        <v>10392.36</v>
      </c>
      <c r="BW23" s="166">
        <f t="shared" si="20"/>
        <v>0</v>
      </c>
      <c r="BX23" s="166">
        <f t="shared" si="21"/>
        <v>10391.48</v>
      </c>
      <c r="BY23" s="166">
        <f>SUM('Future Orders'!$BU23:$BX23)</f>
        <v>31175.32</v>
      </c>
      <c r="BZ23" s="167"/>
      <c r="CA23" s="166">
        <f t="shared" si="22"/>
        <v>0</v>
      </c>
      <c r="CB23" s="166">
        <f t="shared" si="23"/>
        <v>0</v>
      </c>
      <c r="CC23" s="166">
        <f t="shared" si="24"/>
        <v>26066.15</v>
      </c>
      <c r="CD23" s="166">
        <f t="shared" si="25"/>
        <v>0</v>
      </c>
      <c r="CE23" s="166">
        <f>SUM('Future Orders'!$CA23:$CD23)</f>
        <v>26066.15</v>
      </c>
      <c r="CF23" s="167"/>
      <c r="CG23" s="166">
        <f>SUM('Future Orders'!$BI23:$BJ23)
+ SUM('Future Orders'!$BU23:$BV23)</f>
        <v>41749.4</v>
      </c>
      <c r="CH23" s="166">
        <f>SUM('Future Orders'!$BQ23)
+ SUM('Future Orders'!$BX23)</f>
        <v>29582.74</v>
      </c>
      <c r="CI23" s="166">
        <f>SUM('Future Orders'!$BI23:$BJ23)
+ SUM('Future Orders'!$BU23:$BV23)
+ SUM(('Future Orders'!$BI23) * 2)</f>
        <v>66462.44</v>
      </c>
      <c r="CJ23" s="166">
        <f>SUM(('Future Orders'!$BQ23) * 2) + SUM('Future Orders'!$BX23)</f>
        <v>48774</v>
      </c>
      <c r="CK23" s="167"/>
      <c r="CL23" s="168">
        <f t="shared" si="26"/>
        <v>3</v>
      </c>
      <c r="CM23" s="168">
        <f t="shared" si="27"/>
        <v>3</v>
      </c>
      <c r="CN23" s="168">
        <f t="shared" si="28"/>
        <v>4</v>
      </c>
      <c r="CO23" s="168">
        <f t="shared" si="29"/>
        <v>2</v>
      </c>
      <c r="CP23" s="168">
        <f t="shared" si="30"/>
        <v>2</v>
      </c>
      <c r="CQ23" s="169">
        <f t="shared" si="31"/>
        <v>2</v>
      </c>
      <c r="CR23" s="169">
        <f t="shared" si="32"/>
        <v>2</v>
      </c>
      <c r="CS23" s="170"/>
    </row>
    <row r="24" ht="15.75" customHeight="1">
      <c r="A24" s="151">
        <v>41876.0</v>
      </c>
      <c r="B24" s="152">
        <v>1.0</v>
      </c>
      <c r="C24" s="152" t="s">
        <v>46</v>
      </c>
      <c r="D24" s="152">
        <v>3.0</v>
      </c>
      <c r="E24" s="153">
        <v>2503.0</v>
      </c>
      <c r="F24" s="153">
        <f>SUM(('Future Orders'!$E24) * (1.1))</f>
        <v>2753.3</v>
      </c>
      <c r="G24" s="154">
        <v>8.3</v>
      </c>
      <c r="H24" s="155">
        <v>20774.9</v>
      </c>
      <c r="I24" s="155">
        <f>SUM(('Future Orders'!$H24) * (1.1))</f>
        <v>22852.39</v>
      </c>
      <c r="J24" s="159">
        <f>SUMIFS('Future Orders'!$F24, 'Future Orders'!$D24, "1", 'Future Orders'!$C24, "A", 'Future Orders'!$B24, "1")</f>
        <v>0</v>
      </c>
      <c r="K24" s="157">
        <f>SUMIFS('Future Orders'!$I24, 'Future Orders'!$D24, "1", 'Future Orders'!$C24, "A", 'Future Orders'!$B24, "1")</f>
        <v>0</v>
      </c>
      <c r="L24" s="157">
        <f>SUMIFS('Future Orders'!$F24, 'Future Orders'!$D24, "1", 'Future Orders'!$C24, "B", 'Future Orders'!$B24, "1")</f>
        <v>0</v>
      </c>
      <c r="M24" s="157">
        <f>SUMIFS('Future Orders'!$I24, 'Future Orders'!$D24, "1", 'Future Orders'!$C24, "B", 'Future Orders'!$B24, "1")</f>
        <v>0</v>
      </c>
      <c r="N24" s="159">
        <f>SUMIFS('Future Orders'!$F24, 'Future Orders'!$D24, "1", 'Future Orders'!$C24, "A", 'Future Orders'!$B24, "2")</f>
        <v>0</v>
      </c>
      <c r="O24" s="157">
        <f>SUMIFS('Future Orders'!$I24, 'Future Orders'!$D24, "1", 'Future Orders'!$C24, "A", 'Future Orders'!$B24, "2")</f>
        <v>0</v>
      </c>
      <c r="P24" s="157">
        <f>SUMIFS('Future Orders'!$E24, 'Future Orders'!$D24, "1", 'Future Orders'!$C24, "B", 'Future Orders'!$B24, "2")</f>
        <v>0</v>
      </c>
      <c r="Q24" s="157">
        <f>SUMIFS('Future Orders'!$I24, 'Future Orders'!$D24, "1", 'Future Orders'!$C24, "B", 'Future Orders'!$B24, "2")</f>
        <v>0</v>
      </c>
      <c r="R24" s="159">
        <f>SUMIFS('Future Orders'!$F24, 'Future Orders'!$D24, "2", 'Future Orders'!$C24, "A", 'Future Orders'!$B24, "1")</f>
        <v>0</v>
      </c>
      <c r="S24" s="157">
        <f>SUMIFS('Future Orders'!$I24, 'Future Orders'!$D24, "2", 'Future Orders'!$C24, "A", 'Future Orders'!$B24, "1")</f>
        <v>0</v>
      </c>
      <c r="T24" s="159">
        <f>SUMIFS('Future Orders'!$F24, 'Future Orders'!$D24, "2", 'Future Orders'!$C24, "B", 'Future Orders'!$B24, "1")</f>
        <v>0</v>
      </c>
      <c r="U24" s="157">
        <f>SUMIFS('Future Orders'!$I24, 'Future Orders'!$D24, "2", 'Future Orders'!$C24, "B", 'Future Orders'!$B24, "1")</f>
        <v>0</v>
      </c>
      <c r="V24" s="159">
        <f>SUMIFS('Future Orders'!$F24, 'Future Orders'!$D24, "2", 'Future Orders'!$C24, "A", 'Future Orders'!$B24, "2")</f>
        <v>0</v>
      </c>
      <c r="W24" s="157">
        <f>SUMIFS('Future Orders'!$I24, 'Future Orders'!$D24, "2", 'Future Orders'!$C24, "A", 'Future Orders'!$B24, "2")</f>
        <v>0</v>
      </c>
      <c r="X24" s="159">
        <f>SUMIFS('Future Orders'!$F24, 'Future Orders'!$D24, "2", 'Future Orders'!$C24, "B", 'Future Orders'!$B24, "2")</f>
        <v>0</v>
      </c>
      <c r="Y24" s="159">
        <f>SUMIFS('Future Orders'!$I24, 'Future Orders'!$D24, "2", 'Future Orders'!$C24, "B", 'Future Orders'!$B24, "2")</f>
        <v>0</v>
      </c>
      <c r="Z24" s="159">
        <f>SUMIFS('Future Orders'!$F24, 'Future Orders'!$D24, "3", 'Future Orders'!$C24, "A", 'Future Orders'!$B24, "1")</f>
        <v>0</v>
      </c>
      <c r="AA24" s="159">
        <f>SUMIFS('Future Orders'!$I24, 'Future Orders'!$D24, "3", 'Future Orders'!$C24, "A", 'Future Orders'!$B24, "1")</f>
        <v>0</v>
      </c>
      <c r="AB24" s="159">
        <f>SUMIFS('Future Orders'!$F24, 'Future Orders'!$D24, "3", 'Future Orders'!$C24, "B", 'Future Orders'!$B24, "1")</f>
        <v>2753.3</v>
      </c>
      <c r="AC24" s="159">
        <f>SUMIFS('Future Orders'!$I24, 'Future Orders'!$D24, "3", 'Future Orders'!$C24, "B", 'Future Orders'!$B24, "1")</f>
        <v>22852.39</v>
      </c>
      <c r="AD24" s="159">
        <f>SUMIFS('Future Orders'!$F24, 'Future Orders'!$D24, "3", 'Future Orders'!$C24, "A", 'Future Orders'!$B24, "2")</f>
        <v>0</v>
      </c>
      <c r="AE24" s="159">
        <f>SUMIFS('Future Orders'!$I24, 'Future Orders'!$D24, "3", 'Future Orders'!$C24, "A", 'Future Orders'!$B24, "2")</f>
        <v>0</v>
      </c>
      <c r="AF24" s="159">
        <f>SUMIFS('Future Orders'!$F24, 'Future Orders'!$D24, "3", 'Future Orders'!$C24, "B", 'Future Orders'!$B24, "2")</f>
        <v>0</v>
      </c>
      <c r="AG24" s="157">
        <f>SUMIFS('Future Orders'!$I24, 'Future Orders'!$D24, "3", 'Future Orders'!$C24, "B", 'Future Orders'!$B24, "2")</f>
        <v>0</v>
      </c>
      <c r="AH24" s="157">
        <f>SUMIFS('Future Orders'!$F24, 'Future Orders'!$D24, "4", 'Future Orders'!$C24, "A", 'Future Orders'!$B24, "1")</f>
        <v>0</v>
      </c>
      <c r="AI24" s="157">
        <f>SUMIFS('Future Orders'!$I24, 'Future Orders'!$D24, "4", 'Future Orders'!$C24, "A", 'Future Orders'!$B24, "1")</f>
        <v>0</v>
      </c>
      <c r="AJ24" s="157">
        <f>SUMIFS('Future Orders'!$F24, 'Future Orders'!$D24, "4", 'Future Orders'!$C24, "B", 'Future Orders'!$B24, "1")</f>
        <v>0</v>
      </c>
      <c r="AK24" s="157">
        <f>SUMIFS('Future Orders'!$I24, 'Future Orders'!$D24, "4", 'Future Orders'!$C24, "B", 'Future Orders'!$B24, "1")</f>
        <v>0</v>
      </c>
      <c r="AL24" s="157">
        <f>SUMIFS('Future Orders'!$F24, 'Future Orders'!$D24, "4", 'Future Orders'!$C24, "A", 'Future Orders'!$B24, "2")</f>
        <v>0</v>
      </c>
      <c r="AM24" s="157">
        <f>SUMIFS('Future Orders'!$I24, 'Future Orders'!$D24, "4", 'Future Orders'!$C24, "A", 'Future Orders'!$B24, "2")</f>
        <v>0</v>
      </c>
      <c r="AN24" s="171">
        <f>SUMIFS('Future Orders'!$F24, 'Future Orders'!$D24, "4", 'Future Orders'!$C24, "B", 'Future Orders'!$B24, "2")</f>
        <v>0</v>
      </c>
      <c r="AO24" s="171">
        <f>SUMIFS('Future Orders'!$I24, 'Future Orders'!$D24, "4", 'Future Orders'!$C24, "B", 'Future Orders'!$B24, "2")</f>
        <v>0</v>
      </c>
      <c r="AP24" s="171">
        <f>SUMIFS('Future Orders'!$H24, 'Future Orders'!$C24, "A", 'Future Orders'!$B24, "1")</f>
        <v>0</v>
      </c>
      <c r="AQ24" s="171">
        <f>SUMIFS('Future Orders'!$I24, 'Future Orders'!$C24, "B", 'Future Orders'!$B24, "1")</f>
        <v>22852.39</v>
      </c>
      <c r="AR24" s="171">
        <f>SUMIFS('Future Orders'!$H24, 'Future Orders'!$C24, "A", 'Future Orders'!$B24, "2")</f>
        <v>0</v>
      </c>
      <c r="AS24" s="171">
        <f>SUMIFS('Future Orders'!$I24, 'Future Orders'!$C24, "B", 'Future Orders'!$B24, "2")</f>
        <v>0</v>
      </c>
      <c r="AT24" s="145"/>
      <c r="AU24" s="146"/>
      <c r="AV24" s="161">
        <v>42009.0</v>
      </c>
      <c r="AW24" s="162"/>
      <c r="AX24" s="163">
        <f t="shared" si="1"/>
        <v>42009</v>
      </c>
      <c r="AY24" s="164">
        <f t="shared" si="2"/>
        <v>24662</v>
      </c>
      <c r="AZ24" s="164">
        <f t="shared" si="3"/>
        <v>12582</v>
      </c>
      <c r="BA24" s="164">
        <f t="shared" si="4"/>
        <v>12080</v>
      </c>
      <c r="BB24" s="164">
        <f t="shared" si="5"/>
        <v>19434</v>
      </c>
      <c r="BC24" s="164">
        <f t="shared" si="6"/>
        <v>5228</v>
      </c>
      <c r="BD24" s="165"/>
      <c r="BE24" s="166">
        <f t="shared" si="7"/>
        <v>82207.62</v>
      </c>
      <c r="BF24" s="166">
        <f t="shared" si="8"/>
        <v>39977.74</v>
      </c>
      <c r="BG24" s="166">
        <f t="shared" si="9"/>
        <v>42229.88</v>
      </c>
      <c r="BH24" s="167"/>
      <c r="BI24" s="166">
        <f t="shared" si="10"/>
        <v>11378.84</v>
      </c>
      <c r="BJ24" s="166">
        <f t="shared" si="11"/>
        <v>7326</v>
      </c>
      <c r="BK24" s="166">
        <f t="shared" si="12"/>
        <v>0</v>
      </c>
      <c r="BL24" s="166">
        <f t="shared" si="13"/>
        <v>11378.84</v>
      </c>
      <c r="BM24" s="166">
        <f>SUM('Future Orders'!$BI24:$BL24)</f>
        <v>30083.68</v>
      </c>
      <c r="BN24" s="167"/>
      <c r="BO24" s="166">
        <f t="shared" si="14"/>
        <v>0</v>
      </c>
      <c r="BP24" s="166">
        <f t="shared" si="15"/>
        <v>0</v>
      </c>
      <c r="BQ24" s="166">
        <f t="shared" si="16"/>
        <v>21272.9</v>
      </c>
      <c r="BR24" s="166">
        <f t="shared" si="17"/>
        <v>0</v>
      </c>
      <c r="BS24" s="166">
        <f>SUM('Future Orders'!$BO24:$BR24)</f>
        <v>21272.9</v>
      </c>
      <c r="BT24" s="167"/>
      <c r="BU24" s="166">
        <f t="shared" si="18"/>
        <v>8031.98</v>
      </c>
      <c r="BV24" s="166">
        <f t="shared" si="19"/>
        <v>7739.16</v>
      </c>
      <c r="BW24" s="166">
        <f t="shared" si="20"/>
        <v>0</v>
      </c>
      <c r="BX24" s="166">
        <f t="shared" si="21"/>
        <v>8031.98</v>
      </c>
      <c r="BY24" s="166">
        <f>SUM('Future Orders'!$BU24:$BX24)</f>
        <v>23803.12</v>
      </c>
      <c r="BZ24" s="167"/>
      <c r="CA24" s="166">
        <f t="shared" si="22"/>
        <v>0</v>
      </c>
      <c r="CB24" s="166">
        <f t="shared" si="23"/>
        <v>0</v>
      </c>
      <c r="CC24" s="166">
        <f t="shared" si="24"/>
        <v>26458.74</v>
      </c>
      <c r="CD24" s="166">
        <f t="shared" si="25"/>
        <v>0</v>
      </c>
      <c r="CE24" s="166">
        <f>SUM('Future Orders'!$CA24:$CD24)</f>
        <v>26458.74</v>
      </c>
      <c r="CF24" s="167"/>
      <c r="CG24" s="166">
        <f>SUM('Future Orders'!$BI24:$BJ24)
+ SUM('Future Orders'!$BU24:$BV24)</f>
        <v>34475.98</v>
      </c>
      <c r="CH24" s="166">
        <f>SUM('Future Orders'!$BQ24)
+ SUM('Future Orders'!$BX24)</f>
        <v>29304.88</v>
      </c>
      <c r="CI24" s="166">
        <f>SUM('Future Orders'!$BI24:$BJ24)
+ SUM('Future Orders'!$BU24:$BV24)
+ SUM(('Future Orders'!$BI24) * 2)</f>
        <v>57233.66</v>
      </c>
      <c r="CJ24" s="166">
        <f>SUM(('Future Orders'!$BQ24) * 2) + SUM('Future Orders'!$BX24)</f>
        <v>50577.78</v>
      </c>
      <c r="CK24" s="167"/>
      <c r="CL24" s="168">
        <f t="shared" si="26"/>
        <v>3</v>
      </c>
      <c r="CM24" s="168">
        <f t="shared" si="27"/>
        <v>3</v>
      </c>
      <c r="CN24" s="168">
        <f t="shared" si="28"/>
        <v>4</v>
      </c>
      <c r="CO24" s="168">
        <f t="shared" si="29"/>
        <v>2</v>
      </c>
      <c r="CP24" s="168">
        <f t="shared" si="30"/>
        <v>2</v>
      </c>
      <c r="CQ24" s="169">
        <f t="shared" si="31"/>
        <v>2</v>
      </c>
      <c r="CR24" s="169">
        <f t="shared" si="32"/>
        <v>2</v>
      </c>
      <c r="CS24" s="170"/>
    </row>
    <row r="25" ht="15.75" customHeight="1">
      <c r="A25" s="151">
        <v>41876.0</v>
      </c>
      <c r="B25" s="152">
        <v>2.0</v>
      </c>
      <c r="C25" s="152" t="s">
        <v>46</v>
      </c>
      <c r="D25" s="152">
        <v>3.0</v>
      </c>
      <c r="E25" s="153">
        <v>3457.0</v>
      </c>
      <c r="F25" s="153">
        <f>SUM(('Future Orders'!$E25) * (1.1))</f>
        <v>3802.7</v>
      </c>
      <c r="G25" s="154">
        <v>8.3</v>
      </c>
      <c r="H25" s="155">
        <v>28693.100000000002</v>
      </c>
      <c r="I25" s="155">
        <f>SUM(('Future Orders'!$H25) * (1.1))</f>
        <v>31562.41</v>
      </c>
      <c r="J25" s="159">
        <f>SUMIFS('Future Orders'!$F25, 'Future Orders'!$D25, "1", 'Future Orders'!$C25, "A", 'Future Orders'!$B25, "1")</f>
        <v>0</v>
      </c>
      <c r="K25" s="157">
        <f>SUMIFS('Future Orders'!$I25, 'Future Orders'!$D25, "1", 'Future Orders'!$C25, "A", 'Future Orders'!$B25, "1")</f>
        <v>0</v>
      </c>
      <c r="L25" s="157">
        <f>SUMIFS('Future Orders'!$F25, 'Future Orders'!$D25, "1", 'Future Orders'!$C25, "B", 'Future Orders'!$B25, "1")</f>
        <v>0</v>
      </c>
      <c r="M25" s="157">
        <f>SUMIFS('Future Orders'!$I25, 'Future Orders'!$D25, "1", 'Future Orders'!$C25, "B", 'Future Orders'!$B25, "1")</f>
        <v>0</v>
      </c>
      <c r="N25" s="159">
        <f>SUMIFS('Future Orders'!$F25, 'Future Orders'!$D25, "1", 'Future Orders'!$C25, "A", 'Future Orders'!$B25, "2")</f>
        <v>0</v>
      </c>
      <c r="O25" s="157">
        <f>SUMIFS('Future Orders'!$I25, 'Future Orders'!$D25, "1", 'Future Orders'!$C25, "A", 'Future Orders'!$B25, "2")</f>
        <v>0</v>
      </c>
      <c r="P25" s="157">
        <f>SUMIFS('Future Orders'!$E25, 'Future Orders'!$D25, "1", 'Future Orders'!$C25, "B", 'Future Orders'!$B25, "2")</f>
        <v>0</v>
      </c>
      <c r="Q25" s="157">
        <f>SUMIFS('Future Orders'!$I25, 'Future Orders'!$D25, "1", 'Future Orders'!$C25, "B", 'Future Orders'!$B25, "2")</f>
        <v>0</v>
      </c>
      <c r="R25" s="159">
        <f>SUMIFS('Future Orders'!$F25, 'Future Orders'!$D25, "2", 'Future Orders'!$C25, "A", 'Future Orders'!$B25, "1")</f>
        <v>0</v>
      </c>
      <c r="S25" s="157">
        <f>SUMIFS('Future Orders'!$I25, 'Future Orders'!$D25, "2", 'Future Orders'!$C25, "A", 'Future Orders'!$B25, "1")</f>
        <v>0</v>
      </c>
      <c r="T25" s="159">
        <f>SUMIFS('Future Orders'!$F25, 'Future Orders'!$D25, "2", 'Future Orders'!$C25, "B", 'Future Orders'!$B25, "1")</f>
        <v>0</v>
      </c>
      <c r="U25" s="157">
        <f>SUMIFS('Future Orders'!$I25, 'Future Orders'!$D25, "2", 'Future Orders'!$C25, "B", 'Future Orders'!$B25, "1")</f>
        <v>0</v>
      </c>
      <c r="V25" s="159">
        <f>SUMIFS('Future Orders'!$F25, 'Future Orders'!$D25, "2", 'Future Orders'!$C25, "A", 'Future Orders'!$B25, "2")</f>
        <v>0</v>
      </c>
      <c r="W25" s="157">
        <f>SUMIFS('Future Orders'!$I25, 'Future Orders'!$D25, "2", 'Future Orders'!$C25, "A", 'Future Orders'!$B25, "2")</f>
        <v>0</v>
      </c>
      <c r="X25" s="159">
        <f>SUMIFS('Future Orders'!$F25, 'Future Orders'!$D25, "2", 'Future Orders'!$C25, "B", 'Future Orders'!$B25, "2")</f>
        <v>0</v>
      </c>
      <c r="Y25" s="159">
        <f>SUMIFS('Future Orders'!$I25, 'Future Orders'!$D25, "2", 'Future Orders'!$C25, "B", 'Future Orders'!$B25, "2")</f>
        <v>0</v>
      </c>
      <c r="Z25" s="159">
        <f>SUMIFS('Future Orders'!$F25, 'Future Orders'!$D25, "3", 'Future Orders'!$C25, "A", 'Future Orders'!$B25, "1")</f>
        <v>0</v>
      </c>
      <c r="AA25" s="159">
        <f>SUMIFS('Future Orders'!$I25, 'Future Orders'!$D25, "3", 'Future Orders'!$C25, "A", 'Future Orders'!$B25, "1")</f>
        <v>0</v>
      </c>
      <c r="AB25" s="159">
        <f>SUMIFS('Future Orders'!$F25, 'Future Orders'!$D25, "3", 'Future Orders'!$C25, "B", 'Future Orders'!$B25, "1")</f>
        <v>0</v>
      </c>
      <c r="AC25" s="159">
        <f>SUMIFS('Future Orders'!$I25, 'Future Orders'!$D25, "3", 'Future Orders'!$C25, "B", 'Future Orders'!$B25, "1")</f>
        <v>0</v>
      </c>
      <c r="AD25" s="159">
        <f>SUMIFS('Future Orders'!$F25, 'Future Orders'!$D25, "3", 'Future Orders'!$C25, "A", 'Future Orders'!$B25, "2")</f>
        <v>0</v>
      </c>
      <c r="AE25" s="159">
        <f>SUMIFS('Future Orders'!$I25, 'Future Orders'!$D25, "3", 'Future Orders'!$C25, "A", 'Future Orders'!$B25, "2")</f>
        <v>0</v>
      </c>
      <c r="AF25" s="159">
        <f>SUMIFS('Future Orders'!$F25, 'Future Orders'!$D25, "3", 'Future Orders'!$C25, "B", 'Future Orders'!$B25, "2")</f>
        <v>3802.7</v>
      </c>
      <c r="AG25" s="157">
        <f>SUMIFS('Future Orders'!$I25, 'Future Orders'!$D25, "3", 'Future Orders'!$C25, "B", 'Future Orders'!$B25, "2")</f>
        <v>31562.41</v>
      </c>
      <c r="AH25" s="157">
        <f>SUMIFS('Future Orders'!$F25, 'Future Orders'!$D25, "4", 'Future Orders'!$C25, "A", 'Future Orders'!$B25, "1")</f>
        <v>0</v>
      </c>
      <c r="AI25" s="157">
        <f>SUMIFS('Future Orders'!$I25, 'Future Orders'!$D25, "4", 'Future Orders'!$C25, "A", 'Future Orders'!$B25, "1")</f>
        <v>0</v>
      </c>
      <c r="AJ25" s="157">
        <f>SUMIFS('Future Orders'!$F25, 'Future Orders'!$D25, "4", 'Future Orders'!$C25, "B", 'Future Orders'!$B25, "1")</f>
        <v>0</v>
      </c>
      <c r="AK25" s="157">
        <f>SUMIFS('Future Orders'!$I25, 'Future Orders'!$D25, "4", 'Future Orders'!$C25, "B", 'Future Orders'!$B25, "1")</f>
        <v>0</v>
      </c>
      <c r="AL25" s="157">
        <f>SUMIFS('Future Orders'!$F25, 'Future Orders'!$D25, "4", 'Future Orders'!$C25, "A", 'Future Orders'!$B25, "2")</f>
        <v>0</v>
      </c>
      <c r="AM25" s="157">
        <f>SUMIFS('Future Orders'!$I25, 'Future Orders'!$D25, "4", 'Future Orders'!$C25, "A", 'Future Orders'!$B25, "2")</f>
        <v>0</v>
      </c>
      <c r="AN25" s="171">
        <f>SUMIFS('Future Orders'!$F25, 'Future Orders'!$D25, "4", 'Future Orders'!$C25, "B", 'Future Orders'!$B25, "2")</f>
        <v>0</v>
      </c>
      <c r="AO25" s="171">
        <f>SUMIFS('Future Orders'!$I25, 'Future Orders'!$D25, "4", 'Future Orders'!$C25, "B", 'Future Orders'!$B25, "2")</f>
        <v>0</v>
      </c>
      <c r="AP25" s="171">
        <f>SUMIFS('Future Orders'!$H25, 'Future Orders'!$C25, "A", 'Future Orders'!$B25, "1")</f>
        <v>0</v>
      </c>
      <c r="AQ25" s="171">
        <f>SUMIFS('Future Orders'!$I25, 'Future Orders'!$C25, "B", 'Future Orders'!$B25, "1")</f>
        <v>0</v>
      </c>
      <c r="AR25" s="171">
        <f>SUMIFS('Future Orders'!$H25, 'Future Orders'!$C25, "A", 'Future Orders'!$B25, "2")</f>
        <v>0</v>
      </c>
      <c r="AS25" s="171">
        <f>SUMIFS('Future Orders'!$I25, 'Future Orders'!$C25, "B", 'Future Orders'!$B25, "2")</f>
        <v>31562.41</v>
      </c>
      <c r="AT25" s="145"/>
      <c r="AU25" s="146"/>
      <c r="AV25" s="161">
        <v>42016.0</v>
      </c>
      <c r="AW25" s="162"/>
      <c r="AX25" s="163">
        <f t="shared" si="1"/>
        <v>42016</v>
      </c>
      <c r="AY25" s="164">
        <f t="shared" si="2"/>
        <v>18171</v>
      </c>
      <c r="AZ25" s="164">
        <f t="shared" si="3"/>
        <v>9995</v>
      </c>
      <c r="BA25" s="164">
        <f t="shared" si="4"/>
        <v>8176</v>
      </c>
      <c r="BB25" s="164">
        <f t="shared" si="5"/>
        <v>14675</v>
      </c>
      <c r="BC25" s="164">
        <f t="shared" si="6"/>
        <v>3496</v>
      </c>
      <c r="BD25" s="165"/>
      <c r="BE25" s="166">
        <f t="shared" si="7"/>
        <v>59049.98</v>
      </c>
      <c r="BF25" s="166">
        <f t="shared" si="8"/>
        <v>31326.24</v>
      </c>
      <c r="BG25" s="166">
        <f t="shared" si="9"/>
        <v>27723.74</v>
      </c>
      <c r="BH25" s="167"/>
      <c r="BI25" s="166">
        <f t="shared" si="10"/>
        <v>9755.02</v>
      </c>
      <c r="BJ25" s="166">
        <f t="shared" si="11"/>
        <v>5557.2</v>
      </c>
      <c r="BK25" s="166">
        <f t="shared" si="12"/>
        <v>0</v>
      </c>
      <c r="BL25" s="166">
        <f t="shared" si="13"/>
        <v>9755.02</v>
      </c>
      <c r="BM25" s="166">
        <f>SUM('Future Orders'!$BI25:$BL25)</f>
        <v>25067.24</v>
      </c>
      <c r="BN25" s="167"/>
      <c r="BO25" s="166">
        <f t="shared" si="14"/>
        <v>0</v>
      </c>
      <c r="BP25" s="166">
        <f t="shared" si="15"/>
        <v>0</v>
      </c>
      <c r="BQ25" s="166">
        <f t="shared" si="16"/>
        <v>16014.02</v>
      </c>
      <c r="BR25" s="166">
        <f t="shared" si="17"/>
        <v>0</v>
      </c>
      <c r="BS25" s="166">
        <f>SUM('Future Orders'!$BO25:$BR25)</f>
        <v>16014.02</v>
      </c>
      <c r="BT25" s="167"/>
      <c r="BU25" s="166">
        <f t="shared" si="18"/>
        <v>7318.08</v>
      </c>
      <c r="BV25" s="166">
        <f t="shared" si="19"/>
        <v>4501.2</v>
      </c>
      <c r="BW25" s="166">
        <f t="shared" si="20"/>
        <v>0</v>
      </c>
      <c r="BX25" s="166">
        <f t="shared" si="21"/>
        <v>7318.08</v>
      </c>
      <c r="BY25" s="166">
        <f>SUM('Future Orders'!$BU25:$BX25)</f>
        <v>19137.36</v>
      </c>
      <c r="BZ25" s="167"/>
      <c r="CA25" s="166">
        <f t="shared" si="22"/>
        <v>0</v>
      </c>
      <c r="CB25" s="166">
        <f t="shared" si="23"/>
        <v>0</v>
      </c>
      <c r="CC25" s="166">
        <f t="shared" si="24"/>
        <v>15904.46</v>
      </c>
      <c r="CD25" s="166">
        <f t="shared" si="25"/>
        <v>0</v>
      </c>
      <c r="CE25" s="166">
        <f>SUM('Future Orders'!$CA25:$CD25)</f>
        <v>15904.46</v>
      </c>
      <c r="CF25" s="167"/>
      <c r="CG25" s="166">
        <f>SUM('Future Orders'!$BI25:$BJ25)
+ SUM('Future Orders'!$BU25:$BV25)</f>
        <v>27131.5</v>
      </c>
      <c r="CH25" s="166">
        <f>SUM('Future Orders'!$BQ25)
+ SUM('Future Orders'!$BX25)</f>
        <v>23332.1</v>
      </c>
      <c r="CI25" s="166">
        <f>SUM('Future Orders'!$BI25:$BJ25)
+ SUM('Future Orders'!$BU25:$BV25)
+ SUM(('Future Orders'!$BI25) * 2)</f>
        <v>46641.54</v>
      </c>
      <c r="CJ25" s="166">
        <f>SUM(('Future Orders'!$BQ25) * 2) + SUM('Future Orders'!$BX25)</f>
        <v>39346.12</v>
      </c>
      <c r="CK25" s="167"/>
      <c r="CL25" s="168">
        <f t="shared" si="26"/>
        <v>3</v>
      </c>
      <c r="CM25" s="168">
        <f t="shared" si="27"/>
        <v>3</v>
      </c>
      <c r="CN25" s="168">
        <f t="shared" si="28"/>
        <v>4</v>
      </c>
      <c r="CO25" s="168">
        <f t="shared" si="29"/>
        <v>2</v>
      </c>
      <c r="CP25" s="168">
        <f t="shared" si="30"/>
        <v>2</v>
      </c>
      <c r="CQ25" s="169">
        <f t="shared" si="31"/>
        <v>2</v>
      </c>
      <c r="CR25" s="169">
        <f t="shared" si="32"/>
        <v>2</v>
      </c>
      <c r="CS25" s="170"/>
    </row>
    <row r="26" ht="15.75" customHeight="1">
      <c r="A26" s="151">
        <v>41883.0</v>
      </c>
      <c r="B26" s="152">
        <v>1.0</v>
      </c>
      <c r="C26" s="152" t="s">
        <v>45</v>
      </c>
      <c r="D26" s="152">
        <v>1.0</v>
      </c>
      <c r="E26" s="153">
        <v>3530.0</v>
      </c>
      <c r="F26" s="153">
        <f>SUM(('Future Orders'!$E26) * (1.1))</f>
        <v>3883</v>
      </c>
      <c r="G26" s="154">
        <v>2.2</v>
      </c>
      <c r="H26" s="155">
        <v>7766.000000000001</v>
      </c>
      <c r="I26" s="155">
        <f>SUM(('Future Orders'!$H26) * (1.1))</f>
        <v>8542.6</v>
      </c>
      <c r="J26" s="159">
        <f>SUMIFS('Future Orders'!$F26, 'Future Orders'!$D26, "1", 'Future Orders'!$C26, "A", 'Future Orders'!$B26, "1")</f>
        <v>3883</v>
      </c>
      <c r="K26" s="157">
        <f>SUMIFS('Future Orders'!$I26, 'Future Orders'!$D26, "1", 'Future Orders'!$C26, "A", 'Future Orders'!$B26, "1")</f>
        <v>8542.6</v>
      </c>
      <c r="L26" s="157">
        <f>SUMIFS('Future Orders'!$F26, 'Future Orders'!$D26, "1", 'Future Orders'!$C26, "B", 'Future Orders'!$B26, "1")</f>
        <v>0</v>
      </c>
      <c r="M26" s="157">
        <f>SUMIFS('Future Orders'!$I26, 'Future Orders'!$D26, "1", 'Future Orders'!$C26, "B", 'Future Orders'!$B26, "1")</f>
        <v>0</v>
      </c>
      <c r="N26" s="159">
        <f>SUMIFS('Future Orders'!$F26, 'Future Orders'!$D26, "1", 'Future Orders'!$C26, "A", 'Future Orders'!$B26, "2")</f>
        <v>0</v>
      </c>
      <c r="O26" s="157">
        <f>SUMIFS('Future Orders'!$I26, 'Future Orders'!$D26, "1", 'Future Orders'!$C26, "A", 'Future Orders'!$B26, "2")</f>
        <v>0</v>
      </c>
      <c r="P26" s="157">
        <f>SUMIFS('Future Orders'!$E26, 'Future Orders'!$D26, "1", 'Future Orders'!$C26, "B", 'Future Orders'!$B26, "2")</f>
        <v>0</v>
      </c>
      <c r="Q26" s="157">
        <f>SUMIFS('Future Orders'!$I26, 'Future Orders'!$D26, "1", 'Future Orders'!$C26, "B", 'Future Orders'!$B26, "2")</f>
        <v>0</v>
      </c>
      <c r="R26" s="159">
        <f>SUMIFS('Future Orders'!$F26, 'Future Orders'!$D26, "2", 'Future Orders'!$C26, "A", 'Future Orders'!$B26, "1")</f>
        <v>0</v>
      </c>
      <c r="S26" s="157">
        <f>SUMIFS('Future Orders'!$I26, 'Future Orders'!$D26, "2", 'Future Orders'!$C26, "A", 'Future Orders'!$B26, "1")</f>
        <v>0</v>
      </c>
      <c r="T26" s="159">
        <f>SUMIFS('Future Orders'!$F26, 'Future Orders'!$D26, "2", 'Future Orders'!$C26, "B", 'Future Orders'!$B26, "1")</f>
        <v>0</v>
      </c>
      <c r="U26" s="157">
        <f>SUMIFS('Future Orders'!$I26, 'Future Orders'!$D26, "2", 'Future Orders'!$C26, "B", 'Future Orders'!$B26, "1")</f>
        <v>0</v>
      </c>
      <c r="V26" s="159">
        <f>SUMIFS('Future Orders'!$F26, 'Future Orders'!$D26, "2", 'Future Orders'!$C26, "A", 'Future Orders'!$B26, "2")</f>
        <v>0</v>
      </c>
      <c r="W26" s="157">
        <f>SUMIFS('Future Orders'!$I26, 'Future Orders'!$D26, "2", 'Future Orders'!$C26, "A", 'Future Orders'!$B26, "2")</f>
        <v>0</v>
      </c>
      <c r="X26" s="159">
        <f>SUMIFS('Future Orders'!$F26, 'Future Orders'!$D26, "2", 'Future Orders'!$C26, "B", 'Future Orders'!$B26, "2")</f>
        <v>0</v>
      </c>
      <c r="Y26" s="159">
        <f>SUMIFS('Future Orders'!$I26, 'Future Orders'!$D26, "2", 'Future Orders'!$C26, "B", 'Future Orders'!$B26, "2")</f>
        <v>0</v>
      </c>
      <c r="Z26" s="159">
        <f>SUMIFS('Future Orders'!$F26, 'Future Orders'!$D26, "3", 'Future Orders'!$C26, "A", 'Future Orders'!$B26, "1")</f>
        <v>0</v>
      </c>
      <c r="AA26" s="159">
        <f>SUMIFS('Future Orders'!$I26, 'Future Orders'!$D26, "3", 'Future Orders'!$C26, "A", 'Future Orders'!$B26, "1")</f>
        <v>0</v>
      </c>
      <c r="AB26" s="159">
        <f>SUMIFS('Future Orders'!$F26, 'Future Orders'!$D26, "3", 'Future Orders'!$C26, "B", 'Future Orders'!$B26, "1")</f>
        <v>0</v>
      </c>
      <c r="AC26" s="159">
        <f>SUMIFS('Future Orders'!$I26, 'Future Orders'!$D26, "3", 'Future Orders'!$C26, "B", 'Future Orders'!$B26, "1")</f>
        <v>0</v>
      </c>
      <c r="AD26" s="159">
        <f>SUMIFS('Future Orders'!$F26, 'Future Orders'!$D26, "3", 'Future Orders'!$C26, "A", 'Future Orders'!$B26, "2")</f>
        <v>0</v>
      </c>
      <c r="AE26" s="159">
        <f>SUMIFS('Future Orders'!$I26, 'Future Orders'!$D26, "3", 'Future Orders'!$C26, "A", 'Future Orders'!$B26, "2")</f>
        <v>0</v>
      </c>
      <c r="AF26" s="159">
        <f>SUMIFS('Future Orders'!$F26, 'Future Orders'!$D26, "3", 'Future Orders'!$C26, "B", 'Future Orders'!$B26, "2")</f>
        <v>0</v>
      </c>
      <c r="AG26" s="157">
        <f>SUMIFS('Future Orders'!$I26, 'Future Orders'!$D26, "3", 'Future Orders'!$C26, "B", 'Future Orders'!$B26, "2")</f>
        <v>0</v>
      </c>
      <c r="AH26" s="157">
        <f>SUMIFS('Future Orders'!$F26, 'Future Orders'!$D26, "4", 'Future Orders'!$C26, "A", 'Future Orders'!$B26, "1")</f>
        <v>0</v>
      </c>
      <c r="AI26" s="157">
        <f>SUMIFS('Future Orders'!$I26, 'Future Orders'!$D26, "4", 'Future Orders'!$C26, "A", 'Future Orders'!$B26, "1")</f>
        <v>0</v>
      </c>
      <c r="AJ26" s="157">
        <f>SUMIFS('Future Orders'!$F26, 'Future Orders'!$D26, "4", 'Future Orders'!$C26, "B", 'Future Orders'!$B26, "1")</f>
        <v>0</v>
      </c>
      <c r="AK26" s="157">
        <f>SUMIFS('Future Orders'!$I26, 'Future Orders'!$D26, "4", 'Future Orders'!$C26, "B", 'Future Orders'!$B26, "1")</f>
        <v>0</v>
      </c>
      <c r="AL26" s="157">
        <f>SUMIFS('Future Orders'!$F26, 'Future Orders'!$D26, "4", 'Future Orders'!$C26, "A", 'Future Orders'!$B26, "2")</f>
        <v>0</v>
      </c>
      <c r="AM26" s="157">
        <f>SUMIFS('Future Orders'!$I26, 'Future Orders'!$D26, "4", 'Future Orders'!$C26, "A", 'Future Orders'!$B26, "2")</f>
        <v>0</v>
      </c>
      <c r="AN26" s="171">
        <f>SUMIFS('Future Orders'!$F26, 'Future Orders'!$D26, "4", 'Future Orders'!$C26, "B", 'Future Orders'!$B26, "2")</f>
        <v>0</v>
      </c>
      <c r="AO26" s="171">
        <f>SUMIFS('Future Orders'!$I26, 'Future Orders'!$D26, "4", 'Future Orders'!$C26, "B", 'Future Orders'!$B26, "2")</f>
        <v>0</v>
      </c>
      <c r="AP26" s="171">
        <f>SUMIFS('Future Orders'!$H26, 'Future Orders'!$C26, "A", 'Future Orders'!$B26, "1")</f>
        <v>7766</v>
      </c>
      <c r="AQ26" s="171">
        <f>SUMIFS('Future Orders'!$I26, 'Future Orders'!$C26, "B", 'Future Orders'!$B26, "1")</f>
        <v>0</v>
      </c>
      <c r="AR26" s="171">
        <f>SUMIFS('Future Orders'!$H26, 'Future Orders'!$C26, "A", 'Future Orders'!$B26, "2")</f>
        <v>0</v>
      </c>
      <c r="AS26" s="171">
        <f>SUMIFS('Future Orders'!$I26, 'Future Orders'!$C26, "B", 'Future Orders'!$B26, "2")</f>
        <v>0</v>
      </c>
      <c r="AT26" s="145"/>
      <c r="AU26" s="146"/>
      <c r="AV26" s="161">
        <v>42023.0</v>
      </c>
      <c r="AW26" s="162"/>
      <c r="AX26" s="163">
        <f t="shared" si="1"/>
        <v>42023</v>
      </c>
      <c r="AY26" s="164">
        <f t="shared" si="2"/>
        <v>19602</v>
      </c>
      <c r="AZ26" s="164">
        <f t="shared" si="3"/>
        <v>10079</v>
      </c>
      <c r="BA26" s="164">
        <f t="shared" si="4"/>
        <v>9523</v>
      </c>
      <c r="BB26" s="164">
        <f t="shared" si="5"/>
        <v>16115</v>
      </c>
      <c r="BC26" s="164">
        <f t="shared" si="6"/>
        <v>3487</v>
      </c>
      <c r="BD26" s="165"/>
      <c r="BE26" s="166">
        <f t="shared" si="7"/>
        <v>60836.71</v>
      </c>
      <c r="BF26" s="166">
        <f t="shared" si="8"/>
        <v>29900.42</v>
      </c>
      <c r="BG26" s="166">
        <f t="shared" si="9"/>
        <v>30936.29</v>
      </c>
      <c r="BH26" s="167"/>
      <c r="BI26" s="166">
        <f t="shared" si="10"/>
        <v>10497.96</v>
      </c>
      <c r="BJ26" s="166">
        <f t="shared" si="11"/>
        <v>5579.64</v>
      </c>
      <c r="BK26" s="166">
        <f t="shared" si="12"/>
        <v>0</v>
      </c>
      <c r="BL26" s="166">
        <f t="shared" si="13"/>
        <v>10497.96</v>
      </c>
      <c r="BM26" s="166">
        <f>SUM('Future Orders'!$BI26:$BL26)</f>
        <v>26575.56</v>
      </c>
      <c r="BN26" s="167"/>
      <c r="BO26" s="166">
        <f t="shared" si="14"/>
        <v>0</v>
      </c>
      <c r="BP26" s="166">
        <f t="shared" si="15"/>
        <v>0</v>
      </c>
      <c r="BQ26" s="166">
        <f t="shared" si="16"/>
        <v>13822.82</v>
      </c>
      <c r="BR26" s="166">
        <f t="shared" si="17"/>
        <v>0</v>
      </c>
      <c r="BS26" s="166">
        <f>SUM('Future Orders'!$BO26:$BR26)</f>
        <v>13822.82</v>
      </c>
      <c r="BT26" s="167"/>
      <c r="BU26" s="166">
        <f t="shared" si="18"/>
        <v>6504.96</v>
      </c>
      <c r="BV26" s="166">
        <f t="shared" si="19"/>
        <v>6417.84</v>
      </c>
      <c r="BW26" s="166">
        <f t="shared" si="20"/>
        <v>0</v>
      </c>
      <c r="BX26" s="166">
        <f t="shared" si="21"/>
        <v>6504.96</v>
      </c>
      <c r="BY26" s="166">
        <f>SUM('Future Orders'!$BU26:$BX26)</f>
        <v>19427.76</v>
      </c>
      <c r="BZ26" s="167"/>
      <c r="CA26" s="166">
        <f t="shared" si="22"/>
        <v>0</v>
      </c>
      <c r="CB26" s="166">
        <f t="shared" si="23"/>
        <v>0</v>
      </c>
      <c r="CC26" s="166">
        <f t="shared" si="24"/>
        <v>18013.49</v>
      </c>
      <c r="CD26" s="166">
        <f t="shared" si="25"/>
        <v>0</v>
      </c>
      <c r="CE26" s="166">
        <f>SUM('Future Orders'!$CA26:$CD26)</f>
        <v>18013.49</v>
      </c>
      <c r="CF26" s="167"/>
      <c r="CG26" s="166">
        <f>SUM('Future Orders'!$BI26:$BJ26)
+ SUM('Future Orders'!$BU26:$BV26)</f>
        <v>29000.4</v>
      </c>
      <c r="CH26" s="166">
        <f>SUM('Future Orders'!$BQ26)
+ SUM('Future Orders'!$BX26)</f>
        <v>20327.78</v>
      </c>
      <c r="CI26" s="166">
        <f>SUM('Future Orders'!$BI26:$BJ26)
+ SUM('Future Orders'!$BU26:$BV26)
+ SUM(('Future Orders'!$BI26) * 2)</f>
        <v>49996.32</v>
      </c>
      <c r="CJ26" s="166">
        <f>SUM(('Future Orders'!$BQ26) * 2) + SUM('Future Orders'!$BX26)</f>
        <v>34150.6</v>
      </c>
      <c r="CK26" s="167"/>
      <c r="CL26" s="168">
        <f t="shared" si="26"/>
        <v>3</v>
      </c>
      <c r="CM26" s="168">
        <f t="shared" si="27"/>
        <v>3</v>
      </c>
      <c r="CN26" s="168">
        <f t="shared" si="28"/>
        <v>4</v>
      </c>
      <c r="CO26" s="168">
        <f t="shared" si="29"/>
        <v>2</v>
      </c>
      <c r="CP26" s="168">
        <f t="shared" si="30"/>
        <v>2</v>
      </c>
      <c r="CQ26" s="169">
        <f t="shared" si="31"/>
        <v>2</v>
      </c>
      <c r="CR26" s="169">
        <f t="shared" si="32"/>
        <v>2</v>
      </c>
      <c r="CS26" s="170"/>
    </row>
    <row r="27" ht="15.75" customHeight="1">
      <c r="A27" s="151">
        <v>41883.0</v>
      </c>
      <c r="B27" s="152">
        <v>1.0</v>
      </c>
      <c r="C27" s="152" t="s">
        <v>45</v>
      </c>
      <c r="D27" s="152">
        <v>2.0</v>
      </c>
      <c r="E27" s="153">
        <v>6097.0</v>
      </c>
      <c r="F27" s="153">
        <f>SUM(('Future Orders'!$E27) * (1.1))</f>
        <v>6706.7</v>
      </c>
      <c r="G27" s="154">
        <v>1.2</v>
      </c>
      <c r="H27" s="155">
        <v>7316.4</v>
      </c>
      <c r="I27" s="155">
        <f>SUM(('Future Orders'!$H27) * (1.1))</f>
        <v>8048.04</v>
      </c>
      <c r="J27" s="159">
        <f>SUMIFS('Future Orders'!$F27, 'Future Orders'!$D27, "1", 'Future Orders'!$C27, "A", 'Future Orders'!$B27, "1")</f>
        <v>0</v>
      </c>
      <c r="K27" s="157">
        <f>SUMIFS('Future Orders'!$I27, 'Future Orders'!$D27, "1", 'Future Orders'!$C27, "A", 'Future Orders'!$B27, "1")</f>
        <v>0</v>
      </c>
      <c r="L27" s="157">
        <f>SUMIFS('Future Orders'!$F27, 'Future Orders'!$D27, "1", 'Future Orders'!$C27, "B", 'Future Orders'!$B27, "1")</f>
        <v>0</v>
      </c>
      <c r="M27" s="157">
        <f>SUMIFS('Future Orders'!$I27, 'Future Orders'!$D27, "1", 'Future Orders'!$C27, "B", 'Future Orders'!$B27, "1")</f>
        <v>0</v>
      </c>
      <c r="N27" s="159">
        <f>SUMIFS('Future Orders'!$F27, 'Future Orders'!$D27, "1", 'Future Orders'!$C27, "A", 'Future Orders'!$B27, "2")</f>
        <v>0</v>
      </c>
      <c r="O27" s="157">
        <f>SUMIFS('Future Orders'!$I27, 'Future Orders'!$D27, "1", 'Future Orders'!$C27, "A", 'Future Orders'!$B27, "2")</f>
        <v>0</v>
      </c>
      <c r="P27" s="157">
        <f>SUMIFS('Future Orders'!$E27, 'Future Orders'!$D27, "1", 'Future Orders'!$C27, "B", 'Future Orders'!$B27, "2")</f>
        <v>0</v>
      </c>
      <c r="Q27" s="157">
        <f>SUMIFS('Future Orders'!$I27, 'Future Orders'!$D27, "1", 'Future Orders'!$C27, "B", 'Future Orders'!$B27, "2")</f>
        <v>0</v>
      </c>
      <c r="R27" s="159">
        <f>SUMIFS('Future Orders'!$F27, 'Future Orders'!$D27, "2", 'Future Orders'!$C27, "A", 'Future Orders'!$B27, "1")</f>
        <v>6706.7</v>
      </c>
      <c r="S27" s="157">
        <f>SUMIFS('Future Orders'!$I27, 'Future Orders'!$D27, "2", 'Future Orders'!$C27, "A", 'Future Orders'!$B27, "1")</f>
        <v>8048.04</v>
      </c>
      <c r="T27" s="159">
        <f>SUMIFS('Future Orders'!$F27, 'Future Orders'!$D27, "2", 'Future Orders'!$C27, "B", 'Future Orders'!$B27, "1")</f>
        <v>0</v>
      </c>
      <c r="U27" s="157">
        <f>SUMIFS('Future Orders'!$I27, 'Future Orders'!$D27, "2", 'Future Orders'!$C27, "B", 'Future Orders'!$B27, "1")</f>
        <v>0</v>
      </c>
      <c r="V27" s="159">
        <f>SUMIFS('Future Orders'!$F27, 'Future Orders'!$D27, "2", 'Future Orders'!$C27, "A", 'Future Orders'!$B27, "2")</f>
        <v>0</v>
      </c>
      <c r="W27" s="157">
        <f>SUMIFS('Future Orders'!$I27, 'Future Orders'!$D27, "2", 'Future Orders'!$C27, "A", 'Future Orders'!$B27, "2")</f>
        <v>0</v>
      </c>
      <c r="X27" s="159">
        <f>SUMIFS('Future Orders'!$F27, 'Future Orders'!$D27, "2", 'Future Orders'!$C27, "B", 'Future Orders'!$B27, "2")</f>
        <v>0</v>
      </c>
      <c r="Y27" s="159">
        <f>SUMIFS('Future Orders'!$I27, 'Future Orders'!$D27, "2", 'Future Orders'!$C27, "B", 'Future Orders'!$B27, "2")</f>
        <v>0</v>
      </c>
      <c r="Z27" s="159">
        <f>SUMIFS('Future Orders'!$F27, 'Future Orders'!$D27, "3", 'Future Orders'!$C27, "A", 'Future Orders'!$B27, "1")</f>
        <v>0</v>
      </c>
      <c r="AA27" s="159">
        <f>SUMIFS('Future Orders'!$I27, 'Future Orders'!$D27, "3", 'Future Orders'!$C27, "A", 'Future Orders'!$B27, "1")</f>
        <v>0</v>
      </c>
      <c r="AB27" s="159">
        <f>SUMIFS('Future Orders'!$F27, 'Future Orders'!$D27, "3", 'Future Orders'!$C27, "B", 'Future Orders'!$B27, "1")</f>
        <v>0</v>
      </c>
      <c r="AC27" s="159">
        <f>SUMIFS('Future Orders'!$I27, 'Future Orders'!$D27, "3", 'Future Orders'!$C27, "B", 'Future Orders'!$B27, "1")</f>
        <v>0</v>
      </c>
      <c r="AD27" s="159">
        <f>SUMIFS('Future Orders'!$F27, 'Future Orders'!$D27, "3", 'Future Orders'!$C27, "A", 'Future Orders'!$B27, "2")</f>
        <v>0</v>
      </c>
      <c r="AE27" s="159">
        <f>SUMIFS('Future Orders'!$I27, 'Future Orders'!$D27, "3", 'Future Orders'!$C27, "A", 'Future Orders'!$B27, "2")</f>
        <v>0</v>
      </c>
      <c r="AF27" s="159">
        <f>SUMIFS('Future Orders'!$F27, 'Future Orders'!$D27, "3", 'Future Orders'!$C27, "B", 'Future Orders'!$B27, "2")</f>
        <v>0</v>
      </c>
      <c r="AG27" s="157">
        <f>SUMIFS('Future Orders'!$I27, 'Future Orders'!$D27, "3", 'Future Orders'!$C27, "B", 'Future Orders'!$B27, "2")</f>
        <v>0</v>
      </c>
      <c r="AH27" s="157">
        <f>SUMIFS('Future Orders'!$F27, 'Future Orders'!$D27, "4", 'Future Orders'!$C27, "A", 'Future Orders'!$B27, "1")</f>
        <v>0</v>
      </c>
      <c r="AI27" s="157">
        <f>SUMIFS('Future Orders'!$I27, 'Future Orders'!$D27, "4", 'Future Orders'!$C27, "A", 'Future Orders'!$B27, "1")</f>
        <v>0</v>
      </c>
      <c r="AJ27" s="157">
        <f>SUMIFS('Future Orders'!$F27, 'Future Orders'!$D27, "4", 'Future Orders'!$C27, "B", 'Future Orders'!$B27, "1")</f>
        <v>0</v>
      </c>
      <c r="AK27" s="157">
        <f>SUMIFS('Future Orders'!$I27, 'Future Orders'!$D27, "4", 'Future Orders'!$C27, "B", 'Future Orders'!$B27, "1")</f>
        <v>0</v>
      </c>
      <c r="AL27" s="157">
        <f>SUMIFS('Future Orders'!$F27, 'Future Orders'!$D27, "4", 'Future Orders'!$C27, "A", 'Future Orders'!$B27, "2")</f>
        <v>0</v>
      </c>
      <c r="AM27" s="157">
        <f>SUMIFS('Future Orders'!$I27, 'Future Orders'!$D27, "4", 'Future Orders'!$C27, "A", 'Future Orders'!$B27, "2")</f>
        <v>0</v>
      </c>
      <c r="AN27" s="171">
        <f>SUMIFS('Future Orders'!$F27, 'Future Orders'!$D27, "4", 'Future Orders'!$C27, "B", 'Future Orders'!$B27, "2")</f>
        <v>0</v>
      </c>
      <c r="AO27" s="171">
        <f>SUMIFS('Future Orders'!$I27, 'Future Orders'!$D27, "4", 'Future Orders'!$C27, "B", 'Future Orders'!$B27, "2")</f>
        <v>0</v>
      </c>
      <c r="AP27" s="171">
        <f>SUMIFS('Future Orders'!$H27, 'Future Orders'!$C27, "A", 'Future Orders'!$B27, "1")</f>
        <v>7316.4</v>
      </c>
      <c r="AQ27" s="171">
        <f>SUMIFS('Future Orders'!$I27, 'Future Orders'!$C27, "B", 'Future Orders'!$B27, "1")</f>
        <v>0</v>
      </c>
      <c r="AR27" s="171">
        <f>SUMIFS('Future Orders'!$H27, 'Future Orders'!$C27, "A", 'Future Orders'!$B27, "2")</f>
        <v>0</v>
      </c>
      <c r="AS27" s="171">
        <f>SUMIFS('Future Orders'!$I27, 'Future Orders'!$C27, "B", 'Future Orders'!$B27, "2")</f>
        <v>0</v>
      </c>
      <c r="AT27" s="145"/>
      <c r="AU27" s="146"/>
      <c r="AV27" s="161">
        <v>42030.0</v>
      </c>
      <c r="AW27" s="162"/>
      <c r="AX27" s="163">
        <f t="shared" si="1"/>
        <v>42030</v>
      </c>
      <c r="AY27" s="164">
        <f t="shared" si="2"/>
        <v>22901</v>
      </c>
      <c r="AZ27" s="164">
        <f t="shared" si="3"/>
        <v>11574</v>
      </c>
      <c r="BA27" s="164">
        <f t="shared" si="4"/>
        <v>11327</v>
      </c>
      <c r="BB27" s="164">
        <f t="shared" si="5"/>
        <v>18848</v>
      </c>
      <c r="BC27" s="164">
        <f t="shared" si="6"/>
        <v>4053</v>
      </c>
      <c r="BD27" s="165"/>
      <c r="BE27" s="166">
        <f t="shared" si="7"/>
        <v>70620.55</v>
      </c>
      <c r="BF27" s="166">
        <f t="shared" si="8"/>
        <v>33827.2</v>
      </c>
      <c r="BG27" s="166">
        <f t="shared" si="9"/>
        <v>36793.35</v>
      </c>
      <c r="BH27" s="167"/>
      <c r="BI27" s="166">
        <f t="shared" si="10"/>
        <v>10877.9</v>
      </c>
      <c r="BJ27" s="166">
        <f t="shared" si="11"/>
        <v>7044.84</v>
      </c>
      <c r="BK27" s="166">
        <f t="shared" si="12"/>
        <v>0</v>
      </c>
      <c r="BL27" s="166">
        <f t="shared" si="13"/>
        <v>10877.9</v>
      </c>
      <c r="BM27" s="166">
        <f>SUM('Future Orders'!$BI27:$BL27)</f>
        <v>28800.64</v>
      </c>
      <c r="BN27" s="167"/>
      <c r="BO27" s="166">
        <f t="shared" si="14"/>
        <v>0</v>
      </c>
      <c r="BP27" s="166">
        <f t="shared" si="15"/>
        <v>0</v>
      </c>
      <c r="BQ27" s="166">
        <f t="shared" si="16"/>
        <v>15904.46</v>
      </c>
      <c r="BR27" s="166">
        <f t="shared" si="17"/>
        <v>0</v>
      </c>
      <c r="BS27" s="166">
        <f>SUM('Future Orders'!$BO27:$BR27)</f>
        <v>15904.46</v>
      </c>
      <c r="BT27" s="167"/>
      <c r="BU27" s="166">
        <f t="shared" si="18"/>
        <v>8344.16</v>
      </c>
      <c r="BV27" s="166">
        <f t="shared" si="19"/>
        <v>7349.76</v>
      </c>
      <c r="BW27" s="166">
        <f t="shared" si="20"/>
        <v>0</v>
      </c>
      <c r="BX27" s="166">
        <f t="shared" si="21"/>
        <v>8344.16</v>
      </c>
      <c r="BY27" s="166">
        <f>SUM('Future Orders'!$BU27:$BX27)</f>
        <v>24038.08</v>
      </c>
      <c r="BZ27" s="167"/>
      <c r="CA27" s="166">
        <f t="shared" si="22"/>
        <v>0</v>
      </c>
      <c r="CB27" s="166">
        <f t="shared" si="23"/>
        <v>0</v>
      </c>
      <c r="CC27" s="166">
        <f t="shared" si="24"/>
        <v>21099.43</v>
      </c>
      <c r="CD27" s="166">
        <f t="shared" si="25"/>
        <v>0</v>
      </c>
      <c r="CE27" s="166">
        <f>SUM('Future Orders'!$CA27:$CD27)</f>
        <v>21099.43</v>
      </c>
      <c r="CF27" s="167"/>
      <c r="CG27" s="166">
        <f>SUM('Future Orders'!$BI27:$BJ27)
+ SUM('Future Orders'!$BU27:$BV27)</f>
        <v>33616.66</v>
      </c>
      <c r="CH27" s="166">
        <f>SUM('Future Orders'!$BQ27)
+ SUM('Future Orders'!$BX27)</f>
        <v>24248.62</v>
      </c>
      <c r="CI27" s="166">
        <f>SUM('Future Orders'!$BI27:$BJ27)
+ SUM('Future Orders'!$BU27:$BV27)
+ SUM(('Future Orders'!$BI27) * 2)</f>
        <v>55372.46</v>
      </c>
      <c r="CJ27" s="166">
        <f>SUM(('Future Orders'!$BQ27) * 2) + SUM('Future Orders'!$BX27)</f>
        <v>40153.08</v>
      </c>
      <c r="CK27" s="167"/>
      <c r="CL27" s="168">
        <f t="shared" si="26"/>
        <v>3</v>
      </c>
      <c r="CM27" s="168">
        <f t="shared" si="27"/>
        <v>3</v>
      </c>
      <c r="CN27" s="168">
        <f t="shared" si="28"/>
        <v>4</v>
      </c>
      <c r="CO27" s="168">
        <f t="shared" si="29"/>
        <v>2</v>
      </c>
      <c r="CP27" s="168">
        <f t="shared" si="30"/>
        <v>2</v>
      </c>
      <c r="CQ27" s="169">
        <f t="shared" si="31"/>
        <v>2</v>
      </c>
      <c r="CR27" s="169">
        <f t="shared" si="32"/>
        <v>2</v>
      </c>
      <c r="CS27" s="170"/>
    </row>
    <row r="28" ht="15.75" customHeight="1">
      <c r="A28" s="151">
        <v>41883.0</v>
      </c>
      <c r="B28" s="152">
        <v>2.0</v>
      </c>
      <c r="C28" s="152" t="s">
        <v>45</v>
      </c>
      <c r="D28" s="152">
        <v>1.0</v>
      </c>
      <c r="E28" s="153">
        <v>2567.0</v>
      </c>
      <c r="F28" s="153">
        <f>SUM(('Future Orders'!$E28) * (1.1))</f>
        <v>2823.7</v>
      </c>
      <c r="G28" s="154">
        <v>2.2</v>
      </c>
      <c r="H28" s="155">
        <v>5647.400000000001</v>
      </c>
      <c r="I28" s="155">
        <f>SUM(('Future Orders'!$H28) * (1.1))</f>
        <v>6212.14</v>
      </c>
      <c r="J28" s="159">
        <f>SUMIFS('Future Orders'!$F28, 'Future Orders'!$D28, "1", 'Future Orders'!$C28, "A", 'Future Orders'!$B28, "1")</f>
        <v>0</v>
      </c>
      <c r="K28" s="157">
        <f>SUMIFS('Future Orders'!$I28, 'Future Orders'!$D28, "1", 'Future Orders'!$C28, "A", 'Future Orders'!$B28, "1")</f>
        <v>0</v>
      </c>
      <c r="L28" s="157">
        <f>SUMIFS('Future Orders'!$F28, 'Future Orders'!$D28, "1", 'Future Orders'!$C28, "B", 'Future Orders'!$B28, "1")</f>
        <v>0</v>
      </c>
      <c r="M28" s="157">
        <f>SUMIFS('Future Orders'!$I28, 'Future Orders'!$D28, "1", 'Future Orders'!$C28, "B", 'Future Orders'!$B28, "1")</f>
        <v>0</v>
      </c>
      <c r="N28" s="159">
        <f>SUMIFS('Future Orders'!$F28, 'Future Orders'!$D28, "1", 'Future Orders'!$C28, "A", 'Future Orders'!$B28, "2")</f>
        <v>2823.7</v>
      </c>
      <c r="O28" s="157">
        <f>SUMIFS('Future Orders'!$I28, 'Future Orders'!$D28, "1", 'Future Orders'!$C28, "A", 'Future Orders'!$B28, "2")</f>
        <v>6212.14</v>
      </c>
      <c r="P28" s="157">
        <f>SUMIFS('Future Orders'!$E28, 'Future Orders'!$D28, "1", 'Future Orders'!$C28, "B", 'Future Orders'!$B28, "2")</f>
        <v>0</v>
      </c>
      <c r="Q28" s="157">
        <f>SUMIFS('Future Orders'!$I28, 'Future Orders'!$D28, "1", 'Future Orders'!$C28, "B", 'Future Orders'!$B28, "2")</f>
        <v>0</v>
      </c>
      <c r="R28" s="159">
        <f>SUMIFS('Future Orders'!$F28, 'Future Orders'!$D28, "2", 'Future Orders'!$C28, "A", 'Future Orders'!$B28, "1")</f>
        <v>0</v>
      </c>
      <c r="S28" s="157">
        <f>SUMIFS('Future Orders'!$I28, 'Future Orders'!$D28, "2", 'Future Orders'!$C28, "A", 'Future Orders'!$B28, "1")</f>
        <v>0</v>
      </c>
      <c r="T28" s="159">
        <f>SUMIFS('Future Orders'!$F28, 'Future Orders'!$D28, "2", 'Future Orders'!$C28, "B", 'Future Orders'!$B28, "1")</f>
        <v>0</v>
      </c>
      <c r="U28" s="157">
        <f>SUMIFS('Future Orders'!$I28, 'Future Orders'!$D28, "2", 'Future Orders'!$C28, "B", 'Future Orders'!$B28, "1")</f>
        <v>0</v>
      </c>
      <c r="V28" s="159">
        <f>SUMIFS('Future Orders'!$F28, 'Future Orders'!$D28, "2", 'Future Orders'!$C28, "A", 'Future Orders'!$B28, "2")</f>
        <v>0</v>
      </c>
      <c r="W28" s="157">
        <f>SUMIFS('Future Orders'!$I28, 'Future Orders'!$D28, "2", 'Future Orders'!$C28, "A", 'Future Orders'!$B28, "2")</f>
        <v>0</v>
      </c>
      <c r="X28" s="159">
        <f>SUMIFS('Future Orders'!$F28, 'Future Orders'!$D28, "2", 'Future Orders'!$C28, "B", 'Future Orders'!$B28, "2")</f>
        <v>0</v>
      </c>
      <c r="Y28" s="159">
        <f>SUMIFS('Future Orders'!$I28, 'Future Orders'!$D28, "2", 'Future Orders'!$C28, "B", 'Future Orders'!$B28, "2")</f>
        <v>0</v>
      </c>
      <c r="Z28" s="159">
        <f>SUMIFS('Future Orders'!$F28, 'Future Orders'!$D28, "3", 'Future Orders'!$C28, "A", 'Future Orders'!$B28, "1")</f>
        <v>0</v>
      </c>
      <c r="AA28" s="159">
        <f>SUMIFS('Future Orders'!$I28, 'Future Orders'!$D28, "3", 'Future Orders'!$C28, "A", 'Future Orders'!$B28, "1")</f>
        <v>0</v>
      </c>
      <c r="AB28" s="159">
        <f>SUMIFS('Future Orders'!$F28, 'Future Orders'!$D28, "3", 'Future Orders'!$C28, "B", 'Future Orders'!$B28, "1")</f>
        <v>0</v>
      </c>
      <c r="AC28" s="159">
        <f>SUMIFS('Future Orders'!$I28, 'Future Orders'!$D28, "3", 'Future Orders'!$C28, "B", 'Future Orders'!$B28, "1")</f>
        <v>0</v>
      </c>
      <c r="AD28" s="159">
        <f>SUMIFS('Future Orders'!$F28, 'Future Orders'!$D28, "3", 'Future Orders'!$C28, "A", 'Future Orders'!$B28, "2")</f>
        <v>0</v>
      </c>
      <c r="AE28" s="159">
        <f>SUMIFS('Future Orders'!$I28, 'Future Orders'!$D28, "3", 'Future Orders'!$C28, "A", 'Future Orders'!$B28, "2")</f>
        <v>0</v>
      </c>
      <c r="AF28" s="159">
        <f>SUMIFS('Future Orders'!$F28, 'Future Orders'!$D28, "3", 'Future Orders'!$C28, "B", 'Future Orders'!$B28, "2")</f>
        <v>0</v>
      </c>
      <c r="AG28" s="157">
        <f>SUMIFS('Future Orders'!$I28, 'Future Orders'!$D28, "3", 'Future Orders'!$C28, "B", 'Future Orders'!$B28, "2")</f>
        <v>0</v>
      </c>
      <c r="AH28" s="157">
        <f>SUMIFS('Future Orders'!$F28, 'Future Orders'!$D28, "4", 'Future Orders'!$C28, "A", 'Future Orders'!$B28, "1")</f>
        <v>0</v>
      </c>
      <c r="AI28" s="157">
        <f>SUMIFS('Future Orders'!$I28, 'Future Orders'!$D28, "4", 'Future Orders'!$C28, "A", 'Future Orders'!$B28, "1")</f>
        <v>0</v>
      </c>
      <c r="AJ28" s="157">
        <f>SUMIFS('Future Orders'!$F28, 'Future Orders'!$D28, "4", 'Future Orders'!$C28, "B", 'Future Orders'!$B28, "1")</f>
        <v>0</v>
      </c>
      <c r="AK28" s="157">
        <f>SUMIFS('Future Orders'!$I28, 'Future Orders'!$D28, "4", 'Future Orders'!$C28, "B", 'Future Orders'!$B28, "1")</f>
        <v>0</v>
      </c>
      <c r="AL28" s="157">
        <f>SUMIFS('Future Orders'!$F28, 'Future Orders'!$D28, "4", 'Future Orders'!$C28, "A", 'Future Orders'!$B28, "2")</f>
        <v>0</v>
      </c>
      <c r="AM28" s="157">
        <f>SUMIFS('Future Orders'!$I28, 'Future Orders'!$D28, "4", 'Future Orders'!$C28, "A", 'Future Orders'!$B28, "2")</f>
        <v>0</v>
      </c>
      <c r="AN28" s="171">
        <f>SUMIFS('Future Orders'!$F28, 'Future Orders'!$D28, "4", 'Future Orders'!$C28, "B", 'Future Orders'!$B28, "2")</f>
        <v>0</v>
      </c>
      <c r="AO28" s="171">
        <f>SUMIFS('Future Orders'!$I28, 'Future Orders'!$D28, "4", 'Future Orders'!$C28, "B", 'Future Orders'!$B28, "2")</f>
        <v>0</v>
      </c>
      <c r="AP28" s="171">
        <f>SUMIFS('Future Orders'!$H28, 'Future Orders'!$C28, "A", 'Future Orders'!$B28, "1")</f>
        <v>0</v>
      </c>
      <c r="AQ28" s="171">
        <f>SUMIFS('Future Orders'!$I28, 'Future Orders'!$C28, "B", 'Future Orders'!$B28, "1")</f>
        <v>0</v>
      </c>
      <c r="AR28" s="171">
        <f>SUMIFS('Future Orders'!$H28, 'Future Orders'!$C28, "A", 'Future Orders'!$B28, "2")</f>
        <v>5647.4</v>
      </c>
      <c r="AS28" s="171">
        <f>SUMIFS('Future Orders'!$I28, 'Future Orders'!$C28, "B", 'Future Orders'!$B28, "2")</f>
        <v>0</v>
      </c>
      <c r="AT28" s="145"/>
      <c r="AU28" s="146"/>
      <c r="AV28" s="161">
        <v>42037.0</v>
      </c>
      <c r="AW28" s="162"/>
      <c r="AX28" s="163">
        <f t="shared" si="1"/>
        <v>42037</v>
      </c>
      <c r="AY28" s="164">
        <f t="shared" si="2"/>
        <v>22645</v>
      </c>
      <c r="AZ28" s="164">
        <f t="shared" si="3"/>
        <v>11469</v>
      </c>
      <c r="BA28" s="164">
        <f t="shared" si="4"/>
        <v>11176</v>
      </c>
      <c r="BB28" s="164">
        <f t="shared" si="5"/>
        <v>18609</v>
      </c>
      <c r="BC28" s="164">
        <f t="shared" si="6"/>
        <v>4036</v>
      </c>
      <c r="BD28" s="165"/>
      <c r="BE28" s="166">
        <f t="shared" si="7"/>
        <v>69131.26</v>
      </c>
      <c r="BF28" s="166">
        <f t="shared" si="8"/>
        <v>35123.99</v>
      </c>
      <c r="BG28" s="166">
        <f t="shared" si="9"/>
        <v>34007.27</v>
      </c>
      <c r="BH28" s="167"/>
      <c r="BI28" s="166">
        <f t="shared" si="10"/>
        <v>10101.08</v>
      </c>
      <c r="BJ28" s="166">
        <f t="shared" si="11"/>
        <v>7027.68</v>
      </c>
      <c r="BK28" s="166">
        <f t="shared" si="12"/>
        <v>0</v>
      </c>
      <c r="BL28" s="166">
        <f t="shared" si="13"/>
        <v>10101.08</v>
      </c>
      <c r="BM28" s="166">
        <f>SUM('Future Orders'!$BI28:$BL28)</f>
        <v>27229.84</v>
      </c>
      <c r="BN28" s="167"/>
      <c r="BO28" s="166">
        <f t="shared" si="14"/>
        <v>0</v>
      </c>
      <c r="BP28" s="166">
        <f t="shared" si="15"/>
        <v>0</v>
      </c>
      <c r="BQ28" s="166">
        <f t="shared" si="16"/>
        <v>17995.23</v>
      </c>
      <c r="BR28" s="166">
        <f t="shared" si="17"/>
        <v>0</v>
      </c>
      <c r="BS28" s="166">
        <f>SUM('Future Orders'!$BO28:$BR28)</f>
        <v>17995.23</v>
      </c>
      <c r="BT28" s="167"/>
      <c r="BU28" s="166">
        <f t="shared" si="18"/>
        <v>6880.06</v>
      </c>
      <c r="BV28" s="166">
        <f t="shared" si="19"/>
        <v>8273.76</v>
      </c>
      <c r="BW28" s="166">
        <f t="shared" si="20"/>
        <v>0</v>
      </c>
      <c r="BX28" s="166">
        <f t="shared" si="21"/>
        <v>6880.06</v>
      </c>
      <c r="BY28" s="166">
        <f>SUM('Future Orders'!$BU28:$BX28)</f>
        <v>22033.88</v>
      </c>
      <c r="BZ28" s="167"/>
      <c r="CA28" s="166">
        <f t="shared" si="22"/>
        <v>0</v>
      </c>
      <c r="CB28" s="166">
        <f t="shared" si="23"/>
        <v>0</v>
      </c>
      <c r="CC28" s="166">
        <f t="shared" si="24"/>
        <v>18853.45</v>
      </c>
      <c r="CD28" s="166">
        <f t="shared" si="25"/>
        <v>0</v>
      </c>
      <c r="CE28" s="166">
        <f>SUM('Future Orders'!$CA28:$CD28)</f>
        <v>18853.45</v>
      </c>
      <c r="CF28" s="167"/>
      <c r="CG28" s="166">
        <f>SUM('Future Orders'!$BI28:$BJ28)
+ SUM('Future Orders'!$BU28:$BV28)</f>
        <v>32282.58</v>
      </c>
      <c r="CH28" s="166">
        <f>SUM('Future Orders'!$BQ28)
+ SUM('Future Orders'!$BX28)</f>
        <v>24875.29</v>
      </c>
      <c r="CI28" s="166">
        <f>SUM('Future Orders'!$BI28:$BJ28)
+ SUM('Future Orders'!$BU28:$BV28)
+ SUM(('Future Orders'!$BI28) * 2)</f>
        <v>52484.74</v>
      </c>
      <c r="CJ28" s="166">
        <f>SUM(('Future Orders'!$BQ28) * 2) + SUM('Future Orders'!$BX28)</f>
        <v>42870.52</v>
      </c>
      <c r="CK28" s="167"/>
      <c r="CL28" s="168">
        <f t="shared" si="26"/>
        <v>3</v>
      </c>
      <c r="CM28" s="168">
        <f t="shared" si="27"/>
        <v>3</v>
      </c>
      <c r="CN28" s="168">
        <f t="shared" si="28"/>
        <v>4</v>
      </c>
      <c r="CO28" s="168">
        <f t="shared" si="29"/>
        <v>2</v>
      </c>
      <c r="CP28" s="168">
        <f t="shared" si="30"/>
        <v>2</v>
      </c>
      <c r="CQ28" s="169">
        <f t="shared" si="31"/>
        <v>2</v>
      </c>
      <c r="CR28" s="169">
        <f t="shared" si="32"/>
        <v>2</v>
      </c>
      <c r="CS28" s="170"/>
    </row>
    <row r="29" ht="15.75" customHeight="1">
      <c r="A29" s="151">
        <v>41883.0</v>
      </c>
      <c r="B29" s="152">
        <v>2.0</v>
      </c>
      <c r="C29" s="152" t="s">
        <v>45</v>
      </c>
      <c r="D29" s="152">
        <v>2.0</v>
      </c>
      <c r="E29" s="153">
        <v>7325.0</v>
      </c>
      <c r="F29" s="153">
        <f>SUM(('Future Orders'!$E29) * (1.1))</f>
        <v>8057.5</v>
      </c>
      <c r="G29" s="154">
        <v>1.2</v>
      </c>
      <c r="H29" s="155">
        <v>8790.0</v>
      </c>
      <c r="I29" s="155">
        <f>SUM(('Future Orders'!$H29) * (1.1))</f>
        <v>9669</v>
      </c>
      <c r="J29" s="159">
        <f>SUMIFS('Future Orders'!$F29, 'Future Orders'!$D29, "1", 'Future Orders'!$C29, "A", 'Future Orders'!$B29, "1")</f>
        <v>0</v>
      </c>
      <c r="K29" s="157">
        <f>SUMIFS('Future Orders'!$I29, 'Future Orders'!$D29, "1", 'Future Orders'!$C29, "A", 'Future Orders'!$B29, "1")</f>
        <v>0</v>
      </c>
      <c r="L29" s="157">
        <f>SUMIFS('Future Orders'!$F29, 'Future Orders'!$D29, "1", 'Future Orders'!$C29, "B", 'Future Orders'!$B29, "1")</f>
        <v>0</v>
      </c>
      <c r="M29" s="157">
        <f>SUMIFS('Future Orders'!$I29, 'Future Orders'!$D29, "1", 'Future Orders'!$C29, "B", 'Future Orders'!$B29, "1")</f>
        <v>0</v>
      </c>
      <c r="N29" s="159">
        <f>SUMIFS('Future Orders'!$F29, 'Future Orders'!$D29, "1", 'Future Orders'!$C29, "A", 'Future Orders'!$B29, "2")</f>
        <v>0</v>
      </c>
      <c r="O29" s="157">
        <f>SUMIFS('Future Orders'!$I29, 'Future Orders'!$D29, "1", 'Future Orders'!$C29, "A", 'Future Orders'!$B29, "2")</f>
        <v>0</v>
      </c>
      <c r="P29" s="157">
        <f>SUMIFS('Future Orders'!$E29, 'Future Orders'!$D29, "1", 'Future Orders'!$C29, "B", 'Future Orders'!$B29, "2")</f>
        <v>0</v>
      </c>
      <c r="Q29" s="157">
        <f>SUMIFS('Future Orders'!$I29, 'Future Orders'!$D29, "1", 'Future Orders'!$C29, "B", 'Future Orders'!$B29, "2")</f>
        <v>0</v>
      </c>
      <c r="R29" s="159">
        <f>SUMIFS('Future Orders'!$F29, 'Future Orders'!$D29, "2", 'Future Orders'!$C29, "A", 'Future Orders'!$B29, "1")</f>
        <v>0</v>
      </c>
      <c r="S29" s="157">
        <f>SUMIFS('Future Orders'!$I29, 'Future Orders'!$D29, "2", 'Future Orders'!$C29, "A", 'Future Orders'!$B29, "1")</f>
        <v>0</v>
      </c>
      <c r="T29" s="159">
        <f>SUMIFS('Future Orders'!$F29, 'Future Orders'!$D29, "2", 'Future Orders'!$C29, "B", 'Future Orders'!$B29, "1")</f>
        <v>0</v>
      </c>
      <c r="U29" s="157">
        <f>SUMIFS('Future Orders'!$I29, 'Future Orders'!$D29, "2", 'Future Orders'!$C29, "B", 'Future Orders'!$B29, "1")</f>
        <v>0</v>
      </c>
      <c r="V29" s="159">
        <f>SUMIFS('Future Orders'!$F29, 'Future Orders'!$D29, "2", 'Future Orders'!$C29, "A", 'Future Orders'!$B29, "2")</f>
        <v>8057.5</v>
      </c>
      <c r="W29" s="157">
        <f>SUMIFS('Future Orders'!$I29, 'Future Orders'!$D29, "2", 'Future Orders'!$C29, "A", 'Future Orders'!$B29, "2")</f>
        <v>9669</v>
      </c>
      <c r="X29" s="159">
        <f>SUMIFS('Future Orders'!$F29, 'Future Orders'!$D29, "2", 'Future Orders'!$C29, "B", 'Future Orders'!$B29, "2")</f>
        <v>0</v>
      </c>
      <c r="Y29" s="159">
        <f>SUMIFS('Future Orders'!$I29, 'Future Orders'!$D29, "2", 'Future Orders'!$C29, "B", 'Future Orders'!$B29, "2")</f>
        <v>0</v>
      </c>
      <c r="Z29" s="159">
        <f>SUMIFS('Future Orders'!$F29, 'Future Orders'!$D29, "3", 'Future Orders'!$C29, "A", 'Future Orders'!$B29, "1")</f>
        <v>0</v>
      </c>
      <c r="AA29" s="159">
        <f>SUMIFS('Future Orders'!$I29, 'Future Orders'!$D29, "3", 'Future Orders'!$C29, "A", 'Future Orders'!$B29, "1")</f>
        <v>0</v>
      </c>
      <c r="AB29" s="159">
        <f>SUMIFS('Future Orders'!$F29, 'Future Orders'!$D29, "3", 'Future Orders'!$C29, "B", 'Future Orders'!$B29, "1")</f>
        <v>0</v>
      </c>
      <c r="AC29" s="159">
        <f>SUMIFS('Future Orders'!$I29, 'Future Orders'!$D29, "3", 'Future Orders'!$C29, "B", 'Future Orders'!$B29, "1")</f>
        <v>0</v>
      </c>
      <c r="AD29" s="159">
        <f>SUMIFS('Future Orders'!$F29, 'Future Orders'!$D29, "3", 'Future Orders'!$C29, "A", 'Future Orders'!$B29, "2")</f>
        <v>0</v>
      </c>
      <c r="AE29" s="159">
        <f>SUMIFS('Future Orders'!$I29, 'Future Orders'!$D29, "3", 'Future Orders'!$C29, "A", 'Future Orders'!$B29, "2")</f>
        <v>0</v>
      </c>
      <c r="AF29" s="159">
        <f>SUMIFS('Future Orders'!$F29, 'Future Orders'!$D29, "3", 'Future Orders'!$C29, "B", 'Future Orders'!$B29, "2")</f>
        <v>0</v>
      </c>
      <c r="AG29" s="157">
        <f>SUMIFS('Future Orders'!$I29, 'Future Orders'!$D29, "3", 'Future Orders'!$C29, "B", 'Future Orders'!$B29, "2")</f>
        <v>0</v>
      </c>
      <c r="AH29" s="157">
        <f>SUMIFS('Future Orders'!$F29, 'Future Orders'!$D29, "4", 'Future Orders'!$C29, "A", 'Future Orders'!$B29, "1")</f>
        <v>0</v>
      </c>
      <c r="AI29" s="157">
        <f>SUMIFS('Future Orders'!$I29, 'Future Orders'!$D29, "4", 'Future Orders'!$C29, "A", 'Future Orders'!$B29, "1")</f>
        <v>0</v>
      </c>
      <c r="AJ29" s="157">
        <f>SUMIFS('Future Orders'!$F29, 'Future Orders'!$D29, "4", 'Future Orders'!$C29, "B", 'Future Orders'!$B29, "1")</f>
        <v>0</v>
      </c>
      <c r="AK29" s="157">
        <f>SUMIFS('Future Orders'!$I29, 'Future Orders'!$D29, "4", 'Future Orders'!$C29, "B", 'Future Orders'!$B29, "1")</f>
        <v>0</v>
      </c>
      <c r="AL29" s="157">
        <f>SUMIFS('Future Orders'!$F29, 'Future Orders'!$D29, "4", 'Future Orders'!$C29, "A", 'Future Orders'!$B29, "2")</f>
        <v>0</v>
      </c>
      <c r="AM29" s="157">
        <f>SUMIFS('Future Orders'!$I29, 'Future Orders'!$D29, "4", 'Future Orders'!$C29, "A", 'Future Orders'!$B29, "2")</f>
        <v>0</v>
      </c>
      <c r="AN29" s="171">
        <f>SUMIFS('Future Orders'!$F29, 'Future Orders'!$D29, "4", 'Future Orders'!$C29, "B", 'Future Orders'!$B29, "2")</f>
        <v>0</v>
      </c>
      <c r="AO29" s="171">
        <f>SUMIFS('Future Orders'!$I29, 'Future Orders'!$D29, "4", 'Future Orders'!$C29, "B", 'Future Orders'!$B29, "2")</f>
        <v>0</v>
      </c>
      <c r="AP29" s="171">
        <f>SUMIFS('Future Orders'!$H29, 'Future Orders'!$C29, "A", 'Future Orders'!$B29, "1")</f>
        <v>0</v>
      </c>
      <c r="AQ29" s="171">
        <f>SUMIFS('Future Orders'!$I29, 'Future Orders'!$C29, "B", 'Future Orders'!$B29, "1")</f>
        <v>0</v>
      </c>
      <c r="AR29" s="171">
        <f>SUMIFS('Future Orders'!$H29, 'Future Orders'!$C29, "A", 'Future Orders'!$B29, "2")</f>
        <v>8790</v>
      </c>
      <c r="AS29" s="171">
        <f>SUMIFS('Future Orders'!$I29, 'Future Orders'!$C29, "B", 'Future Orders'!$B29, "2")</f>
        <v>0</v>
      </c>
      <c r="AU29" s="146"/>
      <c r="AV29" s="161">
        <v>42044.0</v>
      </c>
      <c r="AW29" s="162"/>
      <c r="AX29" s="163">
        <f t="shared" si="1"/>
        <v>42044</v>
      </c>
      <c r="AY29" s="164">
        <f t="shared" si="2"/>
        <v>25257</v>
      </c>
      <c r="AZ29" s="164">
        <f t="shared" si="3"/>
        <v>12615</v>
      </c>
      <c r="BA29" s="164">
        <f t="shared" si="4"/>
        <v>12642</v>
      </c>
      <c r="BB29" s="164">
        <f t="shared" si="5"/>
        <v>20414</v>
      </c>
      <c r="BC29" s="164">
        <f t="shared" si="6"/>
        <v>4843</v>
      </c>
      <c r="BD29" s="165"/>
      <c r="BE29" s="166">
        <f t="shared" si="7"/>
        <v>81022.37</v>
      </c>
      <c r="BF29" s="166">
        <f t="shared" si="8"/>
        <v>39000.94</v>
      </c>
      <c r="BG29" s="166">
        <f t="shared" si="9"/>
        <v>42021.43</v>
      </c>
      <c r="BH29" s="167"/>
      <c r="BI29" s="166">
        <f t="shared" si="10"/>
        <v>11814.44</v>
      </c>
      <c r="BJ29" s="166">
        <f t="shared" si="11"/>
        <v>7337.88</v>
      </c>
      <c r="BK29" s="166">
        <f t="shared" si="12"/>
        <v>0</v>
      </c>
      <c r="BL29" s="166">
        <f t="shared" si="13"/>
        <v>11814.44</v>
      </c>
      <c r="BM29" s="166">
        <f>SUM('Future Orders'!$BI29:$BL29)</f>
        <v>30966.76</v>
      </c>
      <c r="BN29" s="167"/>
      <c r="BO29" s="166">
        <f t="shared" si="14"/>
        <v>0</v>
      </c>
      <c r="BP29" s="166">
        <f t="shared" si="15"/>
        <v>0</v>
      </c>
      <c r="BQ29" s="166">
        <f t="shared" si="16"/>
        <v>19848.62</v>
      </c>
      <c r="BR29" s="166">
        <f t="shared" si="17"/>
        <v>0</v>
      </c>
      <c r="BS29" s="166">
        <f>SUM('Future Orders'!$BO29:$BR29)</f>
        <v>19848.62</v>
      </c>
      <c r="BT29" s="167"/>
      <c r="BU29" s="166">
        <f t="shared" si="18"/>
        <v>9876.02</v>
      </c>
      <c r="BV29" s="166">
        <f t="shared" si="19"/>
        <v>7777.44</v>
      </c>
      <c r="BW29" s="166">
        <f t="shared" si="20"/>
        <v>0</v>
      </c>
      <c r="BX29" s="166">
        <f t="shared" si="21"/>
        <v>9876.02</v>
      </c>
      <c r="BY29" s="166">
        <f>SUM('Future Orders'!$BU29:$BX29)</f>
        <v>27529.48</v>
      </c>
      <c r="BZ29" s="167"/>
      <c r="CA29" s="166">
        <f t="shared" si="22"/>
        <v>0</v>
      </c>
      <c r="CB29" s="166">
        <f t="shared" si="23"/>
        <v>0</v>
      </c>
      <c r="CC29" s="166">
        <f t="shared" si="24"/>
        <v>24367.97</v>
      </c>
      <c r="CD29" s="166">
        <f t="shared" si="25"/>
        <v>0</v>
      </c>
      <c r="CE29" s="166">
        <f>SUM('Future Orders'!$CA29:$CD29)</f>
        <v>24367.97</v>
      </c>
      <c r="CF29" s="167"/>
      <c r="CG29" s="166">
        <f>SUM('Future Orders'!$BI29:$BJ29)
+ SUM('Future Orders'!$BU29:$BV29)</f>
        <v>36805.78</v>
      </c>
      <c r="CH29" s="166">
        <f>SUM('Future Orders'!$BQ29)
+ SUM('Future Orders'!$BX29)</f>
        <v>29724.64</v>
      </c>
      <c r="CI29" s="166">
        <f>SUM('Future Orders'!$BI29:$BJ29)
+ SUM('Future Orders'!$BU29:$BV29)
+ SUM(('Future Orders'!$BI29) * 2)</f>
        <v>60434.66</v>
      </c>
      <c r="CJ29" s="166">
        <f>SUM(('Future Orders'!$BQ29) * 2) + SUM('Future Orders'!$BX29)</f>
        <v>49573.26</v>
      </c>
      <c r="CK29" s="167"/>
      <c r="CL29" s="168">
        <f t="shared" si="26"/>
        <v>3</v>
      </c>
      <c r="CM29" s="168">
        <f t="shared" si="27"/>
        <v>3</v>
      </c>
      <c r="CN29" s="168">
        <f t="shared" si="28"/>
        <v>4</v>
      </c>
      <c r="CO29" s="168">
        <f t="shared" si="29"/>
        <v>2</v>
      </c>
      <c r="CP29" s="168">
        <f t="shared" si="30"/>
        <v>2</v>
      </c>
      <c r="CQ29" s="169">
        <f t="shared" si="31"/>
        <v>2</v>
      </c>
      <c r="CR29" s="169">
        <f t="shared" si="32"/>
        <v>2</v>
      </c>
      <c r="CS29" s="170"/>
    </row>
    <row r="30" ht="15.75" customHeight="1">
      <c r="A30" s="151">
        <v>41883.0</v>
      </c>
      <c r="B30" s="152">
        <v>1.0</v>
      </c>
      <c r="C30" s="152" t="s">
        <v>46</v>
      </c>
      <c r="D30" s="152">
        <v>3.0</v>
      </c>
      <c r="E30" s="153">
        <v>1946.0</v>
      </c>
      <c r="F30" s="153">
        <f>SUM(('Future Orders'!$E30) * (1.1))</f>
        <v>2140.6</v>
      </c>
      <c r="G30" s="154">
        <v>8.3</v>
      </c>
      <c r="H30" s="155">
        <v>16151.800000000001</v>
      </c>
      <c r="I30" s="155">
        <f>SUM(('Future Orders'!$H30) * (1.1))</f>
        <v>17766.98</v>
      </c>
      <c r="J30" s="159">
        <f>SUMIFS('Future Orders'!$F30, 'Future Orders'!$D30, "1", 'Future Orders'!$C30, "A", 'Future Orders'!$B30, "1")</f>
        <v>0</v>
      </c>
      <c r="K30" s="157">
        <f>SUMIFS('Future Orders'!$I30, 'Future Orders'!$D30, "1", 'Future Orders'!$C30, "A", 'Future Orders'!$B30, "1")</f>
        <v>0</v>
      </c>
      <c r="L30" s="157">
        <f>SUMIFS('Future Orders'!$F30, 'Future Orders'!$D30, "1", 'Future Orders'!$C30, "B", 'Future Orders'!$B30, "1")</f>
        <v>0</v>
      </c>
      <c r="M30" s="157">
        <f>SUMIFS('Future Orders'!$I30, 'Future Orders'!$D30, "1", 'Future Orders'!$C30, "B", 'Future Orders'!$B30, "1")</f>
        <v>0</v>
      </c>
      <c r="N30" s="159">
        <f>SUMIFS('Future Orders'!$F30, 'Future Orders'!$D30, "1", 'Future Orders'!$C30, "A", 'Future Orders'!$B30, "2")</f>
        <v>0</v>
      </c>
      <c r="O30" s="157">
        <f>SUMIFS('Future Orders'!$I30, 'Future Orders'!$D30, "1", 'Future Orders'!$C30, "A", 'Future Orders'!$B30, "2")</f>
        <v>0</v>
      </c>
      <c r="P30" s="157">
        <f>SUMIFS('Future Orders'!$E30, 'Future Orders'!$D30, "1", 'Future Orders'!$C30, "B", 'Future Orders'!$B30, "2")</f>
        <v>0</v>
      </c>
      <c r="Q30" s="157">
        <f>SUMIFS('Future Orders'!$I30, 'Future Orders'!$D30, "1", 'Future Orders'!$C30, "B", 'Future Orders'!$B30, "2")</f>
        <v>0</v>
      </c>
      <c r="R30" s="159">
        <f>SUMIFS('Future Orders'!$F30, 'Future Orders'!$D30, "2", 'Future Orders'!$C30, "A", 'Future Orders'!$B30, "1")</f>
        <v>0</v>
      </c>
      <c r="S30" s="157">
        <f>SUMIFS('Future Orders'!$I30, 'Future Orders'!$D30, "2", 'Future Orders'!$C30, "A", 'Future Orders'!$B30, "1")</f>
        <v>0</v>
      </c>
      <c r="T30" s="159">
        <f>SUMIFS('Future Orders'!$F30, 'Future Orders'!$D30, "2", 'Future Orders'!$C30, "B", 'Future Orders'!$B30, "1")</f>
        <v>0</v>
      </c>
      <c r="U30" s="157">
        <f>SUMIFS('Future Orders'!$I30, 'Future Orders'!$D30, "2", 'Future Orders'!$C30, "B", 'Future Orders'!$B30, "1")</f>
        <v>0</v>
      </c>
      <c r="V30" s="159">
        <f>SUMIFS('Future Orders'!$F30, 'Future Orders'!$D30, "2", 'Future Orders'!$C30, "A", 'Future Orders'!$B30, "2")</f>
        <v>0</v>
      </c>
      <c r="W30" s="157">
        <f>SUMIFS('Future Orders'!$I30, 'Future Orders'!$D30, "2", 'Future Orders'!$C30, "A", 'Future Orders'!$B30, "2")</f>
        <v>0</v>
      </c>
      <c r="X30" s="159">
        <f>SUMIFS('Future Orders'!$F30, 'Future Orders'!$D30, "2", 'Future Orders'!$C30, "B", 'Future Orders'!$B30, "2")</f>
        <v>0</v>
      </c>
      <c r="Y30" s="159">
        <f>SUMIFS('Future Orders'!$I30, 'Future Orders'!$D30, "2", 'Future Orders'!$C30, "B", 'Future Orders'!$B30, "2")</f>
        <v>0</v>
      </c>
      <c r="Z30" s="159">
        <f>SUMIFS('Future Orders'!$F30, 'Future Orders'!$D30, "3", 'Future Orders'!$C30, "A", 'Future Orders'!$B30, "1")</f>
        <v>0</v>
      </c>
      <c r="AA30" s="159">
        <f>SUMIFS('Future Orders'!$I30, 'Future Orders'!$D30, "3", 'Future Orders'!$C30, "A", 'Future Orders'!$B30, "1")</f>
        <v>0</v>
      </c>
      <c r="AB30" s="159">
        <f>SUMIFS('Future Orders'!$F30, 'Future Orders'!$D30, "3", 'Future Orders'!$C30, "B", 'Future Orders'!$B30, "1")</f>
        <v>2140.6</v>
      </c>
      <c r="AC30" s="159">
        <f>SUMIFS('Future Orders'!$I30, 'Future Orders'!$D30, "3", 'Future Orders'!$C30, "B", 'Future Orders'!$B30, "1")</f>
        <v>17766.98</v>
      </c>
      <c r="AD30" s="159">
        <f>SUMIFS('Future Orders'!$F30, 'Future Orders'!$D30, "3", 'Future Orders'!$C30, "A", 'Future Orders'!$B30, "2")</f>
        <v>0</v>
      </c>
      <c r="AE30" s="159">
        <f>SUMIFS('Future Orders'!$I30, 'Future Orders'!$D30, "3", 'Future Orders'!$C30, "A", 'Future Orders'!$B30, "2")</f>
        <v>0</v>
      </c>
      <c r="AF30" s="159">
        <f>SUMIFS('Future Orders'!$F30, 'Future Orders'!$D30, "3", 'Future Orders'!$C30, "B", 'Future Orders'!$B30, "2")</f>
        <v>0</v>
      </c>
      <c r="AG30" s="157">
        <f>SUMIFS('Future Orders'!$I30, 'Future Orders'!$D30, "3", 'Future Orders'!$C30, "B", 'Future Orders'!$B30, "2")</f>
        <v>0</v>
      </c>
      <c r="AH30" s="157">
        <f>SUMIFS('Future Orders'!$F30, 'Future Orders'!$D30, "4", 'Future Orders'!$C30, "A", 'Future Orders'!$B30, "1")</f>
        <v>0</v>
      </c>
      <c r="AI30" s="157">
        <f>SUMIFS('Future Orders'!$I30, 'Future Orders'!$D30, "4", 'Future Orders'!$C30, "A", 'Future Orders'!$B30, "1")</f>
        <v>0</v>
      </c>
      <c r="AJ30" s="157">
        <f>SUMIFS('Future Orders'!$F30, 'Future Orders'!$D30, "4", 'Future Orders'!$C30, "B", 'Future Orders'!$B30, "1")</f>
        <v>0</v>
      </c>
      <c r="AK30" s="157">
        <f>SUMIFS('Future Orders'!$I30, 'Future Orders'!$D30, "4", 'Future Orders'!$C30, "B", 'Future Orders'!$B30, "1")</f>
        <v>0</v>
      </c>
      <c r="AL30" s="157">
        <f>SUMIFS('Future Orders'!$F30, 'Future Orders'!$D30, "4", 'Future Orders'!$C30, "A", 'Future Orders'!$B30, "2")</f>
        <v>0</v>
      </c>
      <c r="AM30" s="157">
        <f>SUMIFS('Future Orders'!$I30, 'Future Orders'!$D30, "4", 'Future Orders'!$C30, "A", 'Future Orders'!$B30, "2")</f>
        <v>0</v>
      </c>
      <c r="AN30" s="171">
        <f>SUMIFS('Future Orders'!$F30, 'Future Orders'!$D30, "4", 'Future Orders'!$C30, "B", 'Future Orders'!$B30, "2")</f>
        <v>0</v>
      </c>
      <c r="AO30" s="171">
        <f>SUMIFS('Future Orders'!$I30, 'Future Orders'!$D30, "4", 'Future Orders'!$C30, "B", 'Future Orders'!$B30, "2")</f>
        <v>0</v>
      </c>
      <c r="AP30" s="171">
        <f>SUMIFS('Future Orders'!$H30, 'Future Orders'!$C30, "A", 'Future Orders'!$B30, "1")</f>
        <v>0</v>
      </c>
      <c r="AQ30" s="171">
        <f>SUMIFS('Future Orders'!$I30, 'Future Orders'!$C30, "B", 'Future Orders'!$B30, "1")</f>
        <v>17766.98</v>
      </c>
      <c r="AR30" s="171">
        <f>SUMIFS('Future Orders'!$H30, 'Future Orders'!$C30, "A", 'Future Orders'!$B30, "2")</f>
        <v>0</v>
      </c>
      <c r="AS30" s="171">
        <f>SUMIFS('Future Orders'!$I30, 'Future Orders'!$C30, "B", 'Future Orders'!$B30, "2")</f>
        <v>0</v>
      </c>
      <c r="AT30" s="145"/>
      <c r="AU30" s="146"/>
      <c r="AV30" s="161">
        <v>42051.0</v>
      </c>
      <c r="AW30" s="162"/>
      <c r="AX30" s="163">
        <f t="shared" si="1"/>
        <v>42051</v>
      </c>
      <c r="AY30" s="164">
        <f t="shared" si="2"/>
        <v>22377</v>
      </c>
      <c r="AZ30" s="164">
        <f t="shared" si="3"/>
        <v>11391</v>
      </c>
      <c r="BA30" s="164">
        <f t="shared" si="4"/>
        <v>10986</v>
      </c>
      <c r="BB30" s="164">
        <f t="shared" si="5"/>
        <v>16833</v>
      </c>
      <c r="BC30" s="164">
        <f t="shared" si="6"/>
        <v>5544</v>
      </c>
      <c r="BD30" s="165"/>
      <c r="BE30" s="166">
        <f t="shared" si="7"/>
        <v>81074.18</v>
      </c>
      <c r="BF30" s="166">
        <f t="shared" si="8"/>
        <v>37804.8</v>
      </c>
      <c r="BG30" s="166">
        <f t="shared" si="9"/>
        <v>43269.38</v>
      </c>
      <c r="BH30" s="167"/>
      <c r="BI30" s="166">
        <f t="shared" si="10"/>
        <v>9919.58</v>
      </c>
      <c r="BJ30" s="166">
        <f t="shared" si="11"/>
        <v>6539.28</v>
      </c>
      <c r="BK30" s="166">
        <f t="shared" si="12"/>
        <v>0</v>
      </c>
      <c r="BL30" s="166">
        <f t="shared" si="13"/>
        <v>9919.58</v>
      </c>
      <c r="BM30" s="166">
        <f>SUM('Future Orders'!$BI30:$BL30)</f>
        <v>26378.44</v>
      </c>
      <c r="BN30" s="167"/>
      <c r="BO30" s="166">
        <f t="shared" si="14"/>
        <v>0</v>
      </c>
      <c r="BP30" s="166">
        <f t="shared" si="15"/>
        <v>0</v>
      </c>
      <c r="BQ30" s="166">
        <f t="shared" si="16"/>
        <v>21345.94</v>
      </c>
      <c r="BR30" s="166">
        <f t="shared" si="17"/>
        <v>0</v>
      </c>
      <c r="BS30" s="166">
        <f>SUM('Future Orders'!$BO30:$BR30)</f>
        <v>21345.94</v>
      </c>
      <c r="BT30" s="167"/>
      <c r="BU30" s="166">
        <f t="shared" si="18"/>
        <v>8203.8</v>
      </c>
      <c r="BV30" s="166">
        <f t="shared" si="19"/>
        <v>5794.8</v>
      </c>
      <c r="BW30" s="166">
        <f t="shared" si="20"/>
        <v>0</v>
      </c>
      <c r="BX30" s="166">
        <f t="shared" si="21"/>
        <v>8203.8</v>
      </c>
      <c r="BY30" s="166">
        <f>SUM('Future Orders'!$BU30:$BX30)</f>
        <v>22202.4</v>
      </c>
      <c r="BZ30" s="167"/>
      <c r="CA30" s="166">
        <f t="shared" si="22"/>
        <v>0</v>
      </c>
      <c r="CB30" s="166">
        <f t="shared" si="23"/>
        <v>0</v>
      </c>
      <c r="CC30" s="166">
        <f t="shared" si="24"/>
        <v>29270.78</v>
      </c>
      <c r="CD30" s="166">
        <f t="shared" si="25"/>
        <v>0</v>
      </c>
      <c r="CE30" s="166">
        <f>SUM('Future Orders'!$CA30:$CD30)</f>
        <v>29270.78</v>
      </c>
      <c r="CF30" s="167"/>
      <c r="CG30" s="166">
        <f>SUM('Future Orders'!$BI30:$BJ30)
+ SUM('Future Orders'!$BU30:$BV30)</f>
        <v>30457.46</v>
      </c>
      <c r="CH30" s="166">
        <f>SUM('Future Orders'!$BQ30)
+ SUM('Future Orders'!$BX30)</f>
        <v>29549.74</v>
      </c>
      <c r="CI30" s="166">
        <f>SUM('Future Orders'!$BI30:$BJ30)
+ SUM('Future Orders'!$BU30:$BV30)
+ SUM(('Future Orders'!$BI30) * 2)</f>
        <v>50296.62</v>
      </c>
      <c r="CJ30" s="166">
        <f>SUM(('Future Orders'!$BQ30) * 2) + SUM('Future Orders'!$BX30)</f>
        <v>50895.68</v>
      </c>
      <c r="CK30" s="167"/>
      <c r="CL30" s="168">
        <f t="shared" si="26"/>
        <v>3</v>
      </c>
      <c r="CM30" s="168">
        <f t="shared" si="27"/>
        <v>3</v>
      </c>
      <c r="CN30" s="168">
        <f t="shared" si="28"/>
        <v>4</v>
      </c>
      <c r="CO30" s="168">
        <f t="shared" si="29"/>
        <v>2</v>
      </c>
      <c r="CP30" s="168">
        <f t="shared" si="30"/>
        <v>2</v>
      </c>
      <c r="CQ30" s="169">
        <f t="shared" si="31"/>
        <v>2</v>
      </c>
      <c r="CR30" s="169">
        <f t="shared" si="32"/>
        <v>2</v>
      </c>
      <c r="CS30" s="170"/>
    </row>
    <row r="31" ht="15.75" customHeight="1">
      <c r="A31" s="151">
        <v>41883.0</v>
      </c>
      <c r="B31" s="152">
        <v>2.0</v>
      </c>
      <c r="C31" s="152" t="s">
        <v>46</v>
      </c>
      <c r="D31" s="152">
        <v>3.0</v>
      </c>
      <c r="E31" s="153">
        <v>2027.0</v>
      </c>
      <c r="F31" s="153">
        <f>SUM(('Future Orders'!$E31) * (1.1))</f>
        <v>2229.7</v>
      </c>
      <c r="G31" s="154">
        <v>8.3</v>
      </c>
      <c r="H31" s="155">
        <v>16824.100000000002</v>
      </c>
      <c r="I31" s="155">
        <f>SUM(('Future Orders'!$H31) * (1.1))</f>
        <v>18506.51</v>
      </c>
      <c r="J31" s="159">
        <f>SUMIFS('Future Orders'!$F31, 'Future Orders'!$D31, "1", 'Future Orders'!$C31, "A", 'Future Orders'!$B31, "1")</f>
        <v>0</v>
      </c>
      <c r="K31" s="157">
        <f>SUMIFS('Future Orders'!$I31, 'Future Orders'!$D31, "1", 'Future Orders'!$C31, "A", 'Future Orders'!$B31, "1")</f>
        <v>0</v>
      </c>
      <c r="L31" s="157">
        <f>SUMIFS('Future Orders'!$F31, 'Future Orders'!$D31, "1", 'Future Orders'!$C31, "B", 'Future Orders'!$B31, "1")</f>
        <v>0</v>
      </c>
      <c r="M31" s="157">
        <f>SUMIFS('Future Orders'!$I31, 'Future Orders'!$D31, "1", 'Future Orders'!$C31, "B", 'Future Orders'!$B31, "1")</f>
        <v>0</v>
      </c>
      <c r="N31" s="159">
        <f>SUMIFS('Future Orders'!$F31, 'Future Orders'!$D31, "1", 'Future Orders'!$C31, "A", 'Future Orders'!$B31, "2")</f>
        <v>0</v>
      </c>
      <c r="O31" s="157">
        <f>SUMIFS('Future Orders'!$I31, 'Future Orders'!$D31, "1", 'Future Orders'!$C31, "A", 'Future Orders'!$B31, "2")</f>
        <v>0</v>
      </c>
      <c r="P31" s="157">
        <f>SUMIFS('Future Orders'!$E31, 'Future Orders'!$D31, "1", 'Future Orders'!$C31, "B", 'Future Orders'!$B31, "2")</f>
        <v>0</v>
      </c>
      <c r="Q31" s="157">
        <f>SUMIFS('Future Orders'!$I31, 'Future Orders'!$D31, "1", 'Future Orders'!$C31, "B", 'Future Orders'!$B31, "2")</f>
        <v>0</v>
      </c>
      <c r="R31" s="159">
        <f>SUMIFS('Future Orders'!$F31, 'Future Orders'!$D31, "2", 'Future Orders'!$C31, "A", 'Future Orders'!$B31, "1")</f>
        <v>0</v>
      </c>
      <c r="S31" s="157">
        <f>SUMIFS('Future Orders'!$I31, 'Future Orders'!$D31, "2", 'Future Orders'!$C31, "A", 'Future Orders'!$B31, "1")</f>
        <v>0</v>
      </c>
      <c r="T31" s="159">
        <f>SUMIFS('Future Orders'!$F31, 'Future Orders'!$D31, "2", 'Future Orders'!$C31, "B", 'Future Orders'!$B31, "1")</f>
        <v>0</v>
      </c>
      <c r="U31" s="157">
        <f>SUMIFS('Future Orders'!$I31, 'Future Orders'!$D31, "2", 'Future Orders'!$C31, "B", 'Future Orders'!$B31, "1")</f>
        <v>0</v>
      </c>
      <c r="V31" s="159">
        <f>SUMIFS('Future Orders'!$F31, 'Future Orders'!$D31, "2", 'Future Orders'!$C31, "A", 'Future Orders'!$B31, "2")</f>
        <v>0</v>
      </c>
      <c r="W31" s="157">
        <f>SUMIFS('Future Orders'!$I31, 'Future Orders'!$D31, "2", 'Future Orders'!$C31, "A", 'Future Orders'!$B31, "2")</f>
        <v>0</v>
      </c>
      <c r="X31" s="159">
        <f>SUMIFS('Future Orders'!$F31, 'Future Orders'!$D31, "2", 'Future Orders'!$C31, "B", 'Future Orders'!$B31, "2")</f>
        <v>0</v>
      </c>
      <c r="Y31" s="159">
        <f>SUMIFS('Future Orders'!$I31, 'Future Orders'!$D31, "2", 'Future Orders'!$C31, "B", 'Future Orders'!$B31, "2")</f>
        <v>0</v>
      </c>
      <c r="Z31" s="159">
        <f>SUMIFS('Future Orders'!$F31, 'Future Orders'!$D31, "3", 'Future Orders'!$C31, "A", 'Future Orders'!$B31, "1")</f>
        <v>0</v>
      </c>
      <c r="AA31" s="159">
        <f>SUMIFS('Future Orders'!$I31, 'Future Orders'!$D31, "3", 'Future Orders'!$C31, "A", 'Future Orders'!$B31, "1")</f>
        <v>0</v>
      </c>
      <c r="AB31" s="159">
        <f>SUMIFS('Future Orders'!$F31, 'Future Orders'!$D31, "3", 'Future Orders'!$C31, "B", 'Future Orders'!$B31, "1")</f>
        <v>0</v>
      </c>
      <c r="AC31" s="159">
        <f>SUMIFS('Future Orders'!$I31, 'Future Orders'!$D31, "3", 'Future Orders'!$C31, "B", 'Future Orders'!$B31, "1")</f>
        <v>0</v>
      </c>
      <c r="AD31" s="159">
        <f>SUMIFS('Future Orders'!$F31, 'Future Orders'!$D31, "3", 'Future Orders'!$C31, "A", 'Future Orders'!$B31, "2")</f>
        <v>0</v>
      </c>
      <c r="AE31" s="159">
        <f>SUMIFS('Future Orders'!$I31, 'Future Orders'!$D31, "3", 'Future Orders'!$C31, "A", 'Future Orders'!$B31, "2")</f>
        <v>0</v>
      </c>
      <c r="AF31" s="159">
        <f>SUMIFS('Future Orders'!$F31, 'Future Orders'!$D31, "3", 'Future Orders'!$C31, "B", 'Future Orders'!$B31, "2")</f>
        <v>2229.7</v>
      </c>
      <c r="AG31" s="157">
        <f>SUMIFS('Future Orders'!$I31, 'Future Orders'!$D31, "3", 'Future Orders'!$C31, "B", 'Future Orders'!$B31, "2")</f>
        <v>18506.51</v>
      </c>
      <c r="AH31" s="157">
        <f>SUMIFS('Future Orders'!$F31, 'Future Orders'!$D31, "4", 'Future Orders'!$C31, "A", 'Future Orders'!$B31, "1")</f>
        <v>0</v>
      </c>
      <c r="AI31" s="157">
        <f>SUMIFS('Future Orders'!$I31, 'Future Orders'!$D31, "4", 'Future Orders'!$C31, "A", 'Future Orders'!$B31, "1")</f>
        <v>0</v>
      </c>
      <c r="AJ31" s="157">
        <f>SUMIFS('Future Orders'!$F31, 'Future Orders'!$D31, "4", 'Future Orders'!$C31, "B", 'Future Orders'!$B31, "1")</f>
        <v>0</v>
      </c>
      <c r="AK31" s="157">
        <f>SUMIFS('Future Orders'!$I31, 'Future Orders'!$D31, "4", 'Future Orders'!$C31, "B", 'Future Orders'!$B31, "1")</f>
        <v>0</v>
      </c>
      <c r="AL31" s="157">
        <f>SUMIFS('Future Orders'!$F31, 'Future Orders'!$D31, "4", 'Future Orders'!$C31, "A", 'Future Orders'!$B31, "2")</f>
        <v>0</v>
      </c>
      <c r="AM31" s="157">
        <f>SUMIFS('Future Orders'!$I31, 'Future Orders'!$D31, "4", 'Future Orders'!$C31, "A", 'Future Orders'!$B31, "2")</f>
        <v>0</v>
      </c>
      <c r="AN31" s="171">
        <f>SUMIFS('Future Orders'!$F31, 'Future Orders'!$D31, "4", 'Future Orders'!$C31, "B", 'Future Orders'!$B31, "2")</f>
        <v>0</v>
      </c>
      <c r="AO31" s="171">
        <f>SUMIFS('Future Orders'!$I31, 'Future Orders'!$D31, "4", 'Future Orders'!$C31, "B", 'Future Orders'!$B31, "2")</f>
        <v>0</v>
      </c>
      <c r="AP31" s="171">
        <f>SUMIFS('Future Orders'!$H31, 'Future Orders'!$C31, "A", 'Future Orders'!$B31, "1")</f>
        <v>0</v>
      </c>
      <c r="AQ31" s="171">
        <f>SUMIFS('Future Orders'!$I31, 'Future Orders'!$C31, "B", 'Future Orders'!$B31, "1")</f>
        <v>0</v>
      </c>
      <c r="AR31" s="171">
        <f>SUMIFS('Future Orders'!$H31, 'Future Orders'!$C31, "A", 'Future Orders'!$B31, "2")</f>
        <v>0</v>
      </c>
      <c r="AS31" s="171">
        <f>SUMIFS('Future Orders'!$I31, 'Future Orders'!$C31, "B", 'Future Orders'!$B31, "2")</f>
        <v>18506.51</v>
      </c>
      <c r="AT31" s="145"/>
      <c r="AU31" s="146"/>
      <c r="AV31" s="161">
        <v>42058.0</v>
      </c>
      <c r="AW31" s="162"/>
      <c r="AX31" s="163">
        <f t="shared" si="1"/>
        <v>42058</v>
      </c>
      <c r="AY31" s="164">
        <f t="shared" si="2"/>
        <v>21206</v>
      </c>
      <c r="AZ31" s="164">
        <f t="shared" si="3"/>
        <v>11419</v>
      </c>
      <c r="BA31" s="164">
        <f t="shared" si="4"/>
        <v>9787</v>
      </c>
      <c r="BB31" s="164">
        <f t="shared" si="5"/>
        <v>16622</v>
      </c>
      <c r="BC31" s="164">
        <f t="shared" si="6"/>
        <v>4584</v>
      </c>
      <c r="BD31" s="165"/>
      <c r="BE31" s="166">
        <f t="shared" si="7"/>
        <v>70939.66</v>
      </c>
      <c r="BF31" s="166">
        <f t="shared" si="8"/>
        <v>35704.68</v>
      </c>
      <c r="BG31" s="166">
        <f t="shared" si="9"/>
        <v>35234.98</v>
      </c>
      <c r="BH31" s="167"/>
      <c r="BI31" s="166">
        <f t="shared" si="10"/>
        <v>9822.78</v>
      </c>
      <c r="BJ31" s="166">
        <f t="shared" si="11"/>
        <v>6982.8</v>
      </c>
      <c r="BK31" s="166">
        <f t="shared" si="12"/>
        <v>0</v>
      </c>
      <c r="BL31" s="166">
        <f t="shared" si="13"/>
        <v>9822.78</v>
      </c>
      <c r="BM31" s="166">
        <f>SUM('Future Orders'!$BI31:$BL31)</f>
        <v>26628.36</v>
      </c>
      <c r="BN31" s="167"/>
      <c r="BO31" s="166">
        <f t="shared" si="14"/>
        <v>0</v>
      </c>
      <c r="BP31" s="166">
        <f t="shared" si="15"/>
        <v>0</v>
      </c>
      <c r="BQ31" s="166">
        <f t="shared" si="16"/>
        <v>18899.1</v>
      </c>
      <c r="BR31" s="166">
        <f t="shared" si="17"/>
        <v>0</v>
      </c>
      <c r="BS31" s="166">
        <f>SUM('Future Orders'!$BO31:$BR31)</f>
        <v>18899.1</v>
      </c>
      <c r="BT31" s="167"/>
      <c r="BU31" s="166">
        <f t="shared" si="18"/>
        <v>5899.96</v>
      </c>
      <c r="BV31" s="166">
        <f t="shared" si="19"/>
        <v>6382.2</v>
      </c>
      <c r="BW31" s="166">
        <f t="shared" si="20"/>
        <v>0</v>
      </c>
      <c r="BX31" s="166">
        <f t="shared" si="21"/>
        <v>5899.96</v>
      </c>
      <c r="BY31" s="166">
        <f>SUM('Future Orders'!$BU31:$BX31)</f>
        <v>18182.12</v>
      </c>
      <c r="BZ31" s="167"/>
      <c r="CA31" s="166">
        <f t="shared" si="22"/>
        <v>0</v>
      </c>
      <c r="CB31" s="166">
        <f t="shared" si="23"/>
        <v>0</v>
      </c>
      <c r="CC31" s="166">
        <f t="shared" si="24"/>
        <v>22952.82</v>
      </c>
      <c r="CD31" s="166">
        <f t="shared" si="25"/>
        <v>0</v>
      </c>
      <c r="CE31" s="166">
        <f>SUM('Future Orders'!$CA31:$CD31)</f>
        <v>22952.82</v>
      </c>
      <c r="CF31" s="167"/>
      <c r="CG31" s="166">
        <f>SUM('Future Orders'!$BI31:$BJ31)
+ SUM('Future Orders'!$BU31:$BV31)</f>
        <v>29087.74</v>
      </c>
      <c r="CH31" s="166">
        <f>SUM('Future Orders'!$BQ31)
+ SUM('Future Orders'!$BX31)</f>
        <v>24799.06</v>
      </c>
      <c r="CI31" s="166">
        <f>SUM('Future Orders'!$BI31:$BJ31)
+ SUM('Future Orders'!$BU31:$BV31)
+ SUM(('Future Orders'!$BI31) * 2)</f>
        <v>48733.3</v>
      </c>
      <c r="CJ31" s="166">
        <f>SUM(('Future Orders'!$BQ31) * 2) + SUM('Future Orders'!$BX31)</f>
        <v>43698.16</v>
      </c>
      <c r="CK31" s="167"/>
      <c r="CL31" s="168">
        <f t="shared" si="26"/>
        <v>3</v>
      </c>
      <c r="CM31" s="168">
        <f t="shared" si="27"/>
        <v>3</v>
      </c>
      <c r="CN31" s="168">
        <f t="shared" si="28"/>
        <v>4</v>
      </c>
      <c r="CO31" s="168">
        <f t="shared" si="29"/>
        <v>2</v>
      </c>
      <c r="CP31" s="168">
        <f t="shared" si="30"/>
        <v>2</v>
      </c>
      <c r="CQ31" s="169">
        <f t="shared" si="31"/>
        <v>2</v>
      </c>
      <c r="CR31" s="169">
        <f t="shared" si="32"/>
        <v>2</v>
      </c>
      <c r="CS31" s="170"/>
    </row>
    <row r="32" ht="15.75" customHeight="1">
      <c r="A32" s="151">
        <v>41890.0</v>
      </c>
      <c r="B32" s="152">
        <v>1.0</v>
      </c>
      <c r="C32" s="152" t="s">
        <v>45</v>
      </c>
      <c r="D32" s="152">
        <v>1.0</v>
      </c>
      <c r="E32" s="153">
        <v>3288.0</v>
      </c>
      <c r="F32" s="153">
        <f>SUM(('Future Orders'!$E32) * (1.1))</f>
        <v>3616.8</v>
      </c>
      <c r="G32" s="154">
        <v>2.2</v>
      </c>
      <c r="H32" s="155">
        <v>7233.6</v>
      </c>
      <c r="I32" s="155">
        <f>SUM(('Future Orders'!$H32) * (1.1))</f>
        <v>7956.96</v>
      </c>
      <c r="J32" s="159">
        <f>SUMIFS('Future Orders'!$F32, 'Future Orders'!$D32, "1", 'Future Orders'!$C32, "A", 'Future Orders'!$B32, "1")</f>
        <v>3616.8</v>
      </c>
      <c r="K32" s="157">
        <f>SUMIFS('Future Orders'!$I32, 'Future Orders'!$D32, "1", 'Future Orders'!$C32, "A", 'Future Orders'!$B32, "1")</f>
        <v>7956.96</v>
      </c>
      <c r="L32" s="157">
        <f>SUMIFS('Future Orders'!$F32, 'Future Orders'!$D32, "1", 'Future Orders'!$C32, "B", 'Future Orders'!$B32, "1")</f>
        <v>0</v>
      </c>
      <c r="M32" s="157">
        <f>SUMIFS('Future Orders'!$I32, 'Future Orders'!$D32, "1", 'Future Orders'!$C32, "B", 'Future Orders'!$B32, "1")</f>
        <v>0</v>
      </c>
      <c r="N32" s="159">
        <f>SUMIFS('Future Orders'!$F32, 'Future Orders'!$D32, "1", 'Future Orders'!$C32, "A", 'Future Orders'!$B32, "2")</f>
        <v>0</v>
      </c>
      <c r="O32" s="157">
        <f>SUMIFS('Future Orders'!$I32, 'Future Orders'!$D32, "1", 'Future Orders'!$C32, "A", 'Future Orders'!$B32, "2")</f>
        <v>0</v>
      </c>
      <c r="P32" s="157">
        <f>SUMIFS('Future Orders'!$E32, 'Future Orders'!$D32, "1", 'Future Orders'!$C32, "B", 'Future Orders'!$B32, "2")</f>
        <v>0</v>
      </c>
      <c r="Q32" s="157">
        <f>SUMIFS('Future Orders'!$I32, 'Future Orders'!$D32, "1", 'Future Orders'!$C32, "B", 'Future Orders'!$B32, "2")</f>
        <v>0</v>
      </c>
      <c r="R32" s="159">
        <f>SUMIFS('Future Orders'!$F32, 'Future Orders'!$D32, "2", 'Future Orders'!$C32, "A", 'Future Orders'!$B32, "1")</f>
        <v>0</v>
      </c>
      <c r="S32" s="157">
        <f>SUMIFS('Future Orders'!$I32, 'Future Orders'!$D32, "2", 'Future Orders'!$C32, "A", 'Future Orders'!$B32, "1")</f>
        <v>0</v>
      </c>
      <c r="T32" s="159">
        <f>SUMIFS('Future Orders'!$F32, 'Future Orders'!$D32, "2", 'Future Orders'!$C32, "B", 'Future Orders'!$B32, "1")</f>
        <v>0</v>
      </c>
      <c r="U32" s="157">
        <f>SUMIFS('Future Orders'!$I32, 'Future Orders'!$D32, "2", 'Future Orders'!$C32, "B", 'Future Orders'!$B32, "1")</f>
        <v>0</v>
      </c>
      <c r="V32" s="159">
        <f>SUMIFS('Future Orders'!$F32, 'Future Orders'!$D32, "2", 'Future Orders'!$C32, "A", 'Future Orders'!$B32, "2")</f>
        <v>0</v>
      </c>
      <c r="W32" s="157">
        <f>SUMIFS('Future Orders'!$I32, 'Future Orders'!$D32, "2", 'Future Orders'!$C32, "A", 'Future Orders'!$B32, "2")</f>
        <v>0</v>
      </c>
      <c r="X32" s="159">
        <f>SUMIFS('Future Orders'!$F32, 'Future Orders'!$D32, "2", 'Future Orders'!$C32, "B", 'Future Orders'!$B32, "2")</f>
        <v>0</v>
      </c>
      <c r="Y32" s="159">
        <f>SUMIFS('Future Orders'!$I32, 'Future Orders'!$D32, "2", 'Future Orders'!$C32, "B", 'Future Orders'!$B32, "2")</f>
        <v>0</v>
      </c>
      <c r="Z32" s="159">
        <f>SUMIFS('Future Orders'!$F32, 'Future Orders'!$D32, "3", 'Future Orders'!$C32, "A", 'Future Orders'!$B32, "1")</f>
        <v>0</v>
      </c>
      <c r="AA32" s="159">
        <f>SUMIFS('Future Orders'!$I32, 'Future Orders'!$D32, "3", 'Future Orders'!$C32, "A", 'Future Orders'!$B32, "1")</f>
        <v>0</v>
      </c>
      <c r="AB32" s="159">
        <f>SUMIFS('Future Orders'!$F32, 'Future Orders'!$D32, "3", 'Future Orders'!$C32, "B", 'Future Orders'!$B32, "1")</f>
        <v>0</v>
      </c>
      <c r="AC32" s="159">
        <f>SUMIFS('Future Orders'!$I32, 'Future Orders'!$D32, "3", 'Future Orders'!$C32, "B", 'Future Orders'!$B32, "1")</f>
        <v>0</v>
      </c>
      <c r="AD32" s="159">
        <f>SUMIFS('Future Orders'!$F32, 'Future Orders'!$D32, "3", 'Future Orders'!$C32, "A", 'Future Orders'!$B32, "2")</f>
        <v>0</v>
      </c>
      <c r="AE32" s="159">
        <f>SUMIFS('Future Orders'!$I32, 'Future Orders'!$D32, "3", 'Future Orders'!$C32, "A", 'Future Orders'!$B32, "2")</f>
        <v>0</v>
      </c>
      <c r="AF32" s="159">
        <f>SUMIFS('Future Orders'!$F32, 'Future Orders'!$D32, "3", 'Future Orders'!$C32, "B", 'Future Orders'!$B32, "2")</f>
        <v>0</v>
      </c>
      <c r="AG32" s="157">
        <f>SUMIFS('Future Orders'!$I32, 'Future Orders'!$D32, "3", 'Future Orders'!$C32, "B", 'Future Orders'!$B32, "2")</f>
        <v>0</v>
      </c>
      <c r="AH32" s="157">
        <f>SUMIFS('Future Orders'!$F32, 'Future Orders'!$D32, "4", 'Future Orders'!$C32, "A", 'Future Orders'!$B32, "1")</f>
        <v>0</v>
      </c>
      <c r="AI32" s="157">
        <f>SUMIFS('Future Orders'!$I32, 'Future Orders'!$D32, "4", 'Future Orders'!$C32, "A", 'Future Orders'!$B32, "1")</f>
        <v>0</v>
      </c>
      <c r="AJ32" s="157">
        <f>SUMIFS('Future Orders'!$F32, 'Future Orders'!$D32, "4", 'Future Orders'!$C32, "B", 'Future Orders'!$B32, "1")</f>
        <v>0</v>
      </c>
      <c r="AK32" s="157">
        <f>SUMIFS('Future Orders'!$I32, 'Future Orders'!$D32, "4", 'Future Orders'!$C32, "B", 'Future Orders'!$B32, "1")</f>
        <v>0</v>
      </c>
      <c r="AL32" s="157">
        <f>SUMIFS('Future Orders'!$F32, 'Future Orders'!$D32, "4", 'Future Orders'!$C32, "A", 'Future Orders'!$B32, "2")</f>
        <v>0</v>
      </c>
      <c r="AM32" s="157">
        <f>SUMIFS('Future Orders'!$I32, 'Future Orders'!$D32, "4", 'Future Orders'!$C32, "A", 'Future Orders'!$B32, "2")</f>
        <v>0</v>
      </c>
      <c r="AN32" s="171">
        <f>SUMIFS('Future Orders'!$F32, 'Future Orders'!$D32, "4", 'Future Orders'!$C32, "B", 'Future Orders'!$B32, "2")</f>
        <v>0</v>
      </c>
      <c r="AO32" s="171">
        <f>SUMIFS('Future Orders'!$I32, 'Future Orders'!$D32, "4", 'Future Orders'!$C32, "B", 'Future Orders'!$B32, "2")</f>
        <v>0</v>
      </c>
      <c r="AP32" s="171">
        <f>SUMIFS('Future Orders'!$H32, 'Future Orders'!$C32, "A", 'Future Orders'!$B32, "1")</f>
        <v>7233.6</v>
      </c>
      <c r="AQ32" s="171">
        <f>SUMIFS('Future Orders'!$I32, 'Future Orders'!$C32, "B", 'Future Orders'!$B32, "1")</f>
        <v>0</v>
      </c>
      <c r="AR32" s="171">
        <f>SUMIFS('Future Orders'!$H32, 'Future Orders'!$C32, "A", 'Future Orders'!$B32, "2")</f>
        <v>0</v>
      </c>
      <c r="AS32" s="171">
        <f>SUMIFS('Future Orders'!$I32, 'Future Orders'!$C32, "B", 'Future Orders'!$B32, "2")</f>
        <v>0</v>
      </c>
      <c r="AT32" s="145"/>
      <c r="AU32" s="146"/>
      <c r="AV32" s="161">
        <v>42065.0</v>
      </c>
      <c r="AW32" s="162"/>
      <c r="AX32" s="163">
        <f t="shared" si="1"/>
        <v>42065</v>
      </c>
      <c r="AY32" s="164">
        <f t="shared" si="2"/>
        <v>22814</v>
      </c>
      <c r="AZ32" s="164">
        <f t="shared" si="3"/>
        <v>11695</v>
      </c>
      <c r="BA32" s="164">
        <f t="shared" si="4"/>
        <v>11119</v>
      </c>
      <c r="BB32" s="164">
        <f t="shared" si="5"/>
        <v>17408</v>
      </c>
      <c r="BC32" s="164">
        <f t="shared" si="6"/>
        <v>5406</v>
      </c>
      <c r="BD32" s="165"/>
      <c r="BE32" s="166">
        <f t="shared" si="7"/>
        <v>79815.34</v>
      </c>
      <c r="BF32" s="166">
        <f t="shared" si="8"/>
        <v>37885.21</v>
      </c>
      <c r="BG32" s="166">
        <f t="shared" si="9"/>
        <v>41930.13</v>
      </c>
      <c r="BH32" s="167"/>
      <c r="BI32" s="166">
        <f t="shared" si="10"/>
        <v>10193.04</v>
      </c>
      <c r="BJ32" s="166">
        <f t="shared" si="11"/>
        <v>6866.64</v>
      </c>
      <c r="BK32" s="166">
        <f t="shared" si="12"/>
        <v>0</v>
      </c>
      <c r="BL32" s="166">
        <f t="shared" si="13"/>
        <v>10193.04</v>
      </c>
      <c r="BM32" s="166">
        <f>SUM('Future Orders'!$BI32:$BL32)</f>
        <v>27252.72</v>
      </c>
      <c r="BN32" s="167"/>
      <c r="BO32" s="166">
        <f t="shared" si="14"/>
        <v>0</v>
      </c>
      <c r="BP32" s="166">
        <f t="shared" si="15"/>
        <v>0</v>
      </c>
      <c r="BQ32" s="166">
        <f t="shared" si="16"/>
        <v>20825.53</v>
      </c>
      <c r="BR32" s="166">
        <f t="shared" si="17"/>
        <v>0</v>
      </c>
      <c r="BS32" s="166">
        <f>SUM('Future Orders'!$BO32:$BR32)</f>
        <v>20825.53</v>
      </c>
      <c r="BT32" s="167"/>
      <c r="BU32" s="166">
        <f t="shared" si="18"/>
        <v>6262.96</v>
      </c>
      <c r="BV32" s="166">
        <f t="shared" si="19"/>
        <v>7135.92</v>
      </c>
      <c r="BW32" s="166">
        <f t="shared" si="20"/>
        <v>0</v>
      </c>
      <c r="BX32" s="166">
        <f t="shared" si="21"/>
        <v>6262.96</v>
      </c>
      <c r="BY32" s="166">
        <f>SUM('Future Orders'!$BU32:$BX32)</f>
        <v>19661.84</v>
      </c>
      <c r="BZ32" s="167"/>
      <c r="CA32" s="166">
        <f t="shared" si="22"/>
        <v>0</v>
      </c>
      <c r="CB32" s="166">
        <f t="shared" si="23"/>
        <v>0</v>
      </c>
      <c r="CC32" s="166">
        <f t="shared" si="24"/>
        <v>28531.25</v>
      </c>
      <c r="CD32" s="166">
        <f t="shared" si="25"/>
        <v>0</v>
      </c>
      <c r="CE32" s="166">
        <f>SUM('Future Orders'!$CA32:$CD32)</f>
        <v>28531.25</v>
      </c>
      <c r="CF32" s="167"/>
      <c r="CG32" s="166">
        <f>SUM('Future Orders'!$BI32:$BJ32)
+ SUM('Future Orders'!$BU32:$BV32)</f>
        <v>30458.56</v>
      </c>
      <c r="CH32" s="166">
        <f>SUM('Future Orders'!$BQ32)
+ SUM('Future Orders'!$BX32)</f>
        <v>27088.49</v>
      </c>
      <c r="CI32" s="166">
        <f>SUM('Future Orders'!$BI32:$BJ32)
+ SUM('Future Orders'!$BU32:$BV32)
+ SUM(('Future Orders'!$BI32) * 2)</f>
        <v>50844.64</v>
      </c>
      <c r="CJ32" s="166">
        <f>SUM(('Future Orders'!$BQ32) * 2) + SUM('Future Orders'!$BX32)</f>
        <v>47914.02</v>
      </c>
      <c r="CK32" s="167"/>
      <c r="CL32" s="168">
        <f t="shared" si="26"/>
        <v>3</v>
      </c>
      <c r="CM32" s="168">
        <f t="shared" si="27"/>
        <v>3</v>
      </c>
      <c r="CN32" s="168">
        <f t="shared" si="28"/>
        <v>4</v>
      </c>
      <c r="CO32" s="168">
        <f t="shared" si="29"/>
        <v>2</v>
      </c>
      <c r="CP32" s="168">
        <f t="shared" si="30"/>
        <v>2</v>
      </c>
      <c r="CQ32" s="169">
        <f t="shared" si="31"/>
        <v>2</v>
      </c>
      <c r="CR32" s="169">
        <f t="shared" si="32"/>
        <v>2</v>
      </c>
      <c r="CS32" s="170"/>
    </row>
    <row r="33" ht="15.75" customHeight="1">
      <c r="A33" s="151">
        <v>41890.0</v>
      </c>
      <c r="B33" s="152">
        <v>1.0</v>
      </c>
      <c r="C33" s="152" t="s">
        <v>45</v>
      </c>
      <c r="D33" s="152">
        <v>2.0</v>
      </c>
      <c r="E33" s="153">
        <v>5099.0</v>
      </c>
      <c r="F33" s="153">
        <f>SUM(('Future Orders'!$E33) * (1.1))</f>
        <v>5608.9</v>
      </c>
      <c r="G33" s="154">
        <v>1.2</v>
      </c>
      <c r="H33" s="155">
        <v>6118.8</v>
      </c>
      <c r="I33" s="155">
        <f>SUM(('Future Orders'!$H33) * (1.1))</f>
        <v>6730.68</v>
      </c>
      <c r="J33" s="159">
        <f>SUMIFS('Future Orders'!$F33, 'Future Orders'!$D33, "1", 'Future Orders'!$C33, "A", 'Future Orders'!$B33, "1")</f>
        <v>0</v>
      </c>
      <c r="K33" s="157">
        <f>SUMIFS('Future Orders'!$I33, 'Future Orders'!$D33, "1", 'Future Orders'!$C33, "A", 'Future Orders'!$B33, "1")</f>
        <v>0</v>
      </c>
      <c r="L33" s="157">
        <f>SUMIFS('Future Orders'!$F33, 'Future Orders'!$D33, "1", 'Future Orders'!$C33, "B", 'Future Orders'!$B33, "1")</f>
        <v>0</v>
      </c>
      <c r="M33" s="157">
        <f>SUMIFS('Future Orders'!$I33, 'Future Orders'!$D33, "1", 'Future Orders'!$C33, "B", 'Future Orders'!$B33, "1")</f>
        <v>0</v>
      </c>
      <c r="N33" s="159">
        <f>SUMIFS('Future Orders'!$F33, 'Future Orders'!$D33, "1", 'Future Orders'!$C33, "A", 'Future Orders'!$B33, "2")</f>
        <v>0</v>
      </c>
      <c r="O33" s="157">
        <f>SUMIFS('Future Orders'!$I33, 'Future Orders'!$D33, "1", 'Future Orders'!$C33, "A", 'Future Orders'!$B33, "2")</f>
        <v>0</v>
      </c>
      <c r="P33" s="157">
        <f>SUMIFS('Future Orders'!$E33, 'Future Orders'!$D33, "1", 'Future Orders'!$C33, "B", 'Future Orders'!$B33, "2")</f>
        <v>0</v>
      </c>
      <c r="Q33" s="157">
        <f>SUMIFS('Future Orders'!$I33, 'Future Orders'!$D33, "1", 'Future Orders'!$C33, "B", 'Future Orders'!$B33, "2")</f>
        <v>0</v>
      </c>
      <c r="R33" s="159">
        <f>SUMIFS('Future Orders'!$F33, 'Future Orders'!$D33, "2", 'Future Orders'!$C33, "A", 'Future Orders'!$B33, "1")</f>
        <v>5608.9</v>
      </c>
      <c r="S33" s="157">
        <f>SUMIFS('Future Orders'!$I33, 'Future Orders'!$D33, "2", 'Future Orders'!$C33, "A", 'Future Orders'!$B33, "1")</f>
        <v>6730.68</v>
      </c>
      <c r="T33" s="159">
        <f>SUMIFS('Future Orders'!$F33, 'Future Orders'!$D33, "2", 'Future Orders'!$C33, "B", 'Future Orders'!$B33, "1")</f>
        <v>0</v>
      </c>
      <c r="U33" s="157">
        <f>SUMIFS('Future Orders'!$I33, 'Future Orders'!$D33, "2", 'Future Orders'!$C33, "B", 'Future Orders'!$B33, "1")</f>
        <v>0</v>
      </c>
      <c r="V33" s="159">
        <f>SUMIFS('Future Orders'!$F33, 'Future Orders'!$D33, "2", 'Future Orders'!$C33, "A", 'Future Orders'!$B33, "2")</f>
        <v>0</v>
      </c>
      <c r="W33" s="157">
        <f>SUMIFS('Future Orders'!$I33, 'Future Orders'!$D33, "2", 'Future Orders'!$C33, "A", 'Future Orders'!$B33, "2")</f>
        <v>0</v>
      </c>
      <c r="X33" s="159">
        <f>SUMIFS('Future Orders'!$F33, 'Future Orders'!$D33, "2", 'Future Orders'!$C33, "B", 'Future Orders'!$B33, "2")</f>
        <v>0</v>
      </c>
      <c r="Y33" s="159">
        <f>SUMIFS('Future Orders'!$I33, 'Future Orders'!$D33, "2", 'Future Orders'!$C33, "B", 'Future Orders'!$B33, "2")</f>
        <v>0</v>
      </c>
      <c r="Z33" s="159">
        <f>SUMIFS('Future Orders'!$F33, 'Future Orders'!$D33, "3", 'Future Orders'!$C33, "A", 'Future Orders'!$B33, "1")</f>
        <v>0</v>
      </c>
      <c r="AA33" s="159">
        <f>SUMIFS('Future Orders'!$I33, 'Future Orders'!$D33, "3", 'Future Orders'!$C33, "A", 'Future Orders'!$B33, "1")</f>
        <v>0</v>
      </c>
      <c r="AB33" s="159">
        <f>SUMIFS('Future Orders'!$F33, 'Future Orders'!$D33, "3", 'Future Orders'!$C33, "B", 'Future Orders'!$B33, "1")</f>
        <v>0</v>
      </c>
      <c r="AC33" s="159">
        <f>SUMIFS('Future Orders'!$I33, 'Future Orders'!$D33, "3", 'Future Orders'!$C33, "B", 'Future Orders'!$B33, "1")</f>
        <v>0</v>
      </c>
      <c r="AD33" s="159">
        <f>SUMIFS('Future Orders'!$F33, 'Future Orders'!$D33, "3", 'Future Orders'!$C33, "A", 'Future Orders'!$B33, "2")</f>
        <v>0</v>
      </c>
      <c r="AE33" s="159">
        <f>SUMIFS('Future Orders'!$I33, 'Future Orders'!$D33, "3", 'Future Orders'!$C33, "A", 'Future Orders'!$B33, "2")</f>
        <v>0</v>
      </c>
      <c r="AF33" s="159">
        <f>SUMIFS('Future Orders'!$F33, 'Future Orders'!$D33, "3", 'Future Orders'!$C33, "B", 'Future Orders'!$B33, "2")</f>
        <v>0</v>
      </c>
      <c r="AG33" s="157">
        <f>SUMIFS('Future Orders'!$I33, 'Future Orders'!$D33, "3", 'Future Orders'!$C33, "B", 'Future Orders'!$B33, "2")</f>
        <v>0</v>
      </c>
      <c r="AH33" s="157">
        <f>SUMIFS('Future Orders'!$F33, 'Future Orders'!$D33, "4", 'Future Orders'!$C33, "A", 'Future Orders'!$B33, "1")</f>
        <v>0</v>
      </c>
      <c r="AI33" s="157">
        <f>SUMIFS('Future Orders'!$I33, 'Future Orders'!$D33, "4", 'Future Orders'!$C33, "A", 'Future Orders'!$B33, "1")</f>
        <v>0</v>
      </c>
      <c r="AJ33" s="157">
        <f>SUMIFS('Future Orders'!$F33, 'Future Orders'!$D33, "4", 'Future Orders'!$C33, "B", 'Future Orders'!$B33, "1")</f>
        <v>0</v>
      </c>
      <c r="AK33" s="157">
        <f>SUMIFS('Future Orders'!$I33, 'Future Orders'!$D33, "4", 'Future Orders'!$C33, "B", 'Future Orders'!$B33, "1")</f>
        <v>0</v>
      </c>
      <c r="AL33" s="157">
        <f>SUMIFS('Future Orders'!$F33, 'Future Orders'!$D33, "4", 'Future Orders'!$C33, "A", 'Future Orders'!$B33, "2")</f>
        <v>0</v>
      </c>
      <c r="AM33" s="157">
        <f>SUMIFS('Future Orders'!$I33, 'Future Orders'!$D33, "4", 'Future Orders'!$C33, "A", 'Future Orders'!$B33, "2")</f>
        <v>0</v>
      </c>
      <c r="AN33" s="171">
        <f>SUMIFS('Future Orders'!$F33, 'Future Orders'!$D33, "4", 'Future Orders'!$C33, "B", 'Future Orders'!$B33, "2")</f>
        <v>0</v>
      </c>
      <c r="AO33" s="171">
        <f>SUMIFS('Future Orders'!$I33, 'Future Orders'!$D33, "4", 'Future Orders'!$C33, "B", 'Future Orders'!$B33, "2")</f>
        <v>0</v>
      </c>
      <c r="AP33" s="171">
        <f>SUMIFS('Future Orders'!$H33, 'Future Orders'!$C33, "A", 'Future Orders'!$B33, "1")</f>
        <v>6118.8</v>
      </c>
      <c r="AQ33" s="171">
        <f>SUMIFS('Future Orders'!$I33, 'Future Orders'!$C33, "B", 'Future Orders'!$B33, "1")</f>
        <v>0</v>
      </c>
      <c r="AR33" s="171">
        <f>SUMIFS('Future Orders'!$H33, 'Future Orders'!$C33, "A", 'Future Orders'!$B33, "2")</f>
        <v>0</v>
      </c>
      <c r="AS33" s="171">
        <f>SUMIFS('Future Orders'!$I33, 'Future Orders'!$C33, "B", 'Future Orders'!$B33, "2")</f>
        <v>0</v>
      </c>
      <c r="AT33" s="145"/>
      <c r="AU33" s="146"/>
      <c r="AV33" s="161">
        <v>42072.0</v>
      </c>
      <c r="AW33" s="162"/>
      <c r="AX33" s="163">
        <f t="shared" si="1"/>
        <v>42072</v>
      </c>
      <c r="AY33" s="164">
        <f t="shared" si="2"/>
        <v>27340</v>
      </c>
      <c r="AZ33" s="164">
        <f t="shared" si="3"/>
        <v>14063</v>
      </c>
      <c r="BA33" s="164">
        <f t="shared" si="4"/>
        <v>13277</v>
      </c>
      <c r="BB33" s="164">
        <f t="shared" si="5"/>
        <v>23398</v>
      </c>
      <c r="BC33" s="164">
        <f t="shared" si="6"/>
        <v>3942</v>
      </c>
      <c r="BD33" s="165"/>
      <c r="BE33" s="166">
        <f t="shared" si="7"/>
        <v>79198.02</v>
      </c>
      <c r="BF33" s="166">
        <f t="shared" si="8"/>
        <v>39406.62</v>
      </c>
      <c r="BG33" s="166">
        <f t="shared" si="9"/>
        <v>39791.4</v>
      </c>
      <c r="BH33" s="167"/>
      <c r="BI33" s="166">
        <f t="shared" si="10"/>
        <v>14653.1</v>
      </c>
      <c r="BJ33" s="166">
        <f t="shared" si="11"/>
        <v>8173.44</v>
      </c>
      <c r="BK33" s="166">
        <f t="shared" si="12"/>
        <v>0</v>
      </c>
      <c r="BL33" s="166">
        <f t="shared" si="13"/>
        <v>14653.1</v>
      </c>
      <c r="BM33" s="166">
        <f>SUM('Future Orders'!$BI33:$BL33)</f>
        <v>37479.64</v>
      </c>
      <c r="BN33" s="167"/>
      <c r="BO33" s="166">
        <f t="shared" si="14"/>
        <v>0</v>
      </c>
      <c r="BP33" s="166">
        <f t="shared" si="15"/>
        <v>0</v>
      </c>
      <c r="BQ33" s="166">
        <f t="shared" si="16"/>
        <v>16580.08</v>
      </c>
      <c r="BR33" s="166">
        <f t="shared" si="17"/>
        <v>0</v>
      </c>
      <c r="BS33" s="166">
        <f>SUM('Future Orders'!$BO33:$BR33)</f>
        <v>16580.08</v>
      </c>
      <c r="BT33" s="167"/>
      <c r="BU33" s="166">
        <f t="shared" si="18"/>
        <v>12455.74</v>
      </c>
      <c r="BV33" s="166">
        <f t="shared" si="19"/>
        <v>7925.28</v>
      </c>
      <c r="BW33" s="166">
        <f t="shared" si="20"/>
        <v>0</v>
      </c>
      <c r="BX33" s="166">
        <f t="shared" si="21"/>
        <v>12455.74</v>
      </c>
      <c r="BY33" s="166">
        <f>SUM('Future Orders'!$BU33:$BX33)</f>
        <v>32836.76</v>
      </c>
      <c r="BZ33" s="167"/>
      <c r="CA33" s="166">
        <f t="shared" si="22"/>
        <v>0</v>
      </c>
      <c r="CB33" s="166">
        <f t="shared" si="23"/>
        <v>0</v>
      </c>
      <c r="CC33" s="166">
        <f t="shared" si="24"/>
        <v>19410.38</v>
      </c>
      <c r="CD33" s="166">
        <f t="shared" si="25"/>
        <v>0</v>
      </c>
      <c r="CE33" s="166">
        <f>SUM('Future Orders'!$CA33:$CD33)</f>
        <v>19410.38</v>
      </c>
      <c r="CF33" s="167"/>
      <c r="CG33" s="166">
        <f>SUM('Future Orders'!$BI33:$BJ33)
+ SUM('Future Orders'!$BU33:$BV33)</f>
        <v>43207.56</v>
      </c>
      <c r="CH33" s="166">
        <f>SUM('Future Orders'!$BQ33)
+ SUM('Future Orders'!$BX33)</f>
        <v>29035.82</v>
      </c>
      <c r="CI33" s="166">
        <f>SUM('Future Orders'!$BI33:$BJ33)
+ SUM('Future Orders'!$BU33:$BV33)
+ SUM(('Future Orders'!$BI33) * 2)</f>
        <v>72513.76</v>
      </c>
      <c r="CJ33" s="166">
        <f>SUM(('Future Orders'!$BQ33) * 2) + SUM('Future Orders'!$BX33)</f>
        <v>45615.9</v>
      </c>
      <c r="CK33" s="167"/>
      <c r="CL33" s="168">
        <f t="shared" si="26"/>
        <v>3</v>
      </c>
      <c r="CM33" s="168">
        <f t="shared" si="27"/>
        <v>3</v>
      </c>
      <c r="CN33" s="168">
        <f t="shared" si="28"/>
        <v>4</v>
      </c>
      <c r="CO33" s="168">
        <f t="shared" si="29"/>
        <v>2</v>
      </c>
      <c r="CP33" s="168">
        <f t="shared" si="30"/>
        <v>2</v>
      </c>
      <c r="CQ33" s="169">
        <f t="shared" si="31"/>
        <v>2</v>
      </c>
      <c r="CR33" s="169">
        <f t="shared" si="32"/>
        <v>2</v>
      </c>
      <c r="CS33" s="170"/>
    </row>
    <row r="34" ht="15.75" customHeight="1">
      <c r="A34" s="151">
        <v>41890.0</v>
      </c>
      <c r="B34" s="152">
        <v>2.0</v>
      </c>
      <c r="C34" s="152" t="s">
        <v>45</v>
      </c>
      <c r="D34" s="152">
        <v>1.0</v>
      </c>
      <c r="E34" s="153">
        <v>2056.0</v>
      </c>
      <c r="F34" s="153">
        <f>SUM(('Future Orders'!$E34) * (1.1))</f>
        <v>2261.6</v>
      </c>
      <c r="G34" s="154">
        <v>2.2</v>
      </c>
      <c r="H34" s="155">
        <v>4523.200000000001</v>
      </c>
      <c r="I34" s="155">
        <f>SUM(('Future Orders'!$H34) * (1.1))</f>
        <v>4975.52</v>
      </c>
      <c r="J34" s="159">
        <f>SUMIFS('Future Orders'!$F34, 'Future Orders'!$D34, "1", 'Future Orders'!$C34, "A", 'Future Orders'!$B34, "1")</f>
        <v>0</v>
      </c>
      <c r="K34" s="157">
        <f>SUMIFS('Future Orders'!$I34, 'Future Orders'!$D34, "1", 'Future Orders'!$C34, "A", 'Future Orders'!$B34, "1")</f>
        <v>0</v>
      </c>
      <c r="L34" s="157">
        <f>SUMIFS('Future Orders'!$F34, 'Future Orders'!$D34, "1", 'Future Orders'!$C34, "B", 'Future Orders'!$B34, "1")</f>
        <v>0</v>
      </c>
      <c r="M34" s="157">
        <f>SUMIFS('Future Orders'!$I34, 'Future Orders'!$D34, "1", 'Future Orders'!$C34, "B", 'Future Orders'!$B34, "1")</f>
        <v>0</v>
      </c>
      <c r="N34" s="159">
        <f>SUMIFS('Future Orders'!$F34, 'Future Orders'!$D34, "1", 'Future Orders'!$C34, "A", 'Future Orders'!$B34, "2")</f>
        <v>2261.6</v>
      </c>
      <c r="O34" s="157">
        <f>SUMIFS('Future Orders'!$I34, 'Future Orders'!$D34, "1", 'Future Orders'!$C34, "A", 'Future Orders'!$B34, "2")</f>
        <v>4975.52</v>
      </c>
      <c r="P34" s="157">
        <f>SUMIFS('Future Orders'!$E34, 'Future Orders'!$D34, "1", 'Future Orders'!$C34, "B", 'Future Orders'!$B34, "2")</f>
        <v>0</v>
      </c>
      <c r="Q34" s="157">
        <f>SUMIFS('Future Orders'!$I34, 'Future Orders'!$D34, "1", 'Future Orders'!$C34, "B", 'Future Orders'!$B34, "2")</f>
        <v>0</v>
      </c>
      <c r="R34" s="159">
        <f>SUMIFS('Future Orders'!$F34, 'Future Orders'!$D34, "2", 'Future Orders'!$C34, "A", 'Future Orders'!$B34, "1")</f>
        <v>0</v>
      </c>
      <c r="S34" s="157">
        <f>SUMIFS('Future Orders'!$I34, 'Future Orders'!$D34, "2", 'Future Orders'!$C34, "A", 'Future Orders'!$B34, "1")</f>
        <v>0</v>
      </c>
      <c r="T34" s="159">
        <f>SUMIFS('Future Orders'!$F34, 'Future Orders'!$D34, "2", 'Future Orders'!$C34, "B", 'Future Orders'!$B34, "1")</f>
        <v>0</v>
      </c>
      <c r="U34" s="157">
        <f>SUMIFS('Future Orders'!$I34, 'Future Orders'!$D34, "2", 'Future Orders'!$C34, "B", 'Future Orders'!$B34, "1")</f>
        <v>0</v>
      </c>
      <c r="V34" s="159">
        <f>SUMIFS('Future Orders'!$F34, 'Future Orders'!$D34, "2", 'Future Orders'!$C34, "A", 'Future Orders'!$B34, "2")</f>
        <v>0</v>
      </c>
      <c r="W34" s="157">
        <f>SUMIFS('Future Orders'!$I34, 'Future Orders'!$D34, "2", 'Future Orders'!$C34, "A", 'Future Orders'!$B34, "2")</f>
        <v>0</v>
      </c>
      <c r="X34" s="159">
        <f>SUMIFS('Future Orders'!$F34, 'Future Orders'!$D34, "2", 'Future Orders'!$C34, "B", 'Future Orders'!$B34, "2")</f>
        <v>0</v>
      </c>
      <c r="Y34" s="159">
        <f>SUMIFS('Future Orders'!$I34, 'Future Orders'!$D34, "2", 'Future Orders'!$C34, "B", 'Future Orders'!$B34, "2")</f>
        <v>0</v>
      </c>
      <c r="Z34" s="159">
        <f>SUMIFS('Future Orders'!$F34, 'Future Orders'!$D34, "3", 'Future Orders'!$C34, "A", 'Future Orders'!$B34, "1")</f>
        <v>0</v>
      </c>
      <c r="AA34" s="159">
        <f>SUMIFS('Future Orders'!$I34, 'Future Orders'!$D34, "3", 'Future Orders'!$C34, "A", 'Future Orders'!$B34, "1")</f>
        <v>0</v>
      </c>
      <c r="AB34" s="159">
        <f>SUMIFS('Future Orders'!$F34, 'Future Orders'!$D34, "3", 'Future Orders'!$C34, "B", 'Future Orders'!$B34, "1")</f>
        <v>0</v>
      </c>
      <c r="AC34" s="159">
        <f>SUMIFS('Future Orders'!$I34, 'Future Orders'!$D34, "3", 'Future Orders'!$C34, "B", 'Future Orders'!$B34, "1")</f>
        <v>0</v>
      </c>
      <c r="AD34" s="159">
        <f>SUMIFS('Future Orders'!$F34, 'Future Orders'!$D34, "3", 'Future Orders'!$C34, "A", 'Future Orders'!$B34, "2")</f>
        <v>0</v>
      </c>
      <c r="AE34" s="159">
        <f>SUMIFS('Future Orders'!$I34, 'Future Orders'!$D34, "3", 'Future Orders'!$C34, "A", 'Future Orders'!$B34, "2")</f>
        <v>0</v>
      </c>
      <c r="AF34" s="159">
        <f>SUMIFS('Future Orders'!$F34, 'Future Orders'!$D34, "3", 'Future Orders'!$C34, "B", 'Future Orders'!$B34, "2")</f>
        <v>0</v>
      </c>
      <c r="AG34" s="157">
        <f>SUMIFS('Future Orders'!$I34, 'Future Orders'!$D34, "3", 'Future Orders'!$C34, "B", 'Future Orders'!$B34, "2")</f>
        <v>0</v>
      </c>
      <c r="AH34" s="157">
        <f>SUMIFS('Future Orders'!$F34, 'Future Orders'!$D34, "4", 'Future Orders'!$C34, "A", 'Future Orders'!$B34, "1")</f>
        <v>0</v>
      </c>
      <c r="AI34" s="157">
        <f>SUMIFS('Future Orders'!$I34, 'Future Orders'!$D34, "4", 'Future Orders'!$C34, "A", 'Future Orders'!$B34, "1")</f>
        <v>0</v>
      </c>
      <c r="AJ34" s="157">
        <f>SUMIFS('Future Orders'!$F34, 'Future Orders'!$D34, "4", 'Future Orders'!$C34, "B", 'Future Orders'!$B34, "1")</f>
        <v>0</v>
      </c>
      <c r="AK34" s="157">
        <f>SUMIFS('Future Orders'!$I34, 'Future Orders'!$D34, "4", 'Future Orders'!$C34, "B", 'Future Orders'!$B34, "1")</f>
        <v>0</v>
      </c>
      <c r="AL34" s="157">
        <f>SUMIFS('Future Orders'!$F34, 'Future Orders'!$D34, "4", 'Future Orders'!$C34, "A", 'Future Orders'!$B34, "2")</f>
        <v>0</v>
      </c>
      <c r="AM34" s="157">
        <f>SUMIFS('Future Orders'!$I34, 'Future Orders'!$D34, "4", 'Future Orders'!$C34, "A", 'Future Orders'!$B34, "2")</f>
        <v>0</v>
      </c>
      <c r="AN34" s="171">
        <f>SUMIFS('Future Orders'!$F34, 'Future Orders'!$D34, "4", 'Future Orders'!$C34, "B", 'Future Orders'!$B34, "2")</f>
        <v>0</v>
      </c>
      <c r="AO34" s="171">
        <f>SUMIFS('Future Orders'!$I34, 'Future Orders'!$D34, "4", 'Future Orders'!$C34, "B", 'Future Orders'!$B34, "2")</f>
        <v>0</v>
      </c>
      <c r="AP34" s="171">
        <f>SUMIFS('Future Orders'!$H34, 'Future Orders'!$C34, "A", 'Future Orders'!$B34, "1")</f>
        <v>0</v>
      </c>
      <c r="AQ34" s="171">
        <f>SUMIFS('Future Orders'!$I34, 'Future Orders'!$C34, "B", 'Future Orders'!$B34, "1")</f>
        <v>0</v>
      </c>
      <c r="AR34" s="171">
        <f>SUMIFS('Future Orders'!$H34, 'Future Orders'!$C34, "A", 'Future Orders'!$B34, "2")</f>
        <v>4523.2</v>
      </c>
      <c r="AS34" s="171">
        <f>SUMIFS('Future Orders'!$I34, 'Future Orders'!$C34, "B", 'Future Orders'!$B34, "2")</f>
        <v>0</v>
      </c>
      <c r="AT34" s="145"/>
      <c r="AU34" s="146"/>
      <c r="AV34" s="161">
        <v>42079.0</v>
      </c>
      <c r="AW34" s="162"/>
      <c r="AX34" s="163">
        <f t="shared" si="1"/>
        <v>42079</v>
      </c>
      <c r="AY34" s="164">
        <f t="shared" si="2"/>
        <v>23834</v>
      </c>
      <c r="AZ34" s="164">
        <f t="shared" si="3"/>
        <v>11924</v>
      </c>
      <c r="BA34" s="164">
        <f t="shared" si="4"/>
        <v>11910</v>
      </c>
      <c r="BB34" s="164">
        <f t="shared" si="5"/>
        <v>19064</v>
      </c>
      <c r="BC34" s="164">
        <f t="shared" si="6"/>
        <v>4770</v>
      </c>
      <c r="BD34" s="165"/>
      <c r="BE34" s="166">
        <f t="shared" si="7"/>
        <v>78915.98</v>
      </c>
      <c r="BF34" s="166">
        <f t="shared" si="8"/>
        <v>37124.56</v>
      </c>
      <c r="BG34" s="166">
        <f t="shared" si="9"/>
        <v>41791.42</v>
      </c>
      <c r="BH34" s="167"/>
      <c r="BI34" s="166">
        <f t="shared" si="10"/>
        <v>12201.64</v>
      </c>
      <c r="BJ34" s="166">
        <f t="shared" si="11"/>
        <v>6407.28</v>
      </c>
      <c r="BK34" s="166">
        <f t="shared" si="12"/>
        <v>0</v>
      </c>
      <c r="BL34" s="166">
        <f t="shared" si="13"/>
        <v>12201.64</v>
      </c>
      <c r="BM34" s="166">
        <f>SUM('Future Orders'!$BI34:$BL34)</f>
        <v>30810.56</v>
      </c>
      <c r="BN34" s="167"/>
      <c r="BO34" s="166">
        <f t="shared" si="14"/>
        <v>0</v>
      </c>
      <c r="BP34" s="166">
        <f t="shared" si="15"/>
        <v>0</v>
      </c>
      <c r="BQ34" s="166">
        <f t="shared" si="16"/>
        <v>18515.64</v>
      </c>
      <c r="BR34" s="166">
        <f t="shared" si="17"/>
        <v>0</v>
      </c>
      <c r="BS34" s="166">
        <f>SUM('Future Orders'!$BO34:$BR34)</f>
        <v>18515.64</v>
      </c>
      <c r="BT34" s="167"/>
      <c r="BU34" s="166">
        <f t="shared" si="18"/>
        <v>10241.44</v>
      </c>
      <c r="BV34" s="166">
        <f t="shared" si="19"/>
        <v>6515.52</v>
      </c>
      <c r="BW34" s="166">
        <f t="shared" si="20"/>
        <v>0</v>
      </c>
      <c r="BX34" s="166">
        <f t="shared" si="21"/>
        <v>10241.44</v>
      </c>
      <c r="BY34" s="166">
        <f>SUM('Future Orders'!$BU34:$BX34)</f>
        <v>26998.4</v>
      </c>
      <c r="BZ34" s="167"/>
      <c r="CA34" s="166">
        <f t="shared" si="22"/>
        <v>0</v>
      </c>
      <c r="CB34" s="166">
        <f t="shared" si="23"/>
        <v>0</v>
      </c>
      <c r="CC34" s="166">
        <f t="shared" si="24"/>
        <v>25034.46</v>
      </c>
      <c r="CD34" s="166">
        <f t="shared" si="25"/>
        <v>0</v>
      </c>
      <c r="CE34" s="166">
        <f>SUM('Future Orders'!$CA34:$CD34)</f>
        <v>25034.46</v>
      </c>
      <c r="CF34" s="167"/>
      <c r="CG34" s="166">
        <f>SUM('Future Orders'!$BI34:$BJ34)
+ SUM('Future Orders'!$BU34:$BV34)</f>
        <v>35365.88</v>
      </c>
      <c r="CH34" s="166">
        <f>SUM('Future Orders'!$BQ34)
+ SUM('Future Orders'!$BX34)</f>
        <v>28757.08</v>
      </c>
      <c r="CI34" s="166">
        <f>SUM('Future Orders'!$BI34:$BJ34)
+ SUM('Future Orders'!$BU34:$BV34)
+ SUM(('Future Orders'!$BI34) * 2)</f>
        <v>59769.16</v>
      </c>
      <c r="CJ34" s="166">
        <f>SUM(('Future Orders'!$BQ34) * 2) + SUM('Future Orders'!$BX34)</f>
        <v>47272.72</v>
      </c>
      <c r="CK34" s="167"/>
      <c r="CL34" s="168">
        <f t="shared" si="26"/>
        <v>3</v>
      </c>
      <c r="CM34" s="168">
        <f t="shared" si="27"/>
        <v>3</v>
      </c>
      <c r="CN34" s="168">
        <f t="shared" si="28"/>
        <v>4</v>
      </c>
      <c r="CO34" s="168">
        <f t="shared" si="29"/>
        <v>2</v>
      </c>
      <c r="CP34" s="168">
        <f t="shared" si="30"/>
        <v>2</v>
      </c>
      <c r="CQ34" s="169">
        <f t="shared" si="31"/>
        <v>2</v>
      </c>
      <c r="CR34" s="169">
        <f t="shared" si="32"/>
        <v>2</v>
      </c>
      <c r="CS34" s="170"/>
    </row>
    <row r="35" ht="15.75" customHeight="1">
      <c r="A35" s="151">
        <v>41890.0</v>
      </c>
      <c r="B35" s="152">
        <v>2.0</v>
      </c>
      <c r="C35" s="152" t="s">
        <v>45</v>
      </c>
      <c r="D35" s="152">
        <v>2.0</v>
      </c>
      <c r="E35" s="153">
        <v>5978.0</v>
      </c>
      <c r="F35" s="153">
        <f>SUM(('Future Orders'!$E35) * (1.1))</f>
        <v>6575.8</v>
      </c>
      <c r="G35" s="154">
        <v>1.2</v>
      </c>
      <c r="H35" s="155">
        <v>7173.599999999999</v>
      </c>
      <c r="I35" s="155">
        <f>SUM(('Future Orders'!$H35) * (1.1))</f>
        <v>7890.96</v>
      </c>
      <c r="J35" s="159">
        <f>SUMIFS('Future Orders'!$F35, 'Future Orders'!$D35, "1", 'Future Orders'!$C35, "A", 'Future Orders'!$B35, "1")</f>
        <v>0</v>
      </c>
      <c r="K35" s="157">
        <f>SUMIFS('Future Orders'!$I35, 'Future Orders'!$D35, "1", 'Future Orders'!$C35, "A", 'Future Orders'!$B35, "1")</f>
        <v>0</v>
      </c>
      <c r="L35" s="157">
        <f>SUMIFS('Future Orders'!$F35, 'Future Orders'!$D35, "1", 'Future Orders'!$C35, "B", 'Future Orders'!$B35, "1")</f>
        <v>0</v>
      </c>
      <c r="M35" s="157">
        <f>SUMIFS('Future Orders'!$I35, 'Future Orders'!$D35, "1", 'Future Orders'!$C35, "B", 'Future Orders'!$B35, "1")</f>
        <v>0</v>
      </c>
      <c r="N35" s="159">
        <f>SUMIFS('Future Orders'!$F35, 'Future Orders'!$D35, "1", 'Future Orders'!$C35, "A", 'Future Orders'!$B35, "2")</f>
        <v>0</v>
      </c>
      <c r="O35" s="157">
        <f>SUMIFS('Future Orders'!$I35, 'Future Orders'!$D35, "1", 'Future Orders'!$C35, "A", 'Future Orders'!$B35, "2")</f>
        <v>0</v>
      </c>
      <c r="P35" s="157">
        <f>SUMIFS('Future Orders'!$E35, 'Future Orders'!$D35, "1", 'Future Orders'!$C35, "B", 'Future Orders'!$B35, "2")</f>
        <v>0</v>
      </c>
      <c r="Q35" s="157">
        <f>SUMIFS('Future Orders'!$I35, 'Future Orders'!$D35, "1", 'Future Orders'!$C35, "B", 'Future Orders'!$B35, "2")</f>
        <v>0</v>
      </c>
      <c r="R35" s="159">
        <f>SUMIFS('Future Orders'!$F35, 'Future Orders'!$D35, "2", 'Future Orders'!$C35, "A", 'Future Orders'!$B35, "1")</f>
        <v>0</v>
      </c>
      <c r="S35" s="157">
        <f>SUMIFS('Future Orders'!$I35, 'Future Orders'!$D35, "2", 'Future Orders'!$C35, "A", 'Future Orders'!$B35, "1")</f>
        <v>0</v>
      </c>
      <c r="T35" s="159">
        <f>SUMIFS('Future Orders'!$F35, 'Future Orders'!$D35, "2", 'Future Orders'!$C35, "B", 'Future Orders'!$B35, "1")</f>
        <v>0</v>
      </c>
      <c r="U35" s="157">
        <f>SUMIFS('Future Orders'!$I35, 'Future Orders'!$D35, "2", 'Future Orders'!$C35, "B", 'Future Orders'!$B35, "1")</f>
        <v>0</v>
      </c>
      <c r="V35" s="159">
        <f>SUMIFS('Future Orders'!$F35, 'Future Orders'!$D35, "2", 'Future Orders'!$C35, "A", 'Future Orders'!$B35, "2")</f>
        <v>6575.8</v>
      </c>
      <c r="W35" s="157">
        <f>SUMIFS('Future Orders'!$I35, 'Future Orders'!$D35, "2", 'Future Orders'!$C35, "A", 'Future Orders'!$B35, "2")</f>
        <v>7890.96</v>
      </c>
      <c r="X35" s="159">
        <f>SUMIFS('Future Orders'!$F35, 'Future Orders'!$D35, "2", 'Future Orders'!$C35, "B", 'Future Orders'!$B35, "2")</f>
        <v>0</v>
      </c>
      <c r="Y35" s="159">
        <f>SUMIFS('Future Orders'!$I35, 'Future Orders'!$D35, "2", 'Future Orders'!$C35, "B", 'Future Orders'!$B35, "2")</f>
        <v>0</v>
      </c>
      <c r="Z35" s="159">
        <f>SUMIFS('Future Orders'!$F35, 'Future Orders'!$D35, "3", 'Future Orders'!$C35, "A", 'Future Orders'!$B35, "1")</f>
        <v>0</v>
      </c>
      <c r="AA35" s="159">
        <f>SUMIFS('Future Orders'!$I35, 'Future Orders'!$D35, "3", 'Future Orders'!$C35, "A", 'Future Orders'!$B35, "1")</f>
        <v>0</v>
      </c>
      <c r="AB35" s="159">
        <f>SUMIFS('Future Orders'!$F35, 'Future Orders'!$D35, "3", 'Future Orders'!$C35, "B", 'Future Orders'!$B35, "1")</f>
        <v>0</v>
      </c>
      <c r="AC35" s="159">
        <f>SUMIFS('Future Orders'!$I35, 'Future Orders'!$D35, "3", 'Future Orders'!$C35, "B", 'Future Orders'!$B35, "1")</f>
        <v>0</v>
      </c>
      <c r="AD35" s="159">
        <f>SUMIFS('Future Orders'!$F35, 'Future Orders'!$D35, "3", 'Future Orders'!$C35, "A", 'Future Orders'!$B35, "2")</f>
        <v>0</v>
      </c>
      <c r="AE35" s="159">
        <f>SUMIFS('Future Orders'!$I35, 'Future Orders'!$D35, "3", 'Future Orders'!$C35, "A", 'Future Orders'!$B35, "2")</f>
        <v>0</v>
      </c>
      <c r="AF35" s="159">
        <f>SUMIFS('Future Orders'!$F35, 'Future Orders'!$D35, "3", 'Future Orders'!$C35, "B", 'Future Orders'!$B35, "2")</f>
        <v>0</v>
      </c>
      <c r="AG35" s="157">
        <f>SUMIFS('Future Orders'!$I35, 'Future Orders'!$D35, "3", 'Future Orders'!$C35, "B", 'Future Orders'!$B35, "2")</f>
        <v>0</v>
      </c>
      <c r="AH35" s="157">
        <f>SUMIFS('Future Orders'!$F35, 'Future Orders'!$D35, "4", 'Future Orders'!$C35, "A", 'Future Orders'!$B35, "1")</f>
        <v>0</v>
      </c>
      <c r="AI35" s="157">
        <f>SUMIFS('Future Orders'!$I35, 'Future Orders'!$D35, "4", 'Future Orders'!$C35, "A", 'Future Orders'!$B35, "1")</f>
        <v>0</v>
      </c>
      <c r="AJ35" s="157">
        <f>SUMIFS('Future Orders'!$F35, 'Future Orders'!$D35, "4", 'Future Orders'!$C35, "B", 'Future Orders'!$B35, "1")</f>
        <v>0</v>
      </c>
      <c r="AK35" s="157">
        <f>SUMIFS('Future Orders'!$I35, 'Future Orders'!$D35, "4", 'Future Orders'!$C35, "B", 'Future Orders'!$B35, "1")</f>
        <v>0</v>
      </c>
      <c r="AL35" s="157">
        <f>SUMIFS('Future Orders'!$F35, 'Future Orders'!$D35, "4", 'Future Orders'!$C35, "A", 'Future Orders'!$B35, "2")</f>
        <v>0</v>
      </c>
      <c r="AM35" s="157">
        <f>SUMIFS('Future Orders'!$I35, 'Future Orders'!$D35, "4", 'Future Orders'!$C35, "A", 'Future Orders'!$B35, "2")</f>
        <v>0</v>
      </c>
      <c r="AN35" s="171">
        <f>SUMIFS('Future Orders'!$F35, 'Future Orders'!$D35, "4", 'Future Orders'!$C35, "B", 'Future Orders'!$B35, "2")</f>
        <v>0</v>
      </c>
      <c r="AO35" s="171">
        <f>SUMIFS('Future Orders'!$I35, 'Future Orders'!$D35, "4", 'Future Orders'!$C35, "B", 'Future Orders'!$B35, "2")</f>
        <v>0</v>
      </c>
      <c r="AP35" s="171">
        <f>SUMIFS('Future Orders'!$H35, 'Future Orders'!$C35, "A", 'Future Orders'!$B35, "1")</f>
        <v>0</v>
      </c>
      <c r="AQ35" s="171">
        <f>SUMIFS('Future Orders'!$I35, 'Future Orders'!$C35, "B", 'Future Orders'!$B35, "1")</f>
        <v>0</v>
      </c>
      <c r="AR35" s="171">
        <f>SUMIFS('Future Orders'!$H35, 'Future Orders'!$C35, "A", 'Future Orders'!$B35, "2")</f>
        <v>7173.6</v>
      </c>
      <c r="AS35" s="171">
        <f>SUMIFS('Future Orders'!$I35, 'Future Orders'!$C35, "B", 'Future Orders'!$B35, "2")</f>
        <v>0</v>
      </c>
      <c r="AT35" s="145"/>
      <c r="AU35" s="146"/>
      <c r="AV35" s="161">
        <v>42086.0</v>
      </c>
      <c r="AW35" s="162"/>
      <c r="AX35" s="163">
        <f t="shared" si="1"/>
        <v>42086</v>
      </c>
      <c r="AY35" s="164">
        <f t="shared" si="2"/>
        <v>24282</v>
      </c>
      <c r="AZ35" s="164">
        <f t="shared" si="3"/>
        <v>11815</v>
      </c>
      <c r="BA35" s="164">
        <f t="shared" si="4"/>
        <v>12467</v>
      </c>
      <c r="BB35" s="164">
        <f t="shared" si="5"/>
        <v>19067</v>
      </c>
      <c r="BC35" s="164">
        <f t="shared" si="6"/>
        <v>5215</v>
      </c>
      <c r="BD35" s="165"/>
      <c r="BE35" s="166">
        <f t="shared" si="7"/>
        <v>80068.89</v>
      </c>
      <c r="BF35" s="166">
        <f t="shared" si="8"/>
        <v>37925.03</v>
      </c>
      <c r="BG35" s="166">
        <f t="shared" si="9"/>
        <v>42143.86</v>
      </c>
      <c r="BH35" s="167"/>
      <c r="BI35" s="166">
        <f t="shared" si="10"/>
        <v>9210.52</v>
      </c>
      <c r="BJ35" s="166">
        <f t="shared" si="11"/>
        <v>7505.52</v>
      </c>
      <c r="BK35" s="166">
        <f t="shared" si="12"/>
        <v>0</v>
      </c>
      <c r="BL35" s="166">
        <f t="shared" si="13"/>
        <v>9210.52</v>
      </c>
      <c r="BM35" s="166">
        <f>SUM('Future Orders'!$BI35:$BL35)</f>
        <v>25926.56</v>
      </c>
      <c r="BN35" s="167"/>
      <c r="BO35" s="166">
        <f t="shared" si="14"/>
        <v>0</v>
      </c>
      <c r="BP35" s="166">
        <f t="shared" si="15"/>
        <v>0</v>
      </c>
      <c r="BQ35" s="166">
        <f t="shared" si="16"/>
        <v>21208.99</v>
      </c>
      <c r="BR35" s="166">
        <f t="shared" si="17"/>
        <v>0</v>
      </c>
      <c r="BS35" s="166">
        <f>SUM('Future Orders'!$BO35:$BR35)</f>
        <v>21208.99</v>
      </c>
      <c r="BT35" s="167"/>
      <c r="BU35" s="166">
        <f t="shared" si="18"/>
        <v>6821.98</v>
      </c>
      <c r="BV35" s="166">
        <f t="shared" si="19"/>
        <v>8917.92</v>
      </c>
      <c r="BW35" s="166">
        <f t="shared" si="20"/>
        <v>0</v>
      </c>
      <c r="BX35" s="166">
        <f t="shared" si="21"/>
        <v>6821.98</v>
      </c>
      <c r="BY35" s="166">
        <f>SUM('Future Orders'!$BU35:$BX35)</f>
        <v>22561.88</v>
      </c>
      <c r="BZ35" s="167"/>
      <c r="CA35" s="166">
        <f t="shared" si="22"/>
        <v>0</v>
      </c>
      <c r="CB35" s="166">
        <f t="shared" si="23"/>
        <v>0</v>
      </c>
      <c r="CC35" s="166">
        <f t="shared" si="24"/>
        <v>26403.96</v>
      </c>
      <c r="CD35" s="166">
        <f t="shared" si="25"/>
        <v>0</v>
      </c>
      <c r="CE35" s="166">
        <f>SUM('Future Orders'!$CA35:$CD35)</f>
        <v>26403.96</v>
      </c>
      <c r="CF35" s="167"/>
      <c r="CG35" s="166">
        <f>SUM('Future Orders'!$BI35:$BJ35)
+ SUM('Future Orders'!$BU35:$BV35)</f>
        <v>32455.94</v>
      </c>
      <c r="CH35" s="166">
        <f>SUM('Future Orders'!$BQ35)
+ SUM('Future Orders'!$BX35)</f>
        <v>28030.97</v>
      </c>
      <c r="CI35" s="166">
        <f>SUM('Future Orders'!$BI35:$BJ35)
+ SUM('Future Orders'!$BU35:$BV35)
+ SUM(('Future Orders'!$BI35) * 2)</f>
        <v>50876.98</v>
      </c>
      <c r="CJ35" s="166">
        <f>SUM(('Future Orders'!$BQ35) * 2) + SUM('Future Orders'!$BX35)</f>
        <v>49239.96</v>
      </c>
      <c r="CK35" s="167"/>
      <c r="CL35" s="168">
        <f t="shared" si="26"/>
        <v>3</v>
      </c>
      <c r="CM35" s="168">
        <f t="shared" si="27"/>
        <v>3</v>
      </c>
      <c r="CN35" s="168">
        <f t="shared" si="28"/>
        <v>4</v>
      </c>
      <c r="CO35" s="168">
        <f t="shared" si="29"/>
        <v>2</v>
      </c>
      <c r="CP35" s="168">
        <f t="shared" si="30"/>
        <v>2</v>
      </c>
      <c r="CQ35" s="169">
        <f t="shared" si="31"/>
        <v>2</v>
      </c>
      <c r="CR35" s="169">
        <f t="shared" si="32"/>
        <v>2</v>
      </c>
      <c r="CS35" s="170"/>
    </row>
    <row r="36" ht="15.75" customHeight="1">
      <c r="A36" s="151">
        <v>41890.0</v>
      </c>
      <c r="B36" s="152">
        <v>1.0</v>
      </c>
      <c r="C36" s="152" t="s">
        <v>46</v>
      </c>
      <c r="D36" s="152">
        <v>3.0</v>
      </c>
      <c r="E36" s="153">
        <v>2045.0</v>
      </c>
      <c r="F36" s="153">
        <f>SUM(('Future Orders'!$E36) * (1.1))</f>
        <v>2249.5</v>
      </c>
      <c r="G36" s="154">
        <v>8.3</v>
      </c>
      <c r="H36" s="155">
        <v>16973.5</v>
      </c>
      <c r="I36" s="155">
        <f>SUM(('Future Orders'!$H36) * (1.1))</f>
        <v>18670.85</v>
      </c>
      <c r="J36" s="159">
        <f>SUMIFS('Future Orders'!$F36, 'Future Orders'!$D36, "1", 'Future Orders'!$C36, "A", 'Future Orders'!$B36, "1")</f>
        <v>0</v>
      </c>
      <c r="K36" s="157">
        <f>SUMIFS('Future Orders'!$I36, 'Future Orders'!$D36, "1", 'Future Orders'!$C36, "A", 'Future Orders'!$B36, "1")</f>
        <v>0</v>
      </c>
      <c r="L36" s="157">
        <f>SUMIFS('Future Orders'!$F36, 'Future Orders'!$D36, "1", 'Future Orders'!$C36, "B", 'Future Orders'!$B36, "1")</f>
        <v>0</v>
      </c>
      <c r="M36" s="157">
        <f>SUMIFS('Future Orders'!$I36, 'Future Orders'!$D36, "1", 'Future Orders'!$C36, "B", 'Future Orders'!$B36, "1")</f>
        <v>0</v>
      </c>
      <c r="N36" s="159">
        <f>SUMIFS('Future Orders'!$F36, 'Future Orders'!$D36, "1", 'Future Orders'!$C36, "A", 'Future Orders'!$B36, "2")</f>
        <v>0</v>
      </c>
      <c r="O36" s="157">
        <f>SUMIFS('Future Orders'!$I36, 'Future Orders'!$D36, "1", 'Future Orders'!$C36, "A", 'Future Orders'!$B36, "2")</f>
        <v>0</v>
      </c>
      <c r="P36" s="157">
        <f>SUMIFS('Future Orders'!$E36, 'Future Orders'!$D36, "1", 'Future Orders'!$C36, "B", 'Future Orders'!$B36, "2")</f>
        <v>0</v>
      </c>
      <c r="Q36" s="157">
        <f>SUMIFS('Future Orders'!$I36, 'Future Orders'!$D36, "1", 'Future Orders'!$C36, "B", 'Future Orders'!$B36, "2")</f>
        <v>0</v>
      </c>
      <c r="R36" s="159">
        <f>SUMIFS('Future Orders'!$F36, 'Future Orders'!$D36, "2", 'Future Orders'!$C36, "A", 'Future Orders'!$B36, "1")</f>
        <v>0</v>
      </c>
      <c r="S36" s="157">
        <f>SUMIFS('Future Orders'!$I36, 'Future Orders'!$D36, "2", 'Future Orders'!$C36, "A", 'Future Orders'!$B36, "1")</f>
        <v>0</v>
      </c>
      <c r="T36" s="159">
        <f>SUMIFS('Future Orders'!$F36, 'Future Orders'!$D36, "2", 'Future Orders'!$C36, "B", 'Future Orders'!$B36, "1")</f>
        <v>0</v>
      </c>
      <c r="U36" s="157">
        <f>SUMIFS('Future Orders'!$I36, 'Future Orders'!$D36, "2", 'Future Orders'!$C36, "B", 'Future Orders'!$B36, "1")</f>
        <v>0</v>
      </c>
      <c r="V36" s="159">
        <f>SUMIFS('Future Orders'!$F36, 'Future Orders'!$D36, "2", 'Future Orders'!$C36, "A", 'Future Orders'!$B36, "2")</f>
        <v>0</v>
      </c>
      <c r="W36" s="157">
        <f>SUMIFS('Future Orders'!$I36, 'Future Orders'!$D36, "2", 'Future Orders'!$C36, "A", 'Future Orders'!$B36, "2")</f>
        <v>0</v>
      </c>
      <c r="X36" s="159">
        <f>SUMIFS('Future Orders'!$F36, 'Future Orders'!$D36, "2", 'Future Orders'!$C36, "B", 'Future Orders'!$B36, "2")</f>
        <v>0</v>
      </c>
      <c r="Y36" s="159">
        <f>SUMIFS('Future Orders'!$I36, 'Future Orders'!$D36, "2", 'Future Orders'!$C36, "B", 'Future Orders'!$B36, "2")</f>
        <v>0</v>
      </c>
      <c r="Z36" s="159">
        <f>SUMIFS('Future Orders'!$F36, 'Future Orders'!$D36, "3", 'Future Orders'!$C36, "A", 'Future Orders'!$B36, "1")</f>
        <v>0</v>
      </c>
      <c r="AA36" s="159">
        <f>SUMIFS('Future Orders'!$I36, 'Future Orders'!$D36, "3", 'Future Orders'!$C36, "A", 'Future Orders'!$B36, "1")</f>
        <v>0</v>
      </c>
      <c r="AB36" s="159">
        <f>SUMIFS('Future Orders'!$F36, 'Future Orders'!$D36, "3", 'Future Orders'!$C36, "B", 'Future Orders'!$B36, "1")</f>
        <v>2249.5</v>
      </c>
      <c r="AC36" s="159">
        <f>SUMIFS('Future Orders'!$I36, 'Future Orders'!$D36, "3", 'Future Orders'!$C36, "B", 'Future Orders'!$B36, "1")</f>
        <v>18670.85</v>
      </c>
      <c r="AD36" s="159">
        <f>SUMIFS('Future Orders'!$F36, 'Future Orders'!$D36, "3", 'Future Orders'!$C36, "A", 'Future Orders'!$B36, "2")</f>
        <v>0</v>
      </c>
      <c r="AE36" s="159">
        <f>SUMIFS('Future Orders'!$I36, 'Future Orders'!$D36, "3", 'Future Orders'!$C36, "A", 'Future Orders'!$B36, "2")</f>
        <v>0</v>
      </c>
      <c r="AF36" s="159">
        <f>SUMIFS('Future Orders'!$F36, 'Future Orders'!$D36, "3", 'Future Orders'!$C36, "B", 'Future Orders'!$B36, "2")</f>
        <v>0</v>
      </c>
      <c r="AG36" s="157">
        <f>SUMIFS('Future Orders'!$I36, 'Future Orders'!$D36, "3", 'Future Orders'!$C36, "B", 'Future Orders'!$B36, "2")</f>
        <v>0</v>
      </c>
      <c r="AH36" s="157">
        <f>SUMIFS('Future Orders'!$F36, 'Future Orders'!$D36, "4", 'Future Orders'!$C36, "A", 'Future Orders'!$B36, "1")</f>
        <v>0</v>
      </c>
      <c r="AI36" s="157">
        <f>SUMIFS('Future Orders'!$I36, 'Future Orders'!$D36, "4", 'Future Orders'!$C36, "A", 'Future Orders'!$B36, "1")</f>
        <v>0</v>
      </c>
      <c r="AJ36" s="157">
        <f>SUMIFS('Future Orders'!$F36, 'Future Orders'!$D36, "4", 'Future Orders'!$C36, "B", 'Future Orders'!$B36, "1")</f>
        <v>0</v>
      </c>
      <c r="AK36" s="157">
        <f>SUMIFS('Future Orders'!$I36, 'Future Orders'!$D36, "4", 'Future Orders'!$C36, "B", 'Future Orders'!$B36, "1")</f>
        <v>0</v>
      </c>
      <c r="AL36" s="157">
        <f>SUMIFS('Future Orders'!$F36, 'Future Orders'!$D36, "4", 'Future Orders'!$C36, "A", 'Future Orders'!$B36, "2")</f>
        <v>0</v>
      </c>
      <c r="AM36" s="157">
        <f>SUMIFS('Future Orders'!$I36, 'Future Orders'!$D36, "4", 'Future Orders'!$C36, "A", 'Future Orders'!$B36, "2")</f>
        <v>0</v>
      </c>
      <c r="AN36" s="171">
        <f>SUMIFS('Future Orders'!$F36, 'Future Orders'!$D36, "4", 'Future Orders'!$C36, "B", 'Future Orders'!$B36, "2")</f>
        <v>0</v>
      </c>
      <c r="AO36" s="171">
        <f>SUMIFS('Future Orders'!$I36, 'Future Orders'!$D36, "4", 'Future Orders'!$C36, "B", 'Future Orders'!$B36, "2")</f>
        <v>0</v>
      </c>
      <c r="AP36" s="171">
        <f>SUMIFS('Future Orders'!$H36, 'Future Orders'!$C36, "A", 'Future Orders'!$B36, "1")</f>
        <v>0</v>
      </c>
      <c r="AQ36" s="171">
        <f>SUMIFS('Future Orders'!$I36, 'Future Orders'!$C36, "B", 'Future Orders'!$B36, "1")</f>
        <v>18670.85</v>
      </c>
      <c r="AR36" s="171">
        <f>SUMIFS('Future Orders'!$H36, 'Future Orders'!$C36, "A", 'Future Orders'!$B36, "2")</f>
        <v>0</v>
      </c>
      <c r="AS36" s="171">
        <f>SUMIFS('Future Orders'!$I36, 'Future Orders'!$C36, "B", 'Future Orders'!$B36, "2")</f>
        <v>0</v>
      </c>
      <c r="AT36" s="145"/>
      <c r="AU36" s="146"/>
      <c r="AV36" s="161">
        <v>42093.0</v>
      </c>
      <c r="AW36" s="162"/>
      <c r="AX36" s="163">
        <f t="shared" si="1"/>
        <v>42093</v>
      </c>
      <c r="AY36" s="164">
        <f t="shared" si="2"/>
        <v>24486</v>
      </c>
      <c r="AZ36" s="164">
        <f t="shared" si="3"/>
        <v>12161</v>
      </c>
      <c r="BA36" s="164">
        <f t="shared" si="4"/>
        <v>12325</v>
      </c>
      <c r="BB36" s="164">
        <f t="shared" si="5"/>
        <v>19347</v>
      </c>
      <c r="BC36" s="164">
        <f t="shared" si="6"/>
        <v>5139</v>
      </c>
      <c r="BD36" s="165"/>
      <c r="BE36" s="166">
        <f t="shared" si="7"/>
        <v>80464.01</v>
      </c>
      <c r="BF36" s="166">
        <f t="shared" si="8"/>
        <v>37948.46</v>
      </c>
      <c r="BG36" s="166">
        <f t="shared" si="9"/>
        <v>42515.55</v>
      </c>
      <c r="BH36" s="167"/>
      <c r="BI36" s="166">
        <f t="shared" si="10"/>
        <v>10817.4</v>
      </c>
      <c r="BJ36" s="166">
        <f t="shared" si="11"/>
        <v>7282.44</v>
      </c>
      <c r="BK36" s="166">
        <f t="shared" si="12"/>
        <v>0</v>
      </c>
      <c r="BL36" s="166">
        <f t="shared" si="13"/>
        <v>10817.4</v>
      </c>
      <c r="BM36" s="166">
        <f>SUM('Future Orders'!$BI36:$BL36)</f>
        <v>28917.24</v>
      </c>
      <c r="BN36" s="167"/>
      <c r="BO36" s="166">
        <f t="shared" si="14"/>
        <v>0</v>
      </c>
      <c r="BP36" s="166">
        <f t="shared" si="15"/>
        <v>0</v>
      </c>
      <c r="BQ36" s="166">
        <f t="shared" si="16"/>
        <v>19848.62</v>
      </c>
      <c r="BR36" s="166">
        <f t="shared" si="17"/>
        <v>0</v>
      </c>
      <c r="BS36" s="166">
        <f>SUM('Future Orders'!$BO36:$BR36)</f>
        <v>19848.62</v>
      </c>
      <c r="BT36" s="167"/>
      <c r="BU36" s="166">
        <f t="shared" si="18"/>
        <v>6797.78</v>
      </c>
      <c r="BV36" s="166">
        <f t="shared" si="19"/>
        <v>8647.32</v>
      </c>
      <c r="BW36" s="166">
        <f t="shared" si="20"/>
        <v>0</v>
      </c>
      <c r="BX36" s="166">
        <f t="shared" si="21"/>
        <v>6797.78</v>
      </c>
      <c r="BY36" s="166">
        <f>SUM('Future Orders'!$BU36:$BX36)</f>
        <v>22242.88</v>
      </c>
      <c r="BZ36" s="167"/>
      <c r="CA36" s="166">
        <f t="shared" si="22"/>
        <v>0</v>
      </c>
      <c r="CB36" s="166">
        <f t="shared" si="23"/>
        <v>0</v>
      </c>
      <c r="CC36" s="166">
        <f t="shared" si="24"/>
        <v>27070.45</v>
      </c>
      <c r="CD36" s="166">
        <f t="shared" si="25"/>
        <v>0</v>
      </c>
      <c r="CE36" s="166">
        <f>SUM('Future Orders'!$CA36:$CD36)</f>
        <v>27070.45</v>
      </c>
      <c r="CF36" s="167"/>
      <c r="CG36" s="166">
        <f>SUM('Future Orders'!$BI36:$BJ36)
+ SUM('Future Orders'!$BU36:$BV36)</f>
        <v>33544.94</v>
      </c>
      <c r="CH36" s="166">
        <f>SUM('Future Orders'!$BQ36)
+ SUM('Future Orders'!$BX36)</f>
        <v>26646.4</v>
      </c>
      <c r="CI36" s="166">
        <f>SUM('Future Orders'!$BI36:$BJ36)
+ SUM('Future Orders'!$BU36:$BV36)
+ SUM(('Future Orders'!$BI36) * 2)</f>
        <v>55179.74</v>
      </c>
      <c r="CJ36" s="166">
        <f>SUM(('Future Orders'!$BQ36) * 2) + SUM('Future Orders'!$BX36)</f>
        <v>46495.02</v>
      </c>
      <c r="CK36" s="167"/>
      <c r="CL36" s="168">
        <f t="shared" si="26"/>
        <v>3</v>
      </c>
      <c r="CM36" s="168">
        <f t="shared" si="27"/>
        <v>3</v>
      </c>
      <c r="CN36" s="168">
        <f t="shared" si="28"/>
        <v>4</v>
      </c>
      <c r="CO36" s="168">
        <f t="shared" si="29"/>
        <v>2</v>
      </c>
      <c r="CP36" s="168">
        <f t="shared" si="30"/>
        <v>2</v>
      </c>
      <c r="CQ36" s="169">
        <f t="shared" si="31"/>
        <v>2</v>
      </c>
      <c r="CR36" s="169">
        <f t="shared" si="32"/>
        <v>2</v>
      </c>
      <c r="CS36" s="170"/>
    </row>
    <row r="37" ht="15.75" customHeight="1">
      <c r="A37" s="151">
        <v>41890.0</v>
      </c>
      <c r="B37" s="152">
        <v>2.0</v>
      </c>
      <c r="C37" s="152" t="s">
        <v>46</v>
      </c>
      <c r="D37" s="152">
        <v>3.0</v>
      </c>
      <c r="E37" s="153">
        <v>2174.0</v>
      </c>
      <c r="F37" s="153">
        <f>SUM(('Future Orders'!$E37) * (1.1))</f>
        <v>2391.4</v>
      </c>
      <c r="G37" s="154">
        <v>8.3</v>
      </c>
      <c r="H37" s="155">
        <v>18044.2</v>
      </c>
      <c r="I37" s="155">
        <f>SUM(('Future Orders'!$H37) * (1.1))</f>
        <v>19848.62</v>
      </c>
      <c r="J37" s="159">
        <f>SUMIFS('Future Orders'!$F37, 'Future Orders'!$D37, "1", 'Future Orders'!$C37, "A", 'Future Orders'!$B37, "1")</f>
        <v>0</v>
      </c>
      <c r="K37" s="157">
        <f>SUMIFS('Future Orders'!$I37, 'Future Orders'!$D37, "1", 'Future Orders'!$C37, "A", 'Future Orders'!$B37, "1")</f>
        <v>0</v>
      </c>
      <c r="L37" s="157">
        <f>SUMIFS('Future Orders'!$F37, 'Future Orders'!$D37, "1", 'Future Orders'!$C37, "B", 'Future Orders'!$B37, "1")</f>
        <v>0</v>
      </c>
      <c r="M37" s="157">
        <f>SUMIFS('Future Orders'!$I37, 'Future Orders'!$D37, "1", 'Future Orders'!$C37, "B", 'Future Orders'!$B37, "1")</f>
        <v>0</v>
      </c>
      <c r="N37" s="159">
        <f>SUMIFS('Future Orders'!$F37, 'Future Orders'!$D37, "1", 'Future Orders'!$C37, "A", 'Future Orders'!$B37, "2")</f>
        <v>0</v>
      </c>
      <c r="O37" s="157">
        <f>SUMIFS('Future Orders'!$I37, 'Future Orders'!$D37, "1", 'Future Orders'!$C37, "A", 'Future Orders'!$B37, "2")</f>
        <v>0</v>
      </c>
      <c r="P37" s="157">
        <f>SUMIFS('Future Orders'!$E37, 'Future Orders'!$D37, "1", 'Future Orders'!$C37, "B", 'Future Orders'!$B37, "2")</f>
        <v>0</v>
      </c>
      <c r="Q37" s="157">
        <f>SUMIFS('Future Orders'!$I37, 'Future Orders'!$D37, "1", 'Future Orders'!$C37, "B", 'Future Orders'!$B37, "2")</f>
        <v>0</v>
      </c>
      <c r="R37" s="159">
        <f>SUMIFS('Future Orders'!$F37, 'Future Orders'!$D37, "2", 'Future Orders'!$C37, "A", 'Future Orders'!$B37, "1")</f>
        <v>0</v>
      </c>
      <c r="S37" s="157">
        <f>SUMIFS('Future Orders'!$I37, 'Future Orders'!$D37, "2", 'Future Orders'!$C37, "A", 'Future Orders'!$B37, "1")</f>
        <v>0</v>
      </c>
      <c r="T37" s="159">
        <f>SUMIFS('Future Orders'!$F37, 'Future Orders'!$D37, "2", 'Future Orders'!$C37, "B", 'Future Orders'!$B37, "1")</f>
        <v>0</v>
      </c>
      <c r="U37" s="157">
        <f>SUMIFS('Future Orders'!$I37, 'Future Orders'!$D37, "2", 'Future Orders'!$C37, "B", 'Future Orders'!$B37, "1")</f>
        <v>0</v>
      </c>
      <c r="V37" s="159">
        <f>SUMIFS('Future Orders'!$F37, 'Future Orders'!$D37, "2", 'Future Orders'!$C37, "A", 'Future Orders'!$B37, "2")</f>
        <v>0</v>
      </c>
      <c r="W37" s="157">
        <f>SUMIFS('Future Orders'!$I37, 'Future Orders'!$D37, "2", 'Future Orders'!$C37, "A", 'Future Orders'!$B37, "2")</f>
        <v>0</v>
      </c>
      <c r="X37" s="159">
        <f>SUMIFS('Future Orders'!$F37, 'Future Orders'!$D37, "2", 'Future Orders'!$C37, "B", 'Future Orders'!$B37, "2")</f>
        <v>0</v>
      </c>
      <c r="Y37" s="159">
        <f>SUMIFS('Future Orders'!$I37, 'Future Orders'!$D37, "2", 'Future Orders'!$C37, "B", 'Future Orders'!$B37, "2")</f>
        <v>0</v>
      </c>
      <c r="Z37" s="159">
        <f>SUMIFS('Future Orders'!$F37, 'Future Orders'!$D37, "3", 'Future Orders'!$C37, "A", 'Future Orders'!$B37, "1")</f>
        <v>0</v>
      </c>
      <c r="AA37" s="159">
        <f>SUMIFS('Future Orders'!$I37, 'Future Orders'!$D37, "3", 'Future Orders'!$C37, "A", 'Future Orders'!$B37, "1")</f>
        <v>0</v>
      </c>
      <c r="AB37" s="159">
        <f>SUMIFS('Future Orders'!$F37, 'Future Orders'!$D37, "3", 'Future Orders'!$C37, "B", 'Future Orders'!$B37, "1")</f>
        <v>0</v>
      </c>
      <c r="AC37" s="159">
        <f>SUMIFS('Future Orders'!$I37, 'Future Orders'!$D37, "3", 'Future Orders'!$C37, "B", 'Future Orders'!$B37, "1")</f>
        <v>0</v>
      </c>
      <c r="AD37" s="159">
        <f>SUMIFS('Future Orders'!$F37, 'Future Orders'!$D37, "3", 'Future Orders'!$C37, "A", 'Future Orders'!$B37, "2")</f>
        <v>0</v>
      </c>
      <c r="AE37" s="159">
        <f>SUMIFS('Future Orders'!$I37, 'Future Orders'!$D37, "3", 'Future Orders'!$C37, "A", 'Future Orders'!$B37, "2")</f>
        <v>0</v>
      </c>
      <c r="AF37" s="159">
        <f>SUMIFS('Future Orders'!$F37, 'Future Orders'!$D37, "3", 'Future Orders'!$C37, "B", 'Future Orders'!$B37, "2")</f>
        <v>2391.4</v>
      </c>
      <c r="AG37" s="157">
        <f>SUMIFS('Future Orders'!$I37, 'Future Orders'!$D37, "3", 'Future Orders'!$C37, "B", 'Future Orders'!$B37, "2")</f>
        <v>19848.62</v>
      </c>
      <c r="AH37" s="157">
        <f>SUMIFS('Future Orders'!$F37, 'Future Orders'!$D37, "4", 'Future Orders'!$C37, "A", 'Future Orders'!$B37, "1")</f>
        <v>0</v>
      </c>
      <c r="AI37" s="157">
        <f>SUMIFS('Future Orders'!$I37, 'Future Orders'!$D37, "4", 'Future Orders'!$C37, "A", 'Future Orders'!$B37, "1")</f>
        <v>0</v>
      </c>
      <c r="AJ37" s="157">
        <f>SUMIFS('Future Orders'!$F37, 'Future Orders'!$D37, "4", 'Future Orders'!$C37, "B", 'Future Orders'!$B37, "1")</f>
        <v>0</v>
      </c>
      <c r="AK37" s="157">
        <f>SUMIFS('Future Orders'!$I37, 'Future Orders'!$D37, "4", 'Future Orders'!$C37, "B", 'Future Orders'!$B37, "1")</f>
        <v>0</v>
      </c>
      <c r="AL37" s="157">
        <f>SUMIFS('Future Orders'!$F37, 'Future Orders'!$D37, "4", 'Future Orders'!$C37, "A", 'Future Orders'!$B37, "2")</f>
        <v>0</v>
      </c>
      <c r="AM37" s="157">
        <f>SUMIFS('Future Orders'!$I37, 'Future Orders'!$D37, "4", 'Future Orders'!$C37, "A", 'Future Orders'!$B37, "2")</f>
        <v>0</v>
      </c>
      <c r="AN37" s="171">
        <f>SUMIFS('Future Orders'!$F37, 'Future Orders'!$D37, "4", 'Future Orders'!$C37, "B", 'Future Orders'!$B37, "2")</f>
        <v>0</v>
      </c>
      <c r="AO37" s="171">
        <f>SUMIFS('Future Orders'!$I37, 'Future Orders'!$D37, "4", 'Future Orders'!$C37, "B", 'Future Orders'!$B37, "2")</f>
        <v>0</v>
      </c>
      <c r="AP37" s="171">
        <f>SUMIFS('Future Orders'!$H37, 'Future Orders'!$C37, "A", 'Future Orders'!$B37, "1")</f>
        <v>0</v>
      </c>
      <c r="AQ37" s="171">
        <f>SUMIFS('Future Orders'!$I37, 'Future Orders'!$C37, "B", 'Future Orders'!$B37, "1")</f>
        <v>0</v>
      </c>
      <c r="AR37" s="171">
        <f>SUMIFS('Future Orders'!$H37, 'Future Orders'!$C37, "A", 'Future Orders'!$B37, "2")</f>
        <v>0</v>
      </c>
      <c r="AS37" s="171">
        <f>SUMIFS('Future Orders'!$I37, 'Future Orders'!$C37, "B", 'Future Orders'!$B37, "2")</f>
        <v>19848.62</v>
      </c>
      <c r="AT37" s="145"/>
      <c r="AU37" s="146"/>
      <c r="AV37" s="161">
        <v>42100.0</v>
      </c>
      <c r="AW37" s="162"/>
      <c r="AX37" s="163">
        <f t="shared" si="1"/>
        <v>42100</v>
      </c>
      <c r="AY37" s="164">
        <f t="shared" si="2"/>
        <v>27747</v>
      </c>
      <c r="AZ37" s="164">
        <f t="shared" si="3"/>
        <v>13380</v>
      </c>
      <c r="BA37" s="164">
        <f t="shared" si="4"/>
        <v>14367</v>
      </c>
      <c r="BB37" s="164">
        <f t="shared" si="5"/>
        <v>22623</v>
      </c>
      <c r="BC37" s="164">
        <f t="shared" si="6"/>
        <v>5124</v>
      </c>
      <c r="BD37" s="165"/>
      <c r="BE37" s="166">
        <f t="shared" si="7"/>
        <v>86006.58</v>
      </c>
      <c r="BF37" s="166">
        <f t="shared" si="8"/>
        <v>39864.77</v>
      </c>
      <c r="BG37" s="166">
        <f t="shared" si="9"/>
        <v>46141.81</v>
      </c>
      <c r="BH37" s="167"/>
      <c r="BI37" s="166">
        <f t="shared" si="10"/>
        <v>11613.58</v>
      </c>
      <c r="BJ37" s="166">
        <f t="shared" si="11"/>
        <v>8466.48</v>
      </c>
      <c r="BK37" s="166">
        <f t="shared" si="12"/>
        <v>0</v>
      </c>
      <c r="BL37" s="166">
        <f t="shared" si="13"/>
        <v>11613.58</v>
      </c>
      <c r="BM37" s="166">
        <f>SUM('Future Orders'!$BI37:$BL37)</f>
        <v>31693.64</v>
      </c>
      <c r="BN37" s="167"/>
      <c r="BO37" s="166">
        <f t="shared" si="14"/>
        <v>0</v>
      </c>
      <c r="BP37" s="166">
        <f t="shared" si="15"/>
        <v>0</v>
      </c>
      <c r="BQ37" s="166">
        <f t="shared" si="16"/>
        <v>19784.71</v>
      </c>
      <c r="BR37" s="166">
        <f t="shared" si="17"/>
        <v>0</v>
      </c>
      <c r="BS37" s="166">
        <f>SUM('Future Orders'!$BO37:$BR37)</f>
        <v>19784.71</v>
      </c>
      <c r="BT37" s="167"/>
      <c r="BU37" s="166">
        <f t="shared" si="18"/>
        <v>8983.04</v>
      </c>
      <c r="BV37" s="166">
        <f t="shared" si="19"/>
        <v>10161.36</v>
      </c>
      <c r="BW37" s="166">
        <f t="shared" si="20"/>
        <v>0</v>
      </c>
      <c r="BX37" s="166">
        <f t="shared" si="21"/>
        <v>8983.04</v>
      </c>
      <c r="BY37" s="166">
        <f>SUM('Future Orders'!$BU37:$BX37)</f>
        <v>28127.44</v>
      </c>
      <c r="BZ37" s="167"/>
      <c r="CA37" s="166">
        <f t="shared" si="22"/>
        <v>0</v>
      </c>
      <c r="CB37" s="166">
        <f t="shared" si="23"/>
        <v>0</v>
      </c>
      <c r="CC37" s="166">
        <f t="shared" si="24"/>
        <v>26997.41</v>
      </c>
      <c r="CD37" s="166">
        <f t="shared" si="25"/>
        <v>0</v>
      </c>
      <c r="CE37" s="166">
        <f>SUM('Future Orders'!$CA37:$CD37)</f>
        <v>26997.41</v>
      </c>
      <c r="CF37" s="167"/>
      <c r="CG37" s="166">
        <f>SUM('Future Orders'!$BI37:$BJ37)
+ SUM('Future Orders'!$BU37:$BV37)</f>
        <v>39224.46</v>
      </c>
      <c r="CH37" s="166">
        <f>SUM('Future Orders'!$BQ37)
+ SUM('Future Orders'!$BX37)</f>
        <v>28767.75</v>
      </c>
      <c r="CI37" s="166">
        <f>SUM('Future Orders'!$BI37:$BJ37)
+ SUM('Future Orders'!$BU37:$BV37)
+ SUM(('Future Orders'!$BI37) * 2)</f>
        <v>62451.62</v>
      </c>
      <c r="CJ37" s="166">
        <f>SUM(('Future Orders'!$BQ37) * 2) + SUM('Future Orders'!$BX37)</f>
        <v>48552.46</v>
      </c>
      <c r="CK37" s="167"/>
      <c r="CL37" s="168">
        <f t="shared" si="26"/>
        <v>3</v>
      </c>
      <c r="CM37" s="168">
        <f t="shared" si="27"/>
        <v>3</v>
      </c>
      <c r="CN37" s="168">
        <f t="shared" si="28"/>
        <v>4</v>
      </c>
      <c r="CO37" s="168">
        <f t="shared" si="29"/>
        <v>2</v>
      </c>
      <c r="CP37" s="168">
        <f t="shared" si="30"/>
        <v>2</v>
      </c>
      <c r="CQ37" s="169">
        <f t="shared" si="31"/>
        <v>2</v>
      </c>
      <c r="CR37" s="169">
        <f t="shared" si="32"/>
        <v>2</v>
      </c>
      <c r="CS37" s="170"/>
    </row>
    <row r="38" ht="15.75" customHeight="1">
      <c r="A38" s="151">
        <v>41897.0</v>
      </c>
      <c r="B38" s="152">
        <v>1.0</v>
      </c>
      <c r="C38" s="152" t="s">
        <v>45</v>
      </c>
      <c r="D38" s="152">
        <v>1.0</v>
      </c>
      <c r="E38" s="153">
        <v>3999.0</v>
      </c>
      <c r="F38" s="153">
        <f>SUM(('Future Orders'!$E38) * (1.1))</f>
        <v>4398.9</v>
      </c>
      <c r="G38" s="154">
        <v>2.2</v>
      </c>
      <c r="H38" s="155">
        <v>8797.800000000001</v>
      </c>
      <c r="I38" s="155">
        <f>SUM(('Future Orders'!$H38) * (1.1))</f>
        <v>9677.58</v>
      </c>
      <c r="J38" s="159">
        <f>SUMIFS('Future Orders'!$F38, 'Future Orders'!$D38, "1", 'Future Orders'!$C38, "A", 'Future Orders'!$B38, "1")</f>
        <v>4398.9</v>
      </c>
      <c r="K38" s="157">
        <f>SUMIFS('Future Orders'!$I38, 'Future Orders'!$D38, "1", 'Future Orders'!$C38, "A", 'Future Orders'!$B38, "1")</f>
        <v>9677.58</v>
      </c>
      <c r="L38" s="157">
        <f>SUMIFS('Future Orders'!$F38, 'Future Orders'!$D38, "1", 'Future Orders'!$C38, "B", 'Future Orders'!$B38, "1")</f>
        <v>0</v>
      </c>
      <c r="M38" s="157">
        <f>SUMIFS('Future Orders'!$I38, 'Future Orders'!$D38, "1", 'Future Orders'!$C38, "B", 'Future Orders'!$B38, "1")</f>
        <v>0</v>
      </c>
      <c r="N38" s="159">
        <f>SUMIFS('Future Orders'!$F38, 'Future Orders'!$D38, "1", 'Future Orders'!$C38, "A", 'Future Orders'!$B38, "2")</f>
        <v>0</v>
      </c>
      <c r="O38" s="157">
        <f>SUMIFS('Future Orders'!$I38, 'Future Orders'!$D38, "1", 'Future Orders'!$C38, "A", 'Future Orders'!$B38, "2")</f>
        <v>0</v>
      </c>
      <c r="P38" s="157">
        <f>SUMIFS('Future Orders'!$E38, 'Future Orders'!$D38, "1", 'Future Orders'!$C38, "B", 'Future Orders'!$B38, "2")</f>
        <v>0</v>
      </c>
      <c r="Q38" s="157">
        <f>SUMIFS('Future Orders'!$I38, 'Future Orders'!$D38, "1", 'Future Orders'!$C38, "B", 'Future Orders'!$B38, "2")</f>
        <v>0</v>
      </c>
      <c r="R38" s="159">
        <f>SUMIFS('Future Orders'!$F38, 'Future Orders'!$D38, "2", 'Future Orders'!$C38, "A", 'Future Orders'!$B38, "1")</f>
        <v>0</v>
      </c>
      <c r="S38" s="157">
        <f>SUMIFS('Future Orders'!$I38, 'Future Orders'!$D38, "2", 'Future Orders'!$C38, "A", 'Future Orders'!$B38, "1")</f>
        <v>0</v>
      </c>
      <c r="T38" s="159">
        <f>SUMIFS('Future Orders'!$F38, 'Future Orders'!$D38, "2", 'Future Orders'!$C38, "B", 'Future Orders'!$B38, "1")</f>
        <v>0</v>
      </c>
      <c r="U38" s="157">
        <f>SUMIFS('Future Orders'!$I38, 'Future Orders'!$D38, "2", 'Future Orders'!$C38, "B", 'Future Orders'!$B38, "1")</f>
        <v>0</v>
      </c>
      <c r="V38" s="159">
        <f>SUMIFS('Future Orders'!$F38, 'Future Orders'!$D38, "2", 'Future Orders'!$C38, "A", 'Future Orders'!$B38, "2")</f>
        <v>0</v>
      </c>
      <c r="W38" s="157">
        <f>SUMIFS('Future Orders'!$I38, 'Future Orders'!$D38, "2", 'Future Orders'!$C38, "A", 'Future Orders'!$B38, "2")</f>
        <v>0</v>
      </c>
      <c r="X38" s="159">
        <f>SUMIFS('Future Orders'!$F38, 'Future Orders'!$D38, "2", 'Future Orders'!$C38, "B", 'Future Orders'!$B38, "2")</f>
        <v>0</v>
      </c>
      <c r="Y38" s="159">
        <f>SUMIFS('Future Orders'!$I38, 'Future Orders'!$D38, "2", 'Future Orders'!$C38, "B", 'Future Orders'!$B38, "2")</f>
        <v>0</v>
      </c>
      <c r="Z38" s="159">
        <f>SUMIFS('Future Orders'!$F38, 'Future Orders'!$D38, "3", 'Future Orders'!$C38, "A", 'Future Orders'!$B38, "1")</f>
        <v>0</v>
      </c>
      <c r="AA38" s="159">
        <f>SUMIFS('Future Orders'!$I38, 'Future Orders'!$D38, "3", 'Future Orders'!$C38, "A", 'Future Orders'!$B38, "1")</f>
        <v>0</v>
      </c>
      <c r="AB38" s="159">
        <f>SUMIFS('Future Orders'!$F38, 'Future Orders'!$D38, "3", 'Future Orders'!$C38, "B", 'Future Orders'!$B38, "1")</f>
        <v>0</v>
      </c>
      <c r="AC38" s="159">
        <f>SUMIFS('Future Orders'!$I38, 'Future Orders'!$D38, "3", 'Future Orders'!$C38, "B", 'Future Orders'!$B38, "1")</f>
        <v>0</v>
      </c>
      <c r="AD38" s="159">
        <f>SUMIFS('Future Orders'!$F38, 'Future Orders'!$D38, "3", 'Future Orders'!$C38, "A", 'Future Orders'!$B38, "2")</f>
        <v>0</v>
      </c>
      <c r="AE38" s="159">
        <f>SUMIFS('Future Orders'!$I38, 'Future Orders'!$D38, "3", 'Future Orders'!$C38, "A", 'Future Orders'!$B38, "2")</f>
        <v>0</v>
      </c>
      <c r="AF38" s="159">
        <f>SUMIFS('Future Orders'!$F38, 'Future Orders'!$D38, "3", 'Future Orders'!$C38, "B", 'Future Orders'!$B38, "2")</f>
        <v>0</v>
      </c>
      <c r="AG38" s="157">
        <f>SUMIFS('Future Orders'!$I38, 'Future Orders'!$D38, "3", 'Future Orders'!$C38, "B", 'Future Orders'!$B38, "2")</f>
        <v>0</v>
      </c>
      <c r="AH38" s="157">
        <f>SUMIFS('Future Orders'!$F38, 'Future Orders'!$D38, "4", 'Future Orders'!$C38, "A", 'Future Orders'!$B38, "1")</f>
        <v>0</v>
      </c>
      <c r="AI38" s="157">
        <f>SUMIFS('Future Orders'!$I38, 'Future Orders'!$D38, "4", 'Future Orders'!$C38, "A", 'Future Orders'!$B38, "1")</f>
        <v>0</v>
      </c>
      <c r="AJ38" s="157">
        <f>SUMIFS('Future Orders'!$F38, 'Future Orders'!$D38, "4", 'Future Orders'!$C38, "B", 'Future Orders'!$B38, "1")</f>
        <v>0</v>
      </c>
      <c r="AK38" s="157">
        <f>SUMIFS('Future Orders'!$I38, 'Future Orders'!$D38, "4", 'Future Orders'!$C38, "B", 'Future Orders'!$B38, "1")</f>
        <v>0</v>
      </c>
      <c r="AL38" s="157">
        <f>SUMIFS('Future Orders'!$F38, 'Future Orders'!$D38, "4", 'Future Orders'!$C38, "A", 'Future Orders'!$B38, "2")</f>
        <v>0</v>
      </c>
      <c r="AM38" s="157">
        <f>SUMIFS('Future Orders'!$I38, 'Future Orders'!$D38, "4", 'Future Orders'!$C38, "A", 'Future Orders'!$B38, "2")</f>
        <v>0</v>
      </c>
      <c r="AN38" s="171">
        <f>SUMIFS('Future Orders'!$F38, 'Future Orders'!$D38, "4", 'Future Orders'!$C38, "B", 'Future Orders'!$B38, "2")</f>
        <v>0</v>
      </c>
      <c r="AO38" s="171">
        <f>SUMIFS('Future Orders'!$I38, 'Future Orders'!$D38, "4", 'Future Orders'!$C38, "B", 'Future Orders'!$B38, "2")</f>
        <v>0</v>
      </c>
      <c r="AP38" s="171">
        <f>SUMIFS('Future Orders'!$H38, 'Future Orders'!$C38, "A", 'Future Orders'!$B38, "1")</f>
        <v>8797.8</v>
      </c>
      <c r="AQ38" s="171">
        <f>SUMIFS('Future Orders'!$I38, 'Future Orders'!$C38, "B", 'Future Orders'!$B38, "1")</f>
        <v>0</v>
      </c>
      <c r="AR38" s="171">
        <f>SUMIFS('Future Orders'!$H38, 'Future Orders'!$C38, "A", 'Future Orders'!$B38, "2")</f>
        <v>0</v>
      </c>
      <c r="AS38" s="171">
        <f>SUMIFS('Future Orders'!$I38, 'Future Orders'!$C38, "B", 'Future Orders'!$B38, "2")</f>
        <v>0</v>
      </c>
      <c r="AT38" s="145"/>
      <c r="AU38" s="146"/>
      <c r="AV38" s="161">
        <v>42107.0</v>
      </c>
      <c r="AW38" s="162"/>
      <c r="AX38" s="163">
        <f t="shared" si="1"/>
        <v>42107</v>
      </c>
      <c r="AY38" s="164">
        <f t="shared" si="2"/>
        <v>25961</v>
      </c>
      <c r="AZ38" s="164">
        <f t="shared" si="3"/>
        <v>13135</v>
      </c>
      <c r="BA38" s="164">
        <f t="shared" si="4"/>
        <v>12826</v>
      </c>
      <c r="BB38" s="164">
        <f t="shared" si="5"/>
        <v>21003</v>
      </c>
      <c r="BC38" s="164">
        <f t="shared" si="6"/>
        <v>4958</v>
      </c>
      <c r="BD38" s="165"/>
      <c r="BE38" s="166">
        <f t="shared" si="7"/>
        <v>81442.9</v>
      </c>
      <c r="BF38" s="166">
        <f t="shared" si="8"/>
        <v>38557.42</v>
      </c>
      <c r="BG38" s="166">
        <f t="shared" si="9"/>
        <v>42885.48</v>
      </c>
      <c r="BH38" s="167"/>
      <c r="BI38" s="166">
        <f t="shared" si="10"/>
        <v>10565.72</v>
      </c>
      <c r="BJ38" s="166">
        <f t="shared" si="11"/>
        <v>8800.44</v>
      </c>
      <c r="BK38" s="166">
        <f t="shared" si="12"/>
        <v>0</v>
      </c>
      <c r="BL38" s="166">
        <f t="shared" si="13"/>
        <v>10565.72</v>
      </c>
      <c r="BM38" s="166">
        <f>SUM('Future Orders'!$BI38:$BL38)</f>
        <v>29931.88</v>
      </c>
      <c r="BN38" s="167"/>
      <c r="BO38" s="166">
        <f t="shared" si="14"/>
        <v>0</v>
      </c>
      <c r="BP38" s="166">
        <f t="shared" si="15"/>
        <v>0</v>
      </c>
      <c r="BQ38" s="166">
        <f t="shared" si="16"/>
        <v>19191.26</v>
      </c>
      <c r="BR38" s="166">
        <f t="shared" si="17"/>
        <v>0</v>
      </c>
      <c r="BS38" s="166">
        <f>SUM('Future Orders'!$BO38:$BR38)</f>
        <v>19191.26</v>
      </c>
      <c r="BT38" s="167"/>
      <c r="BU38" s="166">
        <f t="shared" si="18"/>
        <v>8029.56</v>
      </c>
      <c r="BV38" s="166">
        <f t="shared" si="19"/>
        <v>8780.64</v>
      </c>
      <c r="BW38" s="166">
        <f t="shared" si="20"/>
        <v>0</v>
      </c>
      <c r="BX38" s="166">
        <f t="shared" si="21"/>
        <v>8029.56</v>
      </c>
      <c r="BY38" s="166">
        <f>SUM('Future Orders'!$BU38:$BX38)</f>
        <v>24839.76</v>
      </c>
      <c r="BZ38" s="167"/>
      <c r="CA38" s="166">
        <f t="shared" si="22"/>
        <v>0</v>
      </c>
      <c r="CB38" s="166">
        <f t="shared" si="23"/>
        <v>0</v>
      </c>
      <c r="CC38" s="166">
        <f t="shared" si="24"/>
        <v>26075.28</v>
      </c>
      <c r="CD38" s="166">
        <f t="shared" si="25"/>
        <v>0</v>
      </c>
      <c r="CE38" s="166">
        <f>SUM('Future Orders'!$CA38:$CD38)</f>
        <v>26075.28</v>
      </c>
      <c r="CF38" s="167"/>
      <c r="CG38" s="166">
        <f>SUM('Future Orders'!$BI38:$BJ38)
+ SUM('Future Orders'!$BU38:$BV38)</f>
        <v>36176.36</v>
      </c>
      <c r="CH38" s="166">
        <f>SUM('Future Orders'!$BQ38)
+ SUM('Future Orders'!$BX38)</f>
        <v>27220.82</v>
      </c>
      <c r="CI38" s="166">
        <f>SUM('Future Orders'!$BI38:$BJ38)
+ SUM('Future Orders'!$BU38:$BV38)
+ SUM(('Future Orders'!$BI38) * 2)</f>
        <v>57307.8</v>
      </c>
      <c r="CJ38" s="166">
        <f>SUM(('Future Orders'!$BQ38) * 2) + SUM('Future Orders'!$BX38)</f>
        <v>46412.08</v>
      </c>
      <c r="CK38" s="167"/>
      <c r="CL38" s="168">
        <f t="shared" si="26"/>
        <v>3</v>
      </c>
      <c r="CM38" s="168">
        <f t="shared" si="27"/>
        <v>3</v>
      </c>
      <c r="CN38" s="168">
        <f t="shared" si="28"/>
        <v>4</v>
      </c>
      <c r="CO38" s="168">
        <f t="shared" si="29"/>
        <v>2</v>
      </c>
      <c r="CP38" s="168">
        <f t="shared" si="30"/>
        <v>2</v>
      </c>
      <c r="CQ38" s="169">
        <f t="shared" si="31"/>
        <v>2</v>
      </c>
      <c r="CR38" s="169">
        <f t="shared" si="32"/>
        <v>2</v>
      </c>
      <c r="CS38" s="170"/>
    </row>
    <row r="39" ht="15.75" customHeight="1">
      <c r="A39" s="151">
        <v>41897.0</v>
      </c>
      <c r="B39" s="152">
        <v>1.0</v>
      </c>
      <c r="C39" s="152" t="s">
        <v>45</v>
      </c>
      <c r="D39" s="152">
        <v>2.0</v>
      </c>
      <c r="E39" s="153">
        <v>5497.0</v>
      </c>
      <c r="F39" s="153">
        <f>SUM(('Future Orders'!$E39) * (1.1))</f>
        <v>6046.7</v>
      </c>
      <c r="G39" s="154">
        <v>1.2</v>
      </c>
      <c r="H39" s="155">
        <v>6596.4</v>
      </c>
      <c r="I39" s="155">
        <f>SUM(('Future Orders'!$H39) * (1.1))</f>
        <v>7256.04</v>
      </c>
      <c r="J39" s="159">
        <f>SUMIFS('Future Orders'!$F39, 'Future Orders'!$D39, "1", 'Future Orders'!$C39, "A", 'Future Orders'!$B39, "1")</f>
        <v>0</v>
      </c>
      <c r="K39" s="157">
        <f>SUMIFS('Future Orders'!$I39, 'Future Orders'!$D39, "1", 'Future Orders'!$C39, "A", 'Future Orders'!$B39, "1")</f>
        <v>0</v>
      </c>
      <c r="L39" s="157">
        <f>SUMIFS('Future Orders'!$F39, 'Future Orders'!$D39, "1", 'Future Orders'!$C39, "B", 'Future Orders'!$B39, "1")</f>
        <v>0</v>
      </c>
      <c r="M39" s="157">
        <f>SUMIFS('Future Orders'!$I39, 'Future Orders'!$D39, "1", 'Future Orders'!$C39, "B", 'Future Orders'!$B39, "1")</f>
        <v>0</v>
      </c>
      <c r="N39" s="159">
        <f>SUMIFS('Future Orders'!$F39, 'Future Orders'!$D39, "1", 'Future Orders'!$C39, "A", 'Future Orders'!$B39, "2")</f>
        <v>0</v>
      </c>
      <c r="O39" s="157">
        <f>SUMIFS('Future Orders'!$I39, 'Future Orders'!$D39, "1", 'Future Orders'!$C39, "A", 'Future Orders'!$B39, "2")</f>
        <v>0</v>
      </c>
      <c r="P39" s="157">
        <f>SUMIFS('Future Orders'!$E39, 'Future Orders'!$D39, "1", 'Future Orders'!$C39, "B", 'Future Orders'!$B39, "2")</f>
        <v>0</v>
      </c>
      <c r="Q39" s="157">
        <f>SUMIFS('Future Orders'!$I39, 'Future Orders'!$D39, "1", 'Future Orders'!$C39, "B", 'Future Orders'!$B39, "2")</f>
        <v>0</v>
      </c>
      <c r="R39" s="159">
        <f>SUMIFS('Future Orders'!$F39, 'Future Orders'!$D39, "2", 'Future Orders'!$C39, "A", 'Future Orders'!$B39, "1")</f>
        <v>6046.7</v>
      </c>
      <c r="S39" s="157">
        <f>SUMIFS('Future Orders'!$I39, 'Future Orders'!$D39, "2", 'Future Orders'!$C39, "A", 'Future Orders'!$B39, "1")</f>
        <v>7256.04</v>
      </c>
      <c r="T39" s="159">
        <f>SUMIFS('Future Orders'!$F39, 'Future Orders'!$D39, "2", 'Future Orders'!$C39, "B", 'Future Orders'!$B39, "1")</f>
        <v>0</v>
      </c>
      <c r="U39" s="157">
        <f>SUMIFS('Future Orders'!$I39, 'Future Orders'!$D39, "2", 'Future Orders'!$C39, "B", 'Future Orders'!$B39, "1")</f>
        <v>0</v>
      </c>
      <c r="V39" s="159">
        <f>SUMIFS('Future Orders'!$F39, 'Future Orders'!$D39, "2", 'Future Orders'!$C39, "A", 'Future Orders'!$B39, "2")</f>
        <v>0</v>
      </c>
      <c r="W39" s="157">
        <f>SUMIFS('Future Orders'!$I39, 'Future Orders'!$D39, "2", 'Future Orders'!$C39, "A", 'Future Orders'!$B39, "2")</f>
        <v>0</v>
      </c>
      <c r="X39" s="159">
        <f>SUMIFS('Future Orders'!$F39, 'Future Orders'!$D39, "2", 'Future Orders'!$C39, "B", 'Future Orders'!$B39, "2")</f>
        <v>0</v>
      </c>
      <c r="Y39" s="159">
        <f>SUMIFS('Future Orders'!$I39, 'Future Orders'!$D39, "2", 'Future Orders'!$C39, "B", 'Future Orders'!$B39, "2")</f>
        <v>0</v>
      </c>
      <c r="Z39" s="159">
        <f>SUMIFS('Future Orders'!$F39, 'Future Orders'!$D39, "3", 'Future Orders'!$C39, "A", 'Future Orders'!$B39, "1")</f>
        <v>0</v>
      </c>
      <c r="AA39" s="159">
        <f>SUMIFS('Future Orders'!$I39, 'Future Orders'!$D39, "3", 'Future Orders'!$C39, "A", 'Future Orders'!$B39, "1")</f>
        <v>0</v>
      </c>
      <c r="AB39" s="159">
        <f>SUMIFS('Future Orders'!$F39, 'Future Orders'!$D39, "3", 'Future Orders'!$C39, "B", 'Future Orders'!$B39, "1")</f>
        <v>0</v>
      </c>
      <c r="AC39" s="159">
        <f>SUMIFS('Future Orders'!$I39, 'Future Orders'!$D39, "3", 'Future Orders'!$C39, "B", 'Future Orders'!$B39, "1")</f>
        <v>0</v>
      </c>
      <c r="AD39" s="159">
        <f>SUMIFS('Future Orders'!$F39, 'Future Orders'!$D39, "3", 'Future Orders'!$C39, "A", 'Future Orders'!$B39, "2")</f>
        <v>0</v>
      </c>
      <c r="AE39" s="159">
        <f>SUMIFS('Future Orders'!$I39, 'Future Orders'!$D39, "3", 'Future Orders'!$C39, "A", 'Future Orders'!$B39, "2")</f>
        <v>0</v>
      </c>
      <c r="AF39" s="159">
        <f>SUMIFS('Future Orders'!$F39, 'Future Orders'!$D39, "3", 'Future Orders'!$C39, "B", 'Future Orders'!$B39, "2")</f>
        <v>0</v>
      </c>
      <c r="AG39" s="157">
        <f>SUMIFS('Future Orders'!$I39, 'Future Orders'!$D39, "3", 'Future Orders'!$C39, "B", 'Future Orders'!$B39, "2")</f>
        <v>0</v>
      </c>
      <c r="AH39" s="157">
        <f>SUMIFS('Future Orders'!$F39, 'Future Orders'!$D39, "4", 'Future Orders'!$C39, "A", 'Future Orders'!$B39, "1")</f>
        <v>0</v>
      </c>
      <c r="AI39" s="157">
        <f>SUMIFS('Future Orders'!$I39, 'Future Orders'!$D39, "4", 'Future Orders'!$C39, "A", 'Future Orders'!$B39, "1")</f>
        <v>0</v>
      </c>
      <c r="AJ39" s="157">
        <f>SUMIFS('Future Orders'!$F39, 'Future Orders'!$D39, "4", 'Future Orders'!$C39, "B", 'Future Orders'!$B39, "1")</f>
        <v>0</v>
      </c>
      <c r="AK39" s="157">
        <f>SUMIFS('Future Orders'!$I39, 'Future Orders'!$D39, "4", 'Future Orders'!$C39, "B", 'Future Orders'!$B39, "1")</f>
        <v>0</v>
      </c>
      <c r="AL39" s="157">
        <f>SUMIFS('Future Orders'!$F39, 'Future Orders'!$D39, "4", 'Future Orders'!$C39, "A", 'Future Orders'!$B39, "2")</f>
        <v>0</v>
      </c>
      <c r="AM39" s="157">
        <f>SUMIFS('Future Orders'!$I39, 'Future Orders'!$D39, "4", 'Future Orders'!$C39, "A", 'Future Orders'!$B39, "2")</f>
        <v>0</v>
      </c>
      <c r="AN39" s="171">
        <f>SUMIFS('Future Orders'!$F39, 'Future Orders'!$D39, "4", 'Future Orders'!$C39, "B", 'Future Orders'!$B39, "2")</f>
        <v>0</v>
      </c>
      <c r="AO39" s="171">
        <f>SUMIFS('Future Orders'!$I39, 'Future Orders'!$D39, "4", 'Future Orders'!$C39, "B", 'Future Orders'!$B39, "2")</f>
        <v>0</v>
      </c>
      <c r="AP39" s="171">
        <f>SUMIFS('Future Orders'!$H39, 'Future Orders'!$C39, "A", 'Future Orders'!$B39, "1")</f>
        <v>6596.4</v>
      </c>
      <c r="AQ39" s="171">
        <f>SUMIFS('Future Orders'!$I39, 'Future Orders'!$C39, "B", 'Future Orders'!$B39, "1")</f>
        <v>0</v>
      </c>
      <c r="AR39" s="171">
        <f>SUMIFS('Future Orders'!$H39, 'Future Orders'!$C39, "A", 'Future Orders'!$B39, "2")</f>
        <v>0</v>
      </c>
      <c r="AS39" s="171">
        <f>SUMIFS('Future Orders'!$I39, 'Future Orders'!$C39, "B", 'Future Orders'!$B39, "2")</f>
        <v>0</v>
      </c>
      <c r="AT39" s="145"/>
      <c r="AU39" s="146"/>
      <c r="AV39" s="161">
        <v>42114.0</v>
      </c>
      <c r="AW39" s="162"/>
      <c r="AX39" s="163">
        <f t="shared" si="1"/>
        <v>42114</v>
      </c>
      <c r="AY39" s="164">
        <f t="shared" si="2"/>
        <v>26043</v>
      </c>
      <c r="AZ39" s="164">
        <f t="shared" si="3"/>
        <v>12643</v>
      </c>
      <c r="BA39" s="164">
        <f t="shared" si="4"/>
        <v>13400</v>
      </c>
      <c r="BB39" s="164">
        <f t="shared" si="5"/>
        <v>21158</v>
      </c>
      <c r="BC39" s="164">
        <f t="shared" si="6"/>
        <v>4885</v>
      </c>
      <c r="BD39" s="165"/>
      <c r="BE39" s="166">
        <f t="shared" si="7"/>
        <v>81828.01</v>
      </c>
      <c r="BF39" s="166">
        <f t="shared" si="8"/>
        <v>38112.58</v>
      </c>
      <c r="BG39" s="166">
        <f t="shared" si="9"/>
        <v>43715.43</v>
      </c>
      <c r="BH39" s="167"/>
      <c r="BI39" s="166">
        <f t="shared" si="10"/>
        <v>11531.3</v>
      </c>
      <c r="BJ39" s="166">
        <f t="shared" si="11"/>
        <v>7663.92</v>
      </c>
      <c r="BK39" s="166">
        <f t="shared" si="12"/>
        <v>0</v>
      </c>
      <c r="BL39" s="166">
        <f t="shared" si="13"/>
        <v>11531.3</v>
      </c>
      <c r="BM39" s="166">
        <f>SUM('Future Orders'!$BI39:$BL39)</f>
        <v>30726.52</v>
      </c>
      <c r="BN39" s="167"/>
      <c r="BO39" s="166">
        <f t="shared" si="14"/>
        <v>0</v>
      </c>
      <c r="BP39" s="166">
        <f t="shared" si="15"/>
        <v>0</v>
      </c>
      <c r="BQ39" s="166">
        <f t="shared" si="16"/>
        <v>18917.36</v>
      </c>
      <c r="BR39" s="166">
        <f t="shared" si="17"/>
        <v>0</v>
      </c>
      <c r="BS39" s="166">
        <f>SUM('Future Orders'!$BO39:$BR39)</f>
        <v>18917.36</v>
      </c>
      <c r="BT39" s="167"/>
      <c r="BU39" s="166">
        <f t="shared" si="18"/>
        <v>8927.38</v>
      </c>
      <c r="BV39" s="166">
        <f t="shared" si="19"/>
        <v>9105.36</v>
      </c>
      <c r="BW39" s="166">
        <f t="shared" si="20"/>
        <v>0</v>
      </c>
      <c r="BX39" s="166">
        <f t="shared" si="21"/>
        <v>8927.38</v>
      </c>
      <c r="BY39" s="166">
        <f>SUM('Future Orders'!$BU39:$BX39)</f>
        <v>26960.12</v>
      </c>
      <c r="BZ39" s="167"/>
      <c r="CA39" s="166">
        <f t="shared" si="22"/>
        <v>0</v>
      </c>
      <c r="CB39" s="166">
        <f t="shared" si="23"/>
        <v>0</v>
      </c>
      <c r="CC39" s="166">
        <f t="shared" si="24"/>
        <v>25682.69</v>
      </c>
      <c r="CD39" s="166">
        <f t="shared" si="25"/>
        <v>0</v>
      </c>
      <c r="CE39" s="166">
        <f>SUM('Future Orders'!$CA39:$CD39)</f>
        <v>25682.69</v>
      </c>
      <c r="CF39" s="167"/>
      <c r="CG39" s="166">
        <f>SUM('Future Orders'!$BI39:$BJ39)
+ SUM('Future Orders'!$BU39:$BV39)</f>
        <v>37227.96</v>
      </c>
      <c r="CH39" s="166">
        <f>SUM('Future Orders'!$BQ39)
+ SUM('Future Orders'!$BX39)</f>
        <v>27844.74</v>
      </c>
      <c r="CI39" s="166">
        <f>SUM('Future Orders'!$BI39:$BJ39)
+ SUM('Future Orders'!$BU39:$BV39)
+ SUM(('Future Orders'!$BI39) * 2)</f>
        <v>60290.56</v>
      </c>
      <c r="CJ39" s="166">
        <f>SUM(('Future Orders'!$BQ39) * 2) + SUM('Future Orders'!$BX39)</f>
        <v>46762.1</v>
      </c>
      <c r="CK39" s="167"/>
      <c r="CL39" s="168">
        <f t="shared" si="26"/>
        <v>3</v>
      </c>
      <c r="CM39" s="168">
        <f t="shared" si="27"/>
        <v>3</v>
      </c>
      <c r="CN39" s="168">
        <f t="shared" si="28"/>
        <v>4</v>
      </c>
      <c r="CO39" s="168">
        <f t="shared" si="29"/>
        <v>2</v>
      </c>
      <c r="CP39" s="168">
        <f t="shared" si="30"/>
        <v>2</v>
      </c>
      <c r="CQ39" s="169">
        <f t="shared" si="31"/>
        <v>2</v>
      </c>
      <c r="CR39" s="169">
        <f t="shared" si="32"/>
        <v>2</v>
      </c>
      <c r="CS39" s="170"/>
    </row>
    <row r="40" ht="15.75" customHeight="1">
      <c r="A40" s="151">
        <v>41897.0</v>
      </c>
      <c r="B40" s="152">
        <v>2.0</v>
      </c>
      <c r="C40" s="152" t="s">
        <v>45</v>
      </c>
      <c r="D40" s="152">
        <v>1.0</v>
      </c>
      <c r="E40" s="153">
        <v>3295.0</v>
      </c>
      <c r="F40" s="153">
        <f>SUM(('Future Orders'!$E40) * (1.1))</f>
        <v>3624.5</v>
      </c>
      <c r="G40" s="154">
        <v>2.2</v>
      </c>
      <c r="H40" s="155">
        <v>7249.000000000001</v>
      </c>
      <c r="I40" s="155">
        <f>SUM(('Future Orders'!$H40) * (1.1))</f>
        <v>7973.9</v>
      </c>
      <c r="J40" s="159">
        <f>SUMIFS('Future Orders'!$F40, 'Future Orders'!$D40, "1", 'Future Orders'!$C40, "A", 'Future Orders'!$B40, "1")</f>
        <v>0</v>
      </c>
      <c r="K40" s="157">
        <f>SUMIFS('Future Orders'!$I40, 'Future Orders'!$D40, "1", 'Future Orders'!$C40, "A", 'Future Orders'!$B40, "1")</f>
        <v>0</v>
      </c>
      <c r="L40" s="157">
        <f>SUMIFS('Future Orders'!$F40, 'Future Orders'!$D40, "1", 'Future Orders'!$C40, "B", 'Future Orders'!$B40, "1")</f>
        <v>0</v>
      </c>
      <c r="M40" s="157">
        <f>SUMIFS('Future Orders'!$I40, 'Future Orders'!$D40, "1", 'Future Orders'!$C40, "B", 'Future Orders'!$B40, "1")</f>
        <v>0</v>
      </c>
      <c r="N40" s="159">
        <f>SUMIFS('Future Orders'!$F40, 'Future Orders'!$D40, "1", 'Future Orders'!$C40, "A", 'Future Orders'!$B40, "2")</f>
        <v>3624.5</v>
      </c>
      <c r="O40" s="157">
        <f>SUMIFS('Future Orders'!$I40, 'Future Orders'!$D40, "1", 'Future Orders'!$C40, "A", 'Future Orders'!$B40, "2")</f>
        <v>7973.9</v>
      </c>
      <c r="P40" s="157">
        <f>SUMIFS('Future Orders'!$E40, 'Future Orders'!$D40, "1", 'Future Orders'!$C40, "B", 'Future Orders'!$B40, "2")</f>
        <v>0</v>
      </c>
      <c r="Q40" s="157">
        <f>SUMIFS('Future Orders'!$I40, 'Future Orders'!$D40, "1", 'Future Orders'!$C40, "B", 'Future Orders'!$B40, "2")</f>
        <v>0</v>
      </c>
      <c r="R40" s="159">
        <f>SUMIFS('Future Orders'!$F40, 'Future Orders'!$D40, "2", 'Future Orders'!$C40, "A", 'Future Orders'!$B40, "1")</f>
        <v>0</v>
      </c>
      <c r="S40" s="157">
        <f>SUMIFS('Future Orders'!$I40, 'Future Orders'!$D40, "2", 'Future Orders'!$C40, "A", 'Future Orders'!$B40, "1")</f>
        <v>0</v>
      </c>
      <c r="T40" s="159">
        <f>SUMIFS('Future Orders'!$F40, 'Future Orders'!$D40, "2", 'Future Orders'!$C40, "B", 'Future Orders'!$B40, "1")</f>
        <v>0</v>
      </c>
      <c r="U40" s="157">
        <f>SUMIFS('Future Orders'!$I40, 'Future Orders'!$D40, "2", 'Future Orders'!$C40, "B", 'Future Orders'!$B40, "1")</f>
        <v>0</v>
      </c>
      <c r="V40" s="159">
        <f>SUMIFS('Future Orders'!$F40, 'Future Orders'!$D40, "2", 'Future Orders'!$C40, "A", 'Future Orders'!$B40, "2")</f>
        <v>0</v>
      </c>
      <c r="W40" s="157">
        <f>SUMIFS('Future Orders'!$I40, 'Future Orders'!$D40, "2", 'Future Orders'!$C40, "A", 'Future Orders'!$B40, "2")</f>
        <v>0</v>
      </c>
      <c r="X40" s="159">
        <f>SUMIFS('Future Orders'!$F40, 'Future Orders'!$D40, "2", 'Future Orders'!$C40, "B", 'Future Orders'!$B40, "2")</f>
        <v>0</v>
      </c>
      <c r="Y40" s="159">
        <f>SUMIFS('Future Orders'!$I40, 'Future Orders'!$D40, "2", 'Future Orders'!$C40, "B", 'Future Orders'!$B40, "2")</f>
        <v>0</v>
      </c>
      <c r="Z40" s="159">
        <f>SUMIFS('Future Orders'!$F40, 'Future Orders'!$D40, "3", 'Future Orders'!$C40, "A", 'Future Orders'!$B40, "1")</f>
        <v>0</v>
      </c>
      <c r="AA40" s="159">
        <f>SUMIFS('Future Orders'!$I40, 'Future Orders'!$D40, "3", 'Future Orders'!$C40, "A", 'Future Orders'!$B40, "1")</f>
        <v>0</v>
      </c>
      <c r="AB40" s="159">
        <f>SUMIFS('Future Orders'!$F40, 'Future Orders'!$D40, "3", 'Future Orders'!$C40, "B", 'Future Orders'!$B40, "1")</f>
        <v>0</v>
      </c>
      <c r="AC40" s="159">
        <f>SUMIFS('Future Orders'!$I40, 'Future Orders'!$D40, "3", 'Future Orders'!$C40, "B", 'Future Orders'!$B40, "1")</f>
        <v>0</v>
      </c>
      <c r="AD40" s="159">
        <f>SUMIFS('Future Orders'!$F40, 'Future Orders'!$D40, "3", 'Future Orders'!$C40, "A", 'Future Orders'!$B40, "2")</f>
        <v>0</v>
      </c>
      <c r="AE40" s="159">
        <f>SUMIFS('Future Orders'!$I40, 'Future Orders'!$D40, "3", 'Future Orders'!$C40, "A", 'Future Orders'!$B40, "2")</f>
        <v>0</v>
      </c>
      <c r="AF40" s="159">
        <f>SUMIFS('Future Orders'!$F40, 'Future Orders'!$D40, "3", 'Future Orders'!$C40, "B", 'Future Orders'!$B40, "2")</f>
        <v>0</v>
      </c>
      <c r="AG40" s="157">
        <f>SUMIFS('Future Orders'!$I40, 'Future Orders'!$D40, "3", 'Future Orders'!$C40, "B", 'Future Orders'!$B40, "2")</f>
        <v>0</v>
      </c>
      <c r="AH40" s="157">
        <f>SUMIFS('Future Orders'!$F40, 'Future Orders'!$D40, "4", 'Future Orders'!$C40, "A", 'Future Orders'!$B40, "1")</f>
        <v>0</v>
      </c>
      <c r="AI40" s="157">
        <f>SUMIFS('Future Orders'!$I40, 'Future Orders'!$D40, "4", 'Future Orders'!$C40, "A", 'Future Orders'!$B40, "1")</f>
        <v>0</v>
      </c>
      <c r="AJ40" s="157">
        <f>SUMIFS('Future Orders'!$F40, 'Future Orders'!$D40, "4", 'Future Orders'!$C40, "B", 'Future Orders'!$B40, "1")</f>
        <v>0</v>
      </c>
      <c r="AK40" s="157">
        <f>SUMIFS('Future Orders'!$I40, 'Future Orders'!$D40, "4", 'Future Orders'!$C40, "B", 'Future Orders'!$B40, "1")</f>
        <v>0</v>
      </c>
      <c r="AL40" s="157">
        <f>SUMIFS('Future Orders'!$F40, 'Future Orders'!$D40, "4", 'Future Orders'!$C40, "A", 'Future Orders'!$B40, "2")</f>
        <v>0</v>
      </c>
      <c r="AM40" s="157">
        <f>SUMIFS('Future Orders'!$I40, 'Future Orders'!$D40, "4", 'Future Orders'!$C40, "A", 'Future Orders'!$B40, "2")</f>
        <v>0</v>
      </c>
      <c r="AN40" s="171">
        <f>SUMIFS('Future Orders'!$F40, 'Future Orders'!$D40, "4", 'Future Orders'!$C40, "B", 'Future Orders'!$B40, "2")</f>
        <v>0</v>
      </c>
      <c r="AO40" s="171">
        <f>SUMIFS('Future Orders'!$I40, 'Future Orders'!$D40, "4", 'Future Orders'!$C40, "B", 'Future Orders'!$B40, "2")</f>
        <v>0</v>
      </c>
      <c r="AP40" s="171">
        <f>SUMIFS('Future Orders'!$H40, 'Future Orders'!$C40, "A", 'Future Orders'!$B40, "1")</f>
        <v>0</v>
      </c>
      <c r="AQ40" s="171">
        <f>SUMIFS('Future Orders'!$I40, 'Future Orders'!$C40, "B", 'Future Orders'!$B40, "1")</f>
        <v>0</v>
      </c>
      <c r="AR40" s="171">
        <f>SUMIFS('Future Orders'!$H40, 'Future Orders'!$C40, "A", 'Future Orders'!$B40, "2")</f>
        <v>7249</v>
      </c>
      <c r="AS40" s="171">
        <f>SUMIFS('Future Orders'!$I40, 'Future Orders'!$C40, "B", 'Future Orders'!$B40, "2")</f>
        <v>0</v>
      </c>
      <c r="AT40" s="145"/>
      <c r="AU40" s="146"/>
      <c r="AV40" s="161">
        <v>42121.0</v>
      </c>
      <c r="AW40" s="162"/>
      <c r="AX40" s="163">
        <f t="shared" si="1"/>
        <v>42121</v>
      </c>
      <c r="AY40" s="164">
        <f t="shared" si="2"/>
        <v>24929</v>
      </c>
      <c r="AZ40" s="164">
        <f t="shared" si="3"/>
        <v>12926</v>
      </c>
      <c r="BA40" s="164">
        <f t="shared" si="4"/>
        <v>12003</v>
      </c>
      <c r="BB40" s="164">
        <f t="shared" si="5"/>
        <v>20475</v>
      </c>
      <c r="BC40" s="164">
        <f t="shared" si="6"/>
        <v>4454</v>
      </c>
      <c r="BD40" s="165"/>
      <c r="BE40" s="166">
        <f t="shared" si="7"/>
        <v>77086.02</v>
      </c>
      <c r="BF40" s="166">
        <f t="shared" si="8"/>
        <v>38478.11</v>
      </c>
      <c r="BG40" s="166">
        <f t="shared" si="9"/>
        <v>38607.91</v>
      </c>
      <c r="BH40" s="167"/>
      <c r="BI40" s="166">
        <f t="shared" si="10"/>
        <v>12424.28</v>
      </c>
      <c r="BJ40" s="166">
        <f t="shared" si="11"/>
        <v>7620.36</v>
      </c>
      <c r="BK40" s="166">
        <f t="shared" si="12"/>
        <v>0</v>
      </c>
      <c r="BL40" s="166">
        <f t="shared" si="13"/>
        <v>12424.28</v>
      </c>
      <c r="BM40" s="166">
        <f>SUM('Future Orders'!$BI40:$BL40)</f>
        <v>32468.92</v>
      </c>
      <c r="BN40" s="167"/>
      <c r="BO40" s="166">
        <f t="shared" si="14"/>
        <v>0</v>
      </c>
      <c r="BP40" s="166">
        <f t="shared" si="15"/>
        <v>0</v>
      </c>
      <c r="BQ40" s="166">
        <f t="shared" si="16"/>
        <v>18433.47</v>
      </c>
      <c r="BR40" s="166">
        <f t="shared" si="17"/>
        <v>0</v>
      </c>
      <c r="BS40" s="166">
        <f>SUM('Future Orders'!$BO40:$BR40)</f>
        <v>18433.47</v>
      </c>
      <c r="BT40" s="167"/>
      <c r="BU40" s="166">
        <f t="shared" si="18"/>
        <v>8242.52</v>
      </c>
      <c r="BV40" s="166">
        <f t="shared" si="19"/>
        <v>8133.84</v>
      </c>
      <c r="BW40" s="166">
        <f t="shared" si="20"/>
        <v>0</v>
      </c>
      <c r="BX40" s="166">
        <f t="shared" si="21"/>
        <v>8242.52</v>
      </c>
      <c r="BY40" s="166">
        <f>SUM('Future Orders'!$BU40:$BX40)</f>
        <v>24618.88</v>
      </c>
      <c r="BZ40" s="167"/>
      <c r="CA40" s="166">
        <f t="shared" si="22"/>
        <v>0</v>
      </c>
      <c r="CB40" s="166">
        <f t="shared" si="23"/>
        <v>0</v>
      </c>
      <c r="CC40" s="166">
        <f t="shared" si="24"/>
        <v>22231.55</v>
      </c>
      <c r="CD40" s="166">
        <f t="shared" si="25"/>
        <v>0</v>
      </c>
      <c r="CE40" s="166">
        <f>SUM('Future Orders'!$CA40:$CD40)</f>
        <v>22231.55</v>
      </c>
      <c r="CF40" s="167"/>
      <c r="CG40" s="166">
        <f>SUM('Future Orders'!$BI40:$BJ40)
+ SUM('Future Orders'!$BU40:$BV40)</f>
        <v>36421</v>
      </c>
      <c r="CH40" s="166">
        <f>SUM('Future Orders'!$BQ40)
+ SUM('Future Orders'!$BX40)</f>
        <v>26675.99</v>
      </c>
      <c r="CI40" s="166">
        <f>SUM('Future Orders'!$BI40:$BJ40)
+ SUM('Future Orders'!$BU40:$BV40)
+ SUM(('Future Orders'!$BI40) * 2)</f>
        <v>61269.56</v>
      </c>
      <c r="CJ40" s="166">
        <f>SUM(('Future Orders'!$BQ40) * 2) + SUM('Future Orders'!$BX40)</f>
        <v>45109.46</v>
      </c>
      <c r="CK40" s="167"/>
      <c r="CL40" s="168">
        <f t="shared" si="26"/>
        <v>3</v>
      </c>
      <c r="CM40" s="168">
        <f t="shared" si="27"/>
        <v>3</v>
      </c>
      <c r="CN40" s="168">
        <f t="shared" si="28"/>
        <v>4</v>
      </c>
      <c r="CO40" s="168">
        <f t="shared" si="29"/>
        <v>2</v>
      </c>
      <c r="CP40" s="168">
        <f t="shared" si="30"/>
        <v>2</v>
      </c>
      <c r="CQ40" s="169">
        <f t="shared" si="31"/>
        <v>2</v>
      </c>
      <c r="CR40" s="169">
        <f t="shared" si="32"/>
        <v>2</v>
      </c>
      <c r="CS40" s="170"/>
    </row>
    <row r="41" ht="15.75" customHeight="1">
      <c r="A41" s="151">
        <v>41897.0</v>
      </c>
      <c r="B41" s="152">
        <v>2.0</v>
      </c>
      <c r="C41" s="152" t="s">
        <v>45</v>
      </c>
      <c r="D41" s="152">
        <v>2.0</v>
      </c>
      <c r="E41" s="153">
        <v>6486.0</v>
      </c>
      <c r="F41" s="153">
        <f>SUM(('Future Orders'!$E41) * (1.1))</f>
        <v>7134.6</v>
      </c>
      <c r="G41" s="154">
        <v>1.2</v>
      </c>
      <c r="H41" s="155">
        <v>7783.2</v>
      </c>
      <c r="I41" s="155">
        <f>SUM(('Future Orders'!$H41) * (1.1))</f>
        <v>8561.52</v>
      </c>
      <c r="J41" s="159">
        <f>SUMIFS('Future Orders'!$F41, 'Future Orders'!$D41, "1", 'Future Orders'!$C41, "A", 'Future Orders'!$B41, "1")</f>
        <v>0</v>
      </c>
      <c r="K41" s="157">
        <f>SUMIFS('Future Orders'!$I41, 'Future Orders'!$D41, "1", 'Future Orders'!$C41, "A", 'Future Orders'!$B41, "1")</f>
        <v>0</v>
      </c>
      <c r="L41" s="157">
        <f>SUMIFS('Future Orders'!$F41, 'Future Orders'!$D41, "1", 'Future Orders'!$C41, "B", 'Future Orders'!$B41, "1")</f>
        <v>0</v>
      </c>
      <c r="M41" s="157">
        <f>SUMIFS('Future Orders'!$I41, 'Future Orders'!$D41, "1", 'Future Orders'!$C41, "B", 'Future Orders'!$B41, "1")</f>
        <v>0</v>
      </c>
      <c r="N41" s="159">
        <f>SUMIFS('Future Orders'!$F41, 'Future Orders'!$D41, "1", 'Future Orders'!$C41, "A", 'Future Orders'!$B41, "2")</f>
        <v>0</v>
      </c>
      <c r="O41" s="157">
        <f>SUMIFS('Future Orders'!$I41, 'Future Orders'!$D41, "1", 'Future Orders'!$C41, "A", 'Future Orders'!$B41, "2")</f>
        <v>0</v>
      </c>
      <c r="P41" s="157">
        <f>SUMIFS('Future Orders'!$E41, 'Future Orders'!$D41, "1", 'Future Orders'!$C41, "B", 'Future Orders'!$B41, "2")</f>
        <v>0</v>
      </c>
      <c r="Q41" s="157">
        <f>SUMIFS('Future Orders'!$I41, 'Future Orders'!$D41, "1", 'Future Orders'!$C41, "B", 'Future Orders'!$B41, "2")</f>
        <v>0</v>
      </c>
      <c r="R41" s="159">
        <f>SUMIFS('Future Orders'!$F41, 'Future Orders'!$D41, "2", 'Future Orders'!$C41, "A", 'Future Orders'!$B41, "1")</f>
        <v>0</v>
      </c>
      <c r="S41" s="157">
        <f>SUMIFS('Future Orders'!$I41, 'Future Orders'!$D41, "2", 'Future Orders'!$C41, "A", 'Future Orders'!$B41, "1")</f>
        <v>0</v>
      </c>
      <c r="T41" s="159">
        <f>SUMIFS('Future Orders'!$F41, 'Future Orders'!$D41, "2", 'Future Orders'!$C41, "B", 'Future Orders'!$B41, "1")</f>
        <v>0</v>
      </c>
      <c r="U41" s="157">
        <f>SUMIFS('Future Orders'!$I41, 'Future Orders'!$D41, "2", 'Future Orders'!$C41, "B", 'Future Orders'!$B41, "1")</f>
        <v>0</v>
      </c>
      <c r="V41" s="159">
        <f>SUMIFS('Future Orders'!$F41, 'Future Orders'!$D41, "2", 'Future Orders'!$C41, "A", 'Future Orders'!$B41, "2")</f>
        <v>7134.6</v>
      </c>
      <c r="W41" s="157">
        <f>SUMIFS('Future Orders'!$I41, 'Future Orders'!$D41, "2", 'Future Orders'!$C41, "A", 'Future Orders'!$B41, "2")</f>
        <v>8561.52</v>
      </c>
      <c r="X41" s="159">
        <f>SUMIFS('Future Orders'!$F41, 'Future Orders'!$D41, "2", 'Future Orders'!$C41, "B", 'Future Orders'!$B41, "2")</f>
        <v>0</v>
      </c>
      <c r="Y41" s="159">
        <f>SUMIFS('Future Orders'!$I41, 'Future Orders'!$D41, "2", 'Future Orders'!$C41, "B", 'Future Orders'!$B41, "2")</f>
        <v>0</v>
      </c>
      <c r="Z41" s="159">
        <f>SUMIFS('Future Orders'!$F41, 'Future Orders'!$D41, "3", 'Future Orders'!$C41, "A", 'Future Orders'!$B41, "1")</f>
        <v>0</v>
      </c>
      <c r="AA41" s="159">
        <f>SUMIFS('Future Orders'!$I41, 'Future Orders'!$D41, "3", 'Future Orders'!$C41, "A", 'Future Orders'!$B41, "1")</f>
        <v>0</v>
      </c>
      <c r="AB41" s="159">
        <f>SUMIFS('Future Orders'!$F41, 'Future Orders'!$D41, "3", 'Future Orders'!$C41, "B", 'Future Orders'!$B41, "1")</f>
        <v>0</v>
      </c>
      <c r="AC41" s="159">
        <f>SUMIFS('Future Orders'!$I41, 'Future Orders'!$D41, "3", 'Future Orders'!$C41, "B", 'Future Orders'!$B41, "1")</f>
        <v>0</v>
      </c>
      <c r="AD41" s="159">
        <f>SUMIFS('Future Orders'!$F41, 'Future Orders'!$D41, "3", 'Future Orders'!$C41, "A", 'Future Orders'!$B41, "2")</f>
        <v>0</v>
      </c>
      <c r="AE41" s="159">
        <f>SUMIFS('Future Orders'!$I41, 'Future Orders'!$D41, "3", 'Future Orders'!$C41, "A", 'Future Orders'!$B41, "2")</f>
        <v>0</v>
      </c>
      <c r="AF41" s="159">
        <f>SUMIFS('Future Orders'!$F41, 'Future Orders'!$D41, "3", 'Future Orders'!$C41, "B", 'Future Orders'!$B41, "2")</f>
        <v>0</v>
      </c>
      <c r="AG41" s="157">
        <f>SUMIFS('Future Orders'!$I41, 'Future Orders'!$D41, "3", 'Future Orders'!$C41, "B", 'Future Orders'!$B41, "2")</f>
        <v>0</v>
      </c>
      <c r="AH41" s="157">
        <f>SUMIFS('Future Orders'!$F41, 'Future Orders'!$D41, "4", 'Future Orders'!$C41, "A", 'Future Orders'!$B41, "1")</f>
        <v>0</v>
      </c>
      <c r="AI41" s="157">
        <f>SUMIFS('Future Orders'!$I41, 'Future Orders'!$D41, "4", 'Future Orders'!$C41, "A", 'Future Orders'!$B41, "1")</f>
        <v>0</v>
      </c>
      <c r="AJ41" s="157">
        <f>SUMIFS('Future Orders'!$F41, 'Future Orders'!$D41, "4", 'Future Orders'!$C41, "B", 'Future Orders'!$B41, "1")</f>
        <v>0</v>
      </c>
      <c r="AK41" s="157">
        <f>SUMIFS('Future Orders'!$I41, 'Future Orders'!$D41, "4", 'Future Orders'!$C41, "B", 'Future Orders'!$B41, "1")</f>
        <v>0</v>
      </c>
      <c r="AL41" s="157">
        <f>SUMIFS('Future Orders'!$F41, 'Future Orders'!$D41, "4", 'Future Orders'!$C41, "A", 'Future Orders'!$B41, "2")</f>
        <v>0</v>
      </c>
      <c r="AM41" s="157">
        <f>SUMIFS('Future Orders'!$I41, 'Future Orders'!$D41, "4", 'Future Orders'!$C41, "A", 'Future Orders'!$B41, "2")</f>
        <v>0</v>
      </c>
      <c r="AN41" s="171">
        <f>SUMIFS('Future Orders'!$F41, 'Future Orders'!$D41, "4", 'Future Orders'!$C41, "B", 'Future Orders'!$B41, "2")</f>
        <v>0</v>
      </c>
      <c r="AO41" s="171">
        <f>SUMIFS('Future Orders'!$I41, 'Future Orders'!$D41, "4", 'Future Orders'!$C41, "B", 'Future Orders'!$B41, "2")</f>
        <v>0</v>
      </c>
      <c r="AP41" s="171">
        <f>SUMIFS('Future Orders'!$H41, 'Future Orders'!$C41, "A", 'Future Orders'!$B41, "1")</f>
        <v>0</v>
      </c>
      <c r="AQ41" s="171">
        <f>SUMIFS('Future Orders'!$I41, 'Future Orders'!$C41, "B", 'Future Orders'!$B41, "1")</f>
        <v>0</v>
      </c>
      <c r="AR41" s="171">
        <f>SUMIFS('Future Orders'!$H41, 'Future Orders'!$C41, "A", 'Future Orders'!$B41, "2")</f>
        <v>7783.2</v>
      </c>
      <c r="AS41" s="171">
        <f>SUMIFS('Future Orders'!$I41, 'Future Orders'!$C41, "B", 'Future Orders'!$B41, "2")</f>
        <v>0</v>
      </c>
      <c r="AT41" s="145"/>
      <c r="AU41" s="146"/>
      <c r="AV41" s="161">
        <v>42128.0</v>
      </c>
      <c r="AW41" s="162"/>
      <c r="AX41" s="163">
        <f t="shared" si="1"/>
        <v>42128</v>
      </c>
      <c r="AY41" s="164">
        <f t="shared" si="2"/>
        <v>24909</v>
      </c>
      <c r="AZ41" s="164">
        <f t="shared" si="3"/>
        <v>12685</v>
      </c>
      <c r="BA41" s="164">
        <f t="shared" si="4"/>
        <v>12224</v>
      </c>
      <c r="BB41" s="164">
        <f t="shared" si="5"/>
        <v>19747</v>
      </c>
      <c r="BC41" s="164">
        <f t="shared" si="6"/>
        <v>5162</v>
      </c>
      <c r="BD41" s="165"/>
      <c r="BE41" s="166">
        <f t="shared" si="7"/>
        <v>82562.7</v>
      </c>
      <c r="BF41" s="166">
        <f t="shared" si="8"/>
        <v>40942.22</v>
      </c>
      <c r="BG41" s="166">
        <f t="shared" si="9"/>
        <v>41620.48</v>
      </c>
      <c r="BH41" s="167"/>
      <c r="BI41" s="166">
        <f t="shared" si="10"/>
        <v>11620.84</v>
      </c>
      <c r="BJ41" s="166">
        <f t="shared" si="11"/>
        <v>7208.52</v>
      </c>
      <c r="BK41" s="166">
        <f t="shared" si="12"/>
        <v>0</v>
      </c>
      <c r="BL41" s="166">
        <f t="shared" si="13"/>
        <v>11620.84</v>
      </c>
      <c r="BM41" s="166">
        <f>SUM('Future Orders'!$BI41:$BL41)</f>
        <v>30450.2</v>
      </c>
      <c r="BN41" s="167"/>
      <c r="BO41" s="166">
        <f t="shared" si="14"/>
        <v>0</v>
      </c>
      <c r="BP41" s="166">
        <f t="shared" si="15"/>
        <v>0</v>
      </c>
      <c r="BQ41" s="166">
        <f t="shared" si="16"/>
        <v>22112.86</v>
      </c>
      <c r="BR41" s="166">
        <f t="shared" si="17"/>
        <v>0</v>
      </c>
      <c r="BS41" s="166">
        <f>SUM('Future Orders'!$BO41:$BR41)</f>
        <v>22112.86</v>
      </c>
      <c r="BT41" s="167"/>
      <c r="BU41" s="166">
        <f t="shared" si="18"/>
        <v>8987.88</v>
      </c>
      <c r="BV41" s="166">
        <f t="shared" si="19"/>
        <v>7616.4</v>
      </c>
      <c r="BW41" s="166">
        <f t="shared" si="20"/>
        <v>0</v>
      </c>
      <c r="BX41" s="166">
        <f t="shared" si="21"/>
        <v>8987.88</v>
      </c>
      <c r="BY41" s="166">
        <f>SUM('Future Orders'!$BU41:$BX41)</f>
        <v>25592.16</v>
      </c>
      <c r="BZ41" s="167"/>
      <c r="CA41" s="166">
        <f t="shared" si="22"/>
        <v>0</v>
      </c>
      <c r="CB41" s="166">
        <f t="shared" si="23"/>
        <v>0</v>
      </c>
      <c r="CC41" s="166">
        <f t="shared" si="24"/>
        <v>25016.2</v>
      </c>
      <c r="CD41" s="166">
        <f t="shared" si="25"/>
        <v>0</v>
      </c>
      <c r="CE41" s="166">
        <f>SUM('Future Orders'!$CA41:$CD41)</f>
        <v>25016.2</v>
      </c>
      <c r="CF41" s="167"/>
      <c r="CG41" s="166">
        <f>SUM('Future Orders'!$BI41:$BJ41)
+ SUM('Future Orders'!$BU41:$BV41)</f>
        <v>35433.64</v>
      </c>
      <c r="CH41" s="166">
        <f>SUM('Future Orders'!$BQ41)
+ SUM('Future Orders'!$BX41)</f>
        <v>31100.74</v>
      </c>
      <c r="CI41" s="166">
        <f>SUM('Future Orders'!$BI41:$BJ41)
+ SUM('Future Orders'!$BU41:$BV41)
+ SUM(('Future Orders'!$BI41) * 2)</f>
        <v>58675.32</v>
      </c>
      <c r="CJ41" s="166">
        <f>SUM(('Future Orders'!$BQ41) * 2) + SUM('Future Orders'!$BX41)</f>
        <v>53213.6</v>
      </c>
      <c r="CK41" s="167"/>
      <c r="CL41" s="168">
        <f t="shared" si="26"/>
        <v>3</v>
      </c>
      <c r="CM41" s="168">
        <f t="shared" si="27"/>
        <v>3</v>
      </c>
      <c r="CN41" s="168">
        <f t="shared" si="28"/>
        <v>4</v>
      </c>
      <c r="CO41" s="168">
        <f t="shared" si="29"/>
        <v>2</v>
      </c>
      <c r="CP41" s="168">
        <f t="shared" si="30"/>
        <v>2</v>
      </c>
      <c r="CQ41" s="169">
        <f t="shared" si="31"/>
        <v>2</v>
      </c>
      <c r="CR41" s="169">
        <f t="shared" si="32"/>
        <v>2</v>
      </c>
      <c r="CS41" s="170"/>
    </row>
    <row r="42" ht="15.75" customHeight="1">
      <c r="A42" s="151">
        <v>41897.0</v>
      </c>
      <c r="B42" s="152">
        <v>1.0</v>
      </c>
      <c r="C42" s="152" t="s">
        <v>46</v>
      </c>
      <c r="D42" s="152">
        <v>3.0</v>
      </c>
      <c r="E42" s="153">
        <v>2295.0</v>
      </c>
      <c r="F42" s="153">
        <f>SUM(('Future Orders'!$E42) * (1.1))</f>
        <v>2524.5</v>
      </c>
      <c r="G42" s="154">
        <v>8.3</v>
      </c>
      <c r="H42" s="155">
        <v>19048.5</v>
      </c>
      <c r="I42" s="155">
        <f>SUM(('Future Orders'!$H42) * (1.1))</f>
        <v>20953.35</v>
      </c>
      <c r="J42" s="159">
        <f>SUMIFS('Future Orders'!$F42, 'Future Orders'!$D42, "1", 'Future Orders'!$C42, "A", 'Future Orders'!$B42, "1")</f>
        <v>0</v>
      </c>
      <c r="K42" s="157">
        <f>SUMIFS('Future Orders'!$I42, 'Future Orders'!$D42, "1", 'Future Orders'!$C42, "A", 'Future Orders'!$B42, "1")</f>
        <v>0</v>
      </c>
      <c r="L42" s="157">
        <f>SUMIFS('Future Orders'!$F42, 'Future Orders'!$D42, "1", 'Future Orders'!$C42, "B", 'Future Orders'!$B42, "1")</f>
        <v>0</v>
      </c>
      <c r="M42" s="157">
        <f>SUMIFS('Future Orders'!$I42, 'Future Orders'!$D42, "1", 'Future Orders'!$C42, "B", 'Future Orders'!$B42, "1")</f>
        <v>0</v>
      </c>
      <c r="N42" s="159">
        <f>SUMIFS('Future Orders'!$F42, 'Future Orders'!$D42, "1", 'Future Orders'!$C42, "A", 'Future Orders'!$B42, "2")</f>
        <v>0</v>
      </c>
      <c r="O42" s="157">
        <f>SUMIFS('Future Orders'!$I42, 'Future Orders'!$D42, "1", 'Future Orders'!$C42, "A", 'Future Orders'!$B42, "2")</f>
        <v>0</v>
      </c>
      <c r="P42" s="157">
        <f>SUMIFS('Future Orders'!$E42, 'Future Orders'!$D42, "1", 'Future Orders'!$C42, "B", 'Future Orders'!$B42, "2")</f>
        <v>0</v>
      </c>
      <c r="Q42" s="157">
        <f>SUMIFS('Future Orders'!$I42, 'Future Orders'!$D42, "1", 'Future Orders'!$C42, "B", 'Future Orders'!$B42, "2")</f>
        <v>0</v>
      </c>
      <c r="R42" s="159">
        <f>SUMIFS('Future Orders'!$F42, 'Future Orders'!$D42, "2", 'Future Orders'!$C42, "A", 'Future Orders'!$B42, "1")</f>
        <v>0</v>
      </c>
      <c r="S42" s="157">
        <f>SUMIFS('Future Orders'!$I42, 'Future Orders'!$D42, "2", 'Future Orders'!$C42, "A", 'Future Orders'!$B42, "1")</f>
        <v>0</v>
      </c>
      <c r="T42" s="159">
        <f>SUMIFS('Future Orders'!$F42, 'Future Orders'!$D42, "2", 'Future Orders'!$C42, "B", 'Future Orders'!$B42, "1")</f>
        <v>0</v>
      </c>
      <c r="U42" s="157">
        <f>SUMIFS('Future Orders'!$I42, 'Future Orders'!$D42, "2", 'Future Orders'!$C42, "B", 'Future Orders'!$B42, "1")</f>
        <v>0</v>
      </c>
      <c r="V42" s="159">
        <f>SUMIFS('Future Orders'!$F42, 'Future Orders'!$D42, "2", 'Future Orders'!$C42, "A", 'Future Orders'!$B42, "2")</f>
        <v>0</v>
      </c>
      <c r="W42" s="157">
        <f>SUMIFS('Future Orders'!$I42, 'Future Orders'!$D42, "2", 'Future Orders'!$C42, "A", 'Future Orders'!$B42, "2")</f>
        <v>0</v>
      </c>
      <c r="X42" s="159">
        <f>SUMIFS('Future Orders'!$F42, 'Future Orders'!$D42, "2", 'Future Orders'!$C42, "B", 'Future Orders'!$B42, "2")</f>
        <v>0</v>
      </c>
      <c r="Y42" s="159">
        <f>SUMIFS('Future Orders'!$I42, 'Future Orders'!$D42, "2", 'Future Orders'!$C42, "B", 'Future Orders'!$B42, "2")</f>
        <v>0</v>
      </c>
      <c r="Z42" s="159">
        <f>SUMIFS('Future Orders'!$F42, 'Future Orders'!$D42, "3", 'Future Orders'!$C42, "A", 'Future Orders'!$B42, "1")</f>
        <v>0</v>
      </c>
      <c r="AA42" s="159">
        <f>SUMIFS('Future Orders'!$I42, 'Future Orders'!$D42, "3", 'Future Orders'!$C42, "A", 'Future Orders'!$B42, "1")</f>
        <v>0</v>
      </c>
      <c r="AB42" s="159">
        <f>SUMIFS('Future Orders'!$F42, 'Future Orders'!$D42, "3", 'Future Orders'!$C42, "B", 'Future Orders'!$B42, "1")</f>
        <v>2524.5</v>
      </c>
      <c r="AC42" s="159">
        <f>SUMIFS('Future Orders'!$I42, 'Future Orders'!$D42, "3", 'Future Orders'!$C42, "B", 'Future Orders'!$B42, "1")</f>
        <v>20953.35</v>
      </c>
      <c r="AD42" s="159">
        <f>SUMIFS('Future Orders'!$F42, 'Future Orders'!$D42, "3", 'Future Orders'!$C42, "A", 'Future Orders'!$B42, "2")</f>
        <v>0</v>
      </c>
      <c r="AE42" s="159">
        <f>SUMIFS('Future Orders'!$I42, 'Future Orders'!$D42, "3", 'Future Orders'!$C42, "A", 'Future Orders'!$B42, "2")</f>
        <v>0</v>
      </c>
      <c r="AF42" s="159">
        <f>SUMIFS('Future Orders'!$F42, 'Future Orders'!$D42, "3", 'Future Orders'!$C42, "B", 'Future Orders'!$B42, "2")</f>
        <v>0</v>
      </c>
      <c r="AG42" s="157">
        <f>SUMIFS('Future Orders'!$I42, 'Future Orders'!$D42, "3", 'Future Orders'!$C42, "B", 'Future Orders'!$B42, "2")</f>
        <v>0</v>
      </c>
      <c r="AH42" s="157">
        <f>SUMIFS('Future Orders'!$F42, 'Future Orders'!$D42, "4", 'Future Orders'!$C42, "A", 'Future Orders'!$B42, "1")</f>
        <v>0</v>
      </c>
      <c r="AI42" s="157">
        <f>SUMIFS('Future Orders'!$I42, 'Future Orders'!$D42, "4", 'Future Orders'!$C42, "A", 'Future Orders'!$B42, "1")</f>
        <v>0</v>
      </c>
      <c r="AJ42" s="157">
        <f>SUMIFS('Future Orders'!$F42, 'Future Orders'!$D42, "4", 'Future Orders'!$C42, "B", 'Future Orders'!$B42, "1")</f>
        <v>0</v>
      </c>
      <c r="AK42" s="157">
        <f>SUMIFS('Future Orders'!$I42, 'Future Orders'!$D42, "4", 'Future Orders'!$C42, "B", 'Future Orders'!$B42, "1")</f>
        <v>0</v>
      </c>
      <c r="AL42" s="157">
        <f>SUMIFS('Future Orders'!$F42, 'Future Orders'!$D42, "4", 'Future Orders'!$C42, "A", 'Future Orders'!$B42, "2")</f>
        <v>0</v>
      </c>
      <c r="AM42" s="157">
        <f>SUMIFS('Future Orders'!$I42, 'Future Orders'!$D42, "4", 'Future Orders'!$C42, "A", 'Future Orders'!$B42, "2")</f>
        <v>0</v>
      </c>
      <c r="AN42" s="171">
        <f>SUMIFS('Future Orders'!$F42, 'Future Orders'!$D42, "4", 'Future Orders'!$C42, "B", 'Future Orders'!$B42, "2")</f>
        <v>0</v>
      </c>
      <c r="AO42" s="171">
        <f>SUMIFS('Future Orders'!$I42, 'Future Orders'!$D42, "4", 'Future Orders'!$C42, "B", 'Future Orders'!$B42, "2")</f>
        <v>0</v>
      </c>
      <c r="AP42" s="171">
        <f>SUMIFS('Future Orders'!$H42, 'Future Orders'!$C42, "A", 'Future Orders'!$B42, "1")</f>
        <v>0</v>
      </c>
      <c r="AQ42" s="171">
        <f>SUMIFS('Future Orders'!$I42, 'Future Orders'!$C42, "B", 'Future Orders'!$B42, "1")</f>
        <v>20953.35</v>
      </c>
      <c r="AR42" s="171">
        <f>SUMIFS('Future Orders'!$H42, 'Future Orders'!$C42, "A", 'Future Orders'!$B42, "2")</f>
        <v>0</v>
      </c>
      <c r="AS42" s="171">
        <f>SUMIFS('Future Orders'!$I42, 'Future Orders'!$C42, "B", 'Future Orders'!$B42, "2")</f>
        <v>0</v>
      </c>
      <c r="AT42" s="145"/>
      <c r="AU42" s="146"/>
      <c r="AV42" s="161">
        <v>42135.0</v>
      </c>
      <c r="AW42" s="162"/>
      <c r="AX42" s="163">
        <f t="shared" si="1"/>
        <v>42135</v>
      </c>
      <c r="AY42" s="164">
        <f t="shared" si="2"/>
        <v>28558</v>
      </c>
      <c r="AZ42" s="164">
        <f t="shared" si="3"/>
        <v>14374</v>
      </c>
      <c r="BA42" s="164">
        <f t="shared" si="4"/>
        <v>14184</v>
      </c>
      <c r="BB42" s="164">
        <f t="shared" si="5"/>
        <v>23045</v>
      </c>
      <c r="BC42" s="164">
        <f t="shared" si="6"/>
        <v>5513</v>
      </c>
      <c r="BD42" s="165"/>
      <c r="BE42" s="166">
        <f t="shared" si="7"/>
        <v>91024.89</v>
      </c>
      <c r="BF42" s="166">
        <f t="shared" si="8"/>
        <v>43979.1</v>
      </c>
      <c r="BG42" s="166">
        <f t="shared" si="9"/>
        <v>47045.79</v>
      </c>
      <c r="BH42" s="167"/>
      <c r="BI42" s="166">
        <f t="shared" si="10"/>
        <v>13053.48</v>
      </c>
      <c r="BJ42" s="166">
        <f t="shared" si="11"/>
        <v>8630.16</v>
      </c>
      <c r="BK42" s="166">
        <f t="shared" si="12"/>
        <v>0</v>
      </c>
      <c r="BL42" s="166">
        <f t="shared" si="13"/>
        <v>13053.48</v>
      </c>
      <c r="BM42" s="166">
        <f>SUM('Future Orders'!$BI42:$BL42)</f>
        <v>34737.12</v>
      </c>
      <c r="BN42" s="167"/>
      <c r="BO42" s="166">
        <f t="shared" si="14"/>
        <v>0</v>
      </c>
      <c r="BP42" s="166">
        <f t="shared" si="15"/>
        <v>0</v>
      </c>
      <c r="BQ42" s="166">
        <f t="shared" si="16"/>
        <v>22295.46</v>
      </c>
      <c r="BR42" s="166">
        <f t="shared" si="17"/>
        <v>0</v>
      </c>
      <c r="BS42" s="166">
        <f>SUM('Future Orders'!$BO42:$BR42)</f>
        <v>22295.46</v>
      </c>
      <c r="BT42" s="167"/>
      <c r="BU42" s="166">
        <f t="shared" si="18"/>
        <v>9544.48</v>
      </c>
      <c r="BV42" s="166">
        <f t="shared" si="19"/>
        <v>9463.08</v>
      </c>
      <c r="BW42" s="166">
        <f t="shared" si="20"/>
        <v>0</v>
      </c>
      <c r="BX42" s="166">
        <f t="shared" si="21"/>
        <v>9544.48</v>
      </c>
      <c r="BY42" s="166">
        <f>SUM('Future Orders'!$BU42:$BX42)</f>
        <v>28552.04</v>
      </c>
      <c r="BZ42" s="167"/>
      <c r="CA42" s="166">
        <f t="shared" si="22"/>
        <v>0</v>
      </c>
      <c r="CB42" s="166">
        <f t="shared" si="23"/>
        <v>0</v>
      </c>
      <c r="CC42" s="166">
        <f t="shared" si="24"/>
        <v>28038.23</v>
      </c>
      <c r="CD42" s="166">
        <f t="shared" si="25"/>
        <v>0</v>
      </c>
      <c r="CE42" s="166">
        <f>SUM('Future Orders'!$CA42:$CD42)</f>
        <v>28038.23</v>
      </c>
      <c r="CF42" s="167"/>
      <c r="CG42" s="166">
        <f>SUM('Future Orders'!$BI42:$BJ42)
+ SUM('Future Orders'!$BU42:$BV42)</f>
        <v>40691.2</v>
      </c>
      <c r="CH42" s="166">
        <f>SUM('Future Orders'!$BQ42)
+ SUM('Future Orders'!$BX42)</f>
        <v>31839.94</v>
      </c>
      <c r="CI42" s="166">
        <f>SUM('Future Orders'!$BI42:$BJ42)
+ SUM('Future Orders'!$BU42:$BV42)
+ SUM(('Future Orders'!$BI42) * 2)</f>
        <v>66798.16</v>
      </c>
      <c r="CJ42" s="166">
        <f>SUM(('Future Orders'!$BQ42) * 2) + SUM('Future Orders'!$BX42)</f>
        <v>54135.4</v>
      </c>
      <c r="CK42" s="167"/>
      <c r="CL42" s="168">
        <f t="shared" si="26"/>
        <v>3</v>
      </c>
      <c r="CM42" s="168">
        <f t="shared" si="27"/>
        <v>3</v>
      </c>
      <c r="CN42" s="168">
        <f t="shared" si="28"/>
        <v>4</v>
      </c>
      <c r="CO42" s="168">
        <f t="shared" si="29"/>
        <v>2</v>
      </c>
      <c r="CP42" s="168">
        <f t="shared" si="30"/>
        <v>2</v>
      </c>
      <c r="CQ42" s="169">
        <f t="shared" si="31"/>
        <v>2</v>
      </c>
      <c r="CR42" s="169">
        <f t="shared" si="32"/>
        <v>2</v>
      </c>
      <c r="CS42" s="170"/>
    </row>
    <row r="43" ht="15.75" customHeight="1">
      <c r="A43" s="151">
        <v>41897.0</v>
      </c>
      <c r="B43" s="152">
        <v>2.0</v>
      </c>
      <c r="C43" s="152" t="s">
        <v>46</v>
      </c>
      <c r="D43" s="152">
        <v>3.0</v>
      </c>
      <c r="E43" s="153">
        <v>2849.0</v>
      </c>
      <c r="F43" s="153">
        <f>SUM(('Future Orders'!$E43) * (1.1))</f>
        <v>3133.9</v>
      </c>
      <c r="G43" s="154">
        <v>8.3</v>
      </c>
      <c r="H43" s="155">
        <v>23646.7</v>
      </c>
      <c r="I43" s="155">
        <f>SUM(('Future Orders'!$H43) * (1.1))</f>
        <v>26011.37</v>
      </c>
      <c r="J43" s="159">
        <f>SUMIFS('Future Orders'!$F43, 'Future Orders'!$D43, "1", 'Future Orders'!$C43, "A", 'Future Orders'!$B43, "1")</f>
        <v>0</v>
      </c>
      <c r="K43" s="157">
        <f>SUMIFS('Future Orders'!$I43, 'Future Orders'!$D43, "1", 'Future Orders'!$C43, "A", 'Future Orders'!$B43, "1")</f>
        <v>0</v>
      </c>
      <c r="L43" s="157">
        <f>SUMIFS('Future Orders'!$F43, 'Future Orders'!$D43, "1", 'Future Orders'!$C43, "B", 'Future Orders'!$B43, "1")</f>
        <v>0</v>
      </c>
      <c r="M43" s="157">
        <f>SUMIFS('Future Orders'!$I43, 'Future Orders'!$D43, "1", 'Future Orders'!$C43, "B", 'Future Orders'!$B43, "1")</f>
        <v>0</v>
      </c>
      <c r="N43" s="159">
        <f>SUMIFS('Future Orders'!$F43, 'Future Orders'!$D43, "1", 'Future Orders'!$C43, "A", 'Future Orders'!$B43, "2")</f>
        <v>0</v>
      </c>
      <c r="O43" s="157">
        <f>SUMIFS('Future Orders'!$I43, 'Future Orders'!$D43, "1", 'Future Orders'!$C43, "A", 'Future Orders'!$B43, "2")</f>
        <v>0</v>
      </c>
      <c r="P43" s="157">
        <f>SUMIFS('Future Orders'!$E43, 'Future Orders'!$D43, "1", 'Future Orders'!$C43, "B", 'Future Orders'!$B43, "2")</f>
        <v>0</v>
      </c>
      <c r="Q43" s="157">
        <f>SUMIFS('Future Orders'!$I43, 'Future Orders'!$D43, "1", 'Future Orders'!$C43, "B", 'Future Orders'!$B43, "2")</f>
        <v>0</v>
      </c>
      <c r="R43" s="159">
        <f>SUMIFS('Future Orders'!$F43, 'Future Orders'!$D43, "2", 'Future Orders'!$C43, "A", 'Future Orders'!$B43, "1")</f>
        <v>0</v>
      </c>
      <c r="S43" s="157">
        <f>SUMIFS('Future Orders'!$I43, 'Future Orders'!$D43, "2", 'Future Orders'!$C43, "A", 'Future Orders'!$B43, "1")</f>
        <v>0</v>
      </c>
      <c r="T43" s="159">
        <f>SUMIFS('Future Orders'!$F43, 'Future Orders'!$D43, "2", 'Future Orders'!$C43, "B", 'Future Orders'!$B43, "1")</f>
        <v>0</v>
      </c>
      <c r="U43" s="157">
        <f>SUMIFS('Future Orders'!$I43, 'Future Orders'!$D43, "2", 'Future Orders'!$C43, "B", 'Future Orders'!$B43, "1")</f>
        <v>0</v>
      </c>
      <c r="V43" s="159">
        <f>SUMIFS('Future Orders'!$F43, 'Future Orders'!$D43, "2", 'Future Orders'!$C43, "A", 'Future Orders'!$B43, "2")</f>
        <v>0</v>
      </c>
      <c r="W43" s="157">
        <f>SUMIFS('Future Orders'!$I43, 'Future Orders'!$D43, "2", 'Future Orders'!$C43, "A", 'Future Orders'!$B43, "2")</f>
        <v>0</v>
      </c>
      <c r="X43" s="159">
        <f>SUMIFS('Future Orders'!$F43, 'Future Orders'!$D43, "2", 'Future Orders'!$C43, "B", 'Future Orders'!$B43, "2")</f>
        <v>0</v>
      </c>
      <c r="Y43" s="159">
        <f>SUMIFS('Future Orders'!$I43, 'Future Orders'!$D43, "2", 'Future Orders'!$C43, "B", 'Future Orders'!$B43, "2")</f>
        <v>0</v>
      </c>
      <c r="Z43" s="159">
        <f>SUMIFS('Future Orders'!$F43, 'Future Orders'!$D43, "3", 'Future Orders'!$C43, "A", 'Future Orders'!$B43, "1")</f>
        <v>0</v>
      </c>
      <c r="AA43" s="159">
        <f>SUMIFS('Future Orders'!$I43, 'Future Orders'!$D43, "3", 'Future Orders'!$C43, "A", 'Future Orders'!$B43, "1")</f>
        <v>0</v>
      </c>
      <c r="AB43" s="159">
        <f>SUMIFS('Future Orders'!$F43, 'Future Orders'!$D43, "3", 'Future Orders'!$C43, "B", 'Future Orders'!$B43, "1")</f>
        <v>0</v>
      </c>
      <c r="AC43" s="159">
        <f>SUMIFS('Future Orders'!$I43, 'Future Orders'!$D43, "3", 'Future Orders'!$C43, "B", 'Future Orders'!$B43, "1")</f>
        <v>0</v>
      </c>
      <c r="AD43" s="159">
        <f>SUMIFS('Future Orders'!$F43, 'Future Orders'!$D43, "3", 'Future Orders'!$C43, "A", 'Future Orders'!$B43, "2")</f>
        <v>0</v>
      </c>
      <c r="AE43" s="159">
        <f>SUMIFS('Future Orders'!$I43, 'Future Orders'!$D43, "3", 'Future Orders'!$C43, "A", 'Future Orders'!$B43, "2")</f>
        <v>0</v>
      </c>
      <c r="AF43" s="159">
        <f>SUMIFS('Future Orders'!$F43, 'Future Orders'!$D43, "3", 'Future Orders'!$C43, "B", 'Future Orders'!$B43, "2")</f>
        <v>3133.9</v>
      </c>
      <c r="AG43" s="157">
        <f>SUMIFS('Future Orders'!$I43, 'Future Orders'!$D43, "3", 'Future Orders'!$C43, "B", 'Future Orders'!$B43, "2")</f>
        <v>26011.37</v>
      </c>
      <c r="AH43" s="157">
        <f>SUMIFS('Future Orders'!$F43, 'Future Orders'!$D43, "4", 'Future Orders'!$C43, "A", 'Future Orders'!$B43, "1")</f>
        <v>0</v>
      </c>
      <c r="AI43" s="157">
        <f>SUMIFS('Future Orders'!$I43, 'Future Orders'!$D43, "4", 'Future Orders'!$C43, "A", 'Future Orders'!$B43, "1")</f>
        <v>0</v>
      </c>
      <c r="AJ43" s="157">
        <f>SUMIFS('Future Orders'!$F43, 'Future Orders'!$D43, "4", 'Future Orders'!$C43, "B", 'Future Orders'!$B43, "1")</f>
        <v>0</v>
      </c>
      <c r="AK43" s="157">
        <f>SUMIFS('Future Orders'!$I43, 'Future Orders'!$D43, "4", 'Future Orders'!$C43, "B", 'Future Orders'!$B43, "1")</f>
        <v>0</v>
      </c>
      <c r="AL43" s="157">
        <f>SUMIFS('Future Orders'!$F43, 'Future Orders'!$D43, "4", 'Future Orders'!$C43, "A", 'Future Orders'!$B43, "2")</f>
        <v>0</v>
      </c>
      <c r="AM43" s="157">
        <f>SUMIFS('Future Orders'!$I43, 'Future Orders'!$D43, "4", 'Future Orders'!$C43, "A", 'Future Orders'!$B43, "2")</f>
        <v>0</v>
      </c>
      <c r="AN43" s="171">
        <f>SUMIFS('Future Orders'!$F43, 'Future Orders'!$D43, "4", 'Future Orders'!$C43, "B", 'Future Orders'!$B43, "2")</f>
        <v>0</v>
      </c>
      <c r="AO43" s="171">
        <f>SUMIFS('Future Orders'!$I43, 'Future Orders'!$D43, "4", 'Future Orders'!$C43, "B", 'Future Orders'!$B43, "2")</f>
        <v>0</v>
      </c>
      <c r="AP43" s="171">
        <f>SUMIFS('Future Orders'!$H43, 'Future Orders'!$C43, "A", 'Future Orders'!$B43, "1")</f>
        <v>0</v>
      </c>
      <c r="AQ43" s="171">
        <f>SUMIFS('Future Orders'!$I43, 'Future Orders'!$C43, "B", 'Future Orders'!$B43, "1")</f>
        <v>0</v>
      </c>
      <c r="AR43" s="171">
        <f>SUMIFS('Future Orders'!$H43, 'Future Orders'!$C43, "A", 'Future Orders'!$B43, "2")</f>
        <v>0</v>
      </c>
      <c r="AS43" s="171">
        <f>SUMIFS('Future Orders'!$I43, 'Future Orders'!$C43, "B", 'Future Orders'!$B43, "2")</f>
        <v>26011.37</v>
      </c>
      <c r="AT43" s="145"/>
      <c r="AU43" s="146"/>
      <c r="AV43" s="161">
        <v>42142.0</v>
      </c>
      <c r="AW43" s="162"/>
      <c r="AX43" s="163">
        <f t="shared" si="1"/>
        <v>42142</v>
      </c>
      <c r="AY43" s="164">
        <f t="shared" si="2"/>
        <v>28818</v>
      </c>
      <c r="AZ43" s="164">
        <f t="shared" si="3"/>
        <v>14036</v>
      </c>
      <c r="BA43" s="164">
        <f t="shared" si="4"/>
        <v>14782</v>
      </c>
      <c r="BB43" s="164">
        <f t="shared" si="5"/>
        <v>23611</v>
      </c>
      <c r="BC43" s="164">
        <f t="shared" si="6"/>
        <v>5207</v>
      </c>
      <c r="BD43" s="165"/>
      <c r="BE43" s="166">
        <f t="shared" si="7"/>
        <v>88587.73</v>
      </c>
      <c r="BF43" s="166">
        <f t="shared" si="8"/>
        <v>41442.83</v>
      </c>
      <c r="BG43" s="166">
        <f t="shared" si="9"/>
        <v>47144.9</v>
      </c>
      <c r="BH43" s="167"/>
      <c r="BI43" s="166">
        <f t="shared" si="10"/>
        <v>12596.1</v>
      </c>
      <c r="BJ43" s="166">
        <f t="shared" si="11"/>
        <v>8751.6</v>
      </c>
      <c r="BK43" s="166">
        <f t="shared" si="12"/>
        <v>0</v>
      </c>
      <c r="BL43" s="166">
        <f t="shared" si="13"/>
        <v>12596.1</v>
      </c>
      <c r="BM43" s="166">
        <f>SUM('Future Orders'!$BI43:$BL43)</f>
        <v>33943.8</v>
      </c>
      <c r="BN43" s="167"/>
      <c r="BO43" s="166">
        <f t="shared" si="14"/>
        <v>0</v>
      </c>
      <c r="BP43" s="166">
        <f t="shared" si="15"/>
        <v>0</v>
      </c>
      <c r="BQ43" s="166">
        <f t="shared" si="16"/>
        <v>20095.13</v>
      </c>
      <c r="BR43" s="166">
        <f t="shared" si="17"/>
        <v>0</v>
      </c>
      <c r="BS43" s="166">
        <f>SUM('Future Orders'!$BO43:$BR43)</f>
        <v>20095.13</v>
      </c>
      <c r="BT43" s="167"/>
      <c r="BU43" s="166">
        <f t="shared" si="18"/>
        <v>9142.76</v>
      </c>
      <c r="BV43" s="166">
        <f t="shared" si="19"/>
        <v>10557.36</v>
      </c>
      <c r="BW43" s="166">
        <f t="shared" si="20"/>
        <v>0</v>
      </c>
      <c r="BX43" s="166">
        <f t="shared" si="21"/>
        <v>9142.76</v>
      </c>
      <c r="BY43" s="166">
        <f>SUM('Future Orders'!$BU43:$BX43)</f>
        <v>28842.88</v>
      </c>
      <c r="BZ43" s="167"/>
      <c r="CA43" s="166">
        <f t="shared" si="22"/>
        <v>0</v>
      </c>
      <c r="CB43" s="166">
        <f t="shared" si="23"/>
        <v>0</v>
      </c>
      <c r="CC43" s="166">
        <f t="shared" si="24"/>
        <v>27444.78</v>
      </c>
      <c r="CD43" s="166">
        <f t="shared" si="25"/>
        <v>0</v>
      </c>
      <c r="CE43" s="166">
        <f>SUM('Future Orders'!$CA43:$CD43)</f>
        <v>27444.78</v>
      </c>
      <c r="CF43" s="167"/>
      <c r="CG43" s="166">
        <f>SUM('Future Orders'!$BI43:$BJ43)
+ SUM('Future Orders'!$BU43:$BV43)</f>
        <v>41047.82</v>
      </c>
      <c r="CH43" s="166">
        <f>SUM('Future Orders'!$BQ43)
+ SUM('Future Orders'!$BX43)</f>
        <v>29237.89</v>
      </c>
      <c r="CI43" s="166">
        <f>SUM('Future Orders'!$BI43:$BJ43)
+ SUM('Future Orders'!$BU43:$BV43)
+ SUM(('Future Orders'!$BI43) * 2)</f>
        <v>66240.02</v>
      </c>
      <c r="CJ43" s="166">
        <f>SUM(('Future Orders'!$BQ43) * 2) + SUM('Future Orders'!$BX43)</f>
        <v>49333.02</v>
      </c>
      <c r="CK43" s="167"/>
      <c r="CL43" s="168">
        <f t="shared" si="26"/>
        <v>3</v>
      </c>
      <c r="CM43" s="168">
        <f t="shared" si="27"/>
        <v>3</v>
      </c>
      <c r="CN43" s="168">
        <f t="shared" si="28"/>
        <v>4</v>
      </c>
      <c r="CO43" s="168">
        <f t="shared" si="29"/>
        <v>2</v>
      </c>
      <c r="CP43" s="168">
        <f t="shared" si="30"/>
        <v>2</v>
      </c>
      <c r="CQ43" s="169">
        <f t="shared" si="31"/>
        <v>2</v>
      </c>
      <c r="CR43" s="169">
        <f t="shared" si="32"/>
        <v>2</v>
      </c>
      <c r="CS43" s="170"/>
    </row>
    <row r="44" ht="15.75" customHeight="1">
      <c r="A44" s="151">
        <v>41904.0</v>
      </c>
      <c r="B44" s="152">
        <v>1.0</v>
      </c>
      <c r="C44" s="152" t="s">
        <v>45</v>
      </c>
      <c r="D44" s="152">
        <v>1.0</v>
      </c>
      <c r="E44" s="153">
        <v>3862.0</v>
      </c>
      <c r="F44" s="153">
        <f>SUM(('Future Orders'!$E44) * (1.1))</f>
        <v>4248.2</v>
      </c>
      <c r="G44" s="154">
        <v>2.2</v>
      </c>
      <c r="H44" s="155">
        <v>8496.400000000001</v>
      </c>
      <c r="I44" s="155">
        <f>SUM(('Future Orders'!$H44) * (1.1))</f>
        <v>9346.04</v>
      </c>
      <c r="J44" s="159">
        <f>SUMIFS('Future Orders'!$F44, 'Future Orders'!$D44, "1", 'Future Orders'!$C44, "A", 'Future Orders'!$B44, "1")</f>
        <v>4248.2</v>
      </c>
      <c r="K44" s="157">
        <f>SUMIFS('Future Orders'!$I44, 'Future Orders'!$D44, "1", 'Future Orders'!$C44, "A", 'Future Orders'!$B44, "1")</f>
        <v>9346.04</v>
      </c>
      <c r="L44" s="157">
        <f>SUMIFS('Future Orders'!$F44, 'Future Orders'!$D44, "1", 'Future Orders'!$C44, "B", 'Future Orders'!$B44, "1")</f>
        <v>0</v>
      </c>
      <c r="M44" s="157">
        <f>SUMIFS('Future Orders'!$I44, 'Future Orders'!$D44, "1", 'Future Orders'!$C44, "B", 'Future Orders'!$B44, "1")</f>
        <v>0</v>
      </c>
      <c r="N44" s="159">
        <f>SUMIFS('Future Orders'!$F44, 'Future Orders'!$D44, "1", 'Future Orders'!$C44, "A", 'Future Orders'!$B44, "2")</f>
        <v>0</v>
      </c>
      <c r="O44" s="157">
        <f>SUMIFS('Future Orders'!$I44, 'Future Orders'!$D44, "1", 'Future Orders'!$C44, "A", 'Future Orders'!$B44, "2")</f>
        <v>0</v>
      </c>
      <c r="P44" s="157">
        <f>SUMIFS('Future Orders'!$E44, 'Future Orders'!$D44, "1", 'Future Orders'!$C44, "B", 'Future Orders'!$B44, "2")</f>
        <v>0</v>
      </c>
      <c r="Q44" s="157">
        <f>SUMIFS('Future Orders'!$I44, 'Future Orders'!$D44, "1", 'Future Orders'!$C44, "B", 'Future Orders'!$B44, "2")</f>
        <v>0</v>
      </c>
      <c r="R44" s="159">
        <f>SUMIFS('Future Orders'!$F44, 'Future Orders'!$D44, "2", 'Future Orders'!$C44, "A", 'Future Orders'!$B44, "1")</f>
        <v>0</v>
      </c>
      <c r="S44" s="157">
        <f>SUMIFS('Future Orders'!$I44, 'Future Orders'!$D44, "2", 'Future Orders'!$C44, "A", 'Future Orders'!$B44, "1")</f>
        <v>0</v>
      </c>
      <c r="T44" s="159">
        <f>SUMIFS('Future Orders'!$F44, 'Future Orders'!$D44, "2", 'Future Orders'!$C44, "B", 'Future Orders'!$B44, "1")</f>
        <v>0</v>
      </c>
      <c r="U44" s="157">
        <f>SUMIFS('Future Orders'!$I44, 'Future Orders'!$D44, "2", 'Future Orders'!$C44, "B", 'Future Orders'!$B44, "1")</f>
        <v>0</v>
      </c>
      <c r="V44" s="159">
        <f>SUMIFS('Future Orders'!$F44, 'Future Orders'!$D44, "2", 'Future Orders'!$C44, "A", 'Future Orders'!$B44, "2")</f>
        <v>0</v>
      </c>
      <c r="W44" s="157">
        <f>SUMIFS('Future Orders'!$I44, 'Future Orders'!$D44, "2", 'Future Orders'!$C44, "A", 'Future Orders'!$B44, "2")</f>
        <v>0</v>
      </c>
      <c r="X44" s="159">
        <f>SUMIFS('Future Orders'!$F44, 'Future Orders'!$D44, "2", 'Future Orders'!$C44, "B", 'Future Orders'!$B44, "2")</f>
        <v>0</v>
      </c>
      <c r="Y44" s="159">
        <f>SUMIFS('Future Orders'!$I44, 'Future Orders'!$D44, "2", 'Future Orders'!$C44, "B", 'Future Orders'!$B44, "2")</f>
        <v>0</v>
      </c>
      <c r="Z44" s="159">
        <f>SUMIFS('Future Orders'!$F44, 'Future Orders'!$D44, "3", 'Future Orders'!$C44, "A", 'Future Orders'!$B44, "1")</f>
        <v>0</v>
      </c>
      <c r="AA44" s="159">
        <f>SUMIFS('Future Orders'!$I44, 'Future Orders'!$D44, "3", 'Future Orders'!$C44, "A", 'Future Orders'!$B44, "1")</f>
        <v>0</v>
      </c>
      <c r="AB44" s="159">
        <f>SUMIFS('Future Orders'!$F44, 'Future Orders'!$D44, "3", 'Future Orders'!$C44, "B", 'Future Orders'!$B44, "1")</f>
        <v>0</v>
      </c>
      <c r="AC44" s="159">
        <f>SUMIFS('Future Orders'!$I44, 'Future Orders'!$D44, "3", 'Future Orders'!$C44, "B", 'Future Orders'!$B44, "1")</f>
        <v>0</v>
      </c>
      <c r="AD44" s="159">
        <f>SUMIFS('Future Orders'!$F44, 'Future Orders'!$D44, "3", 'Future Orders'!$C44, "A", 'Future Orders'!$B44, "2")</f>
        <v>0</v>
      </c>
      <c r="AE44" s="159">
        <f>SUMIFS('Future Orders'!$I44, 'Future Orders'!$D44, "3", 'Future Orders'!$C44, "A", 'Future Orders'!$B44, "2")</f>
        <v>0</v>
      </c>
      <c r="AF44" s="159">
        <f>SUMIFS('Future Orders'!$F44, 'Future Orders'!$D44, "3", 'Future Orders'!$C44, "B", 'Future Orders'!$B44, "2")</f>
        <v>0</v>
      </c>
      <c r="AG44" s="157">
        <f>SUMIFS('Future Orders'!$I44, 'Future Orders'!$D44, "3", 'Future Orders'!$C44, "B", 'Future Orders'!$B44, "2")</f>
        <v>0</v>
      </c>
      <c r="AH44" s="157">
        <f>SUMIFS('Future Orders'!$F44, 'Future Orders'!$D44, "4", 'Future Orders'!$C44, "A", 'Future Orders'!$B44, "1")</f>
        <v>0</v>
      </c>
      <c r="AI44" s="157">
        <f>SUMIFS('Future Orders'!$I44, 'Future Orders'!$D44, "4", 'Future Orders'!$C44, "A", 'Future Orders'!$B44, "1")</f>
        <v>0</v>
      </c>
      <c r="AJ44" s="157">
        <f>SUMIFS('Future Orders'!$F44, 'Future Orders'!$D44, "4", 'Future Orders'!$C44, "B", 'Future Orders'!$B44, "1")</f>
        <v>0</v>
      </c>
      <c r="AK44" s="157">
        <f>SUMIFS('Future Orders'!$I44, 'Future Orders'!$D44, "4", 'Future Orders'!$C44, "B", 'Future Orders'!$B44, "1")</f>
        <v>0</v>
      </c>
      <c r="AL44" s="157">
        <f>SUMIFS('Future Orders'!$F44, 'Future Orders'!$D44, "4", 'Future Orders'!$C44, "A", 'Future Orders'!$B44, "2")</f>
        <v>0</v>
      </c>
      <c r="AM44" s="157">
        <f>SUMIFS('Future Orders'!$I44, 'Future Orders'!$D44, "4", 'Future Orders'!$C44, "A", 'Future Orders'!$B44, "2")</f>
        <v>0</v>
      </c>
      <c r="AN44" s="171">
        <f>SUMIFS('Future Orders'!$F44, 'Future Orders'!$D44, "4", 'Future Orders'!$C44, "B", 'Future Orders'!$B44, "2")</f>
        <v>0</v>
      </c>
      <c r="AO44" s="171">
        <f>SUMIFS('Future Orders'!$I44, 'Future Orders'!$D44, "4", 'Future Orders'!$C44, "B", 'Future Orders'!$B44, "2")</f>
        <v>0</v>
      </c>
      <c r="AP44" s="171">
        <f>SUMIFS('Future Orders'!$H44, 'Future Orders'!$C44, "A", 'Future Orders'!$B44, "1")</f>
        <v>8496.4</v>
      </c>
      <c r="AQ44" s="171">
        <f>SUMIFS('Future Orders'!$I44, 'Future Orders'!$C44, "B", 'Future Orders'!$B44, "1")</f>
        <v>0</v>
      </c>
      <c r="AR44" s="171">
        <f>SUMIFS('Future Orders'!$H44, 'Future Orders'!$C44, "A", 'Future Orders'!$B44, "2")</f>
        <v>0</v>
      </c>
      <c r="AS44" s="171">
        <f>SUMIFS('Future Orders'!$I44, 'Future Orders'!$C44, "B", 'Future Orders'!$B44, "2")</f>
        <v>0</v>
      </c>
      <c r="AT44" s="145"/>
      <c r="AU44" s="146"/>
      <c r="AV44" s="161">
        <v>42149.0</v>
      </c>
      <c r="AW44" s="162"/>
      <c r="AX44" s="163">
        <f t="shared" si="1"/>
        <v>42149</v>
      </c>
      <c r="AY44" s="164">
        <f t="shared" si="2"/>
        <v>27681</v>
      </c>
      <c r="AZ44" s="164">
        <f t="shared" si="3"/>
        <v>13592</v>
      </c>
      <c r="BA44" s="164">
        <f t="shared" si="4"/>
        <v>14089</v>
      </c>
      <c r="BB44" s="164">
        <f t="shared" si="5"/>
        <v>22254</v>
      </c>
      <c r="BC44" s="164">
        <f t="shared" si="6"/>
        <v>5427</v>
      </c>
      <c r="BD44" s="165"/>
      <c r="BE44" s="166">
        <f t="shared" si="7"/>
        <v>89558.59</v>
      </c>
      <c r="BF44" s="166">
        <f t="shared" si="8"/>
        <v>41596.83</v>
      </c>
      <c r="BG44" s="166">
        <f t="shared" si="9"/>
        <v>47961.76</v>
      </c>
      <c r="BH44" s="167"/>
      <c r="BI44" s="166">
        <f t="shared" si="10"/>
        <v>12712.26</v>
      </c>
      <c r="BJ44" s="166">
        <f t="shared" si="11"/>
        <v>7986</v>
      </c>
      <c r="BK44" s="166">
        <f t="shared" si="12"/>
        <v>0</v>
      </c>
      <c r="BL44" s="166">
        <f t="shared" si="13"/>
        <v>12712.26</v>
      </c>
      <c r="BM44" s="166">
        <f>SUM('Future Orders'!$BI44:$BL44)</f>
        <v>33410.52</v>
      </c>
      <c r="BN44" s="167"/>
      <c r="BO44" s="166">
        <f t="shared" si="14"/>
        <v>0</v>
      </c>
      <c r="BP44" s="166">
        <f t="shared" si="15"/>
        <v>0</v>
      </c>
      <c r="BQ44" s="166">
        <f t="shared" si="16"/>
        <v>20898.57</v>
      </c>
      <c r="BR44" s="166">
        <f t="shared" si="17"/>
        <v>0</v>
      </c>
      <c r="BS44" s="166">
        <f>SUM('Future Orders'!$BO44:$BR44)</f>
        <v>20898.57</v>
      </c>
      <c r="BT44" s="167"/>
      <c r="BU44" s="166">
        <f t="shared" si="18"/>
        <v>10684.3</v>
      </c>
      <c r="BV44" s="166">
        <f t="shared" si="19"/>
        <v>8627.52</v>
      </c>
      <c r="BW44" s="166">
        <f t="shared" si="20"/>
        <v>0</v>
      </c>
      <c r="BX44" s="166">
        <f t="shared" si="21"/>
        <v>10684.3</v>
      </c>
      <c r="BY44" s="166">
        <f>SUM('Future Orders'!$BU44:$BX44)</f>
        <v>29996.12</v>
      </c>
      <c r="BZ44" s="167"/>
      <c r="CA44" s="166">
        <f t="shared" si="22"/>
        <v>0</v>
      </c>
      <c r="CB44" s="166">
        <f t="shared" si="23"/>
        <v>0</v>
      </c>
      <c r="CC44" s="166">
        <f t="shared" si="24"/>
        <v>28649.94</v>
      </c>
      <c r="CD44" s="166">
        <f t="shared" si="25"/>
        <v>0</v>
      </c>
      <c r="CE44" s="166">
        <f>SUM('Future Orders'!$CA44:$CD44)</f>
        <v>28649.94</v>
      </c>
      <c r="CF44" s="167"/>
      <c r="CG44" s="166">
        <f>SUM('Future Orders'!$BI44:$BJ44)
+ SUM('Future Orders'!$BU44:$BV44)</f>
        <v>40010.08</v>
      </c>
      <c r="CH44" s="166">
        <f>SUM('Future Orders'!$BQ44)
+ SUM('Future Orders'!$BX44)</f>
        <v>31582.87</v>
      </c>
      <c r="CI44" s="166">
        <f>SUM('Future Orders'!$BI44:$BJ44)
+ SUM('Future Orders'!$BU44:$BV44)
+ SUM(('Future Orders'!$BI44) * 2)</f>
        <v>65434.6</v>
      </c>
      <c r="CJ44" s="166">
        <f>SUM(('Future Orders'!$BQ44) * 2) + SUM('Future Orders'!$BX44)</f>
        <v>52481.44</v>
      </c>
      <c r="CK44" s="167"/>
      <c r="CL44" s="168">
        <f t="shared" si="26"/>
        <v>3</v>
      </c>
      <c r="CM44" s="168">
        <f t="shared" si="27"/>
        <v>3</v>
      </c>
      <c r="CN44" s="168">
        <f t="shared" si="28"/>
        <v>4</v>
      </c>
      <c r="CO44" s="168">
        <f t="shared" si="29"/>
        <v>2</v>
      </c>
      <c r="CP44" s="168">
        <f t="shared" si="30"/>
        <v>2</v>
      </c>
      <c r="CQ44" s="169">
        <f t="shared" si="31"/>
        <v>2</v>
      </c>
      <c r="CR44" s="169">
        <f t="shared" si="32"/>
        <v>2</v>
      </c>
      <c r="CS44" s="170"/>
    </row>
    <row r="45" ht="15.75" customHeight="1">
      <c r="A45" s="151">
        <v>41904.0</v>
      </c>
      <c r="B45" s="152">
        <v>1.0</v>
      </c>
      <c r="C45" s="152" t="s">
        <v>45</v>
      </c>
      <c r="D45" s="152">
        <v>2.0</v>
      </c>
      <c r="E45" s="153">
        <v>5087.0</v>
      </c>
      <c r="F45" s="153">
        <f>SUM(('Future Orders'!$E45) * (1.1))</f>
        <v>5595.7</v>
      </c>
      <c r="G45" s="154">
        <v>1.2</v>
      </c>
      <c r="H45" s="155">
        <v>6104.4</v>
      </c>
      <c r="I45" s="155">
        <f>SUM(('Future Orders'!$H45) * (1.1))</f>
        <v>6714.84</v>
      </c>
      <c r="J45" s="159">
        <f>SUMIFS('Future Orders'!$F45, 'Future Orders'!$D45, "1", 'Future Orders'!$C45, "A", 'Future Orders'!$B45, "1")</f>
        <v>0</v>
      </c>
      <c r="K45" s="157">
        <f>SUMIFS('Future Orders'!$I45, 'Future Orders'!$D45, "1", 'Future Orders'!$C45, "A", 'Future Orders'!$B45, "1")</f>
        <v>0</v>
      </c>
      <c r="L45" s="157">
        <f>SUMIFS('Future Orders'!$F45, 'Future Orders'!$D45, "1", 'Future Orders'!$C45, "B", 'Future Orders'!$B45, "1")</f>
        <v>0</v>
      </c>
      <c r="M45" s="157">
        <f>SUMIFS('Future Orders'!$I45, 'Future Orders'!$D45, "1", 'Future Orders'!$C45, "B", 'Future Orders'!$B45, "1")</f>
        <v>0</v>
      </c>
      <c r="N45" s="159">
        <f>SUMIFS('Future Orders'!$F45, 'Future Orders'!$D45, "1", 'Future Orders'!$C45, "A", 'Future Orders'!$B45, "2")</f>
        <v>0</v>
      </c>
      <c r="O45" s="157">
        <f>SUMIFS('Future Orders'!$I45, 'Future Orders'!$D45, "1", 'Future Orders'!$C45, "A", 'Future Orders'!$B45, "2")</f>
        <v>0</v>
      </c>
      <c r="P45" s="157">
        <f>SUMIFS('Future Orders'!$E45, 'Future Orders'!$D45, "1", 'Future Orders'!$C45, "B", 'Future Orders'!$B45, "2")</f>
        <v>0</v>
      </c>
      <c r="Q45" s="157">
        <f>SUMIFS('Future Orders'!$I45, 'Future Orders'!$D45, "1", 'Future Orders'!$C45, "B", 'Future Orders'!$B45, "2")</f>
        <v>0</v>
      </c>
      <c r="R45" s="159">
        <f>SUMIFS('Future Orders'!$F45, 'Future Orders'!$D45, "2", 'Future Orders'!$C45, "A", 'Future Orders'!$B45, "1")</f>
        <v>5595.7</v>
      </c>
      <c r="S45" s="157">
        <f>SUMIFS('Future Orders'!$I45, 'Future Orders'!$D45, "2", 'Future Orders'!$C45, "A", 'Future Orders'!$B45, "1")</f>
        <v>6714.84</v>
      </c>
      <c r="T45" s="159">
        <f>SUMIFS('Future Orders'!$F45, 'Future Orders'!$D45, "2", 'Future Orders'!$C45, "B", 'Future Orders'!$B45, "1")</f>
        <v>0</v>
      </c>
      <c r="U45" s="157">
        <f>SUMIFS('Future Orders'!$I45, 'Future Orders'!$D45, "2", 'Future Orders'!$C45, "B", 'Future Orders'!$B45, "1")</f>
        <v>0</v>
      </c>
      <c r="V45" s="159">
        <f>SUMIFS('Future Orders'!$F45, 'Future Orders'!$D45, "2", 'Future Orders'!$C45, "A", 'Future Orders'!$B45, "2")</f>
        <v>0</v>
      </c>
      <c r="W45" s="157">
        <f>SUMIFS('Future Orders'!$I45, 'Future Orders'!$D45, "2", 'Future Orders'!$C45, "A", 'Future Orders'!$B45, "2")</f>
        <v>0</v>
      </c>
      <c r="X45" s="159">
        <f>SUMIFS('Future Orders'!$F45, 'Future Orders'!$D45, "2", 'Future Orders'!$C45, "B", 'Future Orders'!$B45, "2")</f>
        <v>0</v>
      </c>
      <c r="Y45" s="159">
        <f>SUMIFS('Future Orders'!$I45, 'Future Orders'!$D45, "2", 'Future Orders'!$C45, "B", 'Future Orders'!$B45, "2")</f>
        <v>0</v>
      </c>
      <c r="Z45" s="159">
        <f>SUMIFS('Future Orders'!$F45, 'Future Orders'!$D45, "3", 'Future Orders'!$C45, "A", 'Future Orders'!$B45, "1")</f>
        <v>0</v>
      </c>
      <c r="AA45" s="159">
        <f>SUMIFS('Future Orders'!$I45, 'Future Orders'!$D45, "3", 'Future Orders'!$C45, "A", 'Future Orders'!$B45, "1")</f>
        <v>0</v>
      </c>
      <c r="AB45" s="159">
        <f>SUMIFS('Future Orders'!$F45, 'Future Orders'!$D45, "3", 'Future Orders'!$C45, "B", 'Future Orders'!$B45, "1")</f>
        <v>0</v>
      </c>
      <c r="AC45" s="159">
        <f>SUMIFS('Future Orders'!$I45, 'Future Orders'!$D45, "3", 'Future Orders'!$C45, "B", 'Future Orders'!$B45, "1")</f>
        <v>0</v>
      </c>
      <c r="AD45" s="159">
        <f>SUMIFS('Future Orders'!$F45, 'Future Orders'!$D45, "3", 'Future Orders'!$C45, "A", 'Future Orders'!$B45, "2")</f>
        <v>0</v>
      </c>
      <c r="AE45" s="159">
        <f>SUMIFS('Future Orders'!$I45, 'Future Orders'!$D45, "3", 'Future Orders'!$C45, "A", 'Future Orders'!$B45, "2")</f>
        <v>0</v>
      </c>
      <c r="AF45" s="159">
        <f>SUMIFS('Future Orders'!$F45, 'Future Orders'!$D45, "3", 'Future Orders'!$C45, "B", 'Future Orders'!$B45, "2")</f>
        <v>0</v>
      </c>
      <c r="AG45" s="157">
        <f>SUMIFS('Future Orders'!$I45, 'Future Orders'!$D45, "3", 'Future Orders'!$C45, "B", 'Future Orders'!$B45, "2")</f>
        <v>0</v>
      </c>
      <c r="AH45" s="157">
        <f>SUMIFS('Future Orders'!$F45, 'Future Orders'!$D45, "4", 'Future Orders'!$C45, "A", 'Future Orders'!$B45, "1")</f>
        <v>0</v>
      </c>
      <c r="AI45" s="157">
        <f>SUMIFS('Future Orders'!$I45, 'Future Orders'!$D45, "4", 'Future Orders'!$C45, "A", 'Future Orders'!$B45, "1")</f>
        <v>0</v>
      </c>
      <c r="AJ45" s="157">
        <f>SUMIFS('Future Orders'!$F45, 'Future Orders'!$D45, "4", 'Future Orders'!$C45, "B", 'Future Orders'!$B45, "1")</f>
        <v>0</v>
      </c>
      <c r="AK45" s="157">
        <f>SUMIFS('Future Orders'!$I45, 'Future Orders'!$D45, "4", 'Future Orders'!$C45, "B", 'Future Orders'!$B45, "1")</f>
        <v>0</v>
      </c>
      <c r="AL45" s="157">
        <f>SUMIFS('Future Orders'!$F45, 'Future Orders'!$D45, "4", 'Future Orders'!$C45, "A", 'Future Orders'!$B45, "2")</f>
        <v>0</v>
      </c>
      <c r="AM45" s="157">
        <f>SUMIFS('Future Orders'!$I45, 'Future Orders'!$D45, "4", 'Future Orders'!$C45, "A", 'Future Orders'!$B45, "2")</f>
        <v>0</v>
      </c>
      <c r="AN45" s="171">
        <f>SUMIFS('Future Orders'!$F45, 'Future Orders'!$D45, "4", 'Future Orders'!$C45, "B", 'Future Orders'!$B45, "2")</f>
        <v>0</v>
      </c>
      <c r="AO45" s="171">
        <f>SUMIFS('Future Orders'!$I45, 'Future Orders'!$D45, "4", 'Future Orders'!$C45, "B", 'Future Orders'!$B45, "2")</f>
        <v>0</v>
      </c>
      <c r="AP45" s="171">
        <f>SUMIFS('Future Orders'!$H45, 'Future Orders'!$C45, "A", 'Future Orders'!$B45, "1")</f>
        <v>6104.4</v>
      </c>
      <c r="AQ45" s="171">
        <f>SUMIFS('Future Orders'!$I45, 'Future Orders'!$C45, "B", 'Future Orders'!$B45, "1")</f>
        <v>0</v>
      </c>
      <c r="AR45" s="171">
        <f>SUMIFS('Future Orders'!$H45, 'Future Orders'!$C45, "A", 'Future Orders'!$B45, "2")</f>
        <v>0</v>
      </c>
      <c r="AS45" s="171">
        <f>SUMIFS('Future Orders'!$I45, 'Future Orders'!$C45, "B", 'Future Orders'!$B45, "2")</f>
        <v>0</v>
      </c>
      <c r="AT45" s="145"/>
      <c r="AU45" s="146"/>
      <c r="AV45" s="161">
        <v>42156.0</v>
      </c>
      <c r="AW45" s="162"/>
      <c r="AX45" s="163">
        <f t="shared" si="1"/>
        <v>42156</v>
      </c>
      <c r="AY45" s="164">
        <f t="shared" si="2"/>
        <v>26525</v>
      </c>
      <c r="AZ45" s="164">
        <f t="shared" si="3"/>
        <v>13404</v>
      </c>
      <c r="BA45" s="164">
        <f t="shared" si="4"/>
        <v>13121</v>
      </c>
      <c r="BB45" s="164">
        <f t="shared" si="5"/>
        <v>21078</v>
      </c>
      <c r="BC45" s="164">
        <f t="shared" si="6"/>
        <v>5447</v>
      </c>
      <c r="BD45" s="165"/>
      <c r="BE45" s="166">
        <f t="shared" si="7"/>
        <v>88261.47</v>
      </c>
      <c r="BF45" s="166">
        <f t="shared" si="8"/>
        <v>41449.76</v>
      </c>
      <c r="BG45" s="166">
        <f t="shared" si="9"/>
        <v>46811.71</v>
      </c>
      <c r="BH45" s="167"/>
      <c r="BI45" s="166">
        <f t="shared" si="10"/>
        <v>12780.02</v>
      </c>
      <c r="BJ45" s="166">
        <f t="shared" si="11"/>
        <v>7689</v>
      </c>
      <c r="BK45" s="166">
        <f t="shared" si="12"/>
        <v>0</v>
      </c>
      <c r="BL45" s="166">
        <f t="shared" si="13"/>
        <v>12780.02</v>
      </c>
      <c r="BM45" s="166">
        <f>SUM('Future Orders'!$BI45:$BL45)</f>
        <v>33249.04</v>
      </c>
      <c r="BN45" s="167"/>
      <c r="BO45" s="166">
        <f t="shared" si="14"/>
        <v>0</v>
      </c>
      <c r="BP45" s="166">
        <f t="shared" si="15"/>
        <v>0</v>
      </c>
      <c r="BQ45" s="166">
        <f t="shared" si="16"/>
        <v>20980.74</v>
      </c>
      <c r="BR45" s="166">
        <f t="shared" si="17"/>
        <v>0</v>
      </c>
      <c r="BS45" s="166">
        <f>SUM('Future Orders'!$BO45:$BR45)</f>
        <v>20980.74</v>
      </c>
      <c r="BT45" s="167"/>
      <c r="BU45" s="166">
        <f t="shared" si="18"/>
        <v>10776.26</v>
      </c>
      <c r="BV45" s="166">
        <f t="shared" si="19"/>
        <v>7285.08</v>
      </c>
      <c r="BW45" s="166">
        <f t="shared" si="20"/>
        <v>0</v>
      </c>
      <c r="BX45" s="166">
        <f t="shared" si="21"/>
        <v>10776.26</v>
      </c>
      <c r="BY45" s="166">
        <f>SUM('Future Orders'!$BU45:$BX45)</f>
        <v>28837.6</v>
      </c>
      <c r="BZ45" s="167"/>
      <c r="CA45" s="166">
        <f t="shared" si="22"/>
        <v>0</v>
      </c>
      <c r="CB45" s="166">
        <f t="shared" si="23"/>
        <v>0</v>
      </c>
      <c r="CC45" s="166">
        <f t="shared" si="24"/>
        <v>28750.37</v>
      </c>
      <c r="CD45" s="166">
        <f t="shared" si="25"/>
        <v>0</v>
      </c>
      <c r="CE45" s="166">
        <f>SUM('Future Orders'!$CA45:$CD45)</f>
        <v>28750.37</v>
      </c>
      <c r="CF45" s="167"/>
      <c r="CG45" s="166">
        <f>SUM('Future Orders'!$BI45:$BJ45)
+ SUM('Future Orders'!$BU45:$BV45)</f>
        <v>38530.36</v>
      </c>
      <c r="CH45" s="166">
        <f>SUM('Future Orders'!$BQ45)
+ SUM('Future Orders'!$BX45)</f>
        <v>31757</v>
      </c>
      <c r="CI45" s="166">
        <f>SUM('Future Orders'!$BI45:$BJ45)
+ SUM('Future Orders'!$BU45:$BV45)
+ SUM(('Future Orders'!$BI45) * 2)</f>
        <v>64090.4</v>
      </c>
      <c r="CJ45" s="166">
        <f>SUM(('Future Orders'!$BQ45) * 2) + SUM('Future Orders'!$BX45)</f>
        <v>52737.74</v>
      </c>
      <c r="CK45" s="167"/>
      <c r="CL45" s="168">
        <f t="shared" si="26"/>
        <v>3</v>
      </c>
      <c r="CM45" s="168">
        <f t="shared" si="27"/>
        <v>3</v>
      </c>
      <c r="CN45" s="168">
        <f t="shared" si="28"/>
        <v>4</v>
      </c>
      <c r="CO45" s="168">
        <f t="shared" si="29"/>
        <v>2</v>
      </c>
      <c r="CP45" s="168">
        <f t="shared" si="30"/>
        <v>2</v>
      </c>
      <c r="CQ45" s="169">
        <f t="shared" si="31"/>
        <v>2</v>
      </c>
      <c r="CR45" s="169">
        <f t="shared" si="32"/>
        <v>2</v>
      </c>
      <c r="CS45" s="170"/>
    </row>
    <row r="46" ht="15.75" customHeight="1">
      <c r="A46" s="151">
        <v>41904.0</v>
      </c>
      <c r="B46" s="152">
        <v>2.0</v>
      </c>
      <c r="C46" s="152" t="s">
        <v>45</v>
      </c>
      <c r="D46" s="152">
        <v>1.0</v>
      </c>
      <c r="E46" s="153">
        <v>2569.0</v>
      </c>
      <c r="F46" s="153">
        <f>SUM(('Future Orders'!$E46) * (1.1))</f>
        <v>2825.9</v>
      </c>
      <c r="G46" s="154">
        <v>2.2</v>
      </c>
      <c r="H46" s="155">
        <v>5651.8</v>
      </c>
      <c r="I46" s="155">
        <f>SUM(('Future Orders'!$H46) * (1.1))</f>
        <v>6216.98</v>
      </c>
      <c r="J46" s="159">
        <f>SUMIFS('Future Orders'!$F46, 'Future Orders'!$D46, "1", 'Future Orders'!$C46, "A", 'Future Orders'!$B46, "1")</f>
        <v>0</v>
      </c>
      <c r="K46" s="157">
        <f>SUMIFS('Future Orders'!$I46, 'Future Orders'!$D46, "1", 'Future Orders'!$C46, "A", 'Future Orders'!$B46, "1")</f>
        <v>0</v>
      </c>
      <c r="L46" s="157">
        <f>SUMIFS('Future Orders'!$F46, 'Future Orders'!$D46, "1", 'Future Orders'!$C46, "B", 'Future Orders'!$B46, "1")</f>
        <v>0</v>
      </c>
      <c r="M46" s="157">
        <f>SUMIFS('Future Orders'!$I46, 'Future Orders'!$D46, "1", 'Future Orders'!$C46, "B", 'Future Orders'!$B46, "1")</f>
        <v>0</v>
      </c>
      <c r="N46" s="159">
        <f>SUMIFS('Future Orders'!$F46, 'Future Orders'!$D46, "1", 'Future Orders'!$C46, "A", 'Future Orders'!$B46, "2")</f>
        <v>2825.9</v>
      </c>
      <c r="O46" s="157">
        <f>SUMIFS('Future Orders'!$I46, 'Future Orders'!$D46, "1", 'Future Orders'!$C46, "A", 'Future Orders'!$B46, "2")</f>
        <v>6216.98</v>
      </c>
      <c r="P46" s="157">
        <f>SUMIFS('Future Orders'!$E46, 'Future Orders'!$D46, "1", 'Future Orders'!$C46, "B", 'Future Orders'!$B46, "2")</f>
        <v>0</v>
      </c>
      <c r="Q46" s="157">
        <f>SUMIFS('Future Orders'!$I46, 'Future Orders'!$D46, "1", 'Future Orders'!$C46, "B", 'Future Orders'!$B46, "2")</f>
        <v>0</v>
      </c>
      <c r="R46" s="159">
        <f>SUMIFS('Future Orders'!$F46, 'Future Orders'!$D46, "2", 'Future Orders'!$C46, "A", 'Future Orders'!$B46, "1")</f>
        <v>0</v>
      </c>
      <c r="S46" s="157">
        <f>SUMIFS('Future Orders'!$I46, 'Future Orders'!$D46, "2", 'Future Orders'!$C46, "A", 'Future Orders'!$B46, "1")</f>
        <v>0</v>
      </c>
      <c r="T46" s="159">
        <f>SUMIFS('Future Orders'!$F46, 'Future Orders'!$D46, "2", 'Future Orders'!$C46, "B", 'Future Orders'!$B46, "1")</f>
        <v>0</v>
      </c>
      <c r="U46" s="157">
        <f>SUMIFS('Future Orders'!$I46, 'Future Orders'!$D46, "2", 'Future Orders'!$C46, "B", 'Future Orders'!$B46, "1")</f>
        <v>0</v>
      </c>
      <c r="V46" s="159">
        <f>SUMIFS('Future Orders'!$F46, 'Future Orders'!$D46, "2", 'Future Orders'!$C46, "A", 'Future Orders'!$B46, "2")</f>
        <v>0</v>
      </c>
      <c r="W46" s="157">
        <f>SUMIFS('Future Orders'!$I46, 'Future Orders'!$D46, "2", 'Future Orders'!$C46, "A", 'Future Orders'!$B46, "2")</f>
        <v>0</v>
      </c>
      <c r="X46" s="159">
        <f>SUMIFS('Future Orders'!$F46, 'Future Orders'!$D46, "2", 'Future Orders'!$C46, "B", 'Future Orders'!$B46, "2")</f>
        <v>0</v>
      </c>
      <c r="Y46" s="159">
        <f>SUMIFS('Future Orders'!$I46, 'Future Orders'!$D46, "2", 'Future Orders'!$C46, "B", 'Future Orders'!$B46, "2")</f>
        <v>0</v>
      </c>
      <c r="Z46" s="159">
        <f>SUMIFS('Future Orders'!$F46, 'Future Orders'!$D46, "3", 'Future Orders'!$C46, "A", 'Future Orders'!$B46, "1")</f>
        <v>0</v>
      </c>
      <c r="AA46" s="159">
        <f>SUMIFS('Future Orders'!$I46, 'Future Orders'!$D46, "3", 'Future Orders'!$C46, "A", 'Future Orders'!$B46, "1")</f>
        <v>0</v>
      </c>
      <c r="AB46" s="159">
        <f>SUMIFS('Future Orders'!$F46, 'Future Orders'!$D46, "3", 'Future Orders'!$C46, "B", 'Future Orders'!$B46, "1")</f>
        <v>0</v>
      </c>
      <c r="AC46" s="159">
        <f>SUMIFS('Future Orders'!$I46, 'Future Orders'!$D46, "3", 'Future Orders'!$C46, "B", 'Future Orders'!$B46, "1")</f>
        <v>0</v>
      </c>
      <c r="AD46" s="159">
        <f>SUMIFS('Future Orders'!$F46, 'Future Orders'!$D46, "3", 'Future Orders'!$C46, "A", 'Future Orders'!$B46, "2")</f>
        <v>0</v>
      </c>
      <c r="AE46" s="159">
        <f>SUMIFS('Future Orders'!$I46, 'Future Orders'!$D46, "3", 'Future Orders'!$C46, "A", 'Future Orders'!$B46, "2")</f>
        <v>0</v>
      </c>
      <c r="AF46" s="159">
        <f>SUMIFS('Future Orders'!$F46, 'Future Orders'!$D46, "3", 'Future Orders'!$C46, "B", 'Future Orders'!$B46, "2")</f>
        <v>0</v>
      </c>
      <c r="AG46" s="157">
        <f>SUMIFS('Future Orders'!$I46, 'Future Orders'!$D46, "3", 'Future Orders'!$C46, "B", 'Future Orders'!$B46, "2")</f>
        <v>0</v>
      </c>
      <c r="AH46" s="157">
        <f>SUMIFS('Future Orders'!$F46, 'Future Orders'!$D46, "4", 'Future Orders'!$C46, "A", 'Future Orders'!$B46, "1")</f>
        <v>0</v>
      </c>
      <c r="AI46" s="157">
        <f>SUMIFS('Future Orders'!$I46, 'Future Orders'!$D46, "4", 'Future Orders'!$C46, "A", 'Future Orders'!$B46, "1")</f>
        <v>0</v>
      </c>
      <c r="AJ46" s="157">
        <f>SUMIFS('Future Orders'!$F46, 'Future Orders'!$D46, "4", 'Future Orders'!$C46, "B", 'Future Orders'!$B46, "1")</f>
        <v>0</v>
      </c>
      <c r="AK46" s="157">
        <f>SUMIFS('Future Orders'!$I46, 'Future Orders'!$D46, "4", 'Future Orders'!$C46, "B", 'Future Orders'!$B46, "1")</f>
        <v>0</v>
      </c>
      <c r="AL46" s="157">
        <f>SUMIFS('Future Orders'!$F46, 'Future Orders'!$D46, "4", 'Future Orders'!$C46, "A", 'Future Orders'!$B46, "2")</f>
        <v>0</v>
      </c>
      <c r="AM46" s="157">
        <f>SUMIFS('Future Orders'!$I46, 'Future Orders'!$D46, "4", 'Future Orders'!$C46, "A", 'Future Orders'!$B46, "2")</f>
        <v>0</v>
      </c>
      <c r="AN46" s="171">
        <f>SUMIFS('Future Orders'!$F46, 'Future Orders'!$D46, "4", 'Future Orders'!$C46, "B", 'Future Orders'!$B46, "2")</f>
        <v>0</v>
      </c>
      <c r="AO46" s="171">
        <f>SUMIFS('Future Orders'!$I46, 'Future Orders'!$D46, "4", 'Future Orders'!$C46, "B", 'Future Orders'!$B46, "2")</f>
        <v>0</v>
      </c>
      <c r="AP46" s="171">
        <f>SUMIFS('Future Orders'!$H46, 'Future Orders'!$C46, "A", 'Future Orders'!$B46, "1")</f>
        <v>0</v>
      </c>
      <c r="AQ46" s="171">
        <f>SUMIFS('Future Orders'!$I46, 'Future Orders'!$C46, "B", 'Future Orders'!$B46, "1")</f>
        <v>0</v>
      </c>
      <c r="AR46" s="171">
        <f>SUMIFS('Future Orders'!$H46, 'Future Orders'!$C46, "A", 'Future Orders'!$B46, "2")</f>
        <v>5651.8</v>
      </c>
      <c r="AS46" s="171">
        <f>SUMIFS('Future Orders'!$I46, 'Future Orders'!$C46, "B", 'Future Orders'!$B46, "2")</f>
        <v>0</v>
      </c>
      <c r="AT46" s="145"/>
      <c r="AU46" s="146"/>
      <c r="AV46" s="161">
        <v>42163.0</v>
      </c>
      <c r="AW46" s="162"/>
      <c r="AX46" s="163">
        <f t="shared" si="1"/>
        <v>42163</v>
      </c>
      <c r="AY46" s="164">
        <f t="shared" si="2"/>
        <v>27974</v>
      </c>
      <c r="AZ46" s="164">
        <f t="shared" si="3"/>
        <v>14128</v>
      </c>
      <c r="BA46" s="164">
        <f t="shared" si="4"/>
        <v>13846</v>
      </c>
      <c r="BB46" s="164">
        <f t="shared" si="5"/>
        <v>21982</v>
      </c>
      <c r="BC46" s="164">
        <f t="shared" si="6"/>
        <v>5992</v>
      </c>
      <c r="BD46" s="165"/>
      <c r="BE46" s="166">
        <f t="shared" si="7"/>
        <v>93856.4</v>
      </c>
      <c r="BF46" s="166">
        <f t="shared" si="8"/>
        <v>43983.72</v>
      </c>
      <c r="BG46" s="166">
        <f t="shared" si="9"/>
        <v>49872.68</v>
      </c>
      <c r="BH46" s="167"/>
      <c r="BI46" s="166">
        <f t="shared" si="10"/>
        <v>12506.56</v>
      </c>
      <c r="BJ46" s="166">
        <f t="shared" si="11"/>
        <v>8506.08</v>
      </c>
      <c r="BK46" s="166">
        <f t="shared" si="12"/>
        <v>0</v>
      </c>
      <c r="BL46" s="166">
        <f t="shared" si="13"/>
        <v>12506.56</v>
      </c>
      <c r="BM46" s="166">
        <f>SUM('Future Orders'!$BI46:$BL46)</f>
        <v>33519.2</v>
      </c>
      <c r="BN46" s="167"/>
      <c r="BO46" s="166">
        <f t="shared" si="14"/>
        <v>0</v>
      </c>
      <c r="BP46" s="166">
        <f t="shared" si="15"/>
        <v>0</v>
      </c>
      <c r="BQ46" s="166">
        <f t="shared" si="16"/>
        <v>22971.08</v>
      </c>
      <c r="BR46" s="166">
        <f t="shared" si="17"/>
        <v>0</v>
      </c>
      <c r="BS46" s="166">
        <f>SUM('Future Orders'!$BO46:$BR46)</f>
        <v>22971.08</v>
      </c>
      <c r="BT46" s="167"/>
      <c r="BU46" s="166">
        <f t="shared" si="18"/>
        <v>9786.48</v>
      </c>
      <c r="BV46" s="166">
        <f t="shared" si="19"/>
        <v>8350.32</v>
      </c>
      <c r="BW46" s="166">
        <f t="shared" si="20"/>
        <v>0</v>
      </c>
      <c r="BX46" s="166">
        <f t="shared" si="21"/>
        <v>9786.48</v>
      </c>
      <c r="BY46" s="166">
        <f>SUM('Future Orders'!$BU46:$BX46)</f>
        <v>27923.28</v>
      </c>
      <c r="BZ46" s="167"/>
      <c r="CA46" s="166">
        <f t="shared" si="22"/>
        <v>0</v>
      </c>
      <c r="CB46" s="166">
        <f t="shared" si="23"/>
        <v>0</v>
      </c>
      <c r="CC46" s="166">
        <f t="shared" si="24"/>
        <v>31735.88</v>
      </c>
      <c r="CD46" s="166">
        <f t="shared" si="25"/>
        <v>0</v>
      </c>
      <c r="CE46" s="166">
        <f>SUM('Future Orders'!$CA46:$CD46)</f>
        <v>31735.88</v>
      </c>
      <c r="CF46" s="167"/>
      <c r="CG46" s="166">
        <f>SUM('Future Orders'!$BI46:$BJ46)
+ SUM('Future Orders'!$BU46:$BV46)</f>
        <v>39149.44</v>
      </c>
      <c r="CH46" s="166">
        <f>SUM('Future Orders'!$BQ46)
+ SUM('Future Orders'!$BX46)</f>
        <v>32757.56</v>
      </c>
      <c r="CI46" s="166">
        <f>SUM('Future Orders'!$BI46:$BJ46)
+ SUM('Future Orders'!$BU46:$BV46)
+ SUM(('Future Orders'!$BI46) * 2)</f>
        <v>64162.56</v>
      </c>
      <c r="CJ46" s="166">
        <f>SUM(('Future Orders'!$BQ46) * 2) + SUM('Future Orders'!$BX46)</f>
        <v>55728.64</v>
      </c>
      <c r="CK46" s="167"/>
      <c r="CL46" s="168">
        <f t="shared" si="26"/>
        <v>3</v>
      </c>
      <c r="CM46" s="168">
        <f t="shared" si="27"/>
        <v>3</v>
      </c>
      <c r="CN46" s="168">
        <f t="shared" si="28"/>
        <v>4</v>
      </c>
      <c r="CO46" s="168">
        <f t="shared" si="29"/>
        <v>2</v>
      </c>
      <c r="CP46" s="168">
        <f t="shared" si="30"/>
        <v>2</v>
      </c>
      <c r="CQ46" s="169">
        <f t="shared" si="31"/>
        <v>2</v>
      </c>
      <c r="CR46" s="169">
        <f t="shared" si="32"/>
        <v>2</v>
      </c>
      <c r="CS46" s="170"/>
    </row>
    <row r="47" ht="15.75" customHeight="1">
      <c r="A47" s="151">
        <v>41904.0</v>
      </c>
      <c r="B47" s="152">
        <v>2.0</v>
      </c>
      <c r="C47" s="152" t="s">
        <v>45</v>
      </c>
      <c r="D47" s="152">
        <v>2.0</v>
      </c>
      <c r="E47" s="153">
        <v>4550.0</v>
      </c>
      <c r="F47" s="153">
        <f>SUM(('Future Orders'!$E47) * (1.1))</f>
        <v>5005</v>
      </c>
      <c r="G47" s="154">
        <v>1.2</v>
      </c>
      <c r="H47" s="155">
        <v>5460.0</v>
      </c>
      <c r="I47" s="155">
        <f>SUM(('Future Orders'!$H47) * (1.1))</f>
        <v>6006</v>
      </c>
      <c r="J47" s="159">
        <f>SUMIFS('Future Orders'!$F47, 'Future Orders'!$D47, "1", 'Future Orders'!$C47, "A", 'Future Orders'!$B47, "1")</f>
        <v>0</v>
      </c>
      <c r="K47" s="157">
        <f>SUMIFS('Future Orders'!$I47, 'Future Orders'!$D47, "1", 'Future Orders'!$C47, "A", 'Future Orders'!$B47, "1")</f>
        <v>0</v>
      </c>
      <c r="L47" s="157">
        <f>SUMIFS('Future Orders'!$F47, 'Future Orders'!$D47, "1", 'Future Orders'!$C47, "B", 'Future Orders'!$B47, "1")</f>
        <v>0</v>
      </c>
      <c r="M47" s="157">
        <f>SUMIFS('Future Orders'!$I47, 'Future Orders'!$D47, "1", 'Future Orders'!$C47, "B", 'Future Orders'!$B47, "1")</f>
        <v>0</v>
      </c>
      <c r="N47" s="159">
        <f>SUMIFS('Future Orders'!$F47, 'Future Orders'!$D47, "1", 'Future Orders'!$C47, "A", 'Future Orders'!$B47, "2")</f>
        <v>0</v>
      </c>
      <c r="O47" s="157">
        <f>SUMIFS('Future Orders'!$I47, 'Future Orders'!$D47, "1", 'Future Orders'!$C47, "A", 'Future Orders'!$B47, "2")</f>
        <v>0</v>
      </c>
      <c r="P47" s="157">
        <f>SUMIFS('Future Orders'!$E47, 'Future Orders'!$D47, "1", 'Future Orders'!$C47, "B", 'Future Orders'!$B47, "2")</f>
        <v>0</v>
      </c>
      <c r="Q47" s="157">
        <f>SUMIFS('Future Orders'!$I47, 'Future Orders'!$D47, "1", 'Future Orders'!$C47, "B", 'Future Orders'!$B47, "2")</f>
        <v>0</v>
      </c>
      <c r="R47" s="159">
        <f>SUMIFS('Future Orders'!$F47, 'Future Orders'!$D47, "2", 'Future Orders'!$C47, "A", 'Future Orders'!$B47, "1")</f>
        <v>0</v>
      </c>
      <c r="S47" s="157">
        <f>SUMIFS('Future Orders'!$I47, 'Future Orders'!$D47, "2", 'Future Orders'!$C47, "A", 'Future Orders'!$B47, "1")</f>
        <v>0</v>
      </c>
      <c r="T47" s="159">
        <f>SUMIFS('Future Orders'!$F47, 'Future Orders'!$D47, "2", 'Future Orders'!$C47, "B", 'Future Orders'!$B47, "1")</f>
        <v>0</v>
      </c>
      <c r="U47" s="157">
        <f>SUMIFS('Future Orders'!$I47, 'Future Orders'!$D47, "2", 'Future Orders'!$C47, "B", 'Future Orders'!$B47, "1")</f>
        <v>0</v>
      </c>
      <c r="V47" s="159">
        <f>SUMIFS('Future Orders'!$F47, 'Future Orders'!$D47, "2", 'Future Orders'!$C47, "A", 'Future Orders'!$B47, "2")</f>
        <v>5005</v>
      </c>
      <c r="W47" s="157">
        <f>SUMIFS('Future Orders'!$I47, 'Future Orders'!$D47, "2", 'Future Orders'!$C47, "A", 'Future Orders'!$B47, "2")</f>
        <v>6006</v>
      </c>
      <c r="X47" s="159">
        <f>SUMIFS('Future Orders'!$F47, 'Future Orders'!$D47, "2", 'Future Orders'!$C47, "B", 'Future Orders'!$B47, "2")</f>
        <v>0</v>
      </c>
      <c r="Y47" s="159">
        <f>SUMIFS('Future Orders'!$I47, 'Future Orders'!$D47, "2", 'Future Orders'!$C47, "B", 'Future Orders'!$B47, "2")</f>
        <v>0</v>
      </c>
      <c r="Z47" s="159">
        <f>SUMIFS('Future Orders'!$F47, 'Future Orders'!$D47, "3", 'Future Orders'!$C47, "A", 'Future Orders'!$B47, "1")</f>
        <v>0</v>
      </c>
      <c r="AA47" s="159">
        <f>SUMIFS('Future Orders'!$I47, 'Future Orders'!$D47, "3", 'Future Orders'!$C47, "A", 'Future Orders'!$B47, "1")</f>
        <v>0</v>
      </c>
      <c r="AB47" s="159">
        <f>SUMIFS('Future Orders'!$F47, 'Future Orders'!$D47, "3", 'Future Orders'!$C47, "B", 'Future Orders'!$B47, "1")</f>
        <v>0</v>
      </c>
      <c r="AC47" s="159">
        <f>SUMIFS('Future Orders'!$I47, 'Future Orders'!$D47, "3", 'Future Orders'!$C47, "B", 'Future Orders'!$B47, "1")</f>
        <v>0</v>
      </c>
      <c r="AD47" s="159">
        <f>SUMIFS('Future Orders'!$F47, 'Future Orders'!$D47, "3", 'Future Orders'!$C47, "A", 'Future Orders'!$B47, "2")</f>
        <v>0</v>
      </c>
      <c r="AE47" s="159">
        <f>SUMIFS('Future Orders'!$I47, 'Future Orders'!$D47, "3", 'Future Orders'!$C47, "A", 'Future Orders'!$B47, "2")</f>
        <v>0</v>
      </c>
      <c r="AF47" s="159">
        <f>SUMIFS('Future Orders'!$F47, 'Future Orders'!$D47, "3", 'Future Orders'!$C47, "B", 'Future Orders'!$B47, "2")</f>
        <v>0</v>
      </c>
      <c r="AG47" s="157">
        <f>SUMIFS('Future Orders'!$I47, 'Future Orders'!$D47, "3", 'Future Orders'!$C47, "B", 'Future Orders'!$B47, "2")</f>
        <v>0</v>
      </c>
      <c r="AH47" s="157">
        <f>SUMIFS('Future Orders'!$F47, 'Future Orders'!$D47, "4", 'Future Orders'!$C47, "A", 'Future Orders'!$B47, "1")</f>
        <v>0</v>
      </c>
      <c r="AI47" s="157">
        <f>SUMIFS('Future Orders'!$I47, 'Future Orders'!$D47, "4", 'Future Orders'!$C47, "A", 'Future Orders'!$B47, "1")</f>
        <v>0</v>
      </c>
      <c r="AJ47" s="157">
        <f>SUMIFS('Future Orders'!$F47, 'Future Orders'!$D47, "4", 'Future Orders'!$C47, "B", 'Future Orders'!$B47, "1")</f>
        <v>0</v>
      </c>
      <c r="AK47" s="157">
        <f>SUMIFS('Future Orders'!$I47, 'Future Orders'!$D47, "4", 'Future Orders'!$C47, "B", 'Future Orders'!$B47, "1")</f>
        <v>0</v>
      </c>
      <c r="AL47" s="157">
        <f>SUMIFS('Future Orders'!$F47, 'Future Orders'!$D47, "4", 'Future Orders'!$C47, "A", 'Future Orders'!$B47, "2")</f>
        <v>0</v>
      </c>
      <c r="AM47" s="157">
        <f>SUMIFS('Future Orders'!$I47, 'Future Orders'!$D47, "4", 'Future Orders'!$C47, "A", 'Future Orders'!$B47, "2")</f>
        <v>0</v>
      </c>
      <c r="AN47" s="171">
        <f>SUMIFS('Future Orders'!$F47, 'Future Orders'!$D47, "4", 'Future Orders'!$C47, "B", 'Future Orders'!$B47, "2")</f>
        <v>0</v>
      </c>
      <c r="AO47" s="171">
        <f>SUMIFS('Future Orders'!$I47, 'Future Orders'!$D47, "4", 'Future Orders'!$C47, "B", 'Future Orders'!$B47, "2")</f>
        <v>0</v>
      </c>
      <c r="AP47" s="171">
        <f>SUMIFS('Future Orders'!$H47, 'Future Orders'!$C47, "A", 'Future Orders'!$B47, "1")</f>
        <v>0</v>
      </c>
      <c r="AQ47" s="171">
        <f>SUMIFS('Future Orders'!$I47, 'Future Orders'!$C47, "B", 'Future Orders'!$B47, "1")</f>
        <v>0</v>
      </c>
      <c r="AR47" s="171">
        <f>SUMIFS('Future Orders'!$H47, 'Future Orders'!$C47, "A", 'Future Orders'!$B47, "2")</f>
        <v>5460</v>
      </c>
      <c r="AS47" s="171">
        <f>SUMIFS('Future Orders'!$I47, 'Future Orders'!$C47, "B", 'Future Orders'!$B47, "2")</f>
        <v>0</v>
      </c>
      <c r="AT47" s="145"/>
      <c r="AU47" s="146"/>
      <c r="AV47" s="161">
        <v>42170.0</v>
      </c>
      <c r="AW47" s="162"/>
      <c r="AX47" s="163">
        <f t="shared" si="1"/>
        <v>42170</v>
      </c>
      <c r="AY47" s="164">
        <f t="shared" si="2"/>
        <v>28443</v>
      </c>
      <c r="AZ47" s="164">
        <f t="shared" si="3"/>
        <v>13853</v>
      </c>
      <c r="BA47" s="164">
        <f t="shared" si="4"/>
        <v>14590</v>
      </c>
      <c r="BB47" s="164">
        <f t="shared" si="5"/>
        <v>24186</v>
      </c>
      <c r="BC47" s="164">
        <f t="shared" si="6"/>
        <v>4257</v>
      </c>
      <c r="BD47" s="165"/>
      <c r="BE47" s="166">
        <f t="shared" si="7"/>
        <v>80988.93</v>
      </c>
      <c r="BF47" s="166">
        <f t="shared" si="8"/>
        <v>39916.36</v>
      </c>
      <c r="BG47" s="166">
        <f t="shared" si="9"/>
        <v>41072.57</v>
      </c>
      <c r="BH47" s="167"/>
      <c r="BI47" s="166">
        <f t="shared" si="10"/>
        <v>12191.96</v>
      </c>
      <c r="BJ47" s="166">
        <f t="shared" si="11"/>
        <v>8916.6</v>
      </c>
      <c r="BK47" s="166">
        <f t="shared" si="12"/>
        <v>0</v>
      </c>
      <c r="BL47" s="166">
        <f t="shared" si="13"/>
        <v>12191.96</v>
      </c>
      <c r="BM47" s="166">
        <f>SUM('Future Orders'!$BI47:$BL47)</f>
        <v>33300.52</v>
      </c>
      <c r="BN47" s="167"/>
      <c r="BO47" s="166">
        <f t="shared" si="14"/>
        <v>0</v>
      </c>
      <c r="BP47" s="166">
        <f t="shared" si="15"/>
        <v>0</v>
      </c>
      <c r="BQ47" s="166">
        <f t="shared" si="16"/>
        <v>18807.8</v>
      </c>
      <c r="BR47" s="166">
        <f t="shared" si="17"/>
        <v>0</v>
      </c>
      <c r="BS47" s="166">
        <f>SUM('Future Orders'!$BO47:$BR47)</f>
        <v>18807.8</v>
      </c>
      <c r="BT47" s="167"/>
      <c r="BU47" s="166">
        <f t="shared" si="18"/>
        <v>10241.44</v>
      </c>
      <c r="BV47" s="166">
        <f t="shared" si="19"/>
        <v>10772.52</v>
      </c>
      <c r="BW47" s="166">
        <f t="shared" si="20"/>
        <v>0</v>
      </c>
      <c r="BX47" s="166">
        <f t="shared" si="21"/>
        <v>10241.44</v>
      </c>
      <c r="BY47" s="166">
        <f>SUM('Future Orders'!$BU47:$BX47)</f>
        <v>31255.4</v>
      </c>
      <c r="BZ47" s="167"/>
      <c r="CA47" s="166">
        <f t="shared" si="22"/>
        <v>0</v>
      </c>
      <c r="CB47" s="166">
        <f t="shared" si="23"/>
        <v>0</v>
      </c>
      <c r="CC47" s="166">
        <f t="shared" si="24"/>
        <v>20058.61</v>
      </c>
      <c r="CD47" s="166">
        <f t="shared" si="25"/>
        <v>0</v>
      </c>
      <c r="CE47" s="166">
        <f>SUM('Future Orders'!$CA47:$CD47)</f>
        <v>20058.61</v>
      </c>
      <c r="CF47" s="167"/>
      <c r="CG47" s="166">
        <f>SUM('Future Orders'!$BI47:$BJ47)
+ SUM('Future Orders'!$BU47:$BV47)</f>
        <v>42122.52</v>
      </c>
      <c r="CH47" s="166">
        <f>SUM('Future Orders'!$BQ47)
+ SUM('Future Orders'!$BX47)</f>
        <v>29049.24</v>
      </c>
      <c r="CI47" s="166">
        <f>SUM('Future Orders'!$BI47:$BJ47)
+ SUM('Future Orders'!$BU47:$BV47)
+ SUM(('Future Orders'!$BI47) * 2)</f>
        <v>66506.44</v>
      </c>
      <c r="CJ47" s="166">
        <f>SUM(('Future Orders'!$BQ47) * 2) + SUM('Future Orders'!$BX47)</f>
        <v>47857.04</v>
      </c>
      <c r="CK47" s="167"/>
      <c r="CL47" s="168">
        <f t="shared" si="26"/>
        <v>3</v>
      </c>
      <c r="CM47" s="168">
        <f t="shared" si="27"/>
        <v>3</v>
      </c>
      <c r="CN47" s="168">
        <f t="shared" si="28"/>
        <v>4</v>
      </c>
      <c r="CO47" s="168">
        <f t="shared" si="29"/>
        <v>2</v>
      </c>
      <c r="CP47" s="168">
        <f t="shared" si="30"/>
        <v>2</v>
      </c>
      <c r="CQ47" s="169">
        <f t="shared" si="31"/>
        <v>2</v>
      </c>
      <c r="CR47" s="169">
        <f t="shared" si="32"/>
        <v>2</v>
      </c>
      <c r="CS47" s="170"/>
    </row>
    <row r="48" ht="15.75" customHeight="1">
      <c r="A48" s="151">
        <v>41904.0</v>
      </c>
      <c r="B48" s="152">
        <v>1.0</v>
      </c>
      <c r="C48" s="152" t="s">
        <v>46</v>
      </c>
      <c r="D48" s="152">
        <v>3.0</v>
      </c>
      <c r="E48" s="153">
        <v>1915.0</v>
      </c>
      <c r="F48" s="153">
        <f>SUM(('Future Orders'!$E48) * (1.1))</f>
        <v>2106.5</v>
      </c>
      <c r="G48" s="154">
        <v>8.3</v>
      </c>
      <c r="H48" s="155">
        <v>15894.500000000002</v>
      </c>
      <c r="I48" s="155">
        <f>SUM(('Future Orders'!$H48) * (1.1))</f>
        <v>17483.95</v>
      </c>
      <c r="J48" s="159">
        <f>SUMIFS('Future Orders'!$F48, 'Future Orders'!$D48, "1", 'Future Orders'!$C48, "A", 'Future Orders'!$B48, "1")</f>
        <v>0</v>
      </c>
      <c r="K48" s="157">
        <f>SUMIFS('Future Orders'!$I48, 'Future Orders'!$D48, "1", 'Future Orders'!$C48, "A", 'Future Orders'!$B48, "1")</f>
        <v>0</v>
      </c>
      <c r="L48" s="157">
        <f>SUMIFS('Future Orders'!$F48, 'Future Orders'!$D48, "1", 'Future Orders'!$C48, "B", 'Future Orders'!$B48, "1")</f>
        <v>0</v>
      </c>
      <c r="M48" s="157">
        <f>SUMIFS('Future Orders'!$I48, 'Future Orders'!$D48, "1", 'Future Orders'!$C48, "B", 'Future Orders'!$B48, "1")</f>
        <v>0</v>
      </c>
      <c r="N48" s="159">
        <f>SUMIFS('Future Orders'!$F48, 'Future Orders'!$D48, "1", 'Future Orders'!$C48, "A", 'Future Orders'!$B48, "2")</f>
        <v>0</v>
      </c>
      <c r="O48" s="157">
        <f>SUMIFS('Future Orders'!$I48, 'Future Orders'!$D48, "1", 'Future Orders'!$C48, "A", 'Future Orders'!$B48, "2")</f>
        <v>0</v>
      </c>
      <c r="P48" s="157">
        <f>SUMIFS('Future Orders'!$E48, 'Future Orders'!$D48, "1", 'Future Orders'!$C48, "B", 'Future Orders'!$B48, "2")</f>
        <v>0</v>
      </c>
      <c r="Q48" s="157">
        <f>SUMIFS('Future Orders'!$I48, 'Future Orders'!$D48, "1", 'Future Orders'!$C48, "B", 'Future Orders'!$B48, "2")</f>
        <v>0</v>
      </c>
      <c r="R48" s="159">
        <f>SUMIFS('Future Orders'!$F48, 'Future Orders'!$D48, "2", 'Future Orders'!$C48, "A", 'Future Orders'!$B48, "1")</f>
        <v>0</v>
      </c>
      <c r="S48" s="157">
        <f>SUMIFS('Future Orders'!$I48, 'Future Orders'!$D48, "2", 'Future Orders'!$C48, "A", 'Future Orders'!$B48, "1")</f>
        <v>0</v>
      </c>
      <c r="T48" s="159">
        <f>SUMIFS('Future Orders'!$F48, 'Future Orders'!$D48, "2", 'Future Orders'!$C48, "B", 'Future Orders'!$B48, "1")</f>
        <v>0</v>
      </c>
      <c r="U48" s="157">
        <f>SUMIFS('Future Orders'!$I48, 'Future Orders'!$D48, "2", 'Future Orders'!$C48, "B", 'Future Orders'!$B48, "1")</f>
        <v>0</v>
      </c>
      <c r="V48" s="159">
        <f>SUMIFS('Future Orders'!$F48, 'Future Orders'!$D48, "2", 'Future Orders'!$C48, "A", 'Future Orders'!$B48, "2")</f>
        <v>0</v>
      </c>
      <c r="W48" s="157">
        <f>SUMIFS('Future Orders'!$I48, 'Future Orders'!$D48, "2", 'Future Orders'!$C48, "A", 'Future Orders'!$B48, "2")</f>
        <v>0</v>
      </c>
      <c r="X48" s="159">
        <f>SUMIFS('Future Orders'!$F48, 'Future Orders'!$D48, "2", 'Future Orders'!$C48, "B", 'Future Orders'!$B48, "2")</f>
        <v>0</v>
      </c>
      <c r="Y48" s="159">
        <f>SUMIFS('Future Orders'!$I48, 'Future Orders'!$D48, "2", 'Future Orders'!$C48, "B", 'Future Orders'!$B48, "2")</f>
        <v>0</v>
      </c>
      <c r="Z48" s="159">
        <f>SUMIFS('Future Orders'!$F48, 'Future Orders'!$D48, "3", 'Future Orders'!$C48, "A", 'Future Orders'!$B48, "1")</f>
        <v>0</v>
      </c>
      <c r="AA48" s="159">
        <f>SUMIFS('Future Orders'!$I48, 'Future Orders'!$D48, "3", 'Future Orders'!$C48, "A", 'Future Orders'!$B48, "1")</f>
        <v>0</v>
      </c>
      <c r="AB48" s="159">
        <f>SUMIFS('Future Orders'!$F48, 'Future Orders'!$D48, "3", 'Future Orders'!$C48, "B", 'Future Orders'!$B48, "1")</f>
        <v>2106.5</v>
      </c>
      <c r="AC48" s="159">
        <f>SUMIFS('Future Orders'!$I48, 'Future Orders'!$D48, "3", 'Future Orders'!$C48, "B", 'Future Orders'!$B48, "1")</f>
        <v>17483.95</v>
      </c>
      <c r="AD48" s="159">
        <f>SUMIFS('Future Orders'!$F48, 'Future Orders'!$D48, "3", 'Future Orders'!$C48, "A", 'Future Orders'!$B48, "2")</f>
        <v>0</v>
      </c>
      <c r="AE48" s="159">
        <f>SUMIFS('Future Orders'!$I48, 'Future Orders'!$D48, "3", 'Future Orders'!$C48, "A", 'Future Orders'!$B48, "2")</f>
        <v>0</v>
      </c>
      <c r="AF48" s="159">
        <f>SUMIFS('Future Orders'!$F48, 'Future Orders'!$D48, "3", 'Future Orders'!$C48, "B", 'Future Orders'!$B48, "2")</f>
        <v>0</v>
      </c>
      <c r="AG48" s="157">
        <f>SUMIFS('Future Orders'!$I48, 'Future Orders'!$D48, "3", 'Future Orders'!$C48, "B", 'Future Orders'!$B48, "2")</f>
        <v>0</v>
      </c>
      <c r="AH48" s="157">
        <f>SUMIFS('Future Orders'!$F48, 'Future Orders'!$D48, "4", 'Future Orders'!$C48, "A", 'Future Orders'!$B48, "1")</f>
        <v>0</v>
      </c>
      <c r="AI48" s="157">
        <f>SUMIFS('Future Orders'!$I48, 'Future Orders'!$D48, "4", 'Future Orders'!$C48, "A", 'Future Orders'!$B48, "1")</f>
        <v>0</v>
      </c>
      <c r="AJ48" s="157">
        <f>SUMIFS('Future Orders'!$F48, 'Future Orders'!$D48, "4", 'Future Orders'!$C48, "B", 'Future Orders'!$B48, "1")</f>
        <v>0</v>
      </c>
      <c r="AK48" s="157">
        <f>SUMIFS('Future Orders'!$I48, 'Future Orders'!$D48, "4", 'Future Orders'!$C48, "B", 'Future Orders'!$B48, "1")</f>
        <v>0</v>
      </c>
      <c r="AL48" s="157">
        <f>SUMIFS('Future Orders'!$F48, 'Future Orders'!$D48, "4", 'Future Orders'!$C48, "A", 'Future Orders'!$B48, "2")</f>
        <v>0</v>
      </c>
      <c r="AM48" s="157">
        <f>SUMIFS('Future Orders'!$I48, 'Future Orders'!$D48, "4", 'Future Orders'!$C48, "A", 'Future Orders'!$B48, "2")</f>
        <v>0</v>
      </c>
      <c r="AN48" s="171">
        <f>SUMIFS('Future Orders'!$F48, 'Future Orders'!$D48, "4", 'Future Orders'!$C48, "B", 'Future Orders'!$B48, "2")</f>
        <v>0</v>
      </c>
      <c r="AO48" s="171">
        <f>SUMIFS('Future Orders'!$I48, 'Future Orders'!$D48, "4", 'Future Orders'!$C48, "B", 'Future Orders'!$B48, "2")</f>
        <v>0</v>
      </c>
      <c r="AP48" s="171">
        <f>SUMIFS('Future Orders'!$H48, 'Future Orders'!$C48, "A", 'Future Orders'!$B48, "1")</f>
        <v>0</v>
      </c>
      <c r="AQ48" s="171">
        <f>SUMIFS('Future Orders'!$I48, 'Future Orders'!$C48, "B", 'Future Orders'!$B48, "1")</f>
        <v>17483.95</v>
      </c>
      <c r="AR48" s="171">
        <f>SUMIFS('Future Orders'!$H48, 'Future Orders'!$C48, "A", 'Future Orders'!$B48, "2")</f>
        <v>0</v>
      </c>
      <c r="AS48" s="171">
        <f>SUMIFS('Future Orders'!$I48, 'Future Orders'!$C48, "B", 'Future Orders'!$B48, "2")</f>
        <v>0</v>
      </c>
      <c r="AT48" s="145"/>
      <c r="AU48" s="146"/>
      <c r="AV48" s="161">
        <v>42177.0</v>
      </c>
      <c r="AW48" s="162"/>
      <c r="AX48" s="163">
        <f t="shared" si="1"/>
        <v>42177</v>
      </c>
      <c r="AY48" s="164">
        <f t="shared" si="2"/>
        <v>26552</v>
      </c>
      <c r="AZ48" s="164">
        <f t="shared" si="3"/>
        <v>13930</v>
      </c>
      <c r="BA48" s="164">
        <f t="shared" si="4"/>
        <v>12622</v>
      </c>
      <c r="BB48" s="164">
        <f t="shared" si="5"/>
        <v>21214</v>
      </c>
      <c r="BC48" s="164">
        <f t="shared" si="6"/>
        <v>5338</v>
      </c>
      <c r="BD48" s="165"/>
      <c r="BE48" s="166">
        <f t="shared" si="7"/>
        <v>85133.62</v>
      </c>
      <c r="BF48" s="166">
        <f t="shared" si="8"/>
        <v>42949.5</v>
      </c>
      <c r="BG48" s="166">
        <f t="shared" si="9"/>
        <v>42184.12</v>
      </c>
      <c r="BH48" s="167"/>
      <c r="BI48" s="166">
        <f t="shared" si="10"/>
        <v>11253</v>
      </c>
      <c r="BJ48" s="166">
        <f t="shared" si="11"/>
        <v>8962.8</v>
      </c>
      <c r="BK48" s="166">
        <f t="shared" si="12"/>
        <v>0</v>
      </c>
      <c r="BL48" s="166">
        <f t="shared" si="13"/>
        <v>11253</v>
      </c>
      <c r="BM48" s="166">
        <f>SUM('Future Orders'!$BI48:$BL48)</f>
        <v>31468.8</v>
      </c>
      <c r="BN48" s="167"/>
      <c r="BO48" s="166">
        <f t="shared" si="14"/>
        <v>0</v>
      </c>
      <c r="BP48" s="166">
        <f t="shared" si="15"/>
        <v>0</v>
      </c>
      <c r="BQ48" s="166">
        <f t="shared" si="16"/>
        <v>22733.7</v>
      </c>
      <c r="BR48" s="166">
        <f t="shared" si="17"/>
        <v>0</v>
      </c>
      <c r="BS48" s="166">
        <f>SUM('Future Orders'!$BO48:$BR48)</f>
        <v>22733.7</v>
      </c>
      <c r="BT48" s="167"/>
      <c r="BU48" s="166">
        <f t="shared" si="18"/>
        <v>7216.44</v>
      </c>
      <c r="BV48" s="166">
        <f t="shared" si="19"/>
        <v>8965.44</v>
      </c>
      <c r="BW48" s="166">
        <f t="shared" si="20"/>
        <v>0</v>
      </c>
      <c r="BX48" s="166">
        <f t="shared" si="21"/>
        <v>7216.44</v>
      </c>
      <c r="BY48" s="166">
        <f>SUM('Future Orders'!$BU48:$BX48)</f>
        <v>23398.32</v>
      </c>
      <c r="BZ48" s="167"/>
      <c r="CA48" s="166">
        <f t="shared" si="22"/>
        <v>0</v>
      </c>
      <c r="CB48" s="166">
        <f t="shared" si="23"/>
        <v>0</v>
      </c>
      <c r="CC48" s="166">
        <f t="shared" si="24"/>
        <v>26002.24</v>
      </c>
      <c r="CD48" s="166">
        <f t="shared" si="25"/>
        <v>0</v>
      </c>
      <c r="CE48" s="166">
        <f>SUM('Future Orders'!$CA48:$CD48)</f>
        <v>26002.24</v>
      </c>
      <c r="CF48" s="167"/>
      <c r="CG48" s="166">
        <f>SUM('Future Orders'!$BI48:$BJ48)
+ SUM('Future Orders'!$BU48:$BV48)</f>
        <v>36397.68</v>
      </c>
      <c r="CH48" s="166">
        <f>SUM('Future Orders'!$BQ48)
+ SUM('Future Orders'!$BX48)</f>
        <v>29950.14</v>
      </c>
      <c r="CI48" s="166">
        <f>SUM('Future Orders'!$BI48:$BJ48)
+ SUM('Future Orders'!$BU48:$BV48)
+ SUM(('Future Orders'!$BI48) * 2)</f>
        <v>58903.68</v>
      </c>
      <c r="CJ48" s="166">
        <f>SUM(('Future Orders'!$BQ48) * 2) + SUM('Future Orders'!$BX48)</f>
        <v>52683.84</v>
      </c>
      <c r="CK48" s="167"/>
      <c r="CL48" s="168">
        <f t="shared" si="26"/>
        <v>3</v>
      </c>
      <c r="CM48" s="168">
        <f t="shared" si="27"/>
        <v>3</v>
      </c>
      <c r="CN48" s="168">
        <f t="shared" si="28"/>
        <v>4</v>
      </c>
      <c r="CO48" s="168">
        <f t="shared" si="29"/>
        <v>2</v>
      </c>
      <c r="CP48" s="168">
        <f t="shared" si="30"/>
        <v>2</v>
      </c>
      <c r="CQ48" s="169">
        <f t="shared" si="31"/>
        <v>2</v>
      </c>
      <c r="CR48" s="169">
        <f t="shared" si="32"/>
        <v>2</v>
      </c>
      <c r="CS48" s="170"/>
    </row>
    <row r="49" ht="15.75" customHeight="1">
      <c r="A49" s="151">
        <v>41904.0</v>
      </c>
      <c r="B49" s="152">
        <v>2.0</v>
      </c>
      <c r="C49" s="152" t="s">
        <v>46</v>
      </c>
      <c r="D49" s="152">
        <v>3.0</v>
      </c>
      <c r="E49" s="153">
        <v>2276.0</v>
      </c>
      <c r="F49" s="153">
        <f>SUM(('Future Orders'!$E49) * (1.1))</f>
        <v>2503.6</v>
      </c>
      <c r="G49" s="154">
        <v>8.3</v>
      </c>
      <c r="H49" s="155">
        <v>18890.800000000003</v>
      </c>
      <c r="I49" s="155">
        <f>SUM(('Future Orders'!$H49) * (1.1))</f>
        <v>20779.88</v>
      </c>
      <c r="J49" s="159">
        <f>SUMIFS('Future Orders'!$F49, 'Future Orders'!$D49, "1", 'Future Orders'!$C49, "A", 'Future Orders'!$B49, "1")</f>
        <v>0</v>
      </c>
      <c r="K49" s="157">
        <f>SUMIFS('Future Orders'!$I49, 'Future Orders'!$D49, "1", 'Future Orders'!$C49, "A", 'Future Orders'!$B49, "1")</f>
        <v>0</v>
      </c>
      <c r="L49" s="157">
        <f>SUMIFS('Future Orders'!$F49, 'Future Orders'!$D49, "1", 'Future Orders'!$C49, "B", 'Future Orders'!$B49, "1")</f>
        <v>0</v>
      </c>
      <c r="M49" s="157">
        <f>SUMIFS('Future Orders'!$I49, 'Future Orders'!$D49, "1", 'Future Orders'!$C49, "B", 'Future Orders'!$B49, "1")</f>
        <v>0</v>
      </c>
      <c r="N49" s="159">
        <f>SUMIFS('Future Orders'!$F49, 'Future Orders'!$D49, "1", 'Future Orders'!$C49, "A", 'Future Orders'!$B49, "2")</f>
        <v>0</v>
      </c>
      <c r="O49" s="157">
        <f>SUMIFS('Future Orders'!$I49, 'Future Orders'!$D49, "1", 'Future Orders'!$C49, "A", 'Future Orders'!$B49, "2")</f>
        <v>0</v>
      </c>
      <c r="P49" s="157">
        <f>SUMIFS('Future Orders'!$E49, 'Future Orders'!$D49, "1", 'Future Orders'!$C49, "B", 'Future Orders'!$B49, "2")</f>
        <v>0</v>
      </c>
      <c r="Q49" s="157">
        <f>SUMIFS('Future Orders'!$I49, 'Future Orders'!$D49, "1", 'Future Orders'!$C49, "B", 'Future Orders'!$B49, "2")</f>
        <v>0</v>
      </c>
      <c r="R49" s="159">
        <f>SUMIFS('Future Orders'!$F49, 'Future Orders'!$D49, "2", 'Future Orders'!$C49, "A", 'Future Orders'!$B49, "1")</f>
        <v>0</v>
      </c>
      <c r="S49" s="157">
        <f>SUMIFS('Future Orders'!$I49, 'Future Orders'!$D49, "2", 'Future Orders'!$C49, "A", 'Future Orders'!$B49, "1")</f>
        <v>0</v>
      </c>
      <c r="T49" s="159">
        <f>SUMIFS('Future Orders'!$F49, 'Future Orders'!$D49, "2", 'Future Orders'!$C49, "B", 'Future Orders'!$B49, "1")</f>
        <v>0</v>
      </c>
      <c r="U49" s="157">
        <f>SUMIFS('Future Orders'!$I49, 'Future Orders'!$D49, "2", 'Future Orders'!$C49, "B", 'Future Orders'!$B49, "1")</f>
        <v>0</v>
      </c>
      <c r="V49" s="159">
        <f>SUMIFS('Future Orders'!$F49, 'Future Orders'!$D49, "2", 'Future Orders'!$C49, "A", 'Future Orders'!$B49, "2")</f>
        <v>0</v>
      </c>
      <c r="W49" s="157">
        <f>SUMIFS('Future Orders'!$I49, 'Future Orders'!$D49, "2", 'Future Orders'!$C49, "A", 'Future Orders'!$B49, "2")</f>
        <v>0</v>
      </c>
      <c r="X49" s="159">
        <f>SUMIFS('Future Orders'!$F49, 'Future Orders'!$D49, "2", 'Future Orders'!$C49, "B", 'Future Orders'!$B49, "2")</f>
        <v>0</v>
      </c>
      <c r="Y49" s="159">
        <f>SUMIFS('Future Orders'!$I49, 'Future Orders'!$D49, "2", 'Future Orders'!$C49, "B", 'Future Orders'!$B49, "2")</f>
        <v>0</v>
      </c>
      <c r="Z49" s="159">
        <f>SUMIFS('Future Orders'!$F49, 'Future Orders'!$D49, "3", 'Future Orders'!$C49, "A", 'Future Orders'!$B49, "1")</f>
        <v>0</v>
      </c>
      <c r="AA49" s="159">
        <f>SUMIFS('Future Orders'!$I49, 'Future Orders'!$D49, "3", 'Future Orders'!$C49, "A", 'Future Orders'!$B49, "1")</f>
        <v>0</v>
      </c>
      <c r="AB49" s="159">
        <f>SUMIFS('Future Orders'!$F49, 'Future Orders'!$D49, "3", 'Future Orders'!$C49, "B", 'Future Orders'!$B49, "1")</f>
        <v>0</v>
      </c>
      <c r="AC49" s="159">
        <f>SUMIFS('Future Orders'!$I49, 'Future Orders'!$D49, "3", 'Future Orders'!$C49, "B", 'Future Orders'!$B49, "1")</f>
        <v>0</v>
      </c>
      <c r="AD49" s="159">
        <f>SUMIFS('Future Orders'!$F49, 'Future Orders'!$D49, "3", 'Future Orders'!$C49, "A", 'Future Orders'!$B49, "2")</f>
        <v>0</v>
      </c>
      <c r="AE49" s="159">
        <f>SUMIFS('Future Orders'!$I49, 'Future Orders'!$D49, "3", 'Future Orders'!$C49, "A", 'Future Orders'!$B49, "2")</f>
        <v>0</v>
      </c>
      <c r="AF49" s="159">
        <f>SUMIFS('Future Orders'!$F49, 'Future Orders'!$D49, "3", 'Future Orders'!$C49, "B", 'Future Orders'!$B49, "2")</f>
        <v>2503.6</v>
      </c>
      <c r="AG49" s="157">
        <f>SUMIFS('Future Orders'!$I49, 'Future Orders'!$D49, "3", 'Future Orders'!$C49, "B", 'Future Orders'!$B49, "2")</f>
        <v>20779.88</v>
      </c>
      <c r="AH49" s="157">
        <f>SUMIFS('Future Orders'!$F49, 'Future Orders'!$D49, "4", 'Future Orders'!$C49, "A", 'Future Orders'!$B49, "1")</f>
        <v>0</v>
      </c>
      <c r="AI49" s="157">
        <f>SUMIFS('Future Orders'!$I49, 'Future Orders'!$D49, "4", 'Future Orders'!$C49, "A", 'Future Orders'!$B49, "1")</f>
        <v>0</v>
      </c>
      <c r="AJ49" s="157">
        <f>SUMIFS('Future Orders'!$F49, 'Future Orders'!$D49, "4", 'Future Orders'!$C49, "B", 'Future Orders'!$B49, "1")</f>
        <v>0</v>
      </c>
      <c r="AK49" s="157">
        <f>SUMIFS('Future Orders'!$I49, 'Future Orders'!$D49, "4", 'Future Orders'!$C49, "B", 'Future Orders'!$B49, "1")</f>
        <v>0</v>
      </c>
      <c r="AL49" s="157">
        <f>SUMIFS('Future Orders'!$F49, 'Future Orders'!$D49, "4", 'Future Orders'!$C49, "A", 'Future Orders'!$B49, "2")</f>
        <v>0</v>
      </c>
      <c r="AM49" s="157">
        <f>SUMIFS('Future Orders'!$I49, 'Future Orders'!$D49, "4", 'Future Orders'!$C49, "A", 'Future Orders'!$B49, "2")</f>
        <v>0</v>
      </c>
      <c r="AN49" s="171">
        <f>SUMIFS('Future Orders'!$F49, 'Future Orders'!$D49, "4", 'Future Orders'!$C49, "B", 'Future Orders'!$B49, "2")</f>
        <v>0</v>
      </c>
      <c r="AO49" s="171">
        <f>SUMIFS('Future Orders'!$I49, 'Future Orders'!$D49, "4", 'Future Orders'!$C49, "B", 'Future Orders'!$B49, "2")</f>
        <v>0</v>
      </c>
      <c r="AP49" s="171">
        <f>SUMIFS('Future Orders'!$H49, 'Future Orders'!$C49, "A", 'Future Orders'!$B49, "1")</f>
        <v>0</v>
      </c>
      <c r="AQ49" s="171">
        <f>SUMIFS('Future Orders'!$I49, 'Future Orders'!$C49, "B", 'Future Orders'!$B49, "1")</f>
        <v>0</v>
      </c>
      <c r="AR49" s="171">
        <f>SUMIFS('Future Orders'!$H49, 'Future Orders'!$C49, "A", 'Future Orders'!$B49, "2")</f>
        <v>0</v>
      </c>
      <c r="AS49" s="171">
        <f>SUMIFS('Future Orders'!$I49, 'Future Orders'!$C49, "B", 'Future Orders'!$B49, "2")</f>
        <v>20779.88</v>
      </c>
      <c r="AT49" s="145"/>
      <c r="AU49" s="146"/>
      <c r="AV49" s="161">
        <v>42184.0</v>
      </c>
      <c r="AW49" s="162"/>
      <c r="AX49" s="163">
        <f t="shared" si="1"/>
        <v>42184</v>
      </c>
      <c r="AY49" s="164">
        <f t="shared" si="2"/>
        <v>26253</v>
      </c>
      <c r="AZ49" s="164">
        <f t="shared" si="3"/>
        <v>13926</v>
      </c>
      <c r="BA49" s="164">
        <f t="shared" si="4"/>
        <v>12327</v>
      </c>
      <c r="BB49" s="164">
        <f t="shared" si="5"/>
        <v>21389</v>
      </c>
      <c r="BC49" s="164">
        <f t="shared" si="6"/>
        <v>4864</v>
      </c>
      <c r="BD49" s="165"/>
      <c r="BE49" s="166">
        <f t="shared" si="7"/>
        <v>83670.4</v>
      </c>
      <c r="BF49" s="166">
        <f t="shared" si="8"/>
        <v>41921.33</v>
      </c>
      <c r="BG49" s="166">
        <f t="shared" si="9"/>
        <v>41749.07</v>
      </c>
      <c r="BH49" s="167"/>
      <c r="BI49" s="166">
        <f t="shared" si="10"/>
        <v>14311.88</v>
      </c>
      <c r="BJ49" s="166">
        <f t="shared" si="11"/>
        <v>7696.92</v>
      </c>
      <c r="BK49" s="166">
        <f t="shared" si="12"/>
        <v>0</v>
      </c>
      <c r="BL49" s="166">
        <f t="shared" si="13"/>
        <v>14311.88</v>
      </c>
      <c r="BM49" s="166">
        <f>SUM('Future Orders'!$BI49:$BL49)</f>
        <v>36320.68</v>
      </c>
      <c r="BN49" s="167"/>
      <c r="BO49" s="166">
        <f t="shared" si="14"/>
        <v>0</v>
      </c>
      <c r="BP49" s="166">
        <f t="shared" si="15"/>
        <v>0</v>
      </c>
      <c r="BQ49" s="166">
        <f t="shared" si="16"/>
        <v>19912.53</v>
      </c>
      <c r="BR49" s="166">
        <f t="shared" si="17"/>
        <v>0</v>
      </c>
      <c r="BS49" s="166">
        <f>SUM('Future Orders'!$BO49:$BR49)</f>
        <v>19912.53</v>
      </c>
      <c r="BT49" s="167"/>
      <c r="BU49" s="166">
        <f t="shared" si="18"/>
        <v>9951.04</v>
      </c>
      <c r="BV49" s="166">
        <f t="shared" si="19"/>
        <v>7302.24</v>
      </c>
      <c r="BW49" s="166">
        <f t="shared" si="20"/>
        <v>0</v>
      </c>
      <c r="BX49" s="166">
        <f t="shared" si="21"/>
        <v>9951.04</v>
      </c>
      <c r="BY49" s="166">
        <f>SUM('Future Orders'!$BU49:$BX49)</f>
        <v>27204.32</v>
      </c>
      <c r="BZ49" s="167"/>
      <c r="CA49" s="166">
        <f t="shared" si="22"/>
        <v>0</v>
      </c>
      <c r="CB49" s="166">
        <f t="shared" si="23"/>
        <v>0</v>
      </c>
      <c r="CC49" s="166">
        <f t="shared" si="24"/>
        <v>24495.79</v>
      </c>
      <c r="CD49" s="166">
        <f t="shared" si="25"/>
        <v>0</v>
      </c>
      <c r="CE49" s="166">
        <f>SUM('Future Orders'!$CA49:$CD49)</f>
        <v>24495.79</v>
      </c>
      <c r="CF49" s="167"/>
      <c r="CG49" s="166">
        <f>SUM('Future Orders'!$BI49:$BJ49)
+ SUM('Future Orders'!$BU49:$BV49)</f>
        <v>39262.08</v>
      </c>
      <c r="CH49" s="166">
        <f>SUM('Future Orders'!$BQ49)
+ SUM('Future Orders'!$BX49)</f>
        <v>29863.57</v>
      </c>
      <c r="CI49" s="166">
        <f>SUM('Future Orders'!$BI49:$BJ49)
+ SUM('Future Orders'!$BU49:$BV49)
+ SUM(('Future Orders'!$BI49) * 2)</f>
        <v>67885.84</v>
      </c>
      <c r="CJ49" s="166">
        <f>SUM(('Future Orders'!$BQ49) * 2) + SUM('Future Orders'!$BX49)</f>
        <v>49776.1</v>
      </c>
      <c r="CK49" s="167"/>
      <c r="CL49" s="168">
        <f t="shared" si="26"/>
        <v>3</v>
      </c>
      <c r="CM49" s="168">
        <f t="shared" si="27"/>
        <v>3</v>
      </c>
      <c r="CN49" s="168">
        <f t="shared" si="28"/>
        <v>4</v>
      </c>
      <c r="CO49" s="168">
        <f t="shared" si="29"/>
        <v>2</v>
      </c>
      <c r="CP49" s="168">
        <f t="shared" si="30"/>
        <v>2</v>
      </c>
      <c r="CQ49" s="169">
        <f t="shared" si="31"/>
        <v>2</v>
      </c>
      <c r="CR49" s="169">
        <f t="shared" si="32"/>
        <v>2</v>
      </c>
      <c r="CS49" s="170"/>
    </row>
    <row r="50" ht="15.75" customHeight="1">
      <c r="A50" s="151">
        <v>41911.0</v>
      </c>
      <c r="B50" s="152">
        <v>1.0</v>
      </c>
      <c r="C50" s="152" t="s">
        <v>45</v>
      </c>
      <c r="D50" s="152">
        <v>1.0</v>
      </c>
      <c r="E50" s="153">
        <v>3258.0</v>
      </c>
      <c r="F50" s="153">
        <f>SUM(('Future Orders'!$E50) * (1.1))</f>
        <v>3583.8</v>
      </c>
      <c r="G50" s="154">
        <v>2.2</v>
      </c>
      <c r="H50" s="155">
        <v>7167.6</v>
      </c>
      <c r="I50" s="155">
        <f>SUM(('Future Orders'!$H50) * (1.1))</f>
        <v>7884.36</v>
      </c>
      <c r="J50" s="159">
        <f>SUMIFS('Future Orders'!$F50, 'Future Orders'!$D50, "1", 'Future Orders'!$C50, "A", 'Future Orders'!$B50, "1")</f>
        <v>3583.8</v>
      </c>
      <c r="K50" s="157">
        <f>SUMIFS('Future Orders'!$I50, 'Future Orders'!$D50, "1", 'Future Orders'!$C50, "A", 'Future Orders'!$B50, "1")</f>
        <v>7884.36</v>
      </c>
      <c r="L50" s="157">
        <f>SUMIFS('Future Orders'!$F50, 'Future Orders'!$D50, "1", 'Future Orders'!$C50, "B", 'Future Orders'!$B50, "1")</f>
        <v>0</v>
      </c>
      <c r="M50" s="157">
        <f>SUMIFS('Future Orders'!$I50, 'Future Orders'!$D50, "1", 'Future Orders'!$C50, "B", 'Future Orders'!$B50, "1")</f>
        <v>0</v>
      </c>
      <c r="N50" s="159">
        <f>SUMIFS('Future Orders'!$F50, 'Future Orders'!$D50, "1", 'Future Orders'!$C50, "A", 'Future Orders'!$B50, "2")</f>
        <v>0</v>
      </c>
      <c r="O50" s="157">
        <f>SUMIFS('Future Orders'!$I50, 'Future Orders'!$D50, "1", 'Future Orders'!$C50, "A", 'Future Orders'!$B50, "2")</f>
        <v>0</v>
      </c>
      <c r="P50" s="157">
        <f>SUMIFS('Future Orders'!$E50, 'Future Orders'!$D50, "1", 'Future Orders'!$C50, "B", 'Future Orders'!$B50, "2")</f>
        <v>0</v>
      </c>
      <c r="Q50" s="157">
        <f>SUMIFS('Future Orders'!$I50, 'Future Orders'!$D50, "1", 'Future Orders'!$C50, "B", 'Future Orders'!$B50, "2")</f>
        <v>0</v>
      </c>
      <c r="R50" s="159">
        <f>SUMIFS('Future Orders'!$F50, 'Future Orders'!$D50, "2", 'Future Orders'!$C50, "A", 'Future Orders'!$B50, "1")</f>
        <v>0</v>
      </c>
      <c r="S50" s="157">
        <f>SUMIFS('Future Orders'!$I50, 'Future Orders'!$D50, "2", 'Future Orders'!$C50, "A", 'Future Orders'!$B50, "1")</f>
        <v>0</v>
      </c>
      <c r="T50" s="159">
        <f>SUMIFS('Future Orders'!$F50, 'Future Orders'!$D50, "2", 'Future Orders'!$C50, "B", 'Future Orders'!$B50, "1")</f>
        <v>0</v>
      </c>
      <c r="U50" s="157">
        <f>SUMIFS('Future Orders'!$I50, 'Future Orders'!$D50, "2", 'Future Orders'!$C50, "B", 'Future Orders'!$B50, "1")</f>
        <v>0</v>
      </c>
      <c r="V50" s="159">
        <f>SUMIFS('Future Orders'!$F50, 'Future Orders'!$D50, "2", 'Future Orders'!$C50, "A", 'Future Orders'!$B50, "2")</f>
        <v>0</v>
      </c>
      <c r="W50" s="157">
        <f>SUMIFS('Future Orders'!$I50, 'Future Orders'!$D50, "2", 'Future Orders'!$C50, "A", 'Future Orders'!$B50, "2")</f>
        <v>0</v>
      </c>
      <c r="X50" s="159">
        <f>SUMIFS('Future Orders'!$F50, 'Future Orders'!$D50, "2", 'Future Orders'!$C50, "B", 'Future Orders'!$B50, "2")</f>
        <v>0</v>
      </c>
      <c r="Y50" s="159">
        <f>SUMIFS('Future Orders'!$I50, 'Future Orders'!$D50, "2", 'Future Orders'!$C50, "B", 'Future Orders'!$B50, "2")</f>
        <v>0</v>
      </c>
      <c r="Z50" s="159">
        <f>SUMIFS('Future Orders'!$F50, 'Future Orders'!$D50, "3", 'Future Orders'!$C50, "A", 'Future Orders'!$B50, "1")</f>
        <v>0</v>
      </c>
      <c r="AA50" s="159">
        <f>SUMIFS('Future Orders'!$I50, 'Future Orders'!$D50, "3", 'Future Orders'!$C50, "A", 'Future Orders'!$B50, "1")</f>
        <v>0</v>
      </c>
      <c r="AB50" s="159">
        <f>SUMIFS('Future Orders'!$F50, 'Future Orders'!$D50, "3", 'Future Orders'!$C50, "B", 'Future Orders'!$B50, "1")</f>
        <v>0</v>
      </c>
      <c r="AC50" s="159">
        <f>SUMIFS('Future Orders'!$I50, 'Future Orders'!$D50, "3", 'Future Orders'!$C50, "B", 'Future Orders'!$B50, "1")</f>
        <v>0</v>
      </c>
      <c r="AD50" s="159">
        <f>SUMIFS('Future Orders'!$F50, 'Future Orders'!$D50, "3", 'Future Orders'!$C50, "A", 'Future Orders'!$B50, "2")</f>
        <v>0</v>
      </c>
      <c r="AE50" s="159">
        <f>SUMIFS('Future Orders'!$I50, 'Future Orders'!$D50, "3", 'Future Orders'!$C50, "A", 'Future Orders'!$B50, "2")</f>
        <v>0</v>
      </c>
      <c r="AF50" s="159">
        <f>SUMIFS('Future Orders'!$F50, 'Future Orders'!$D50, "3", 'Future Orders'!$C50, "B", 'Future Orders'!$B50, "2")</f>
        <v>0</v>
      </c>
      <c r="AG50" s="157">
        <f>SUMIFS('Future Orders'!$I50, 'Future Orders'!$D50, "3", 'Future Orders'!$C50, "B", 'Future Orders'!$B50, "2")</f>
        <v>0</v>
      </c>
      <c r="AH50" s="157">
        <f>SUMIFS('Future Orders'!$F50, 'Future Orders'!$D50, "4", 'Future Orders'!$C50, "A", 'Future Orders'!$B50, "1")</f>
        <v>0</v>
      </c>
      <c r="AI50" s="157">
        <f>SUMIFS('Future Orders'!$I50, 'Future Orders'!$D50, "4", 'Future Orders'!$C50, "A", 'Future Orders'!$B50, "1")</f>
        <v>0</v>
      </c>
      <c r="AJ50" s="157">
        <f>SUMIFS('Future Orders'!$F50, 'Future Orders'!$D50, "4", 'Future Orders'!$C50, "B", 'Future Orders'!$B50, "1")</f>
        <v>0</v>
      </c>
      <c r="AK50" s="157">
        <f>SUMIFS('Future Orders'!$I50, 'Future Orders'!$D50, "4", 'Future Orders'!$C50, "B", 'Future Orders'!$B50, "1")</f>
        <v>0</v>
      </c>
      <c r="AL50" s="157">
        <f>SUMIFS('Future Orders'!$F50, 'Future Orders'!$D50, "4", 'Future Orders'!$C50, "A", 'Future Orders'!$B50, "2")</f>
        <v>0</v>
      </c>
      <c r="AM50" s="157">
        <f>SUMIFS('Future Orders'!$I50, 'Future Orders'!$D50, "4", 'Future Orders'!$C50, "A", 'Future Orders'!$B50, "2")</f>
        <v>0</v>
      </c>
      <c r="AN50" s="171">
        <f>SUMIFS('Future Orders'!$F50, 'Future Orders'!$D50, "4", 'Future Orders'!$C50, "B", 'Future Orders'!$B50, "2")</f>
        <v>0</v>
      </c>
      <c r="AO50" s="171">
        <f>SUMIFS('Future Orders'!$I50, 'Future Orders'!$D50, "4", 'Future Orders'!$C50, "B", 'Future Orders'!$B50, "2")</f>
        <v>0</v>
      </c>
      <c r="AP50" s="171">
        <f>SUMIFS('Future Orders'!$H50, 'Future Orders'!$C50, "A", 'Future Orders'!$B50, "1")</f>
        <v>7167.6</v>
      </c>
      <c r="AQ50" s="171">
        <f>SUMIFS('Future Orders'!$I50, 'Future Orders'!$C50, "B", 'Future Orders'!$B50, "1")</f>
        <v>0</v>
      </c>
      <c r="AR50" s="171">
        <f>SUMIFS('Future Orders'!$H50, 'Future Orders'!$C50, "A", 'Future Orders'!$B50, "2")</f>
        <v>0</v>
      </c>
      <c r="AS50" s="171">
        <f>SUMIFS('Future Orders'!$I50, 'Future Orders'!$C50, "B", 'Future Orders'!$B50, "2")</f>
        <v>0</v>
      </c>
      <c r="AT50" s="145"/>
      <c r="AU50" s="146"/>
      <c r="AV50" s="161">
        <v>42191.0</v>
      </c>
      <c r="AW50" s="162"/>
      <c r="AX50" s="163">
        <f t="shared" si="1"/>
        <v>42191</v>
      </c>
      <c r="AY50" s="164">
        <f t="shared" si="2"/>
        <v>29522</v>
      </c>
      <c r="AZ50" s="164">
        <f t="shared" si="3"/>
        <v>14788</v>
      </c>
      <c r="BA50" s="164">
        <f t="shared" si="4"/>
        <v>14734</v>
      </c>
      <c r="BB50" s="164">
        <f t="shared" si="5"/>
        <v>23552</v>
      </c>
      <c r="BC50" s="164">
        <f t="shared" si="6"/>
        <v>5970</v>
      </c>
      <c r="BD50" s="165"/>
      <c r="BE50" s="166">
        <f t="shared" si="7"/>
        <v>97452.74</v>
      </c>
      <c r="BF50" s="166">
        <f t="shared" si="8"/>
        <v>45510.52</v>
      </c>
      <c r="BG50" s="166">
        <f t="shared" si="9"/>
        <v>51942.22</v>
      </c>
      <c r="BH50" s="167"/>
      <c r="BI50" s="166">
        <f t="shared" si="10"/>
        <v>14120.7</v>
      </c>
      <c r="BJ50" s="166">
        <f t="shared" si="11"/>
        <v>8510.04</v>
      </c>
      <c r="BK50" s="166">
        <f t="shared" si="12"/>
        <v>0</v>
      </c>
      <c r="BL50" s="166">
        <f t="shared" si="13"/>
        <v>14120.7</v>
      </c>
      <c r="BM50" s="166">
        <f>SUM('Future Orders'!$BI50:$BL50)</f>
        <v>36751.44</v>
      </c>
      <c r="BN50" s="167"/>
      <c r="BO50" s="166">
        <f t="shared" si="14"/>
        <v>0</v>
      </c>
      <c r="BP50" s="166">
        <f t="shared" si="15"/>
        <v>0</v>
      </c>
      <c r="BQ50" s="166">
        <f t="shared" si="16"/>
        <v>22879.78</v>
      </c>
      <c r="BR50" s="166">
        <f t="shared" si="17"/>
        <v>0</v>
      </c>
      <c r="BS50" s="166">
        <f>SUM('Future Orders'!$BO50:$BR50)</f>
        <v>22879.78</v>
      </c>
      <c r="BT50" s="167"/>
      <c r="BU50" s="166">
        <f t="shared" si="18"/>
        <v>11966.9</v>
      </c>
      <c r="BV50" s="166">
        <f t="shared" si="19"/>
        <v>8349</v>
      </c>
      <c r="BW50" s="166">
        <f t="shared" si="20"/>
        <v>0</v>
      </c>
      <c r="BX50" s="166">
        <f t="shared" si="21"/>
        <v>11966.9</v>
      </c>
      <c r="BY50" s="166">
        <f>SUM('Future Orders'!$BU50:$BX50)</f>
        <v>32282.8</v>
      </c>
      <c r="BZ50" s="167"/>
      <c r="CA50" s="166">
        <f t="shared" si="22"/>
        <v>0</v>
      </c>
      <c r="CB50" s="166">
        <f t="shared" si="23"/>
        <v>0</v>
      </c>
      <c r="CC50" s="166">
        <f t="shared" si="24"/>
        <v>31626.32</v>
      </c>
      <c r="CD50" s="166">
        <f t="shared" si="25"/>
        <v>0</v>
      </c>
      <c r="CE50" s="166">
        <f>SUM('Future Orders'!$CA50:$CD50)</f>
        <v>31626.32</v>
      </c>
      <c r="CF50" s="167"/>
      <c r="CG50" s="166">
        <f>SUM('Future Orders'!$BI50:$BJ50)
+ SUM('Future Orders'!$BU50:$BV50)</f>
        <v>42946.64</v>
      </c>
      <c r="CH50" s="166">
        <f>SUM('Future Orders'!$BQ50)
+ SUM('Future Orders'!$BX50)</f>
        <v>34846.68</v>
      </c>
      <c r="CI50" s="166">
        <f>SUM('Future Orders'!$BI50:$BJ50)
+ SUM('Future Orders'!$BU50:$BV50)
+ SUM(('Future Orders'!$BI50) * 2)</f>
        <v>71188.04</v>
      </c>
      <c r="CJ50" s="166">
        <f>SUM(('Future Orders'!$BQ50) * 2) + SUM('Future Orders'!$BX50)</f>
        <v>57726.46</v>
      </c>
      <c r="CK50" s="167"/>
      <c r="CL50" s="168">
        <f t="shared" si="26"/>
        <v>3</v>
      </c>
      <c r="CM50" s="168">
        <f t="shared" si="27"/>
        <v>3</v>
      </c>
      <c r="CN50" s="168">
        <f t="shared" si="28"/>
        <v>4</v>
      </c>
      <c r="CO50" s="168">
        <f t="shared" si="29"/>
        <v>2</v>
      </c>
      <c r="CP50" s="168">
        <f t="shared" si="30"/>
        <v>2</v>
      </c>
      <c r="CQ50" s="169">
        <f t="shared" si="31"/>
        <v>2</v>
      </c>
      <c r="CR50" s="169">
        <f t="shared" si="32"/>
        <v>2</v>
      </c>
      <c r="CS50" s="170"/>
    </row>
    <row r="51" ht="15.75" customHeight="1">
      <c r="A51" s="151">
        <v>41911.0</v>
      </c>
      <c r="B51" s="152">
        <v>1.0</v>
      </c>
      <c r="C51" s="152" t="s">
        <v>45</v>
      </c>
      <c r="D51" s="152">
        <v>2.0</v>
      </c>
      <c r="E51" s="153">
        <v>4838.0</v>
      </c>
      <c r="F51" s="153">
        <f>SUM(('Future Orders'!$E51) * (1.1))</f>
        <v>5321.8</v>
      </c>
      <c r="G51" s="154">
        <v>1.2</v>
      </c>
      <c r="H51" s="155">
        <v>5805.599999999999</v>
      </c>
      <c r="I51" s="155">
        <f>SUM(('Future Orders'!$H51) * (1.1))</f>
        <v>6386.16</v>
      </c>
      <c r="J51" s="159">
        <f>SUMIFS('Future Orders'!$F51, 'Future Orders'!$D51, "1", 'Future Orders'!$C51, "A", 'Future Orders'!$B51, "1")</f>
        <v>0</v>
      </c>
      <c r="K51" s="157">
        <f>SUMIFS('Future Orders'!$I51, 'Future Orders'!$D51, "1", 'Future Orders'!$C51, "A", 'Future Orders'!$B51, "1")</f>
        <v>0</v>
      </c>
      <c r="L51" s="157">
        <f>SUMIFS('Future Orders'!$F51, 'Future Orders'!$D51, "1", 'Future Orders'!$C51, "B", 'Future Orders'!$B51, "1")</f>
        <v>0</v>
      </c>
      <c r="M51" s="157">
        <f>SUMIFS('Future Orders'!$I51, 'Future Orders'!$D51, "1", 'Future Orders'!$C51, "B", 'Future Orders'!$B51, "1")</f>
        <v>0</v>
      </c>
      <c r="N51" s="159">
        <f>SUMIFS('Future Orders'!$F51, 'Future Orders'!$D51, "1", 'Future Orders'!$C51, "A", 'Future Orders'!$B51, "2")</f>
        <v>0</v>
      </c>
      <c r="O51" s="157">
        <f>SUMIFS('Future Orders'!$I51, 'Future Orders'!$D51, "1", 'Future Orders'!$C51, "A", 'Future Orders'!$B51, "2")</f>
        <v>0</v>
      </c>
      <c r="P51" s="157">
        <f>SUMIFS('Future Orders'!$E51, 'Future Orders'!$D51, "1", 'Future Orders'!$C51, "B", 'Future Orders'!$B51, "2")</f>
        <v>0</v>
      </c>
      <c r="Q51" s="157">
        <f>SUMIFS('Future Orders'!$I51, 'Future Orders'!$D51, "1", 'Future Orders'!$C51, "B", 'Future Orders'!$B51, "2")</f>
        <v>0</v>
      </c>
      <c r="R51" s="159">
        <f>SUMIFS('Future Orders'!$F51, 'Future Orders'!$D51, "2", 'Future Orders'!$C51, "A", 'Future Orders'!$B51, "1")</f>
        <v>5321.8</v>
      </c>
      <c r="S51" s="157">
        <f>SUMIFS('Future Orders'!$I51, 'Future Orders'!$D51, "2", 'Future Orders'!$C51, "A", 'Future Orders'!$B51, "1")</f>
        <v>6386.16</v>
      </c>
      <c r="T51" s="159">
        <f>SUMIFS('Future Orders'!$F51, 'Future Orders'!$D51, "2", 'Future Orders'!$C51, "B", 'Future Orders'!$B51, "1")</f>
        <v>0</v>
      </c>
      <c r="U51" s="157">
        <f>SUMIFS('Future Orders'!$I51, 'Future Orders'!$D51, "2", 'Future Orders'!$C51, "B", 'Future Orders'!$B51, "1")</f>
        <v>0</v>
      </c>
      <c r="V51" s="159">
        <f>SUMIFS('Future Orders'!$F51, 'Future Orders'!$D51, "2", 'Future Orders'!$C51, "A", 'Future Orders'!$B51, "2")</f>
        <v>0</v>
      </c>
      <c r="W51" s="157">
        <f>SUMIFS('Future Orders'!$I51, 'Future Orders'!$D51, "2", 'Future Orders'!$C51, "A", 'Future Orders'!$B51, "2")</f>
        <v>0</v>
      </c>
      <c r="X51" s="159">
        <f>SUMIFS('Future Orders'!$F51, 'Future Orders'!$D51, "2", 'Future Orders'!$C51, "B", 'Future Orders'!$B51, "2")</f>
        <v>0</v>
      </c>
      <c r="Y51" s="159">
        <f>SUMIFS('Future Orders'!$I51, 'Future Orders'!$D51, "2", 'Future Orders'!$C51, "B", 'Future Orders'!$B51, "2")</f>
        <v>0</v>
      </c>
      <c r="Z51" s="159">
        <f>SUMIFS('Future Orders'!$F51, 'Future Orders'!$D51, "3", 'Future Orders'!$C51, "A", 'Future Orders'!$B51, "1")</f>
        <v>0</v>
      </c>
      <c r="AA51" s="159">
        <f>SUMIFS('Future Orders'!$I51, 'Future Orders'!$D51, "3", 'Future Orders'!$C51, "A", 'Future Orders'!$B51, "1")</f>
        <v>0</v>
      </c>
      <c r="AB51" s="159">
        <f>SUMIFS('Future Orders'!$F51, 'Future Orders'!$D51, "3", 'Future Orders'!$C51, "B", 'Future Orders'!$B51, "1")</f>
        <v>0</v>
      </c>
      <c r="AC51" s="159">
        <f>SUMIFS('Future Orders'!$I51, 'Future Orders'!$D51, "3", 'Future Orders'!$C51, "B", 'Future Orders'!$B51, "1")</f>
        <v>0</v>
      </c>
      <c r="AD51" s="159">
        <f>SUMIFS('Future Orders'!$F51, 'Future Orders'!$D51, "3", 'Future Orders'!$C51, "A", 'Future Orders'!$B51, "2")</f>
        <v>0</v>
      </c>
      <c r="AE51" s="159">
        <f>SUMIFS('Future Orders'!$I51, 'Future Orders'!$D51, "3", 'Future Orders'!$C51, "A", 'Future Orders'!$B51, "2")</f>
        <v>0</v>
      </c>
      <c r="AF51" s="159">
        <f>SUMIFS('Future Orders'!$F51, 'Future Orders'!$D51, "3", 'Future Orders'!$C51, "B", 'Future Orders'!$B51, "2")</f>
        <v>0</v>
      </c>
      <c r="AG51" s="157">
        <f>SUMIFS('Future Orders'!$I51, 'Future Orders'!$D51, "3", 'Future Orders'!$C51, "B", 'Future Orders'!$B51, "2")</f>
        <v>0</v>
      </c>
      <c r="AH51" s="157">
        <f>SUMIFS('Future Orders'!$F51, 'Future Orders'!$D51, "4", 'Future Orders'!$C51, "A", 'Future Orders'!$B51, "1")</f>
        <v>0</v>
      </c>
      <c r="AI51" s="157">
        <f>SUMIFS('Future Orders'!$I51, 'Future Orders'!$D51, "4", 'Future Orders'!$C51, "A", 'Future Orders'!$B51, "1")</f>
        <v>0</v>
      </c>
      <c r="AJ51" s="157">
        <f>SUMIFS('Future Orders'!$F51, 'Future Orders'!$D51, "4", 'Future Orders'!$C51, "B", 'Future Orders'!$B51, "1")</f>
        <v>0</v>
      </c>
      <c r="AK51" s="157">
        <f>SUMIFS('Future Orders'!$I51, 'Future Orders'!$D51, "4", 'Future Orders'!$C51, "B", 'Future Orders'!$B51, "1")</f>
        <v>0</v>
      </c>
      <c r="AL51" s="157">
        <f>SUMIFS('Future Orders'!$F51, 'Future Orders'!$D51, "4", 'Future Orders'!$C51, "A", 'Future Orders'!$B51, "2")</f>
        <v>0</v>
      </c>
      <c r="AM51" s="157">
        <f>SUMIFS('Future Orders'!$I51, 'Future Orders'!$D51, "4", 'Future Orders'!$C51, "A", 'Future Orders'!$B51, "2")</f>
        <v>0</v>
      </c>
      <c r="AN51" s="171">
        <f>SUMIFS('Future Orders'!$F51, 'Future Orders'!$D51, "4", 'Future Orders'!$C51, "B", 'Future Orders'!$B51, "2")</f>
        <v>0</v>
      </c>
      <c r="AO51" s="171">
        <f>SUMIFS('Future Orders'!$I51, 'Future Orders'!$D51, "4", 'Future Orders'!$C51, "B", 'Future Orders'!$B51, "2")</f>
        <v>0</v>
      </c>
      <c r="AP51" s="171">
        <f>SUMIFS('Future Orders'!$H51, 'Future Orders'!$C51, "A", 'Future Orders'!$B51, "1")</f>
        <v>5805.6</v>
      </c>
      <c r="AQ51" s="171">
        <f>SUMIFS('Future Orders'!$I51, 'Future Orders'!$C51, "B", 'Future Orders'!$B51, "1")</f>
        <v>0</v>
      </c>
      <c r="AR51" s="171">
        <f>SUMIFS('Future Orders'!$H51, 'Future Orders'!$C51, "A", 'Future Orders'!$B51, "2")</f>
        <v>0</v>
      </c>
      <c r="AS51" s="171">
        <f>SUMIFS('Future Orders'!$I51, 'Future Orders'!$C51, "B", 'Future Orders'!$B51, "2")</f>
        <v>0</v>
      </c>
      <c r="AT51" s="145"/>
      <c r="AU51" s="146"/>
      <c r="AV51" s="161">
        <v>42198.0</v>
      </c>
      <c r="AW51" s="162"/>
      <c r="AX51" s="163">
        <f t="shared" si="1"/>
        <v>42198</v>
      </c>
      <c r="AY51" s="164">
        <f t="shared" si="2"/>
        <v>29578</v>
      </c>
      <c r="AZ51" s="164">
        <f t="shared" si="3"/>
        <v>14858</v>
      </c>
      <c r="BA51" s="164">
        <f t="shared" si="4"/>
        <v>14720</v>
      </c>
      <c r="BB51" s="164">
        <f t="shared" si="5"/>
        <v>24240</v>
      </c>
      <c r="BC51" s="164">
        <f t="shared" si="6"/>
        <v>5338</v>
      </c>
      <c r="BD51" s="165"/>
      <c r="BE51" s="166">
        <f t="shared" si="7"/>
        <v>90982.54</v>
      </c>
      <c r="BF51" s="166">
        <f t="shared" si="8"/>
        <v>43312.5</v>
      </c>
      <c r="BG51" s="166">
        <f t="shared" si="9"/>
        <v>47670.04</v>
      </c>
      <c r="BH51" s="167"/>
      <c r="BI51" s="166">
        <f t="shared" si="10"/>
        <v>13411.64</v>
      </c>
      <c r="BJ51" s="166">
        <f t="shared" si="11"/>
        <v>9321.84</v>
      </c>
      <c r="BK51" s="166">
        <f t="shared" si="12"/>
        <v>0</v>
      </c>
      <c r="BL51" s="166">
        <f t="shared" si="13"/>
        <v>13411.64</v>
      </c>
      <c r="BM51" s="166">
        <f>SUM('Future Orders'!$BI51:$BL51)</f>
        <v>36145.12</v>
      </c>
      <c r="BN51" s="167"/>
      <c r="BO51" s="166">
        <f t="shared" si="14"/>
        <v>0</v>
      </c>
      <c r="BP51" s="166">
        <f t="shared" si="15"/>
        <v>0</v>
      </c>
      <c r="BQ51" s="166">
        <f t="shared" si="16"/>
        <v>20579.02</v>
      </c>
      <c r="BR51" s="166">
        <f t="shared" si="17"/>
        <v>0</v>
      </c>
      <c r="BS51" s="166">
        <f>SUM('Future Orders'!$BO51:$BR51)</f>
        <v>20579.02</v>
      </c>
      <c r="BT51" s="167"/>
      <c r="BU51" s="166">
        <f t="shared" si="18"/>
        <v>9137.92</v>
      </c>
      <c r="BV51" s="166">
        <f t="shared" si="19"/>
        <v>10375.2</v>
      </c>
      <c r="BW51" s="166">
        <f t="shared" si="20"/>
        <v>0</v>
      </c>
      <c r="BX51" s="166">
        <f t="shared" si="21"/>
        <v>9137.92</v>
      </c>
      <c r="BY51" s="166">
        <f>SUM('Future Orders'!$BU51:$BX51)</f>
        <v>28651.04</v>
      </c>
      <c r="BZ51" s="167"/>
      <c r="CA51" s="166">
        <f t="shared" si="22"/>
        <v>0</v>
      </c>
      <c r="CB51" s="166">
        <f t="shared" si="23"/>
        <v>0</v>
      </c>
      <c r="CC51" s="166">
        <f t="shared" si="24"/>
        <v>28156.92</v>
      </c>
      <c r="CD51" s="166">
        <f t="shared" si="25"/>
        <v>0</v>
      </c>
      <c r="CE51" s="166">
        <f>SUM('Future Orders'!$CA51:$CD51)</f>
        <v>28156.92</v>
      </c>
      <c r="CF51" s="167"/>
      <c r="CG51" s="166">
        <f>SUM('Future Orders'!$BI51:$BJ51)
+ SUM('Future Orders'!$BU51:$BV51)</f>
        <v>42246.6</v>
      </c>
      <c r="CH51" s="166">
        <f>SUM('Future Orders'!$BQ51)
+ SUM('Future Orders'!$BX51)</f>
        <v>29716.94</v>
      </c>
      <c r="CI51" s="166">
        <f>SUM('Future Orders'!$BI51:$BJ51)
+ SUM('Future Orders'!$BU51:$BV51)
+ SUM(('Future Orders'!$BI51) * 2)</f>
        <v>69069.88</v>
      </c>
      <c r="CJ51" s="166">
        <f>SUM(('Future Orders'!$BQ51) * 2) + SUM('Future Orders'!$BX51)</f>
        <v>50295.96</v>
      </c>
      <c r="CK51" s="167"/>
      <c r="CL51" s="168">
        <f t="shared" si="26"/>
        <v>3</v>
      </c>
      <c r="CM51" s="168">
        <f t="shared" si="27"/>
        <v>3</v>
      </c>
      <c r="CN51" s="168">
        <f t="shared" si="28"/>
        <v>4</v>
      </c>
      <c r="CO51" s="168">
        <f t="shared" si="29"/>
        <v>2</v>
      </c>
      <c r="CP51" s="168">
        <f t="shared" si="30"/>
        <v>2</v>
      </c>
      <c r="CQ51" s="169">
        <f t="shared" si="31"/>
        <v>2</v>
      </c>
      <c r="CR51" s="169">
        <f t="shared" si="32"/>
        <v>2</v>
      </c>
      <c r="CS51" s="170"/>
    </row>
    <row r="52" ht="15.75" customHeight="1">
      <c r="A52" s="151">
        <v>41911.0</v>
      </c>
      <c r="B52" s="152">
        <v>2.0</v>
      </c>
      <c r="C52" s="152" t="s">
        <v>45</v>
      </c>
      <c r="D52" s="152">
        <v>1.0</v>
      </c>
      <c r="E52" s="153">
        <v>2623.0</v>
      </c>
      <c r="F52" s="153">
        <f>SUM(('Future Orders'!$E52) * (1.1))</f>
        <v>2885.3</v>
      </c>
      <c r="G52" s="154">
        <v>2.2</v>
      </c>
      <c r="H52" s="155">
        <v>5770.6</v>
      </c>
      <c r="I52" s="155">
        <f>SUM(('Future Orders'!$H52) * (1.1))</f>
        <v>6347.66</v>
      </c>
      <c r="J52" s="159">
        <f>SUMIFS('Future Orders'!$F52, 'Future Orders'!$D52, "1", 'Future Orders'!$C52, "A", 'Future Orders'!$B52, "1")</f>
        <v>0</v>
      </c>
      <c r="K52" s="157">
        <f>SUMIFS('Future Orders'!$I52, 'Future Orders'!$D52, "1", 'Future Orders'!$C52, "A", 'Future Orders'!$B52, "1")</f>
        <v>0</v>
      </c>
      <c r="L52" s="157">
        <f>SUMIFS('Future Orders'!$F52, 'Future Orders'!$D52, "1", 'Future Orders'!$C52, "B", 'Future Orders'!$B52, "1")</f>
        <v>0</v>
      </c>
      <c r="M52" s="157">
        <f>SUMIFS('Future Orders'!$I52, 'Future Orders'!$D52, "1", 'Future Orders'!$C52, "B", 'Future Orders'!$B52, "1")</f>
        <v>0</v>
      </c>
      <c r="N52" s="159">
        <f>SUMIFS('Future Orders'!$F52, 'Future Orders'!$D52, "1", 'Future Orders'!$C52, "A", 'Future Orders'!$B52, "2")</f>
        <v>2885.3</v>
      </c>
      <c r="O52" s="157">
        <f>SUMIFS('Future Orders'!$I52, 'Future Orders'!$D52, "1", 'Future Orders'!$C52, "A", 'Future Orders'!$B52, "2")</f>
        <v>6347.66</v>
      </c>
      <c r="P52" s="157">
        <f>SUMIFS('Future Orders'!$E52, 'Future Orders'!$D52, "1", 'Future Orders'!$C52, "B", 'Future Orders'!$B52, "2")</f>
        <v>0</v>
      </c>
      <c r="Q52" s="157">
        <f>SUMIFS('Future Orders'!$I52, 'Future Orders'!$D52, "1", 'Future Orders'!$C52, "B", 'Future Orders'!$B52, "2")</f>
        <v>0</v>
      </c>
      <c r="R52" s="159">
        <f>SUMIFS('Future Orders'!$F52, 'Future Orders'!$D52, "2", 'Future Orders'!$C52, "A", 'Future Orders'!$B52, "1")</f>
        <v>0</v>
      </c>
      <c r="S52" s="157">
        <f>SUMIFS('Future Orders'!$I52, 'Future Orders'!$D52, "2", 'Future Orders'!$C52, "A", 'Future Orders'!$B52, "1")</f>
        <v>0</v>
      </c>
      <c r="T52" s="159">
        <f>SUMIFS('Future Orders'!$F52, 'Future Orders'!$D52, "2", 'Future Orders'!$C52, "B", 'Future Orders'!$B52, "1")</f>
        <v>0</v>
      </c>
      <c r="U52" s="157">
        <f>SUMIFS('Future Orders'!$I52, 'Future Orders'!$D52, "2", 'Future Orders'!$C52, "B", 'Future Orders'!$B52, "1")</f>
        <v>0</v>
      </c>
      <c r="V52" s="159">
        <f>SUMIFS('Future Orders'!$F52, 'Future Orders'!$D52, "2", 'Future Orders'!$C52, "A", 'Future Orders'!$B52, "2")</f>
        <v>0</v>
      </c>
      <c r="W52" s="157">
        <f>SUMIFS('Future Orders'!$I52, 'Future Orders'!$D52, "2", 'Future Orders'!$C52, "A", 'Future Orders'!$B52, "2")</f>
        <v>0</v>
      </c>
      <c r="X52" s="159">
        <f>SUMIFS('Future Orders'!$F52, 'Future Orders'!$D52, "2", 'Future Orders'!$C52, "B", 'Future Orders'!$B52, "2")</f>
        <v>0</v>
      </c>
      <c r="Y52" s="159">
        <f>SUMIFS('Future Orders'!$I52, 'Future Orders'!$D52, "2", 'Future Orders'!$C52, "B", 'Future Orders'!$B52, "2")</f>
        <v>0</v>
      </c>
      <c r="Z52" s="159">
        <f>SUMIFS('Future Orders'!$F52, 'Future Orders'!$D52, "3", 'Future Orders'!$C52, "A", 'Future Orders'!$B52, "1")</f>
        <v>0</v>
      </c>
      <c r="AA52" s="159">
        <f>SUMIFS('Future Orders'!$I52, 'Future Orders'!$D52, "3", 'Future Orders'!$C52, "A", 'Future Orders'!$B52, "1")</f>
        <v>0</v>
      </c>
      <c r="AB52" s="159">
        <f>SUMIFS('Future Orders'!$F52, 'Future Orders'!$D52, "3", 'Future Orders'!$C52, "B", 'Future Orders'!$B52, "1")</f>
        <v>0</v>
      </c>
      <c r="AC52" s="159">
        <f>SUMIFS('Future Orders'!$I52, 'Future Orders'!$D52, "3", 'Future Orders'!$C52, "B", 'Future Orders'!$B52, "1")</f>
        <v>0</v>
      </c>
      <c r="AD52" s="159">
        <f>SUMIFS('Future Orders'!$F52, 'Future Orders'!$D52, "3", 'Future Orders'!$C52, "A", 'Future Orders'!$B52, "2")</f>
        <v>0</v>
      </c>
      <c r="AE52" s="159">
        <f>SUMIFS('Future Orders'!$I52, 'Future Orders'!$D52, "3", 'Future Orders'!$C52, "A", 'Future Orders'!$B52, "2")</f>
        <v>0</v>
      </c>
      <c r="AF52" s="159">
        <f>SUMIFS('Future Orders'!$F52, 'Future Orders'!$D52, "3", 'Future Orders'!$C52, "B", 'Future Orders'!$B52, "2")</f>
        <v>0</v>
      </c>
      <c r="AG52" s="157">
        <f>SUMIFS('Future Orders'!$I52, 'Future Orders'!$D52, "3", 'Future Orders'!$C52, "B", 'Future Orders'!$B52, "2")</f>
        <v>0</v>
      </c>
      <c r="AH52" s="157">
        <f>SUMIFS('Future Orders'!$F52, 'Future Orders'!$D52, "4", 'Future Orders'!$C52, "A", 'Future Orders'!$B52, "1")</f>
        <v>0</v>
      </c>
      <c r="AI52" s="157">
        <f>SUMIFS('Future Orders'!$I52, 'Future Orders'!$D52, "4", 'Future Orders'!$C52, "A", 'Future Orders'!$B52, "1")</f>
        <v>0</v>
      </c>
      <c r="AJ52" s="157">
        <f>SUMIFS('Future Orders'!$F52, 'Future Orders'!$D52, "4", 'Future Orders'!$C52, "B", 'Future Orders'!$B52, "1")</f>
        <v>0</v>
      </c>
      <c r="AK52" s="157">
        <f>SUMIFS('Future Orders'!$I52, 'Future Orders'!$D52, "4", 'Future Orders'!$C52, "B", 'Future Orders'!$B52, "1")</f>
        <v>0</v>
      </c>
      <c r="AL52" s="157">
        <f>SUMIFS('Future Orders'!$F52, 'Future Orders'!$D52, "4", 'Future Orders'!$C52, "A", 'Future Orders'!$B52, "2")</f>
        <v>0</v>
      </c>
      <c r="AM52" s="157">
        <f>SUMIFS('Future Orders'!$I52, 'Future Orders'!$D52, "4", 'Future Orders'!$C52, "A", 'Future Orders'!$B52, "2")</f>
        <v>0</v>
      </c>
      <c r="AN52" s="171">
        <f>SUMIFS('Future Orders'!$F52, 'Future Orders'!$D52, "4", 'Future Orders'!$C52, "B", 'Future Orders'!$B52, "2")</f>
        <v>0</v>
      </c>
      <c r="AO52" s="171">
        <f>SUMIFS('Future Orders'!$I52, 'Future Orders'!$D52, "4", 'Future Orders'!$C52, "B", 'Future Orders'!$B52, "2")</f>
        <v>0</v>
      </c>
      <c r="AP52" s="171">
        <f>SUMIFS('Future Orders'!$H52, 'Future Orders'!$C52, "A", 'Future Orders'!$B52, "1")</f>
        <v>0</v>
      </c>
      <c r="AQ52" s="171">
        <f>SUMIFS('Future Orders'!$I52, 'Future Orders'!$C52, "B", 'Future Orders'!$B52, "1")</f>
        <v>0</v>
      </c>
      <c r="AR52" s="171">
        <f>SUMIFS('Future Orders'!$H52, 'Future Orders'!$C52, "A", 'Future Orders'!$B52, "2")</f>
        <v>5770.6</v>
      </c>
      <c r="AS52" s="171">
        <f>SUMIFS('Future Orders'!$I52, 'Future Orders'!$C52, "B", 'Future Orders'!$B52, "2")</f>
        <v>0</v>
      </c>
      <c r="AT52" s="145"/>
      <c r="AU52" s="146"/>
      <c r="AV52" s="161">
        <v>42205.0</v>
      </c>
      <c r="AW52" s="162"/>
      <c r="AX52" s="163">
        <f t="shared" si="1"/>
        <v>42205</v>
      </c>
      <c r="AY52" s="164">
        <f t="shared" si="2"/>
        <v>27395</v>
      </c>
      <c r="AZ52" s="164">
        <f t="shared" si="3"/>
        <v>13923</v>
      </c>
      <c r="BA52" s="164">
        <f t="shared" si="4"/>
        <v>13472</v>
      </c>
      <c r="BB52" s="164">
        <f t="shared" si="5"/>
        <v>22385</v>
      </c>
      <c r="BC52" s="164">
        <f t="shared" si="6"/>
        <v>5010</v>
      </c>
      <c r="BD52" s="165"/>
      <c r="BE52" s="166">
        <f t="shared" si="7"/>
        <v>86154.2</v>
      </c>
      <c r="BF52" s="166">
        <f t="shared" si="8"/>
        <v>41778.88</v>
      </c>
      <c r="BG52" s="166">
        <f t="shared" si="9"/>
        <v>44375.32</v>
      </c>
      <c r="BH52" s="167"/>
      <c r="BI52" s="166">
        <f t="shared" si="10"/>
        <v>12959.1</v>
      </c>
      <c r="BJ52" s="166">
        <f t="shared" si="11"/>
        <v>8350.32</v>
      </c>
      <c r="BK52" s="166">
        <f t="shared" si="12"/>
        <v>0</v>
      </c>
      <c r="BL52" s="166">
        <f t="shared" si="13"/>
        <v>12959.1</v>
      </c>
      <c r="BM52" s="166">
        <f>SUM('Future Orders'!$BI52:$BL52)</f>
        <v>34268.52</v>
      </c>
      <c r="BN52" s="167"/>
      <c r="BO52" s="166">
        <f t="shared" si="14"/>
        <v>0</v>
      </c>
      <c r="BP52" s="166">
        <f t="shared" si="15"/>
        <v>0</v>
      </c>
      <c r="BQ52" s="166">
        <f t="shared" si="16"/>
        <v>20469.46</v>
      </c>
      <c r="BR52" s="166">
        <f t="shared" si="17"/>
        <v>0</v>
      </c>
      <c r="BS52" s="166">
        <f>SUM('Future Orders'!$BO52:$BR52)</f>
        <v>20469.46</v>
      </c>
      <c r="BT52" s="167"/>
      <c r="BU52" s="166">
        <f t="shared" si="18"/>
        <v>10943.24</v>
      </c>
      <c r="BV52" s="166">
        <f t="shared" si="19"/>
        <v>8160.24</v>
      </c>
      <c r="BW52" s="166">
        <f t="shared" si="20"/>
        <v>0</v>
      </c>
      <c r="BX52" s="166">
        <f t="shared" si="21"/>
        <v>10943.24</v>
      </c>
      <c r="BY52" s="166">
        <f>SUM('Future Orders'!$BU52:$BX52)</f>
        <v>30046.72</v>
      </c>
      <c r="BZ52" s="167"/>
      <c r="CA52" s="166">
        <f t="shared" si="22"/>
        <v>0</v>
      </c>
      <c r="CB52" s="166">
        <f t="shared" si="23"/>
        <v>0</v>
      </c>
      <c r="CC52" s="166">
        <f t="shared" si="24"/>
        <v>25271.84</v>
      </c>
      <c r="CD52" s="166">
        <f t="shared" si="25"/>
        <v>0</v>
      </c>
      <c r="CE52" s="166">
        <f>SUM('Future Orders'!$CA52:$CD52)</f>
        <v>25271.84</v>
      </c>
      <c r="CF52" s="167"/>
      <c r="CG52" s="166">
        <f>SUM('Future Orders'!$BI52:$BJ52)
+ SUM('Future Orders'!$BU52:$BV52)</f>
        <v>40412.9</v>
      </c>
      <c r="CH52" s="166">
        <f>SUM('Future Orders'!$BQ52)
+ SUM('Future Orders'!$BX52)</f>
        <v>31412.7</v>
      </c>
      <c r="CI52" s="166">
        <f>SUM('Future Orders'!$BI52:$BJ52)
+ SUM('Future Orders'!$BU52:$BV52)
+ SUM(('Future Orders'!$BI52) * 2)</f>
        <v>66331.1</v>
      </c>
      <c r="CJ52" s="166">
        <f>SUM(('Future Orders'!$BQ52) * 2) + SUM('Future Orders'!$BX52)</f>
        <v>51882.16</v>
      </c>
      <c r="CK52" s="167"/>
      <c r="CL52" s="168">
        <f t="shared" si="26"/>
        <v>3</v>
      </c>
      <c r="CM52" s="168">
        <f t="shared" si="27"/>
        <v>3</v>
      </c>
      <c r="CN52" s="168">
        <f t="shared" si="28"/>
        <v>4</v>
      </c>
      <c r="CO52" s="168">
        <f t="shared" si="29"/>
        <v>2</v>
      </c>
      <c r="CP52" s="168">
        <f t="shared" si="30"/>
        <v>2</v>
      </c>
      <c r="CQ52" s="169">
        <f t="shared" si="31"/>
        <v>2</v>
      </c>
      <c r="CR52" s="169">
        <f t="shared" si="32"/>
        <v>2</v>
      </c>
      <c r="CS52" s="170"/>
    </row>
    <row r="53" ht="15.75" customHeight="1">
      <c r="A53" s="151">
        <v>41911.0</v>
      </c>
      <c r="B53" s="152">
        <v>2.0</v>
      </c>
      <c r="C53" s="152" t="s">
        <v>45</v>
      </c>
      <c r="D53" s="152">
        <v>2.0</v>
      </c>
      <c r="E53" s="153">
        <v>4230.0</v>
      </c>
      <c r="F53" s="153">
        <f>SUM(('Future Orders'!$E53) * (1.1))</f>
        <v>4653</v>
      </c>
      <c r="G53" s="154">
        <v>1.2</v>
      </c>
      <c r="H53" s="155">
        <v>5076.0</v>
      </c>
      <c r="I53" s="155">
        <f>SUM(('Future Orders'!$H53) * (1.1))</f>
        <v>5583.6</v>
      </c>
      <c r="J53" s="159">
        <f>SUMIFS('Future Orders'!$F53, 'Future Orders'!$D53, "1", 'Future Orders'!$C53, "A", 'Future Orders'!$B53, "1")</f>
        <v>0</v>
      </c>
      <c r="K53" s="157">
        <f>SUMIFS('Future Orders'!$I53, 'Future Orders'!$D53, "1", 'Future Orders'!$C53, "A", 'Future Orders'!$B53, "1")</f>
        <v>0</v>
      </c>
      <c r="L53" s="157">
        <f>SUMIFS('Future Orders'!$F53, 'Future Orders'!$D53, "1", 'Future Orders'!$C53, "B", 'Future Orders'!$B53, "1")</f>
        <v>0</v>
      </c>
      <c r="M53" s="157">
        <f>SUMIFS('Future Orders'!$I53, 'Future Orders'!$D53, "1", 'Future Orders'!$C53, "B", 'Future Orders'!$B53, "1")</f>
        <v>0</v>
      </c>
      <c r="N53" s="159">
        <f>SUMIFS('Future Orders'!$F53, 'Future Orders'!$D53, "1", 'Future Orders'!$C53, "A", 'Future Orders'!$B53, "2")</f>
        <v>0</v>
      </c>
      <c r="O53" s="157">
        <f>SUMIFS('Future Orders'!$I53, 'Future Orders'!$D53, "1", 'Future Orders'!$C53, "A", 'Future Orders'!$B53, "2")</f>
        <v>0</v>
      </c>
      <c r="P53" s="157">
        <f>SUMIFS('Future Orders'!$E53, 'Future Orders'!$D53, "1", 'Future Orders'!$C53, "B", 'Future Orders'!$B53, "2")</f>
        <v>0</v>
      </c>
      <c r="Q53" s="157">
        <f>SUMIFS('Future Orders'!$I53, 'Future Orders'!$D53, "1", 'Future Orders'!$C53, "B", 'Future Orders'!$B53, "2")</f>
        <v>0</v>
      </c>
      <c r="R53" s="159">
        <f>SUMIFS('Future Orders'!$F53, 'Future Orders'!$D53, "2", 'Future Orders'!$C53, "A", 'Future Orders'!$B53, "1")</f>
        <v>0</v>
      </c>
      <c r="S53" s="157">
        <f>SUMIFS('Future Orders'!$I53, 'Future Orders'!$D53, "2", 'Future Orders'!$C53, "A", 'Future Orders'!$B53, "1")</f>
        <v>0</v>
      </c>
      <c r="T53" s="159">
        <f>SUMIFS('Future Orders'!$F53, 'Future Orders'!$D53, "2", 'Future Orders'!$C53, "B", 'Future Orders'!$B53, "1")</f>
        <v>0</v>
      </c>
      <c r="U53" s="157">
        <f>SUMIFS('Future Orders'!$I53, 'Future Orders'!$D53, "2", 'Future Orders'!$C53, "B", 'Future Orders'!$B53, "1")</f>
        <v>0</v>
      </c>
      <c r="V53" s="159">
        <f>SUMIFS('Future Orders'!$F53, 'Future Orders'!$D53, "2", 'Future Orders'!$C53, "A", 'Future Orders'!$B53, "2")</f>
        <v>4653</v>
      </c>
      <c r="W53" s="157">
        <f>SUMIFS('Future Orders'!$I53, 'Future Orders'!$D53, "2", 'Future Orders'!$C53, "A", 'Future Orders'!$B53, "2")</f>
        <v>5583.6</v>
      </c>
      <c r="X53" s="159">
        <f>SUMIFS('Future Orders'!$F53, 'Future Orders'!$D53, "2", 'Future Orders'!$C53, "B", 'Future Orders'!$B53, "2")</f>
        <v>0</v>
      </c>
      <c r="Y53" s="159">
        <f>SUMIFS('Future Orders'!$I53, 'Future Orders'!$D53, "2", 'Future Orders'!$C53, "B", 'Future Orders'!$B53, "2")</f>
        <v>0</v>
      </c>
      <c r="Z53" s="159">
        <f>SUMIFS('Future Orders'!$F53, 'Future Orders'!$D53, "3", 'Future Orders'!$C53, "A", 'Future Orders'!$B53, "1")</f>
        <v>0</v>
      </c>
      <c r="AA53" s="159">
        <f>SUMIFS('Future Orders'!$I53, 'Future Orders'!$D53, "3", 'Future Orders'!$C53, "A", 'Future Orders'!$B53, "1")</f>
        <v>0</v>
      </c>
      <c r="AB53" s="159">
        <f>SUMIFS('Future Orders'!$F53, 'Future Orders'!$D53, "3", 'Future Orders'!$C53, "B", 'Future Orders'!$B53, "1")</f>
        <v>0</v>
      </c>
      <c r="AC53" s="159">
        <f>SUMIFS('Future Orders'!$I53, 'Future Orders'!$D53, "3", 'Future Orders'!$C53, "B", 'Future Orders'!$B53, "1")</f>
        <v>0</v>
      </c>
      <c r="AD53" s="159">
        <f>SUMIFS('Future Orders'!$F53, 'Future Orders'!$D53, "3", 'Future Orders'!$C53, "A", 'Future Orders'!$B53, "2")</f>
        <v>0</v>
      </c>
      <c r="AE53" s="159">
        <f>SUMIFS('Future Orders'!$I53, 'Future Orders'!$D53, "3", 'Future Orders'!$C53, "A", 'Future Orders'!$B53, "2")</f>
        <v>0</v>
      </c>
      <c r="AF53" s="159">
        <f>SUMIFS('Future Orders'!$F53, 'Future Orders'!$D53, "3", 'Future Orders'!$C53, "B", 'Future Orders'!$B53, "2")</f>
        <v>0</v>
      </c>
      <c r="AG53" s="157">
        <f>SUMIFS('Future Orders'!$I53, 'Future Orders'!$D53, "3", 'Future Orders'!$C53, "B", 'Future Orders'!$B53, "2")</f>
        <v>0</v>
      </c>
      <c r="AH53" s="157">
        <f>SUMIFS('Future Orders'!$F53, 'Future Orders'!$D53, "4", 'Future Orders'!$C53, "A", 'Future Orders'!$B53, "1")</f>
        <v>0</v>
      </c>
      <c r="AI53" s="157">
        <f>SUMIFS('Future Orders'!$I53, 'Future Orders'!$D53, "4", 'Future Orders'!$C53, "A", 'Future Orders'!$B53, "1")</f>
        <v>0</v>
      </c>
      <c r="AJ53" s="157">
        <f>SUMIFS('Future Orders'!$F53, 'Future Orders'!$D53, "4", 'Future Orders'!$C53, "B", 'Future Orders'!$B53, "1")</f>
        <v>0</v>
      </c>
      <c r="AK53" s="157">
        <f>SUMIFS('Future Orders'!$I53, 'Future Orders'!$D53, "4", 'Future Orders'!$C53, "B", 'Future Orders'!$B53, "1")</f>
        <v>0</v>
      </c>
      <c r="AL53" s="157">
        <f>SUMIFS('Future Orders'!$F53, 'Future Orders'!$D53, "4", 'Future Orders'!$C53, "A", 'Future Orders'!$B53, "2")</f>
        <v>0</v>
      </c>
      <c r="AM53" s="157">
        <f>SUMIFS('Future Orders'!$I53, 'Future Orders'!$D53, "4", 'Future Orders'!$C53, "A", 'Future Orders'!$B53, "2")</f>
        <v>0</v>
      </c>
      <c r="AN53" s="171">
        <f>SUMIFS('Future Orders'!$F53, 'Future Orders'!$D53, "4", 'Future Orders'!$C53, "B", 'Future Orders'!$B53, "2")</f>
        <v>0</v>
      </c>
      <c r="AO53" s="171">
        <f>SUMIFS('Future Orders'!$I53, 'Future Orders'!$D53, "4", 'Future Orders'!$C53, "B", 'Future Orders'!$B53, "2")</f>
        <v>0</v>
      </c>
      <c r="AP53" s="171">
        <f>SUMIFS('Future Orders'!$H53, 'Future Orders'!$C53, "A", 'Future Orders'!$B53, "1")</f>
        <v>0</v>
      </c>
      <c r="AQ53" s="171">
        <f>SUMIFS('Future Orders'!$I53, 'Future Orders'!$C53, "B", 'Future Orders'!$B53, "1")</f>
        <v>0</v>
      </c>
      <c r="AR53" s="171">
        <f>SUMIFS('Future Orders'!$H53, 'Future Orders'!$C53, "A", 'Future Orders'!$B53, "2")</f>
        <v>5076</v>
      </c>
      <c r="AS53" s="171">
        <f>SUMIFS('Future Orders'!$I53, 'Future Orders'!$C53, "B", 'Future Orders'!$B53, "2")</f>
        <v>0</v>
      </c>
      <c r="AT53" s="145"/>
      <c r="AU53" s="146"/>
      <c r="AV53" s="161">
        <v>42212.0</v>
      </c>
      <c r="AW53" s="162"/>
      <c r="AX53" s="163">
        <f t="shared" si="1"/>
        <v>42212</v>
      </c>
      <c r="AY53" s="164">
        <f t="shared" si="2"/>
        <v>27891</v>
      </c>
      <c r="AZ53" s="164">
        <f t="shared" si="3"/>
        <v>13711</v>
      </c>
      <c r="BA53" s="164">
        <f t="shared" si="4"/>
        <v>14180</v>
      </c>
      <c r="BB53" s="164">
        <f t="shared" si="5"/>
        <v>22486</v>
      </c>
      <c r="BC53" s="164">
        <f t="shared" si="6"/>
        <v>5405</v>
      </c>
      <c r="BD53" s="165"/>
      <c r="BE53" s="166">
        <f t="shared" si="7"/>
        <v>88887.37</v>
      </c>
      <c r="BF53" s="166">
        <f t="shared" si="8"/>
        <v>43298.09</v>
      </c>
      <c r="BG53" s="166">
        <f t="shared" si="9"/>
        <v>45589.28</v>
      </c>
      <c r="BH53" s="167"/>
      <c r="BI53" s="166">
        <f t="shared" si="10"/>
        <v>12191.96</v>
      </c>
      <c r="BJ53" s="166">
        <f t="shared" si="11"/>
        <v>8125.92</v>
      </c>
      <c r="BK53" s="166">
        <f t="shared" si="12"/>
        <v>0</v>
      </c>
      <c r="BL53" s="166">
        <f t="shared" si="13"/>
        <v>12191.96</v>
      </c>
      <c r="BM53" s="166">
        <f>SUM('Future Orders'!$BI53:$BL53)</f>
        <v>32509.84</v>
      </c>
      <c r="BN53" s="167"/>
      <c r="BO53" s="166">
        <f t="shared" si="14"/>
        <v>0</v>
      </c>
      <c r="BP53" s="166">
        <f t="shared" si="15"/>
        <v>0</v>
      </c>
      <c r="BQ53" s="166">
        <f t="shared" si="16"/>
        <v>22980.21</v>
      </c>
      <c r="BR53" s="166">
        <f t="shared" si="17"/>
        <v>0</v>
      </c>
      <c r="BS53" s="166">
        <f>SUM('Future Orders'!$BO53:$BR53)</f>
        <v>22980.21</v>
      </c>
      <c r="BT53" s="167"/>
      <c r="BU53" s="166">
        <f t="shared" si="18"/>
        <v>9496.08</v>
      </c>
      <c r="BV53" s="166">
        <f t="shared" si="19"/>
        <v>9725.76</v>
      </c>
      <c r="BW53" s="166">
        <f t="shared" si="20"/>
        <v>0</v>
      </c>
      <c r="BX53" s="166">
        <f t="shared" si="21"/>
        <v>9496.08</v>
      </c>
      <c r="BY53" s="166">
        <f>SUM('Future Orders'!$BU53:$BX53)</f>
        <v>28717.92</v>
      </c>
      <c r="BZ53" s="167"/>
      <c r="CA53" s="166">
        <f t="shared" si="22"/>
        <v>0</v>
      </c>
      <c r="CB53" s="166">
        <f t="shared" si="23"/>
        <v>0</v>
      </c>
      <c r="CC53" s="166">
        <f t="shared" si="24"/>
        <v>26367.44</v>
      </c>
      <c r="CD53" s="166">
        <f t="shared" si="25"/>
        <v>0</v>
      </c>
      <c r="CE53" s="166">
        <f>SUM('Future Orders'!$CA53:$CD53)</f>
        <v>26367.44</v>
      </c>
      <c r="CF53" s="167"/>
      <c r="CG53" s="166">
        <f>SUM('Future Orders'!$BI53:$BJ53)
+ SUM('Future Orders'!$BU53:$BV53)</f>
        <v>39539.72</v>
      </c>
      <c r="CH53" s="166">
        <f>SUM('Future Orders'!$BQ53)
+ SUM('Future Orders'!$BX53)</f>
        <v>32476.29</v>
      </c>
      <c r="CI53" s="166">
        <f>SUM('Future Orders'!$BI53:$BJ53)
+ SUM('Future Orders'!$BU53:$BV53)
+ SUM(('Future Orders'!$BI53) * 2)</f>
        <v>63923.64</v>
      </c>
      <c r="CJ53" s="166">
        <f>SUM(('Future Orders'!$BQ53) * 2) + SUM('Future Orders'!$BX53)</f>
        <v>55456.5</v>
      </c>
      <c r="CK53" s="167"/>
      <c r="CL53" s="168">
        <f t="shared" si="26"/>
        <v>3</v>
      </c>
      <c r="CM53" s="168">
        <f t="shared" si="27"/>
        <v>3</v>
      </c>
      <c r="CN53" s="168">
        <f t="shared" si="28"/>
        <v>4</v>
      </c>
      <c r="CO53" s="168">
        <f t="shared" si="29"/>
        <v>2</v>
      </c>
      <c r="CP53" s="168">
        <f t="shared" si="30"/>
        <v>2</v>
      </c>
      <c r="CQ53" s="169">
        <f t="shared" si="31"/>
        <v>2</v>
      </c>
      <c r="CR53" s="169">
        <f t="shared" si="32"/>
        <v>2</v>
      </c>
      <c r="CS53" s="170"/>
    </row>
    <row r="54" ht="15.75" customHeight="1">
      <c r="A54" s="151">
        <v>41911.0</v>
      </c>
      <c r="B54" s="152">
        <v>1.0</v>
      </c>
      <c r="C54" s="152" t="s">
        <v>46</v>
      </c>
      <c r="D54" s="152">
        <v>3.0</v>
      </c>
      <c r="E54" s="153">
        <v>1900.0</v>
      </c>
      <c r="F54" s="153">
        <f>SUM(('Future Orders'!$E54) * (1.1))</f>
        <v>2090</v>
      </c>
      <c r="G54" s="154">
        <v>8.3</v>
      </c>
      <c r="H54" s="155">
        <v>15770.000000000002</v>
      </c>
      <c r="I54" s="155">
        <f>SUM(('Future Orders'!$H54) * (1.1))</f>
        <v>17347</v>
      </c>
      <c r="J54" s="159">
        <f>SUMIFS('Future Orders'!$F54, 'Future Orders'!$D54, "1", 'Future Orders'!$C54, "A", 'Future Orders'!$B54, "1")</f>
        <v>0</v>
      </c>
      <c r="K54" s="157">
        <f>SUMIFS('Future Orders'!$I54, 'Future Orders'!$D54, "1", 'Future Orders'!$C54, "A", 'Future Orders'!$B54, "1")</f>
        <v>0</v>
      </c>
      <c r="L54" s="157">
        <f>SUMIFS('Future Orders'!$F54, 'Future Orders'!$D54, "1", 'Future Orders'!$C54, "B", 'Future Orders'!$B54, "1")</f>
        <v>0</v>
      </c>
      <c r="M54" s="157">
        <f>SUMIFS('Future Orders'!$I54, 'Future Orders'!$D54, "1", 'Future Orders'!$C54, "B", 'Future Orders'!$B54, "1")</f>
        <v>0</v>
      </c>
      <c r="N54" s="159">
        <f>SUMIFS('Future Orders'!$F54, 'Future Orders'!$D54, "1", 'Future Orders'!$C54, "A", 'Future Orders'!$B54, "2")</f>
        <v>0</v>
      </c>
      <c r="O54" s="157">
        <f>SUMIFS('Future Orders'!$I54, 'Future Orders'!$D54, "1", 'Future Orders'!$C54, "A", 'Future Orders'!$B54, "2")</f>
        <v>0</v>
      </c>
      <c r="P54" s="157">
        <f>SUMIFS('Future Orders'!$E54, 'Future Orders'!$D54, "1", 'Future Orders'!$C54, "B", 'Future Orders'!$B54, "2")</f>
        <v>0</v>
      </c>
      <c r="Q54" s="157">
        <f>SUMIFS('Future Orders'!$I54, 'Future Orders'!$D54, "1", 'Future Orders'!$C54, "B", 'Future Orders'!$B54, "2")</f>
        <v>0</v>
      </c>
      <c r="R54" s="159">
        <f>SUMIFS('Future Orders'!$F54, 'Future Orders'!$D54, "2", 'Future Orders'!$C54, "A", 'Future Orders'!$B54, "1")</f>
        <v>0</v>
      </c>
      <c r="S54" s="157">
        <f>SUMIFS('Future Orders'!$I54, 'Future Orders'!$D54, "2", 'Future Orders'!$C54, "A", 'Future Orders'!$B54, "1")</f>
        <v>0</v>
      </c>
      <c r="T54" s="159">
        <f>SUMIFS('Future Orders'!$F54, 'Future Orders'!$D54, "2", 'Future Orders'!$C54, "B", 'Future Orders'!$B54, "1")</f>
        <v>0</v>
      </c>
      <c r="U54" s="157">
        <f>SUMIFS('Future Orders'!$I54, 'Future Orders'!$D54, "2", 'Future Orders'!$C54, "B", 'Future Orders'!$B54, "1")</f>
        <v>0</v>
      </c>
      <c r="V54" s="159">
        <f>SUMIFS('Future Orders'!$F54, 'Future Orders'!$D54, "2", 'Future Orders'!$C54, "A", 'Future Orders'!$B54, "2")</f>
        <v>0</v>
      </c>
      <c r="W54" s="157">
        <f>SUMIFS('Future Orders'!$I54, 'Future Orders'!$D54, "2", 'Future Orders'!$C54, "A", 'Future Orders'!$B54, "2")</f>
        <v>0</v>
      </c>
      <c r="X54" s="159">
        <f>SUMIFS('Future Orders'!$F54, 'Future Orders'!$D54, "2", 'Future Orders'!$C54, "B", 'Future Orders'!$B54, "2")</f>
        <v>0</v>
      </c>
      <c r="Y54" s="159">
        <f>SUMIFS('Future Orders'!$I54, 'Future Orders'!$D54, "2", 'Future Orders'!$C54, "B", 'Future Orders'!$B54, "2")</f>
        <v>0</v>
      </c>
      <c r="Z54" s="159">
        <f>SUMIFS('Future Orders'!$F54, 'Future Orders'!$D54, "3", 'Future Orders'!$C54, "A", 'Future Orders'!$B54, "1")</f>
        <v>0</v>
      </c>
      <c r="AA54" s="159">
        <f>SUMIFS('Future Orders'!$I54, 'Future Orders'!$D54, "3", 'Future Orders'!$C54, "A", 'Future Orders'!$B54, "1")</f>
        <v>0</v>
      </c>
      <c r="AB54" s="159">
        <f>SUMIFS('Future Orders'!$F54, 'Future Orders'!$D54, "3", 'Future Orders'!$C54, "B", 'Future Orders'!$B54, "1")</f>
        <v>2090</v>
      </c>
      <c r="AC54" s="159">
        <f>SUMIFS('Future Orders'!$I54, 'Future Orders'!$D54, "3", 'Future Orders'!$C54, "B", 'Future Orders'!$B54, "1")</f>
        <v>17347</v>
      </c>
      <c r="AD54" s="159">
        <f>SUMIFS('Future Orders'!$F54, 'Future Orders'!$D54, "3", 'Future Orders'!$C54, "A", 'Future Orders'!$B54, "2")</f>
        <v>0</v>
      </c>
      <c r="AE54" s="159">
        <f>SUMIFS('Future Orders'!$I54, 'Future Orders'!$D54, "3", 'Future Orders'!$C54, "A", 'Future Orders'!$B54, "2")</f>
        <v>0</v>
      </c>
      <c r="AF54" s="159">
        <f>SUMIFS('Future Orders'!$F54, 'Future Orders'!$D54, "3", 'Future Orders'!$C54, "B", 'Future Orders'!$B54, "2")</f>
        <v>0</v>
      </c>
      <c r="AG54" s="157">
        <f>SUMIFS('Future Orders'!$I54, 'Future Orders'!$D54, "3", 'Future Orders'!$C54, "B", 'Future Orders'!$B54, "2")</f>
        <v>0</v>
      </c>
      <c r="AH54" s="157">
        <f>SUMIFS('Future Orders'!$F54, 'Future Orders'!$D54, "4", 'Future Orders'!$C54, "A", 'Future Orders'!$B54, "1")</f>
        <v>0</v>
      </c>
      <c r="AI54" s="157">
        <f>SUMIFS('Future Orders'!$I54, 'Future Orders'!$D54, "4", 'Future Orders'!$C54, "A", 'Future Orders'!$B54, "1")</f>
        <v>0</v>
      </c>
      <c r="AJ54" s="157">
        <f>SUMIFS('Future Orders'!$F54, 'Future Orders'!$D54, "4", 'Future Orders'!$C54, "B", 'Future Orders'!$B54, "1")</f>
        <v>0</v>
      </c>
      <c r="AK54" s="157">
        <f>SUMIFS('Future Orders'!$I54, 'Future Orders'!$D54, "4", 'Future Orders'!$C54, "B", 'Future Orders'!$B54, "1")</f>
        <v>0</v>
      </c>
      <c r="AL54" s="157">
        <f>SUMIFS('Future Orders'!$F54, 'Future Orders'!$D54, "4", 'Future Orders'!$C54, "A", 'Future Orders'!$B54, "2")</f>
        <v>0</v>
      </c>
      <c r="AM54" s="157">
        <f>SUMIFS('Future Orders'!$I54, 'Future Orders'!$D54, "4", 'Future Orders'!$C54, "A", 'Future Orders'!$B54, "2")</f>
        <v>0</v>
      </c>
      <c r="AN54" s="171">
        <f>SUMIFS('Future Orders'!$F54, 'Future Orders'!$D54, "4", 'Future Orders'!$C54, "B", 'Future Orders'!$B54, "2")</f>
        <v>0</v>
      </c>
      <c r="AO54" s="171">
        <f>SUMIFS('Future Orders'!$I54, 'Future Orders'!$D54, "4", 'Future Orders'!$C54, "B", 'Future Orders'!$B54, "2")</f>
        <v>0</v>
      </c>
      <c r="AP54" s="171">
        <f>SUMIFS('Future Orders'!$H54, 'Future Orders'!$C54, "A", 'Future Orders'!$B54, "1")</f>
        <v>0</v>
      </c>
      <c r="AQ54" s="171">
        <f>SUMIFS('Future Orders'!$I54, 'Future Orders'!$C54, "B", 'Future Orders'!$B54, "1")</f>
        <v>17347</v>
      </c>
      <c r="AR54" s="171">
        <f>SUMIFS('Future Orders'!$H54, 'Future Orders'!$C54, "A", 'Future Orders'!$B54, "2")</f>
        <v>0</v>
      </c>
      <c r="AS54" s="171">
        <f>SUMIFS('Future Orders'!$I54, 'Future Orders'!$C54, "B", 'Future Orders'!$B54, "2")</f>
        <v>0</v>
      </c>
      <c r="AT54" s="145"/>
      <c r="AU54" s="146"/>
      <c r="AV54" s="173" t="str">
        <f>"Total Weeks: " &amp; COUNTA(ANCHORARRAY(AV2))</f>
        <v>Total Weeks: 1</v>
      </c>
      <c r="AW54" s="162"/>
      <c r="AX54" s="174" t="s">
        <v>7</v>
      </c>
      <c r="AY54" s="175">
        <f>SUM('Future Orders'!$AY$2:$AY$53)</f>
        <v>1259788</v>
      </c>
      <c r="AZ54" s="175">
        <f>SUM('Future Orders'!$AZ$2:$AZ$53)</f>
        <v>639468</v>
      </c>
      <c r="BA54" s="175">
        <f>SUM('Future Orders'!$BA$2:$BA$53)</f>
        <v>620320</v>
      </c>
      <c r="BB54" s="175">
        <f>SUM('Future Orders'!$BB$2:$BB$53)</f>
        <v>1015131</v>
      </c>
      <c r="BC54" s="175">
        <f>SUM('Future Orders'!$BC$2:$BC$53)</f>
        <v>244657</v>
      </c>
      <c r="BD54" s="176"/>
      <c r="BE54" s="177">
        <f>SUM('Future Orders'!$BE$2:$BE$53)</f>
        <v>4025422.83</v>
      </c>
      <c r="BF54" s="177">
        <f>SUM('Future Orders'!$BF$2:$BF$53)</f>
        <v>1953171.99</v>
      </c>
      <c r="BG54" s="177">
        <f>SUM('Future Orders'!$BG$2:$BG$53)</f>
        <v>2072250.84</v>
      </c>
      <c r="BH54" s="177"/>
      <c r="BI54" s="177">
        <f>SUM('Future Orders'!$BI$2:$BI$53)</f>
        <v>568620.14</v>
      </c>
      <c r="BJ54" s="177">
        <f>SUM('Future Orders'!$BJ$2:$BJ$53)</f>
        <v>390176.16</v>
      </c>
      <c r="BK54" s="177">
        <f>SUM('Future Orders'!$BK$2:$BK$53)</f>
        <v>0</v>
      </c>
      <c r="BL54" s="177">
        <f>SUM('Future Orders'!$BL$2:$BL$53)</f>
        <v>568620.14</v>
      </c>
      <c r="BM54" s="177">
        <f>SUM('Future Orders'!$BM$2:$BM$53)</f>
        <v>1527416.44</v>
      </c>
      <c r="BN54" s="177"/>
      <c r="BO54" s="177">
        <f>SUM('Future Orders'!$BO$2:$BO$53)</f>
        <v>0</v>
      </c>
      <c r="BP54" s="177">
        <f>SUM('Future Orders'!$BP$2:$BP$53)</f>
        <v>0</v>
      </c>
      <c r="BQ54" s="177">
        <f>SUM('Future Orders'!$BQ$2:$BQ$53)</f>
        <v>994375.69</v>
      </c>
      <c r="BR54" s="177">
        <f>SUM('Future Orders'!$BR$2:$BR$53)</f>
        <v>0</v>
      </c>
      <c r="BS54" s="177">
        <f>SUM('Future Orders'!$BS$2:$BS$53)</f>
        <v>994375.69</v>
      </c>
      <c r="BT54" s="177"/>
      <c r="BU54" s="177">
        <f>SUM('Future Orders'!$BU$2:$BU$53)</f>
        <v>425189.16</v>
      </c>
      <c r="BV54" s="177">
        <f>SUM('Future Orders'!$BV$2:$BV$53)</f>
        <v>407718.96</v>
      </c>
      <c r="BW54" s="177">
        <f>SUM('Future Orders'!$BW$2:$BW$53)</f>
        <v>0</v>
      </c>
      <c r="BX54" s="177">
        <f>SUM('Future Orders'!$BX$2:$BX$53)</f>
        <v>425189.16</v>
      </c>
      <c r="BY54" s="177">
        <f>SUM('Future Orders'!$BY$2:$BY$53)</f>
        <v>1258097.28</v>
      </c>
      <c r="BZ54" s="177"/>
      <c r="CA54" s="177">
        <f>SUM('Future Orders'!$CA$2:$CA$53)</f>
        <v>0</v>
      </c>
      <c r="CB54" s="177">
        <f>SUM('Future Orders'!$CB$2:$CB$53)</f>
        <v>0</v>
      </c>
      <c r="CC54" s="177">
        <f>SUM('Future Orders'!$CC$2:$CC$53)</f>
        <v>1239342.72</v>
      </c>
      <c r="CD54" s="177">
        <f>SUM('Future Orders'!$CD$2:$CD$53)</f>
        <v>0</v>
      </c>
      <c r="CE54" s="177">
        <f>SUM('Future Orders'!$CE$2:$CE$53)</f>
        <v>1239342.72</v>
      </c>
      <c r="CF54" s="167"/>
      <c r="CG54" s="177"/>
      <c r="CH54" s="167"/>
      <c r="CI54" s="167"/>
      <c r="CJ54" s="167"/>
      <c r="CK54" s="167"/>
      <c r="CL54" s="178"/>
      <c r="CM54" s="178">
        <f>SUM('Future Orders'!$CM$2:$CM$53)</f>
        <v>156</v>
      </c>
      <c r="CN54" s="178">
        <f>SUM('Future Orders'!$CN$2:$CN$53)</f>
        <v>208</v>
      </c>
      <c r="CO54" s="178">
        <f>SUM('Future Orders'!$CO$2:$CO$53)</f>
        <v>104</v>
      </c>
      <c r="CP54" s="178">
        <f>SUM('Future Orders'!$CP$2:$CP$53)</f>
        <v>104</v>
      </c>
      <c r="CQ54" s="178">
        <f>SUM('Future Orders'!$CQ$2:$CQ$53)</f>
        <v>104</v>
      </c>
      <c r="CR54" s="178">
        <f>SUM('Future Orders'!$CR$2:$CR$53)</f>
        <v>104</v>
      </c>
      <c r="CS54" s="170"/>
    </row>
    <row r="55" ht="15.75" customHeight="1">
      <c r="A55" s="151">
        <v>41911.0</v>
      </c>
      <c r="B55" s="152">
        <v>2.0</v>
      </c>
      <c r="C55" s="152" t="s">
        <v>46</v>
      </c>
      <c r="D55" s="152">
        <v>3.0</v>
      </c>
      <c r="E55" s="153">
        <v>2554.0</v>
      </c>
      <c r="F55" s="153">
        <f>SUM(('Future Orders'!$E55) * (1.1))</f>
        <v>2809.4</v>
      </c>
      <c r="G55" s="154">
        <v>8.3</v>
      </c>
      <c r="H55" s="155">
        <v>21198.2</v>
      </c>
      <c r="I55" s="155">
        <f>SUM(('Future Orders'!$H55) * (1.1))</f>
        <v>23318.02</v>
      </c>
      <c r="J55" s="159">
        <f>SUMIFS('Future Orders'!$F55, 'Future Orders'!$D55, "1", 'Future Orders'!$C55, "A", 'Future Orders'!$B55, "1")</f>
        <v>0</v>
      </c>
      <c r="K55" s="157">
        <f>SUMIFS('Future Orders'!$I55, 'Future Orders'!$D55, "1", 'Future Orders'!$C55, "A", 'Future Orders'!$B55, "1")</f>
        <v>0</v>
      </c>
      <c r="L55" s="157">
        <f>SUMIFS('Future Orders'!$F55, 'Future Orders'!$D55, "1", 'Future Orders'!$C55, "B", 'Future Orders'!$B55, "1")</f>
        <v>0</v>
      </c>
      <c r="M55" s="157">
        <f>SUMIFS('Future Orders'!$I55, 'Future Orders'!$D55, "1", 'Future Orders'!$C55, "B", 'Future Orders'!$B55, "1")</f>
        <v>0</v>
      </c>
      <c r="N55" s="159">
        <f>SUMIFS('Future Orders'!$F55, 'Future Orders'!$D55, "1", 'Future Orders'!$C55, "A", 'Future Orders'!$B55, "2")</f>
        <v>0</v>
      </c>
      <c r="O55" s="157">
        <f>SUMIFS('Future Orders'!$I55, 'Future Orders'!$D55, "1", 'Future Orders'!$C55, "A", 'Future Orders'!$B55, "2")</f>
        <v>0</v>
      </c>
      <c r="P55" s="157">
        <f>SUMIFS('Future Orders'!$E55, 'Future Orders'!$D55, "1", 'Future Orders'!$C55, "B", 'Future Orders'!$B55, "2")</f>
        <v>0</v>
      </c>
      <c r="Q55" s="157">
        <f>SUMIFS('Future Orders'!$I55, 'Future Orders'!$D55, "1", 'Future Orders'!$C55, "B", 'Future Orders'!$B55, "2")</f>
        <v>0</v>
      </c>
      <c r="R55" s="159">
        <f>SUMIFS('Future Orders'!$F55, 'Future Orders'!$D55, "2", 'Future Orders'!$C55, "A", 'Future Orders'!$B55, "1")</f>
        <v>0</v>
      </c>
      <c r="S55" s="157">
        <f>SUMIFS('Future Orders'!$I55, 'Future Orders'!$D55, "2", 'Future Orders'!$C55, "A", 'Future Orders'!$B55, "1")</f>
        <v>0</v>
      </c>
      <c r="T55" s="159">
        <f>SUMIFS('Future Orders'!$F55, 'Future Orders'!$D55, "2", 'Future Orders'!$C55, "B", 'Future Orders'!$B55, "1")</f>
        <v>0</v>
      </c>
      <c r="U55" s="157">
        <f>SUMIFS('Future Orders'!$I55, 'Future Orders'!$D55, "2", 'Future Orders'!$C55, "B", 'Future Orders'!$B55, "1")</f>
        <v>0</v>
      </c>
      <c r="V55" s="159">
        <f>SUMIFS('Future Orders'!$F55, 'Future Orders'!$D55, "2", 'Future Orders'!$C55, "A", 'Future Orders'!$B55, "2")</f>
        <v>0</v>
      </c>
      <c r="W55" s="157">
        <f>SUMIFS('Future Orders'!$I55, 'Future Orders'!$D55, "2", 'Future Orders'!$C55, "A", 'Future Orders'!$B55, "2")</f>
        <v>0</v>
      </c>
      <c r="X55" s="159">
        <f>SUMIFS('Future Orders'!$F55, 'Future Orders'!$D55, "2", 'Future Orders'!$C55, "B", 'Future Orders'!$B55, "2")</f>
        <v>0</v>
      </c>
      <c r="Y55" s="159">
        <f>SUMIFS('Future Orders'!$I55, 'Future Orders'!$D55, "2", 'Future Orders'!$C55, "B", 'Future Orders'!$B55, "2")</f>
        <v>0</v>
      </c>
      <c r="Z55" s="159">
        <f>SUMIFS('Future Orders'!$F55, 'Future Orders'!$D55, "3", 'Future Orders'!$C55, "A", 'Future Orders'!$B55, "1")</f>
        <v>0</v>
      </c>
      <c r="AA55" s="159">
        <f>SUMIFS('Future Orders'!$I55, 'Future Orders'!$D55, "3", 'Future Orders'!$C55, "A", 'Future Orders'!$B55, "1")</f>
        <v>0</v>
      </c>
      <c r="AB55" s="159">
        <f>SUMIFS('Future Orders'!$F55, 'Future Orders'!$D55, "3", 'Future Orders'!$C55, "B", 'Future Orders'!$B55, "1")</f>
        <v>0</v>
      </c>
      <c r="AC55" s="159">
        <f>SUMIFS('Future Orders'!$I55, 'Future Orders'!$D55, "3", 'Future Orders'!$C55, "B", 'Future Orders'!$B55, "1")</f>
        <v>0</v>
      </c>
      <c r="AD55" s="159">
        <f>SUMIFS('Future Orders'!$F55, 'Future Orders'!$D55, "3", 'Future Orders'!$C55, "A", 'Future Orders'!$B55, "2")</f>
        <v>0</v>
      </c>
      <c r="AE55" s="159">
        <f>SUMIFS('Future Orders'!$I55, 'Future Orders'!$D55, "3", 'Future Orders'!$C55, "A", 'Future Orders'!$B55, "2")</f>
        <v>0</v>
      </c>
      <c r="AF55" s="159">
        <f>SUMIFS('Future Orders'!$F55, 'Future Orders'!$D55, "3", 'Future Orders'!$C55, "B", 'Future Orders'!$B55, "2")</f>
        <v>2809.4</v>
      </c>
      <c r="AG55" s="157">
        <f>SUMIFS('Future Orders'!$I55, 'Future Orders'!$D55, "3", 'Future Orders'!$C55, "B", 'Future Orders'!$B55, "2")</f>
        <v>23318.02</v>
      </c>
      <c r="AH55" s="157">
        <f>SUMIFS('Future Orders'!$F55, 'Future Orders'!$D55, "4", 'Future Orders'!$C55, "A", 'Future Orders'!$B55, "1")</f>
        <v>0</v>
      </c>
      <c r="AI55" s="157">
        <f>SUMIFS('Future Orders'!$I55, 'Future Orders'!$D55, "4", 'Future Orders'!$C55, "A", 'Future Orders'!$B55, "1")</f>
        <v>0</v>
      </c>
      <c r="AJ55" s="157">
        <f>SUMIFS('Future Orders'!$F55, 'Future Orders'!$D55, "4", 'Future Orders'!$C55, "B", 'Future Orders'!$B55, "1")</f>
        <v>0</v>
      </c>
      <c r="AK55" s="157">
        <f>SUMIFS('Future Orders'!$I55, 'Future Orders'!$D55, "4", 'Future Orders'!$C55, "B", 'Future Orders'!$B55, "1")</f>
        <v>0</v>
      </c>
      <c r="AL55" s="157">
        <f>SUMIFS('Future Orders'!$F55, 'Future Orders'!$D55, "4", 'Future Orders'!$C55, "A", 'Future Orders'!$B55, "2")</f>
        <v>0</v>
      </c>
      <c r="AM55" s="157">
        <f>SUMIFS('Future Orders'!$I55, 'Future Orders'!$D55, "4", 'Future Orders'!$C55, "A", 'Future Orders'!$B55, "2")</f>
        <v>0</v>
      </c>
      <c r="AN55" s="171">
        <f>SUMIFS('Future Orders'!$F55, 'Future Orders'!$D55, "4", 'Future Orders'!$C55, "B", 'Future Orders'!$B55, "2")</f>
        <v>0</v>
      </c>
      <c r="AO55" s="171">
        <f>SUMIFS('Future Orders'!$I55, 'Future Orders'!$D55, "4", 'Future Orders'!$C55, "B", 'Future Orders'!$B55, "2")</f>
        <v>0</v>
      </c>
      <c r="AP55" s="171">
        <f>SUMIFS('Future Orders'!$H55, 'Future Orders'!$C55, "A", 'Future Orders'!$B55, "1")</f>
        <v>0</v>
      </c>
      <c r="AQ55" s="171">
        <f>SUMIFS('Future Orders'!$I55, 'Future Orders'!$C55, "B", 'Future Orders'!$B55, "1")</f>
        <v>0</v>
      </c>
      <c r="AR55" s="171">
        <f>SUMIFS('Future Orders'!$H55, 'Future Orders'!$C55, "A", 'Future Orders'!$B55, "2")</f>
        <v>0</v>
      </c>
      <c r="AS55" s="171">
        <f>SUMIFS('Future Orders'!$I55, 'Future Orders'!$C55, "B", 'Future Orders'!$B55, "2")</f>
        <v>23318.02</v>
      </c>
      <c r="AT55" s="145"/>
      <c r="AU55" s="146"/>
      <c r="AV55" s="146"/>
      <c r="AW55" s="162"/>
      <c r="AX55" s="162"/>
      <c r="AY55" s="162"/>
      <c r="AZ55" s="162"/>
      <c r="BA55" s="162"/>
      <c r="BB55" s="162"/>
      <c r="BC55" s="162"/>
      <c r="BD55" s="162"/>
      <c r="BE55" s="162"/>
      <c r="BF55" s="162"/>
      <c r="BG55" s="162"/>
      <c r="BH55" s="162"/>
      <c r="BI55" s="162"/>
      <c r="BJ55" s="162"/>
      <c r="BK55" s="162"/>
      <c r="BL55" s="162"/>
      <c r="BM55" s="162"/>
      <c r="BN55" s="162"/>
      <c r="BO55" s="162"/>
      <c r="BP55" s="162"/>
      <c r="BQ55" s="162"/>
      <c r="BR55" s="162"/>
      <c r="BS55" s="162"/>
      <c r="BT55" s="162"/>
      <c r="BU55" s="162"/>
      <c r="BV55" s="162"/>
      <c r="BW55" s="162"/>
      <c r="BX55" s="162"/>
      <c r="BY55" s="162"/>
      <c r="BZ55" s="162"/>
      <c r="CA55" s="162"/>
      <c r="CB55" s="162"/>
      <c r="CC55" s="162"/>
      <c r="CD55" s="162"/>
      <c r="CE55" s="162"/>
      <c r="CF55" s="162"/>
      <c r="CG55" s="162"/>
      <c r="CH55" s="162"/>
      <c r="CI55" s="162"/>
      <c r="CJ55" s="162"/>
      <c r="CK55" s="162"/>
      <c r="CL55" s="162"/>
      <c r="CM55" s="162"/>
      <c r="CN55" s="162"/>
      <c r="CO55" s="162"/>
      <c r="CP55" s="162"/>
      <c r="CQ55" s="162"/>
    </row>
    <row r="56" ht="15.75" customHeight="1">
      <c r="A56" s="151">
        <v>41918.0</v>
      </c>
      <c r="B56" s="152">
        <v>1.0</v>
      </c>
      <c r="C56" s="152" t="s">
        <v>45</v>
      </c>
      <c r="D56" s="152">
        <v>1.0</v>
      </c>
      <c r="E56" s="153">
        <v>4228.0</v>
      </c>
      <c r="F56" s="153">
        <f>SUM(('Future Orders'!$E56) * (1.1))</f>
        <v>4650.8</v>
      </c>
      <c r="G56" s="154">
        <v>2.2</v>
      </c>
      <c r="H56" s="155">
        <v>9301.6</v>
      </c>
      <c r="I56" s="155">
        <f>SUM(('Future Orders'!$H56) * (1.1))</f>
        <v>10231.76</v>
      </c>
      <c r="J56" s="159">
        <f>SUMIFS('Future Orders'!$F56, 'Future Orders'!$D56, "1", 'Future Orders'!$C56, "A", 'Future Orders'!$B56, "1")</f>
        <v>4650.8</v>
      </c>
      <c r="K56" s="157">
        <f>SUMIFS('Future Orders'!$I56, 'Future Orders'!$D56, "1", 'Future Orders'!$C56, "A", 'Future Orders'!$B56, "1")</f>
        <v>10231.76</v>
      </c>
      <c r="L56" s="157">
        <f>SUMIFS('Future Orders'!$F56, 'Future Orders'!$D56, "1", 'Future Orders'!$C56, "B", 'Future Orders'!$B56, "1")</f>
        <v>0</v>
      </c>
      <c r="M56" s="157">
        <f>SUMIFS('Future Orders'!$I56, 'Future Orders'!$D56, "1", 'Future Orders'!$C56, "B", 'Future Orders'!$B56, "1")</f>
        <v>0</v>
      </c>
      <c r="N56" s="159">
        <f>SUMIFS('Future Orders'!$F56, 'Future Orders'!$D56, "1", 'Future Orders'!$C56, "A", 'Future Orders'!$B56, "2")</f>
        <v>0</v>
      </c>
      <c r="O56" s="157">
        <f>SUMIFS('Future Orders'!$I56, 'Future Orders'!$D56, "1", 'Future Orders'!$C56, "A", 'Future Orders'!$B56, "2")</f>
        <v>0</v>
      </c>
      <c r="P56" s="157">
        <f>SUMIFS('Future Orders'!$E56, 'Future Orders'!$D56, "1", 'Future Orders'!$C56, "B", 'Future Orders'!$B56, "2")</f>
        <v>0</v>
      </c>
      <c r="Q56" s="157">
        <f>SUMIFS('Future Orders'!$I56, 'Future Orders'!$D56, "1", 'Future Orders'!$C56, "B", 'Future Orders'!$B56, "2")</f>
        <v>0</v>
      </c>
      <c r="R56" s="159">
        <f>SUMIFS('Future Orders'!$F56, 'Future Orders'!$D56, "2", 'Future Orders'!$C56, "A", 'Future Orders'!$B56, "1")</f>
        <v>0</v>
      </c>
      <c r="S56" s="157">
        <f>SUMIFS('Future Orders'!$I56, 'Future Orders'!$D56, "2", 'Future Orders'!$C56, "A", 'Future Orders'!$B56, "1")</f>
        <v>0</v>
      </c>
      <c r="T56" s="159">
        <f>SUMIFS('Future Orders'!$F56, 'Future Orders'!$D56, "2", 'Future Orders'!$C56, "B", 'Future Orders'!$B56, "1")</f>
        <v>0</v>
      </c>
      <c r="U56" s="157">
        <f>SUMIFS('Future Orders'!$I56, 'Future Orders'!$D56, "2", 'Future Orders'!$C56, "B", 'Future Orders'!$B56, "1")</f>
        <v>0</v>
      </c>
      <c r="V56" s="159">
        <f>SUMIFS('Future Orders'!$F56, 'Future Orders'!$D56, "2", 'Future Orders'!$C56, "A", 'Future Orders'!$B56, "2")</f>
        <v>0</v>
      </c>
      <c r="W56" s="157">
        <f>SUMIFS('Future Orders'!$I56, 'Future Orders'!$D56, "2", 'Future Orders'!$C56, "A", 'Future Orders'!$B56, "2")</f>
        <v>0</v>
      </c>
      <c r="X56" s="159">
        <f>SUMIFS('Future Orders'!$F56, 'Future Orders'!$D56, "2", 'Future Orders'!$C56, "B", 'Future Orders'!$B56, "2")</f>
        <v>0</v>
      </c>
      <c r="Y56" s="159">
        <f>SUMIFS('Future Orders'!$I56, 'Future Orders'!$D56, "2", 'Future Orders'!$C56, "B", 'Future Orders'!$B56, "2")</f>
        <v>0</v>
      </c>
      <c r="Z56" s="159">
        <f>SUMIFS('Future Orders'!$F56, 'Future Orders'!$D56, "3", 'Future Orders'!$C56, "A", 'Future Orders'!$B56, "1")</f>
        <v>0</v>
      </c>
      <c r="AA56" s="159">
        <f>SUMIFS('Future Orders'!$I56, 'Future Orders'!$D56, "3", 'Future Orders'!$C56, "A", 'Future Orders'!$B56, "1")</f>
        <v>0</v>
      </c>
      <c r="AB56" s="159">
        <f>SUMIFS('Future Orders'!$F56, 'Future Orders'!$D56, "3", 'Future Orders'!$C56, "B", 'Future Orders'!$B56, "1")</f>
        <v>0</v>
      </c>
      <c r="AC56" s="159">
        <f>SUMIFS('Future Orders'!$I56, 'Future Orders'!$D56, "3", 'Future Orders'!$C56, "B", 'Future Orders'!$B56, "1")</f>
        <v>0</v>
      </c>
      <c r="AD56" s="159">
        <f>SUMIFS('Future Orders'!$F56, 'Future Orders'!$D56, "3", 'Future Orders'!$C56, "A", 'Future Orders'!$B56, "2")</f>
        <v>0</v>
      </c>
      <c r="AE56" s="159">
        <f>SUMIFS('Future Orders'!$I56, 'Future Orders'!$D56, "3", 'Future Orders'!$C56, "A", 'Future Orders'!$B56, "2")</f>
        <v>0</v>
      </c>
      <c r="AF56" s="159">
        <f>SUMIFS('Future Orders'!$F56, 'Future Orders'!$D56, "3", 'Future Orders'!$C56, "B", 'Future Orders'!$B56, "2")</f>
        <v>0</v>
      </c>
      <c r="AG56" s="157">
        <f>SUMIFS('Future Orders'!$I56, 'Future Orders'!$D56, "3", 'Future Orders'!$C56, "B", 'Future Orders'!$B56, "2")</f>
        <v>0</v>
      </c>
      <c r="AH56" s="157">
        <f>SUMIFS('Future Orders'!$F56, 'Future Orders'!$D56, "4", 'Future Orders'!$C56, "A", 'Future Orders'!$B56, "1")</f>
        <v>0</v>
      </c>
      <c r="AI56" s="157">
        <f>SUMIFS('Future Orders'!$I56, 'Future Orders'!$D56, "4", 'Future Orders'!$C56, "A", 'Future Orders'!$B56, "1")</f>
        <v>0</v>
      </c>
      <c r="AJ56" s="157">
        <f>SUMIFS('Future Orders'!$F56, 'Future Orders'!$D56, "4", 'Future Orders'!$C56, "B", 'Future Orders'!$B56, "1")</f>
        <v>0</v>
      </c>
      <c r="AK56" s="157">
        <f>SUMIFS('Future Orders'!$I56, 'Future Orders'!$D56, "4", 'Future Orders'!$C56, "B", 'Future Orders'!$B56, "1")</f>
        <v>0</v>
      </c>
      <c r="AL56" s="157">
        <f>SUMIFS('Future Orders'!$F56, 'Future Orders'!$D56, "4", 'Future Orders'!$C56, "A", 'Future Orders'!$B56, "2")</f>
        <v>0</v>
      </c>
      <c r="AM56" s="157">
        <f>SUMIFS('Future Orders'!$I56, 'Future Orders'!$D56, "4", 'Future Orders'!$C56, "A", 'Future Orders'!$B56, "2")</f>
        <v>0</v>
      </c>
      <c r="AN56" s="171">
        <f>SUMIFS('Future Orders'!$F56, 'Future Orders'!$D56, "4", 'Future Orders'!$C56, "B", 'Future Orders'!$B56, "2")</f>
        <v>0</v>
      </c>
      <c r="AO56" s="171">
        <f>SUMIFS('Future Orders'!$I56, 'Future Orders'!$D56, "4", 'Future Orders'!$C56, "B", 'Future Orders'!$B56, "2")</f>
        <v>0</v>
      </c>
      <c r="AP56" s="171">
        <f>SUMIFS('Future Orders'!$H56, 'Future Orders'!$C56, "A", 'Future Orders'!$B56, "1")</f>
        <v>9301.6</v>
      </c>
      <c r="AQ56" s="171">
        <f>SUMIFS('Future Orders'!$I56, 'Future Orders'!$C56, "B", 'Future Orders'!$B56, "1")</f>
        <v>0</v>
      </c>
      <c r="AR56" s="171">
        <f>SUMIFS('Future Orders'!$H56, 'Future Orders'!$C56, "A", 'Future Orders'!$B56, "2")</f>
        <v>0</v>
      </c>
      <c r="AS56" s="171">
        <f>SUMIFS('Future Orders'!$I56, 'Future Orders'!$C56, "B", 'Future Orders'!$B56, "2")</f>
        <v>0</v>
      </c>
      <c r="AT56" s="145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9"/>
      <c r="CB56" s="179"/>
      <c r="CC56" s="179"/>
      <c r="CD56" s="179"/>
      <c r="CE56" s="179"/>
      <c r="CF56" s="179"/>
      <c r="CG56" s="179"/>
      <c r="CH56" s="179"/>
      <c r="CI56" s="179"/>
      <c r="CJ56" s="179"/>
      <c r="CK56" s="179"/>
      <c r="CL56" s="179"/>
      <c r="CM56" s="179"/>
      <c r="CN56" s="179"/>
      <c r="CO56" s="179"/>
      <c r="CP56" s="179"/>
    </row>
    <row r="57" ht="15.75" customHeight="1">
      <c r="A57" s="151">
        <v>41918.0</v>
      </c>
      <c r="B57" s="152">
        <v>1.0</v>
      </c>
      <c r="C57" s="152" t="s">
        <v>45</v>
      </c>
      <c r="D57" s="152">
        <v>2.0</v>
      </c>
      <c r="E57" s="153">
        <v>5342.0</v>
      </c>
      <c r="F57" s="153">
        <f>SUM(('Future Orders'!$E57) * (1.1))</f>
        <v>5876.2</v>
      </c>
      <c r="G57" s="154">
        <v>1.2</v>
      </c>
      <c r="H57" s="155">
        <v>6410.4</v>
      </c>
      <c r="I57" s="155">
        <f>SUM(('Future Orders'!$H57) * (1.1))</f>
        <v>7051.44</v>
      </c>
      <c r="J57" s="159">
        <f>SUMIFS('Future Orders'!$F57, 'Future Orders'!$D57, "1", 'Future Orders'!$C57, "A", 'Future Orders'!$B57, "1")</f>
        <v>0</v>
      </c>
      <c r="K57" s="157">
        <f>SUMIFS('Future Orders'!$I57, 'Future Orders'!$D57, "1", 'Future Orders'!$C57, "A", 'Future Orders'!$B57, "1")</f>
        <v>0</v>
      </c>
      <c r="L57" s="157">
        <f>SUMIFS('Future Orders'!$F57, 'Future Orders'!$D57, "1", 'Future Orders'!$C57, "B", 'Future Orders'!$B57, "1")</f>
        <v>0</v>
      </c>
      <c r="M57" s="157">
        <f>SUMIFS('Future Orders'!$I57, 'Future Orders'!$D57, "1", 'Future Orders'!$C57, "B", 'Future Orders'!$B57, "1")</f>
        <v>0</v>
      </c>
      <c r="N57" s="159">
        <f>SUMIFS('Future Orders'!$F57, 'Future Orders'!$D57, "1", 'Future Orders'!$C57, "A", 'Future Orders'!$B57, "2")</f>
        <v>0</v>
      </c>
      <c r="O57" s="157">
        <f>SUMIFS('Future Orders'!$I57, 'Future Orders'!$D57, "1", 'Future Orders'!$C57, "A", 'Future Orders'!$B57, "2")</f>
        <v>0</v>
      </c>
      <c r="P57" s="157">
        <f>SUMIFS('Future Orders'!$E57, 'Future Orders'!$D57, "1", 'Future Orders'!$C57, "B", 'Future Orders'!$B57, "2")</f>
        <v>0</v>
      </c>
      <c r="Q57" s="157">
        <f>SUMIFS('Future Orders'!$I57, 'Future Orders'!$D57, "1", 'Future Orders'!$C57, "B", 'Future Orders'!$B57, "2")</f>
        <v>0</v>
      </c>
      <c r="R57" s="159">
        <f>SUMIFS('Future Orders'!$F57, 'Future Orders'!$D57, "2", 'Future Orders'!$C57, "A", 'Future Orders'!$B57, "1")</f>
        <v>5876.2</v>
      </c>
      <c r="S57" s="157">
        <f>SUMIFS('Future Orders'!$I57, 'Future Orders'!$D57, "2", 'Future Orders'!$C57, "A", 'Future Orders'!$B57, "1")</f>
        <v>7051.44</v>
      </c>
      <c r="T57" s="159">
        <f>SUMIFS('Future Orders'!$F57, 'Future Orders'!$D57, "2", 'Future Orders'!$C57, "B", 'Future Orders'!$B57, "1")</f>
        <v>0</v>
      </c>
      <c r="U57" s="157">
        <f>SUMIFS('Future Orders'!$I57, 'Future Orders'!$D57, "2", 'Future Orders'!$C57, "B", 'Future Orders'!$B57, "1")</f>
        <v>0</v>
      </c>
      <c r="V57" s="159">
        <f>SUMIFS('Future Orders'!$F57, 'Future Orders'!$D57, "2", 'Future Orders'!$C57, "A", 'Future Orders'!$B57, "2")</f>
        <v>0</v>
      </c>
      <c r="W57" s="157">
        <f>SUMIFS('Future Orders'!$I57, 'Future Orders'!$D57, "2", 'Future Orders'!$C57, "A", 'Future Orders'!$B57, "2")</f>
        <v>0</v>
      </c>
      <c r="X57" s="159">
        <f>SUMIFS('Future Orders'!$F57, 'Future Orders'!$D57, "2", 'Future Orders'!$C57, "B", 'Future Orders'!$B57, "2")</f>
        <v>0</v>
      </c>
      <c r="Y57" s="159">
        <f>SUMIFS('Future Orders'!$I57, 'Future Orders'!$D57, "2", 'Future Orders'!$C57, "B", 'Future Orders'!$B57, "2")</f>
        <v>0</v>
      </c>
      <c r="Z57" s="159">
        <f>SUMIFS('Future Orders'!$F57, 'Future Orders'!$D57, "3", 'Future Orders'!$C57, "A", 'Future Orders'!$B57, "1")</f>
        <v>0</v>
      </c>
      <c r="AA57" s="159">
        <f>SUMIFS('Future Orders'!$I57, 'Future Orders'!$D57, "3", 'Future Orders'!$C57, "A", 'Future Orders'!$B57, "1")</f>
        <v>0</v>
      </c>
      <c r="AB57" s="159">
        <f>SUMIFS('Future Orders'!$F57, 'Future Orders'!$D57, "3", 'Future Orders'!$C57, "B", 'Future Orders'!$B57, "1")</f>
        <v>0</v>
      </c>
      <c r="AC57" s="159">
        <f>SUMIFS('Future Orders'!$I57, 'Future Orders'!$D57, "3", 'Future Orders'!$C57, "B", 'Future Orders'!$B57, "1")</f>
        <v>0</v>
      </c>
      <c r="AD57" s="159">
        <f>SUMIFS('Future Orders'!$F57, 'Future Orders'!$D57, "3", 'Future Orders'!$C57, "A", 'Future Orders'!$B57, "2")</f>
        <v>0</v>
      </c>
      <c r="AE57" s="159">
        <f>SUMIFS('Future Orders'!$I57, 'Future Orders'!$D57, "3", 'Future Orders'!$C57, "A", 'Future Orders'!$B57, "2")</f>
        <v>0</v>
      </c>
      <c r="AF57" s="159">
        <f>SUMIFS('Future Orders'!$F57, 'Future Orders'!$D57, "3", 'Future Orders'!$C57, "B", 'Future Orders'!$B57, "2")</f>
        <v>0</v>
      </c>
      <c r="AG57" s="157">
        <f>SUMIFS('Future Orders'!$I57, 'Future Orders'!$D57, "3", 'Future Orders'!$C57, "B", 'Future Orders'!$B57, "2")</f>
        <v>0</v>
      </c>
      <c r="AH57" s="157">
        <f>SUMIFS('Future Orders'!$F57, 'Future Orders'!$D57, "4", 'Future Orders'!$C57, "A", 'Future Orders'!$B57, "1")</f>
        <v>0</v>
      </c>
      <c r="AI57" s="157">
        <f>SUMIFS('Future Orders'!$I57, 'Future Orders'!$D57, "4", 'Future Orders'!$C57, "A", 'Future Orders'!$B57, "1")</f>
        <v>0</v>
      </c>
      <c r="AJ57" s="157">
        <f>SUMIFS('Future Orders'!$F57, 'Future Orders'!$D57, "4", 'Future Orders'!$C57, "B", 'Future Orders'!$B57, "1")</f>
        <v>0</v>
      </c>
      <c r="AK57" s="157">
        <f>SUMIFS('Future Orders'!$I57, 'Future Orders'!$D57, "4", 'Future Orders'!$C57, "B", 'Future Orders'!$B57, "1")</f>
        <v>0</v>
      </c>
      <c r="AL57" s="157">
        <f>SUMIFS('Future Orders'!$F57, 'Future Orders'!$D57, "4", 'Future Orders'!$C57, "A", 'Future Orders'!$B57, "2")</f>
        <v>0</v>
      </c>
      <c r="AM57" s="157">
        <f>SUMIFS('Future Orders'!$I57, 'Future Orders'!$D57, "4", 'Future Orders'!$C57, "A", 'Future Orders'!$B57, "2")</f>
        <v>0</v>
      </c>
      <c r="AN57" s="171">
        <f>SUMIFS('Future Orders'!$F57, 'Future Orders'!$D57, "4", 'Future Orders'!$C57, "B", 'Future Orders'!$B57, "2")</f>
        <v>0</v>
      </c>
      <c r="AO57" s="171">
        <f>SUMIFS('Future Orders'!$I57, 'Future Orders'!$D57, "4", 'Future Orders'!$C57, "B", 'Future Orders'!$B57, "2")</f>
        <v>0</v>
      </c>
      <c r="AP57" s="171">
        <f>SUMIFS('Future Orders'!$H57, 'Future Orders'!$C57, "A", 'Future Orders'!$B57, "1")</f>
        <v>6410.4</v>
      </c>
      <c r="AQ57" s="171">
        <f>SUMIFS('Future Orders'!$I57, 'Future Orders'!$C57, "B", 'Future Orders'!$B57, "1")</f>
        <v>0</v>
      </c>
      <c r="AR57" s="171">
        <f>SUMIFS('Future Orders'!$H57, 'Future Orders'!$C57, "A", 'Future Orders'!$B57, "2")</f>
        <v>0</v>
      </c>
      <c r="AS57" s="171">
        <f>SUMIFS('Future Orders'!$I57, 'Future Orders'!$C57, "B", 'Future Orders'!$B57, "2")</f>
        <v>0</v>
      </c>
      <c r="AT57" s="145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9"/>
      <c r="CB57" s="179"/>
      <c r="CC57" s="179"/>
      <c r="CD57" s="179"/>
      <c r="CE57" s="179"/>
      <c r="CF57" s="179"/>
      <c r="CG57" s="179"/>
      <c r="CH57" s="179"/>
      <c r="CI57" s="179"/>
      <c r="CJ57" s="179"/>
      <c r="CK57" s="179"/>
      <c r="CL57" s="179"/>
      <c r="CM57" s="179"/>
      <c r="CN57" s="179"/>
      <c r="CO57" s="179"/>
      <c r="CP57" s="179"/>
    </row>
    <row r="58" ht="15.75" customHeight="1">
      <c r="A58" s="151">
        <v>41918.0</v>
      </c>
      <c r="B58" s="152">
        <v>2.0</v>
      </c>
      <c r="C58" s="152" t="s">
        <v>45</v>
      </c>
      <c r="D58" s="152">
        <v>1.0</v>
      </c>
      <c r="E58" s="153">
        <v>2897.0</v>
      </c>
      <c r="F58" s="153">
        <f>SUM(('Future Orders'!$E58) * (1.1))</f>
        <v>3186.7</v>
      </c>
      <c r="G58" s="154">
        <v>2.2</v>
      </c>
      <c r="H58" s="155">
        <v>6373.400000000001</v>
      </c>
      <c r="I58" s="155">
        <f>SUM(('Future Orders'!$H58) * (1.1))</f>
        <v>7010.74</v>
      </c>
      <c r="J58" s="159">
        <f>SUMIFS('Future Orders'!$F58, 'Future Orders'!$D58, "1", 'Future Orders'!$C58, "A", 'Future Orders'!$B58, "1")</f>
        <v>0</v>
      </c>
      <c r="K58" s="157">
        <f>SUMIFS('Future Orders'!$I58, 'Future Orders'!$D58, "1", 'Future Orders'!$C58, "A", 'Future Orders'!$B58, "1")</f>
        <v>0</v>
      </c>
      <c r="L58" s="157">
        <f>SUMIFS('Future Orders'!$F58, 'Future Orders'!$D58, "1", 'Future Orders'!$C58, "B", 'Future Orders'!$B58, "1")</f>
        <v>0</v>
      </c>
      <c r="M58" s="157">
        <f>SUMIFS('Future Orders'!$I58, 'Future Orders'!$D58, "1", 'Future Orders'!$C58, "B", 'Future Orders'!$B58, "1")</f>
        <v>0</v>
      </c>
      <c r="N58" s="159">
        <f>SUMIFS('Future Orders'!$F58, 'Future Orders'!$D58, "1", 'Future Orders'!$C58, "A", 'Future Orders'!$B58, "2")</f>
        <v>3186.7</v>
      </c>
      <c r="O58" s="157">
        <f>SUMIFS('Future Orders'!$I58, 'Future Orders'!$D58, "1", 'Future Orders'!$C58, "A", 'Future Orders'!$B58, "2")</f>
        <v>7010.74</v>
      </c>
      <c r="P58" s="157">
        <f>SUMIFS('Future Orders'!$E58, 'Future Orders'!$D58, "1", 'Future Orders'!$C58, "B", 'Future Orders'!$B58, "2")</f>
        <v>0</v>
      </c>
      <c r="Q58" s="157">
        <f>SUMIFS('Future Orders'!$I58, 'Future Orders'!$D58, "1", 'Future Orders'!$C58, "B", 'Future Orders'!$B58, "2")</f>
        <v>0</v>
      </c>
      <c r="R58" s="159">
        <f>SUMIFS('Future Orders'!$F58, 'Future Orders'!$D58, "2", 'Future Orders'!$C58, "A", 'Future Orders'!$B58, "1")</f>
        <v>0</v>
      </c>
      <c r="S58" s="157">
        <f>SUMIFS('Future Orders'!$I58, 'Future Orders'!$D58, "2", 'Future Orders'!$C58, "A", 'Future Orders'!$B58, "1")</f>
        <v>0</v>
      </c>
      <c r="T58" s="159">
        <f>SUMIFS('Future Orders'!$F58, 'Future Orders'!$D58, "2", 'Future Orders'!$C58, "B", 'Future Orders'!$B58, "1")</f>
        <v>0</v>
      </c>
      <c r="U58" s="157">
        <f>SUMIFS('Future Orders'!$I58, 'Future Orders'!$D58, "2", 'Future Orders'!$C58, "B", 'Future Orders'!$B58, "1")</f>
        <v>0</v>
      </c>
      <c r="V58" s="159">
        <f>SUMIFS('Future Orders'!$F58, 'Future Orders'!$D58, "2", 'Future Orders'!$C58, "A", 'Future Orders'!$B58, "2")</f>
        <v>0</v>
      </c>
      <c r="W58" s="157">
        <f>SUMIFS('Future Orders'!$I58, 'Future Orders'!$D58, "2", 'Future Orders'!$C58, "A", 'Future Orders'!$B58, "2")</f>
        <v>0</v>
      </c>
      <c r="X58" s="159">
        <f>SUMIFS('Future Orders'!$F58, 'Future Orders'!$D58, "2", 'Future Orders'!$C58, "B", 'Future Orders'!$B58, "2")</f>
        <v>0</v>
      </c>
      <c r="Y58" s="159">
        <f>SUMIFS('Future Orders'!$I58, 'Future Orders'!$D58, "2", 'Future Orders'!$C58, "B", 'Future Orders'!$B58, "2")</f>
        <v>0</v>
      </c>
      <c r="Z58" s="159">
        <f>SUMIFS('Future Orders'!$F58, 'Future Orders'!$D58, "3", 'Future Orders'!$C58, "A", 'Future Orders'!$B58, "1")</f>
        <v>0</v>
      </c>
      <c r="AA58" s="159">
        <f>SUMIFS('Future Orders'!$I58, 'Future Orders'!$D58, "3", 'Future Orders'!$C58, "A", 'Future Orders'!$B58, "1")</f>
        <v>0</v>
      </c>
      <c r="AB58" s="159">
        <f>SUMIFS('Future Orders'!$F58, 'Future Orders'!$D58, "3", 'Future Orders'!$C58, "B", 'Future Orders'!$B58, "1")</f>
        <v>0</v>
      </c>
      <c r="AC58" s="159">
        <f>SUMIFS('Future Orders'!$I58, 'Future Orders'!$D58, "3", 'Future Orders'!$C58, "B", 'Future Orders'!$B58, "1")</f>
        <v>0</v>
      </c>
      <c r="AD58" s="159">
        <f>SUMIFS('Future Orders'!$F58, 'Future Orders'!$D58, "3", 'Future Orders'!$C58, "A", 'Future Orders'!$B58, "2")</f>
        <v>0</v>
      </c>
      <c r="AE58" s="159">
        <f>SUMIFS('Future Orders'!$I58, 'Future Orders'!$D58, "3", 'Future Orders'!$C58, "A", 'Future Orders'!$B58, "2")</f>
        <v>0</v>
      </c>
      <c r="AF58" s="159">
        <f>SUMIFS('Future Orders'!$F58, 'Future Orders'!$D58, "3", 'Future Orders'!$C58, "B", 'Future Orders'!$B58, "2")</f>
        <v>0</v>
      </c>
      <c r="AG58" s="157">
        <f>SUMIFS('Future Orders'!$I58, 'Future Orders'!$D58, "3", 'Future Orders'!$C58, "B", 'Future Orders'!$B58, "2")</f>
        <v>0</v>
      </c>
      <c r="AH58" s="157">
        <f>SUMIFS('Future Orders'!$F58, 'Future Orders'!$D58, "4", 'Future Orders'!$C58, "A", 'Future Orders'!$B58, "1")</f>
        <v>0</v>
      </c>
      <c r="AI58" s="157">
        <f>SUMIFS('Future Orders'!$I58, 'Future Orders'!$D58, "4", 'Future Orders'!$C58, "A", 'Future Orders'!$B58, "1")</f>
        <v>0</v>
      </c>
      <c r="AJ58" s="157">
        <f>SUMIFS('Future Orders'!$F58, 'Future Orders'!$D58, "4", 'Future Orders'!$C58, "B", 'Future Orders'!$B58, "1")</f>
        <v>0</v>
      </c>
      <c r="AK58" s="157">
        <f>SUMIFS('Future Orders'!$I58, 'Future Orders'!$D58, "4", 'Future Orders'!$C58, "B", 'Future Orders'!$B58, "1")</f>
        <v>0</v>
      </c>
      <c r="AL58" s="157">
        <f>SUMIFS('Future Orders'!$F58, 'Future Orders'!$D58, "4", 'Future Orders'!$C58, "A", 'Future Orders'!$B58, "2")</f>
        <v>0</v>
      </c>
      <c r="AM58" s="157">
        <f>SUMIFS('Future Orders'!$I58, 'Future Orders'!$D58, "4", 'Future Orders'!$C58, "A", 'Future Orders'!$B58, "2")</f>
        <v>0</v>
      </c>
      <c r="AN58" s="171">
        <f>SUMIFS('Future Orders'!$F58, 'Future Orders'!$D58, "4", 'Future Orders'!$C58, "B", 'Future Orders'!$B58, "2")</f>
        <v>0</v>
      </c>
      <c r="AO58" s="171">
        <f>SUMIFS('Future Orders'!$I58, 'Future Orders'!$D58, "4", 'Future Orders'!$C58, "B", 'Future Orders'!$B58, "2")</f>
        <v>0</v>
      </c>
      <c r="AP58" s="171">
        <f>SUMIFS('Future Orders'!$H58, 'Future Orders'!$C58, "A", 'Future Orders'!$B58, "1")</f>
        <v>0</v>
      </c>
      <c r="AQ58" s="171">
        <f>SUMIFS('Future Orders'!$I58, 'Future Orders'!$C58, "B", 'Future Orders'!$B58, "1")</f>
        <v>0</v>
      </c>
      <c r="AR58" s="171">
        <f>SUMIFS('Future Orders'!$H58, 'Future Orders'!$C58, "A", 'Future Orders'!$B58, "2")</f>
        <v>6373.4</v>
      </c>
      <c r="AS58" s="171">
        <f>SUMIFS('Future Orders'!$I58, 'Future Orders'!$C58, "B", 'Future Orders'!$B58, "2")</f>
        <v>0</v>
      </c>
      <c r="AT58" s="145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9"/>
      <c r="CB58" s="179"/>
      <c r="CC58" s="179"/>
      <c r="CD58" s="179"/>
      <c r="CE58" s="179"/>
      <c r="CF58" s="179"/>
      <c r="CG58" s="179"/>
      <c r="CH58" s="179"/>
      <c r="CI58" s="179"/>
      <c r="CJ58" s="179"/>
      <c r="CK58" s="179"/>
      <c r="CL58" s="179"/>
      <c r="CM58" s="179"/>
      <c r="CN58" s="179"/>
      <c r="CO58" s="179"/>
      <c r="CP58" s="179"/>
    </row>
    <row r="59" ht="15.75" customHeight="1">
      <c r="A59" s="151">
        <v>41918.0</v>
      </c>
      <c r="B59" s="152">
        <v>2.0</v>
      </c>
      <c r="C59" s="152" t="s">
        <v>45</v>
      </c>
      <c r="D59" s="152">
        <v>2.0</v>
      </c>
      <c r="E59" s="153">
        <v>4895.0</v>
      </c>
      <c r="F59" s="153">
        <f>SUM(('Future Orders'!$E59) * (1.1))</f>
        <v>5384.5</v>
      </c>
      <c r="G59" s="154">
        <v>1.2</v>
      </c>
      <c r="H59" s="155">
        <v>5874.0</v>
      </c>
      <c r="I59" s="155">
        <f>SUM(('Future Orders'!$H59) * (1.1))</f>
        <v>6461.4</v>
      </c>
      <c r="J59" s="159">
        <f>SUMIFS('Future Orders'!$F59, 'Future Orders'!$D59, "1", 'Future Orders'!$C59, "A", 'Future Orders'!$B59, "1")</f>
        <v>0</v>
      </c>
      <c r="K59" s="157">
        <f>SUMIFS('Future Orders'!$I59, 'Future Orders'!$D59, "1", 'Future Orders'!$C59, "A", 'Future Orders'!$B59, "1")</f>
        <v>0</v>
      </c>
      <c r="L59" s="157">
        <f>SUMIFS('Future Orders'!$F59, 'Future Orders'!$D59, "1", 'Future Orders'!$C59, "B", 'Future Orders'!$B59, "1")</f>
        <v>0</v>
      </c>
      <c r="M59" s="157">
        <f>SUMIFS('Future Orders'!$I59, 'Future Orders'!$D59, "1", 'Future Orders'!$C59, "B", 'Future Orders'!$B59, "1")</f>
        <v>0</v>
      </c>
      <c r="N59" s="159">
        <f>SUMIFS('Future Orders'!$F59, 'Future Orders'!$D59, "1", 'Future Orders'!$C59, "A", 'Future Orders'!$B59, "2")</f>
        <v>0</v>
      </c>
      <c r="O59" s="157">
        <f>SUMIFS('Future Orders'!$I59, 'Future Orders'!$D59, "1", 'Future Orders'!$C59, "A", 'Future Orders'!$B59, "2")</f>
        <v>0</v>
      </c>
      <c r="P59" s="157">
        <f>SUMIFS('Future Orders'!$E59, 'Future Orders'!$D59, "1", 'Future Orders'!$C59, "B", 'Future Orders'!$B59, "2")</f>
        <v>0</v>
      </c>
      <c r="Q59" s="157">
        <f>SUMIFS('Future Orders'!$I59, 'Future Orders'!$D59, "1", 'Future Orders'!$C59, "B", 'Future Orders'!$B59, "2")</f>
        <v>0</v>
      </c>
      <c r="R59" s="159">
        <f>SUMIFS('Future Orders'!$F59, 'Future Orders'!$D59, "2", 'Future Orders'!$C59, "A", 'Future Orders'!$B59, "1")</f>
        <v>0</v>
      </c>
      <c r="S59" s="157">
        <f>SUMIFS('Future Orders'!$I59, 'Future Orders'!$D59, "2", 'Future Orders'!$C59, "A", 'Future Orders'!$B59, "1")</f>
        <v>0</v>
      </c>
      <c r="T59" s="159">
        <f>SUMIFS('Future Orders'!$F59, 'Future Orders'!$D59, "2", 'Future Orders'!$C59, "B", 'Future Orders'!$B59, "1")</f>
        <v>0</v>
      </c>
      <c r="U59" s="157">
        <f>SUMIFS('Future Orders'!$I59, 'Future Orders'!$D59, "2", 'Future Orders'!$C59, "B", 'Future Orders'!$B59, "1")</f>
        <v>0</v>
      </c>
      <c r="V59" s="159">
        <f>SUMIFS('Future Orders'!$F59, 'Future Orders'!$D59, "2", 'Future Orders'!$C59, "A", 'Future Orders'!$B59, "2")</f>
        <v>5384.5</v>
      </c>
      <c r="W59" s="157">
        <f>SUMIFS('Future Orders'!$I59, 'Future Orders'!$D59, "2", 'Future Orders'!$C59, "A", 'Future Orders'!$B59, "2")</f>
        <v>6461.4</v>
      </c>
      <c r="X59" s="159">
        <f>SUMIFS('Future Orders'!$F59, 'Future Orders'!$D59, "2", 'Future Orders'!$C59, "B", 'Future Orders'!$B59, "2")</f>
        <v>0</v>
      </c>
      <c r="Y59" s="159">
        <f>SUMIFS('Future Orders'!$I59, 'Future Orders'!$D59, "2", 'Future Orders'!$C59, "B", 'Future Orders'!$B59, "2")</f>
        <v>0</v>
      </c>
      <c r="Z59" s="159">
        <f>SUMIFS('Future Orders'!$F59, 'Future Orders'!$D59, "3", 'Future Orders'!$C59, "A", 'Future Orders'!$B59, "1")</f>
        <v>0</v>
      </c>
      <c r="AA59" s="159">
        <f>SUMIFS('Future Orders'!$I59, 'Future Orders'!$D59, "3", 'Future Orders'!$C59, "A", 'Future Orders'!$B59, "1")</f>
        <v>0</v>
      </c>
      <c r="AB59" s="159">
        <f>SUMIFS('Future Orders'!$F59, 'Future Orders'!$D59, "3", 'Future Orders'!$C59, "B", 'Future Orders'!$B59, "1")</f>
        <v>0</v>
      </c>
      <c r="AC59" s="159">
        <f>SUMIFS('Future Orders'!$I59, 'Future Orders'!$D59, "3", 'Future Orders'!$C59, "B", 'Future Orders'!$B59, "1")</f>
        <v>0</v>
      </c>
      <c r="AD59" s="159">
        <f>SUMIFS('Future Orders'!$F59, 'Future Orders'!$D59, "3", 'Future Orders'!$C59, "A", 'Future Orders'!$B59, "2")</f>
        <v>0</v>
      </c>
      <c r="AE59" s="159">
        <f>SUMIFS('Future Orders'!$I59, 'Future Orders'!$D59, "3", 'Future Orders'!$C59, "A", 'Future Orders'!$B59, "2")</f>
        <v>0</v>
      </c>
      <c r="AF59" s="159">
        <f>SUMIFS('Future Orders'!$F59, 'Future Orders'!$D59, "3", 'Future Orders'!$C59, "B", 'Future Orders'!$B59, "2")</f>
        <v>0</v>
      </c>
      <c r="AG59" s="157">
        <f>SUMIFS('Future Orders'!$I59, 'Future Orders'!$D59, "3", 'Future Orders'!$C59, "B", 'Future Orders'!$B59, "2")</f>
        <v>0</v>
      </c>
      <c r="AH59" s="157">
        <f>SUMIFS('Future Orders'!$F59, 'Future Orders'!$D59, "4", 'Future Orders'!$C59, "A", 'Future Orders'!$B59, "1")</f>
        <v>0</v>
      </c>
      <c r="AI59" s="157">
        <f>SUMIFS('Future Orders'!$I59, 'Future Orders'!$D59, "4", 'Future Orders'!$C59, "A", 'Future Orders'!$B59, "1")</f>
        <v>0</v>
      </c>
      <c r="AJ59" s="157">
        <f>SUMIFS('Future Orders'!$F59, 'Future Orders'!$D59, "4", 'Future Orders'!$C59, "B", 'Future Orders'!$B59, "1")</f>
        <v>0</v>
      </c>
      <c r="AK59" s="157">
        <f>SUMIFS('Future Orders'!$I59, 'Future Orders'!$D59, "4", 'Future Orders'!$C59, "B", 'Future Orders'!$B59, "1")</f>
        <v>0</v>
      </c>
      <c r="AL59" s="157">
        <f>SUMIFS('Future Orders'!$F59, 'Future Orders'!$D59, "4", 'Future Orders'!$C59, "A", 'Future Orders'!$B59, "2")</f>
        <v>0</v>
      </c>
      <c r="AM59" s="157">
        <f>SUMIFS('Future Orders'!$I59, 'Future Orders'!$D59, "4", 'Future Orders'!$C59, "A", 'Future Orders'!$B59, "2")</f>
        <v>0</v>
      </c>
      <c r="AN59" s="171">
        <f>SUMIFS('Future Orders'!$F59, 'Future Orders'!$D59, "4", 'Future Orders'!$C59, "B", 'Future Orders'!$B59, "2")</f>
        <v>0</v>
      </c>
      <c r="AO59" s="171">
        <f>SUMIFS('Future Orders'!$I59, 'Future Orders'!$D59, "4", 'Future Orders'!$C59, "B", 'Future Orders'!$B59, "2")</f>
        <v>0</v>
      </c>
      <c r="AP59" s="171">
        <f>SUMIFS('Future Orders'!$H59, 'Future Orders'!$C59, "A", 'Future Orders'!$B59, "1")</f>
        <v>0</v>
      </c>
      <c r="AQ59" s="171">
        <f>SUMIFS('Future Orders'!$I59, 'Future Orders'!$C59, "B", 'Future Orders'!$B59, "1")</f>
        <v>0</v>
      </c>
      <c r="AR59" s="171">
        <f>SUMIFS('Future Orders'!$H59, 'Future Orders'!$C59, "A", 'Future Orders'!$B59, "2")</f>
        <v>5874</v>
      </c>
      <c r="AS59" s="171">
        <f>SUMIFS('Future Orders'!$I59, 'Future Orders'!$C59, "B", 'Future Orders'!$B59, "2")</f>
        <v>0</v>
      </c>
      <c r="AT59" s="145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9"/>
      <c r="CB59" s="179"/>
      <c r="CC59" s="179"/>
      <c r="CD59" s="179"/>
      <c r="CE59" s="179"/>
      <c r="CF59" s="179"/>
      <c r="CG59" s="179"/>
      <c r="CH59" s="179"/>
      <c r="CI59" s="179"/>
      <c r="CJ59" s="179"/>
      <c r="CK59" s="179"/>
      <c r="CL59" s="179"/>
      <c r="CM59" s="179"/>
      <c r="CN59" s="179"/>
      <c r="CO59" s="179"/>
      <c r="CP59" s="179"/>
    </row>
    <row r="60" ht="15.75" customHeight="1">
      <c r="A60" s="151">
        <v>41918.0</v>
      </c>
      <c r="B60" s="152">
        <v>1.0</v>
      </c>
      <c r="C60" s="152" t="s">
        <v>46</v>
      </c>
      <c r="D60" s="152">
        <v>3.0</v>
      </c>
      <c r="E60" s="153">
        <v>2038.0</v>
      </c>
      <c r="F60" s="153">
        <f>SUM(('Future Orders'!$E60) * (1.1))</f>
        <v>2241.8</v>
      </c>
      <c r="G60" s="154">
        <v>8.3</v>
      </c>
      <c r="H60" s="155">
        <v>16915.4</v>
      </c>
      <c r="I60" s="155">
        <f>SUM(('Future Orders'!$H60) * (1.1))</f>
        <v>18606.94</v>
      </c>
      <c r="J60" s="159">
        <f>SUMIFS('Future Orders'!$F60, 'Future Orders'!$D60, "1", 'Future Orders'!$C60, "A", 'Future Orders'!$B60, "1")</f>
        <v>0</v>
      </c>
      <c r="K60" s="157">
        <f>SUMIFS('Future Orders'!$I60, 'Future Orders'!$D60, "1", 'Future Orders'!$C60, "A", 'Future Orders'!$B60, "1")</f>
        <v>0</v>
      </c>
      <c r="L60" s="157">
        <f>SUMIFS('Future Orders'!$F60, 'Future Orders'!$D60, "1", 'Future Orders'!$C60, "B", 'Future Orders'!$B60, "1")</f>
        <v>0</v>
      </c>
      <c r="M60" s="157">
        <f>SUMIFS('Future Orders'!$I60, 'Future Orders'!$D60, "1", 'Future Orders'!$C60, "B", 'Future Orders'!$B60, "1")</f>
        <v>0</v>
      </c>
      <c r="N60" s="159">
        <f>SUMIFS('Future Orders'!$F60, 'Future Orders'!$D60, "1", 'Future Orders'!$C60, "A", 'Future Orders'!$B60, "2")</f>
        <v>0</v>
      </c>
      <c r="O60" s="157">
        <f>SUMIFS('Future Orders'!$I60, 'Future Orders'!$D60, "1", 'Future Orders'!$C60, "A", 'Future Orders'!$B60, "2")</f>
        <v>0</v>
      </c>
      <c r="P60" s="157">
        <f>SUMIFS('Future Orders'!$E60, 'Future Orders'!$D60, "1", 'Future Orders'!$C60, "B", 'Future Orders'!$B60, "2")</f>
        <v>0</v>
      </c>
      <c r="Q60" s="157">
        <f>SUMIFS('Future Orders'!$I60, 'Future Orders'!$D60, "1", 'Future Orders'!$C60, "B", 'Future Orders'!$B60, "2")</f>
        <v>0</v>
      </c>
      <c r="R60" s="159">
        <f>SUMIFS('Future Orders'!$F60, 'Future Orders'!$D60, "2", 'Future Orders'!$C60, "A", 'Future Orders'!$B60, "1")</f>
        <v>0</v>
      </c>
      <c r="S60" s="157">
        <f>SUMIFS('Future Orders'!$I60, 'Future Orders'!$D60, "2", 'Future Orders'!$C60, "A", 'Future Orders'!$B60, "1")</f>
        <v>0</v>
      </c>
      <c r="T60" s="159">
        <f>SUMIFS('Future Orders'!$F60, 'Future Orders'!$D60, "2", 'Future Orders'!$C60, "B", 'Future Orders'!$B60, "1")</f>
        <v>0</v>
      </c>
      <c r="U60" s="157">
        <f>SUMIFS('Future Orders'!$I60, 'Future Orders'!$D60, "2", 'Future Orders'!$C60, "B", 'Future Orders'!$B60, "1")</f>
        <v>0</v>
      </c>
      <c r="V60" s="159">
        <f>SUMIFS('Future Orders'!$F60, 'Future Orders'!$D60, "2", 'Future Orders'!$C60, "A", 'Future Orders'!$B60, "2")</f>
        <v>0</v>
      </c>
      <c r="W60" s="157">
        <f>SUMIFS('Future Orders'!$I60, 'Future Orders'!$D60, "2", 'Future Orders'!$C60, "A", 'Future Orders'!$B60, "2")</f>
        <v>0</v>
      </c>
      <c r="X60" s="159">
        <f>SUMIFS('Future Orders'!$F60, 'Future Orders'!$D60, "2", 'Future Orders'!$C60, "B", 'Future Orders'!$B60, "2")</f>
        <v>0</v>
      </c>
      <c r="Y60" s="159">
        <f>SUMIFS('Future Orders'!$I60, 'Future Orders'!$D60, "2", 'Future Orders'!$C60, "B", 'Future Orders'!$B60, "2")</f>
        <v>0</v>
      </c>
      <c r="Z60" s="159">
        <f>SUMIFS('Future Orders'!$F60, 'Future Orders'!$D60, "3", 'Future Orders'!$C60, "A", 'Future Orders'!$B60, "1")</f>
        <v>0</v>
      </c>
      <c r="AA60" s="159">
        <f>SUMIFS('Future Orders'!$I60, 'Future Orders'!$D60, "3", 'Future Orders'!$C60, "A", 'Future Orders'!$B60, "1")</f>
        <v>0</v>
      </c>
      <c r="AB60" s="159">
        <f>SUMIFS('Future Orders'!$F60, 'Future Orders'!$D60, "3", 'Future Orders'!$C60, "B", 'Future Orders'!$B60, "1")</f>
        <v>2241.8</v>
      </c>
      <c r="AC60" s="159">
        <f>SUMIFS('Future Orders'!$I60, 'Future Orders'!$D60, "3", 'Future Orders'!$C60, "B", 'Future Orders'!$B60, "1")</f>
        <v>18606.94</v>
      </c>
      <c r="AD60" s="159">
        <f>SUMIFS('Future Orders'!$F60, 'Future Orders'!$D60, "3", 'Future Orders'!$C60, "A", 'Future Orders'!$B60, "2")</f>
        <v>0</v>
      </c>
      <c r="AE60" s="159">
        <f>SUMIFS('Future Orders'!$I60, 'Future Orders'!$D60, "3", 'Future Orders'!$C60, "A", 'Future Orders'!$B60, "2")</f>
        <v>0</v>
      </c>
      <c r="AF60" s="159">
        <f>SUMIFS('Future Orders'!$F60, 'Future Orders'!$D60, "3", 'Future Orders'!$C60, "B", 'Future Orders'!$B60, "2")</f>
        <v>0</v>
      </c>
      <c r="AG60" s="157">
        <f>SUMIFS('Future Orders'!$I60, 'Future Orders'!$D60, "3", 'Future Orders'!$C60, "B", 'Future Orders'!$B60, "2")</f>
        <v>0</v>
      </c>
      <c r="AH60" s="157">
        <f>SUMIFS('Future Orders'!$F60, 'Future Orders'!$D60, "4", 'Future Orders'!$C60, "A", 'Future Orders'!$B60, "1")</f>
        <v>0</v>
      </c>
      <c r="AI60" s="157">
        <f>SUMIFS('Future Orders'!$I60, 'Future Orders'!$D60, "4", 'Future Orders'!$C60, "A", 'Future Orders'!$B60, "1")</f>
        <v>0</v>
      </c>
      <c r="AJ60" s="157">
        <f>SUMIFS('Future Orders'!$F60, 'Future Orders'!$D60, "4", 'Future Orders'!$C60, "B", 'Future Orders'!$B60, "1")</f>
        <v>0</v>
      </c>
      <c r="AK60" s="157">
        <f>SUMIFS('Future Orders'!$I60, 'Future Orders'!$D60, "4", 'Future Orders'!$C60, "B", 'Future Orders'!$B60, "1")</f>
        <v>0</v>
      </c>
      <c r="AL60" s="157">
        <f>SUMIFS('Future Orders'!$F60, 'Future Orders'!$D60, "4", 'Future Orders'!$C60, "A", 'Future Orders'!$B60, "2")</f>
        <v>0</v>
      </c>
      <c r="AM60" s="157">
        <f>SUMIFS('Future Orders'!$I60, 'Future Orders'!$D60, "4", 'Future Orders'!$C60, "A", 'Future Orders'!$B60, "2")</f>
        <v>0</v>
      </c>
      <c r="AN60" s="171">
        <f>SUMIFS('Future Orders'!$F60, 'Future Orders'!$D60, "4", 'Future Orders'!$C60, "B", 'Future Orders'!$B60, "2")</f>
        <v>0</v>
      </c>
      <c r="AO60" s="171">
        <f>SUMIFS('Future Orders'!$I60, 'Future Orders'!$D60, "4", 'Future Orders'!$C60, "B", 'Future Orders'!$B60, "2")</f>
        <v>0</v>
      </c>
      <c r="AP60" s="171">
        <f>SUMIFS('Future Orders'!$H60, 'Future Orders'!$C60, "A", 'Future Orders'!$B60, "1")</f>
        <v>0</v>
      </c>
      <c r="AQ60" s="171">
        <f>SUMIFS('Future Orders'!$I60, 'Future Orders'!$C60, "B", 'Future Orders'!$B60, "1")</f>
        <v>18606.94</v>
      </c>
      <c r="AR60" s="171">
        <f>SUMIFS('Future Orders'!$H60, 'Future Orders'!$C60, "A", 'Future Orders'!$B60, "2")</f>
        <v>0</v>
      </c>
      <c r="AS60" s="171">
        <f>SUMIFS('Future Orders'!$I60, 'Future Orders'!$C60, "B", 'Future Orders'!$B60, "2")</f>
        <v>0</v>
      </c>
      <c r="AT60" s="145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2"/>
      <c r="BZ60" s="172"/>
      <c r="CA60" s="179"/>
      <c r="CB60" s="179"/>
      <c r="CC60" s="179"/>
      <c r="CD60" s="179"/>
      <c r="CE60" s="179"/>
      <c r="CF60" s="179"/>
      <c r="CG60" s="179"/>
      <c r="CH60" s="179"/>
      <c r="CI60" s="179"/>
      <c r="CJ60" s="179"/>
      <c r="CK60" s="179"/>
      <c r="CL60" s="179"/>
      <c r="CM60" s="179"/>
      <c r="CN60" s="179"/>
      <c r="CO60" s="179"/>
      <c r="CP60" s="179"/>
    </row>
    <row r="61" ht="15.75" customHeight="1">
      <c r="A61" s="151">
        <v>41918.0</v>
      </c>
      <c r="B61" s="152">
        <v>2.0</v>
      </c>
      <c r="C61" s="152" t="s">
        <v>46</v>
      </c>
      <c r="D61" s="152">
        <v>3.0</v>
      </c>
      <c r="E61" s="153">
        <v>2161.0</v>
      </c>
      <c r="F61" s="153">
        <f>SUM(('Future Orders'!$E61) * (1.1))</f>
        <v>2377.1</v>
      </c>
      <c r="G61" s="154">
        <v>8.3</v>
      </c>
      <c r="H61" s="155">
        <v>17936.300000000003</v>
      </c>
      <c r="I61" s="155">
        <f>SUM(('Future Orders'!$H61) * (1.1))</f>
        <v>19729.93</v>
      </c>
      <c r="J61" s="159">
        <f>SUMIFS('Future Orders'!$F61, 'Future Orders'!$D61, "1", 'Future Orders'!$C61, "A", 'Future Orders'!$B61, "1")</f>
        <v>0</v>
      </c>
      <c r="K61" s="157">
        <f>SUMIFS('Future Orders'!$I61, 'Future Orders'!$D61, "1", 'Future Orders'!$C61, "A", 'Future Orders'!$B61, "1")</f>
        <v>0</v>
      </c>
      <c r="L61" s="157">
        <f>SUMIFS('Future Orders'!$F61, 'Future Orders'!$D61, "1", 'Future Orders'!$C61, "B", 'Future Orders'!$B61, "1")</f>
        <v>0</v>
      </c>
      <c r="M61" s="157">
        <f>SUMIFS('Future Orders'!$I61, 'Future Orders'!$D61, "1", 'Future Orders'!$C61, "B", 'Future Orders'!$B61, "1")</f>
        <v>0</v>
      </c>
      <c r="N61" s="159">
        <f>SUMIFS('Future Orders'!$F61, 'Future Orders'!$D61, "1", 'Future Orders'!$C61, "A", 'Future Orders'!$B61, "2")</f>
        <v>0</v>
      </c>
      <c r="O61" s="157">
        <f>SUMIFS('Future Orders'!$I61, 'Future Orders'!$D61, "1", 'Future Orders'!$C61, "A", 'Future Orders'!$B61, "2")</f>
        <v>0</v>
      </c>
      <c r="P61" s="157">
        <f>SUMIFS('Future Orders'!$E61, 'Future Orders'!$D61, "1", 'Future Orders'!$C61, "B", 'Future Orders'!$B61, "2")</f>
        <v>0</v>
      </c>
      <c r="Q61" s="157">
        <f>SUMIFS('Future Orders'!$I61, 'Future Orders'!$D61, "1", 'Future Orders'!$C61, "B", 'Future Orders'!$B61, "2")</f>
        <v>0</v>
      </c>
      <c r="R61" s="159">
        <f>SUMIFS('Future Orders'!$F61, 'Future Orders'!$D61, "2", 'Future Orders'!$C61, "A", 'Future Orders'!$B61, "1")</f>
        <v>0</v>
      </c>
      <c r="S61" s="157">
        <f>SUMIFS('Future Orders'!$I61, 'Future Orders'!$D61, "2", 'Future Orders'!$C61, "A", 'Future Orders'!$B61, "1")</f>
        <v>0</v>
      </c>
      <c r="T61" s="159">
        <f>SUMIFS('Future Orders'!$F61, 'Future Orders'!$D61, "2", 'Future Orders'!$C61, "B", 'Future Orders'!$B61, "1")</f>
        <v>0</v>
      </c>
      <c r="U61" s="157">
        <f>SUMIFS('Future Orders'!$I61, 'Future Orders'!$D61, "2", 'Future Orders'!$C61, "B", 'Future Orders'!$B61, "1")</f>
        <v>0</v>
      </c>
      <c r="V61" s="159">
        <f>SUMIFS('Future Orders'!$F61, 'Future Orders'!$D61, "2", 'Future Orders'!$C61, "A", 'Future Orders'!$B61, "2")</f>
        <v>0</v>
      </c>
      <c r="W61" s="157">
        <f>SUMIFS('Future Orders'!$I61, 'Future Orders'!$D61, "2", 'Future Orders'!$C61, "A", 'Future Orders'!$B61, "2")</f>
        <v>0</v>
      </c>
      <c r="X61" s="159">
        <f>SUMIFS('Future Orders'!$F61, 'Future Orders'!$D61, "2", 'Future Orders'!$C61, "B", 'Future Orders'!$B61, "2")</f>
        <v>0</v>
      </c>
      <c r="Y61" s="159">
        <f>SUMIFS('Future Orders'!$I61, 'Future Orders'!$D61, "2", 'Future Orders'!$C61, "B", 'Future Orders'!$B61, "2")</f>
        <v>0</v>
      </c>
      <c r="Z61" s="159">
        <f>SUMIFS('Future Orders'!$F61, 'Future Orders'!$D61, "3", 'Future Orders'!$C61, "A", 'Future Orders'!$B61, "1")</f>
        <v>0</v>
      </c>
      <c r="AA61" s="159">
        <f>SUMIFS('Future Orders'!$I61, 'Future Orders'!$D61, "3", 'Future Orders'!$C61, "A", 'Future Orders'!$B61, "1")</f>
        <v>0</v>
      </c>
      <c r="AB61" s="159">
        <f>SUMIFS('Future Orders'!$F61, 'Future Orders'!$D61, "3", 'Future Orders'!$C61, "B", 'Future Orders'!$B61, "1")</f>
        <v>0</v>
      </c>
      <c r="AC61" s="159">
        <f>SUMIFS('Future Orders'!$I61, 'Future Orders'!$D61, "3", 'Future Orders'!$C61, "B", 'Future Orders'!$B61, "1")</f>
        <v>0</v>
      </c>
      <c r="AD61" s="159">
        <f>SUMIFS('Future Orders'!$F61, 'Future Orders'!$D61, "3", 'Future Orders'!$C61, "A", 'Future Orders'!$B61, "2")</f>
        <v>0</v>
      </c>
      <c r="AE61" s="159">
        <f>SUMIFS('Future Orders'!$I61, 'Future Orders'!$D61, "3", 'Future Orders'!$C61, "A", 'Future Orders'!$B61, "2")</f>
        <v>0</v>
      </c>
      <c r="AF61" s="159">
        <f>SUMIFS('Future Orders'!$F61, 'Future Orders'!$D61, "3", 'Future Orders'!$C61, "B", 'Future Orders'!$B61, "2")</f>
        <v>2377.1</v>
      </c>
      <c r="AG61" s="157">
        <f>SUMIFS('Future Orders'!$I61, 'Future Orders'!$D61, "3", 'Future Orders'!$C61, "B", 'Future Orders'!$B61, "2")</f>
        <v>19729.93</v>
      </c>
      <c r="AH61" s="157">
        <f>SUMIFS('Future Orders'!$F61, 'Future Orders'!$D61, "4", 'Future Orders'!$C61, "A", 'Future Orders'!$B61, "1")</f>
        <v>0</v>
      </c>
      <c r="AI61" s="157">
        <f>SUMIFS('Future Orders'!$I61, 'Future Orders'!$D61, "4", 'Future Orders'!$C61, "A", 'Future Orders'!$B61, "1")</f>
        <v>0</v>
      </c>
      <c r="AJ61" s="157">
        <f>SUMIFS('Future Orders'!$F61, 'Future Orders'!$D61, "4", 'Future Orders'!$C61, "B", 'Future Orders'!$B61, "1")</f>
        <v>0</v>
      </c>
      <c r="AK61" s="157">
        <f>SUMIFS('Future Orders'!$I61, 'Future Orders'!$D61, "4", 'Future Orders'!$C61, "B", 'Future Orders'!$B61, "1")</f>
        <v>0</v>
      </c>
      <c r="AL61" s="157">
        <f>SUMIFS('Future Orders'!$F61, 'Future Orders'!$D61, "4", 'Future Orders'!$C61, "A", 'Future Orders'!$B61, "2")</f>
        <v>0</v>
      </c>
      <c r="AM61" s="157">
        <f>SUMIFS('Future Orders'!$I61, 'Future Orders'!$D61, "4", 'Future Orders'!$C61, "A", 'Future Orders'!$B61, "2")</f>
        <v>0</v>
      </c>
      <c r="AN61" s="171">
        <f>SUMIFS('Future Orders'!$F61, 'Future Orders'!$D61, "4", 'Future Orders'!$C61, "B", 'Future Orders'!$B61, "2")</f>
        <v>0</v>
      </c>
      <c r="AO61" s="171">
        <f>SUMIFS('Future Orders'!$I61, 'Future Orders'!$D61, "4", 'Future Orders'!$C61, "B", 'Future Orders'!$B61, "2")</f>
        <v>0</v>
      </c>
      <c r="AP61" s="171">
        <f>SUMIFS('Future Orders'!$H61, 'Future Orders'!$C61, "A", 'Future Orders'!$B61, "1")</f>
        <v>0</v>
      </c>
      <c r="AQ61" s="171">
        <f>SUMIFS('Future Orders'!$I61, 'Future Orders'!$C61, "B", 'Future Orders'!$B61, "1")</f>
        <v>0</v>
      </c>
      <c r="AR61" s="171">
        <f>SUMIFS('Future Orders'!$H61, 'Future Orders'!$C61, "A", 'Future Orders'!$B61, "2")</f>
        <v>0</v>
      </c>
      <c r="AS61" s="171">
        <f>SUMIFS('Future Orders'!$I61, 'Future Orders'!$C61, "B", 'Future Orders'!$B61, "2")</f>
        <v>19729.93</v>
      </c>
      <c r="AT61" s="145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9"/>
      <c r="CB61" s="179"/>
      <c r="CC61" s="179"/>
      <c r="CD61" s="179"/>
      <c r="CE61" s="179"/>
      <c r="CF61" s="179"/>
      <c r="CG61" s="179"/>
      <c r="CH61" s="179"/>
      <c r="CI61" s="179"/>
      <c r="CJ61" s="179"/>
      <c r="CK61" s="179"/>
      <c r="CL61" s="179"/>
      <c r="CM61" s="179"/>
      <c r="CN61" s="179"/>
      <c r="CO61" s="179"/>
      <c r="CP61" s="179"/>
    </row>
    <row r="62" ht="15.75" customHeight="1">
      <c r="A62" s="151">
        <v>41925.0</v>
      </c>
      <c r="B62" s="152">
        <v>1.0</v>
      </c>
      <c r="C62" s="152" t="s">
        <v>45</v>
      </c>
      <c r="D62" s="152">
        <v>1.0</v>
      </c>
      <c r="E62" s="153">
        <v>3530.0</v>
      </c>
      <c r="F62" s="153">
        <f>SUM(('Future Orders'!$E62) * (1.1))</f>
        <v>3883</v>
      </c>
      <c r="G62" s="154">
        <v>2.2</v>
      </c>
      <c r="H62" s="155">
        <v>7766.000000000001</v>
      </c>
      <c r="I62" s="155">
        <f>SUM(('Future Orders'!$H62) * (1.1))</f>
        <v>8542.6</v>
      </c>
      <c r="J62" s="159">
        <f>SUMIFS('Future Orders'!$F62, 'Future Orders'!$D62, "1", 'Future Orders'!$C62, "A", 'Future Orders'!$B62, "1")</f>
        <v>3883</v>
      </c>
      <c r="K62" s="157">
        <f>SUMIFS('Future Orders'!$I62, 'Future Orders'!$D62, "1", 'Future Orders'!$C62, "A", 'Future Orders'!$B62, "1")</f>
        <v>8542.6</v>
      </c>
      <c r="L62" s="157">
        <f>SUMIFS('Future Orders'!$F62, 'Future Orders'!$D62, "1", 'Future Orders'!$C62, "B", 'Future Orders'!$B62, "1")</f>
        <v>0</v>
      </c>
      <c r="M62" s="157">
        <f>SUMIFS('Future Orders'!$I62, 'Future Orders'!$D62, "1", 'Future Orders'!$C62, "B", 'Future Orders'!$B62, "1")</f>
        <v>0</v>
      </c>
      <c r="N62" s="159">
        <f>SUMIFS('Future Orders'!$F62, 'Future Orders'!$D62, "1", 'Future Orders'!$C62, "A", 'Future Orders'!$B62, "2")</f>
        <v>0</v>
      </c>
      <c r="O62" s="157">
        <f>SUMIFS('Future Orders'!$I62, 'Future Orders'!$D62, "1", 'Future Orders'!$C62, "A", 'Future Orders'!$B62, "2")</f>
        <v>0</v>
      </c>
      <c r="P62" s="157">
        <f>SUMIFS('Future Orders'!$E62, 'Future Orders'!$D62, "1", 'Future Orders'!$C62, "B", 'Future Orders'!$B62, "2")</f>
        <v>0</v>
      </c>
      <c r="Q62" s="157">
        <f>SUMIFS('Future Orders'!$I62, 'Future Orders'!$D62, "1", 'Future Orders'!$C62, "B", 'Future Orders'!$B62, "2")</f>
        <v>0</v>
      </c>
      <c r="R62" s="159">
        <f>SUMIFS('Future Orders'!$F62, 'Future Orders'!$D62, "2", 'Future Orders'!$C62, "A", 'Future Orders'!$B62, "1")</f>
        <v>0</v>
      </c>
      <c r="S62" s="157">
        <f>SUMIFS('Future Orders'!$I62, 'Future Orders'!$D62, "2", 'Future Orders'!$C62, "A", 'Future Orders'!$B62, "1")</f>
        <v>0</v>
      </c>
      <c r="T62" s="159">
        <f>SUMIFS('Future Orders'!$F62, 'Future Orders'!$D62, "2", 'Future Orders'!$C62, "B", 'Future Orders'!$B62, "1")</f>
        <v>0</v>
      </c>
      <c r="U62" s="157">
        <f>SUMIFS('Future Orders'!$I62, 'Future Orders'!$D62, "2", 'Future Orders'!$C62, "B", 'Future Orders'!$B62, "1")</f>
        <v>0</v>
      </c>
      <c r="V62" s="159">
        <f>SUMIFS('Future Orders'!$F62, 'Future Orders'!$D62, "2", 'Future Orders'!$C62, "A", 'Future Orders'!$B62, "2")</f>
        <v>0</v>
      </c>
      <c r="W62" s="157">
        <f>SUMIFS('Future Orders'!$I62, 'Future Orders'!$D62, "2", 'Future Orders'!$C62, "A", 'Future Orders'!$B62, "2")</f>
        <v>0</v>
      </c>
      <c r="X62" s="159">
        <f>SUMIFS('Future Orders'!$F62, 'Future Orders'!$D62, "2", 'Future Orders'!$C62, "B", 'Future Orders'!$B62, "2")</f>
        <v>0</v>
      </c>
      <c r="Y62" s="159">
        <f>SUMIFS('Future Orders'!$I62, 'Future Orders'!$D62, "2", 'Future Orders'!$C62, "B", 'Future Orders'!$B62, "2")</f>
        <v>0</v>
      </c>
      <c r="Z62" s="159">
        <f>SUMIFS('Future Orders'!$F62, 'Future Orders'!$D62, "3", 'Future Orders'!$C62, "A", 'Future Orders'!$B62, "1")</f>
        <v>0</v>
      </c>
      <c r="AA62" s="159">
        <f>SUMIFS('Future Orders'!$I62, 'Future Orders'!$D62, "3", 'Future Orders'!$C62, "A", 'Future Orders'!$B62, "1")</f>
        <v>0</v>
      </c>
      <c r="AB62" s="159">
        <f>SUMIFS('Future Orders'!$F62, 'Future Orders'!$D62, "3", 'Future Orders'!$C62, "B", 'Future Orders'!$B62, "1")</f>
        <v>0</v>
      </c>
      <c r="AC62" s="159">
        <f>SUMIFS('Future Orders'!$I62, 'Future Orders'!$D62, "3", 'Future Orders'!$C62, "B", 'Future Orders'!$B62, "1")</f>
        <v>0</v>
      </c>
      <c r="AD62" s="159">
        <f>SUMIFS('Future Orders'!$F62, 'Future Orders'!$D62, "3", 'Future Orders'!$C62, "A", 'Future Orders'!$B62, "2")</f>
        <v>0</v>
      </c>
      <c r="AE62" s="159">
        <f>SUMIFS('Future Orders'!$I62, 'Future Orders'!$D62, "3", 'Future Orders'!$C62, "A", 'Future Orders'!$B62, "2")</f>
        <v>0</v>
      </c>
      <c r="AF62" s="159">
        <f>SUMIFS('Future Orders'!$F62, 'Future Orders'!$D62, "3", 'Future Orders'!$C62, "B", 'Future Orders'!$B62, "2")</f>
        <v>0</v>
      </c>
      <c r="AG62" s="157">
        <f>SUMIFS('Future Orders'!$I62, 'Future Orders'!$D62, "3", 'Future Orders'!$C62, "B", 'Future Orders'!$B62, "2")</f>
        <v>0</v>
      </c>
      <c r="AH62" s="157">
        <f>SUMIFS('Future Orders'!$F62, 'Future Orders'!$D62, "4", 'Future Orders'!$C62, "A", 'Future Orders'!$B62, "1")</f>
        <v>0</v>
      </c>
      <c r="AI62" s="157">
        <f>SUMIFS('Future Orders'!$I62, 'Future Orders'!$D62, "4", 'Future Orders'!$C62, "A", 'Future Orders'!$B62, "1")</f>
        <v>0</v>
      </c>
      <c r="AJ62" s="157">
        <f>SUMIFS('Future Orders'!$F62, 'Future Orders'!$D62, "4", 'Future Orders'!$C62, "B", 'Future Orders'!$B62, "1")</f>
        <v>0</v>
      </c>
      <c r="AK62" s="157">
        <f>SUMIFS('Future Orders'!$I62, 'Future Orders'!$D62, "4", 'Future Orders'!$C62, "B", 'Future Orders'!$B62, "1")</f>
        <v>0</v>
      </c>
      <c r="AL62" s="157">
        <f>SUMIFS('Future Orders'!$F62, 'Future Orders'!$D62, "4", 'Future Orders'!$C62, "A", 'Future Orders'!$B62, "2")</f>
        <v>0</v>
      </c>
      <c r="AM62" s="157">
        <f>SUMIFS('Future Orders'!$I62, 'Future Orders'!$D62, "4", 'Future Orders'!$C62, "A", 'Future Orders'!$B62, "2")</f>
        <v>0</v>
      </c>
      <c r="AN62" s="171">
        <f>SUMIFS('Future Orders'!$F62, 'Future Orders'!$D62, "4", 'Future Orders'!$C62, "B", 'Future Orders'!$B62, "2")</f>
        <v>0</v>
      </c>
      <c r="AO62" s="171">
        <f>SUMIFS('Future Orders'!$I62, 'Future Orders'!$D62, "4", 'Future Orders'!$C62, "B", 'Future Orders'!$B62, "2")</f>
        <v>0</v>
      </c>
      <c r="AP62" s="171">
        <f>SUMIFS('Future Orders'!$H62, 'Future Orders'!$C62, "A", 'Future Orders'!$B62, "1")</f>
        <v>7766</v>
      </c>
      <c r="AQ62" s="171">
        <f>SUMIFS('Future Orders'!$I62, 'Future Orders'!$C62, "B", 'Future Orders'!$B62, "1")</f>
        <v>0</v>
      </c>
      <c r="AR62" s="171">
        <f>SUMIFS('Future Orders'!$H62, 'Future Orders'!$C62, "A", 'Future Orders'!$B62, "2")</f>
        <v>0</v>
      </c>
      <c r="AS62" s="171">
        <f>SUMIFS('Future Orders'!$I62, 'Future Orders'!$C62, "B", 'Future Orders'!$B62, "2")</f>
        <v>0</v>
      </c>
      <c r="AT62" s="145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9"/>
      <c r="CB62" s="179"/>
      <c r="CC62" s="179"/>
      <c r="CD62" s="179"/>
      <c r="CE62" s="179"/>
      <c r="CF62" s="179"/>
      <c r="CG62" s="179"/>
      <c r="CH62" s="179"/>
      <c r="CI62" s="179"/>
      <c r="CJ62" s="179"/>
      <c r="CK62" s="179"/>
      <c r="CL62" s="179"/>
      <c r="CM62" s="179"/>
      <c r="CN62" s="179"/>
      <c r="CO62" s="179"/>
      <c r="CP62" s="179"/>
    </row>
    <row r="63" ht="15.75" customHeight="1">
      <c r="A63" s="151">
        <v>41925.0</v>
      </c>
      <c r="B63" s="152">
        <v>1.0</v>
      </c>
      <c r="C63" s="152" t="s">
        <v>45</v>
      </c>
      <c r="D63" s="152">
        <v>2.0</v>
      </c>
      <c r="E63" s="153">
        <v>4968.0</v>
      </c>
      <c r="F63" s="153">
        <f>SUM(('Future Orders'!$E63) * (1.1))</f>
        <v>5464.8</v>
      </c>
      <c r="G63" s="154">
        <v>1.2</v>
      </c>
      <c r="H63" s="155">
        <v>5961.599999999999</v>
      </c>
      <c r="I63" s="155">
        <f>SUM(('Future Orders'!$H63) * (1.1))</f>
        <v>6557.76</v>
      </c>
      <c r="J63" s="159">
        <f>SUMIFS('Future Orders'!$F63, 'Future Orders'!$D63, "1", 'Future Orders'!$C63, "A", 'Future Orders'!$B63, "1")</f>
        <v>0</v>
      </c>
      <c r="K63" s="157">
        <f>SUMIFS('Future Orders'!$I63, 'Future Orders'!$D63, "1", 'Future Orders'!$C63, "A", 'Future Orders'!$B63, "1")</f>
        <v>0</v>
      </c>
      <c r="L63" s="157">
        <f>SUMIFS('Future Orders'!$F63, 'Future Orders'!$D63, "1", 'Future Orders'!$C63, "B", 'Future Orders'!$B63, "1")</f>
        <v>0</v>
      </c>
      <c r="M63" s="157">
        <f>SUMIFS('Future Orders'!$I63, 'Future Orders'!$D63, "1", 'Future Orders'!$C63, "B", 'Future Orders'!$B63, "1")</f>
        <v>0</v>
      </c>
      <c r="N63" s="159">
        <f>SUMIFS('Future Orders'!$F63, 'Future Orders'!$D63, "1", 'Future Orders'!$C63, "A", 'Future Orders'!$B63, "2")</f>
        <v>0</v>
      </c>
      <c r="O63" s="157">
        <f>SUMIFS('Future Orders'!$I63, 'Future Orders'!$D63, "1", 'Future Orders'!$C63, "A", 'Future Orders'!$B63, "2")</f>
        <v>0</v>
      </c>
      <c r="P63" s="157">
        <f>SUMIFS('Future Orders'!$E63, 'Future Orders'!$D63, "1", 'Future Orders'!$C63, "B", 'Future Orders'!$B63, "2")</f>
        <v>0</v>
      </c>
      <c r="Q63" s="157">
        <f>SUMIFS('Future Orders'!$I63, 'Future Orders'!$D63, "1", 'Future Orders'!$C63, "B", 'Future Orders'!$B63, "2")</f>
        <v>0</v>
      </c>
      <c r="R63" s="159">
        <f>SUMIFS('Future Orders'!$F63, 'Future Orders'!$D63, "2", 'Future Orders'!$C63, "A", 'Future Orders'!$B63, "1")</f>
        <v>5464.8</v>
      </c>
      <c r="S63" s="157">
        <f>SUMIFS('Future Orders'!$I63, 'Future Orders'!$D63, "2", 'Future Orders'!$C63, "A", 'Future Orders'!$B63, "1")</f>
        <v>6557.76</v>
      </c>
      <c r="T63" s="159">
        <f>SUMIFS('Future Orders'!$F63, 'Future Orders'!$D63, "2", 'Future Orders'!$C63, "B", 'Future Orders'!$B63, "1")</f>
        <v>0</v>
      </c>
      <c r="U63" s="157">
        <f>SUMIFS('Future Orders'!$I63, 'Future Orders'!$D63, "2", 'Future Orders'!$C63, "B", 'Future Orders'!$B63, "1")</f>
        <v>0</v>
      </c>
      <c r="V63" s="159">
        <f>SUMIFS('Future Orders'!$F63, 'Future Orders'!$D63, "2", 'Future Orders'!$C63, "A", 'Future Orders'!$B63, "2")</f>
        <v>0</v>
      </c>
      <c r="W63" s="157">
        <f>SUMIFS('Future Orders'!$I63, 'Future Orders'!$D63, "2", 'Future Orders'!$C63, "A", 'Future Orders'!$B63, "2")</f>
        <v>0</v>
      </c>
      <c r="X63" s="159">
        <f>SUMIFS('Future Orders'!$F63, 'Future Orders'!$D63, "2", 'Future Orders'!$C63, "B", 'Future Orders'!$B63, "2")</f>
        <v>0</v>
      </c>
      <c r="Y63" s="159">
        <f>SUMIFS('Future Orders'!$I63, 'Future Orders'!$D63, "2", 'Future Orders'!$C63, "B", 'Future Orders'!$B63, "2")</f>
        <v>0</v>
      </c>
      <c r="Z63" s="159">
        <f>SUMIFS('Future Orders'!$F63, 'Future Orders'!$D63, "3", 'Future Orders'!$C63, "A", 'Future Orders'!$B63, "1")</f>
        <v>0</v>
      </c>
      <c r="AA63" s="159">
        <f>SUMIFS('Future Orders'!$I63, 'Future Orders'!$D63, "3", 'Future Orders'!$C63, "A", 'Future Orders'!$B63, "1")</f>
        <v>0</v>
      </c>
      <c r="AB63" s="159">
        <f>SUMIFS('Future Orders'!$F63, 'Future Orders'!$D63, "3", 'Future Orders'!$C63, "B", 'Future Orders'!$B63, "1")</f>
        <v>0</v>
      </c>
      <c r="AC63" s="159">
        <f>SUMIFS('Future Orders'!$I63, 'Future Orders'!$D63, "3", 'Future Orders'!$C63, "B", 'Future Orders'!$B63, "1")</f>
        <v>0</v>
      </c>
      <c r="AD63" s="159">
        <f>SUMIFS('Future Orders'!$F63, 'Future Orders'!$D63, "3", 'Future Orders'!$C63, "A", 'Future Orders'!$B63, "2")</f>
        <v>0</v>
      </c>
      <c r="AE63" s="159">
        <f>SUMIFS('Future Orders'!$I63, 'Future Orders'!$D63, "3", 'Future Orders'!$C63, "A", 'Future Orders'!$B63, "2")</f>
        <v>0</v>
      </c>
      <c r="AF63" s="159">
        <f>SUMIFS('Future Orders'!$F63, 'Future Orders'!$D63, "3", 'Future Orders'!$C63, "B", 'Future Orders'!$B63, "2")</f>
        <v>0</v>
      </c>
      <c r="AG63" s="157">
        <f>SUMIFS('Future Orders'!$I63, 'Future Orders'!$D63, "3", 'Future Orders'!$C63, "B", 'Future Orders'!$B63, "2")</f>
        <v>0</v>
      </c>
      <c r="AH63" s="157">
        <f>SUMIFS('Future Orders'!$F63, 'Future Orders'!$D63, "4", 'Future Orders'!$C63, "A", 'Future Orders'!$B63, "1")</f>
        <v>0</v>
      </c>
      <c r="AI63" s="157">
        <f>SUMIFS('Future Orders'!$I63, 'Future Orders'!$D63, "4", 'Future Orders'!$C63, "A", 'Future Orders'!$B63, "1")</f>
        <v>0</v>
      </c>
      <c r="AJ63" s="157">
        <f>SUMIFS('Future Orders'!$F63, 'Future Orders'!$D63, "4", 'Future Orders'!$C63, "B", 'Future Orders'!$B63, "1")</f>
        <v>0</v>
      </c>
      <c r="AK63" s="157">
        <f>SUMIFS('Future Orders'!$I63, 'Future Orders'!$D63, "4", 'Future Orders'!$C63, "B", 'Future Orders'!$B63, "1")</f>
        <v>0</v>
      </c>
      <c r="AL63" s="157">
        <f>SUMIFS('Future Orders'!$F63, 'Future Orders'!$D63, "4", 'Future Orders'!$C63, "A", 'Future Orders'!$B63, "2")</f>
        <v>0</v>
      </c>
      <c r="AM63" s="157">
        <f>SUMIFS('Future Orders'!$I63, 'Future Orders'!$D63, "4", 'Future Orders'!$C63, "A", 'Future Orders'!$B63, "2")</f>
        <v>0</v>
      </c>
      <c r="AN63" s="171">
        <f>SUMIFS('Future Orders'!$F63, 'Future Orders'!$D63, "4", 'Future Orders'!$C63, "B", 'Future Orders'!$B63, "2")</f>
        <v>0</v>
      </c>
      <c r="AO63" s="171">
        <f>SUMIFS('Future Orders'!$I63, 'Future Orders'!$D63, "4", 'Future Orders'!$C63, "B", 'Future Orders'!$B63, "2")</f>
        <v>0</v>
      </c>
      <c r="AP63" s="171">
        <f>SUMIFS('Future Orders'!$H63, 'Future Orders'!$C63, "A", 'Future Orders'!$B63, "1")</f>
        <v>5961.6</v>
      </c>
      <c r="AQ63" s="171">
        <f>SUMIFS('Future Orders'!$I63, 'Future Orders'!$C63, "B", 'Future Orders'!$B63, "1")</f>
        <v>0</v>
      </c>
      <c r="AR63" s="171">
        <f>SUMIFS('Future Orders'!$H63, 'Future Orders'!$C63, "A", 'Future Orders'!$B63, "2")</f>
        <v>0</v>
      </c>
      <c r="AS63" s="171">
        <f>SUMIFS('Future Orders'!$I63, 'Future Orders'!$C63, "B", 'Future Orders'!$B63, "2")</f>
        <v>0</v>
      </c>
      <c r="AT63" s="145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2"/>
      <c r="BZ63" s="172"/>
      <c r="CA63" s="179"/>
      <c r="CB63" s="179"/>
      <c r="CC63" s="179"/>
      <c r="CD63" s="179"/>
      <c r="CE63" s="179"/>
      <c r="CF63" s="179"/>
      <c r="CG63" s="179"/>
      <c r="CH63" s="179"/>
      <c r="CI63" s="179"/>
      <c r="CJ63" s="179"/>
      <c r="CK63" s="179"/>
      <c r="CL63" s="179"/>
      <c r="CM63" s="179"/>
      <c r="CN63" s="179"/>
      <c r="CO63" s="179"/>
      <c r="CP63" s="179"/>
    </row>
    <row r="64" ht="15.75" customHeight="1">
      <c r="A64" s="151">
        <v>41925.0</v>
      </c>
      <c r="B64" s="152">
        <v>2.0</v>
      </c>
      <c r="C64" s="152" t="s">
        <v>45</v>
      </c>
      <c r="D64" s="152">
        <v>1.0</v>
      </c>
      <c r="E64" s="153">
        <v>2868.0</v>
      </c>
      <c r="F64" s="153">
        <f>SUM(('Future Orders'!$E64) * (1.1))</f>
        <v>3154.8</v>
      </c>
      <c r="G64" s="154">
        <v>2.2</v>
      </c>
      <c r="H64" s="155">
        <v>6309.6</v>
      </c>
      <c r="I64" s="155">
        <f>SUM(('Future Orders'!$H64) * (1.1))</f>
        <v>6940.56</v>
      </c>
      <c r="J64" s="159">
        <f>SUMIFS('Future Orders'!$F64, 'Future Orders'!$D64, "1", 'Future Orders'!$C64, "A", 'Future Orders'!$B64, "1")</f>
        <v>0</v>
      </c>
      <c r="K64" s="157">
        <f>SUMIFS('Future Orders'!$I64, 'Future Orders'!$D64, "1", 'Future Orders'!$C64, "A", 'Future Orders'!$B64, "1")</f>
        <v>0</v>
      </c>
      <c r="L64" s="157">
        <f>SUMIFS('Future Orders'!$F64, 'Future Orders'!$D64, "1", 'Future Orders'!$C64, "B", 'Future Orders'!$B64, "1")</f>
        <v>0</v>
      </c>
      <c r="M64" s="157">
        <f>SUMIFS('Future Orders'!$I64, 'Future Orders'!$D64, "1", 'Future Orders'!$C64, "B", 'Future Orders'!$B64, "1")</f>
        <v>0</v>
      </c>
      <c r="N64" s="159">
        <f>SUMIFS('Future Orders'!$F64, 'Future Orders'!$D64, "1", 'Future Orders'!$C64, "A", 'Future Orders'!$B64, "2")</f>
        <v>3154.8</v>
      </c>
      <c r="O64" s="157">
        <f>SUMIFS('Future Orders'!$I64, 'Future Orders'!$D64, "1", 'Future Orders'!$C64, "A", 'Future Orders'!$B64, "2")</f>
        <v>6940.56</v>
      </c>
      <c r="P64" s="157">
        <f>SUMIFS('Future Orders'!$E64, 'Future Orders'!$D64, "1", 'Future Orders'!$C64, "B", 'Future Orders'!$B64, "2")</f>
        <v>0</v>
      </c>
      <c r="Q64" s="157">
        <f>SUMIFS('Future Orders'!$I64, 'Future Orders'!$D64, "1", 'Future Orders'!$C64, "B", 'Future Orders'!$B64, "2")</f>
        <v>0</v>
      </c>
      <c r="R64" s="159">
        <f>SUMIFS('Future Orders'!$F64, 'Future Orders'!$D64, "2", 'Future Orders'!$C64, "A", 'Future Orders'!$B64, "1")</f>
        <v>0</v>
      </c>
      <c r="S64" s="157">
        <f>SUMIFS('Future Orders'!$I64, 'Future Orders'!$D64, "2", 'Future Orders'!$C64, "A", 'Future Orders'!$B64, "1")</f>
        <v>0</v>
      </c>
      <c r="T64" s="159">
        <f>SUMIFS('Future Orders'!$F64, 'Future Orders'!$D64, "2", 'Future Orders'!$C64, "B", 'Future Orders'!$B64, "1")</f>
        <v>0</v>
      </c>
      <c r="U64" s="157">
        <f>SUMIFS('Future Orders'!$I64, 'Future Orders'!$D64, "2", 'Future Orders'!$C64, "B", 'Future Orders'!$B64, "1")</f>
        <v>0</v>
      </c>
      <c r="V64" s="159">
        <f>SUMIFS('Future Orders'!$F64, 'Future Orders'!$D64, "2", 'Future Orders'!$C64, "A", 'Future Orders'!$B64, "2")</f>
        <v>0</v>
      </c>
      <c r="W64" s="157">
        <f>SUMIFS('Future Orders'!$I64, 'Future Orders'!$D64, "2", 'Future Orders'!$C64, "A", 'Future Orders'!$B64, "2")</f>
        <v>0</v>
      </c>
      <c r="X64" s="159">
        <f>SUMIFS('Future Orders'!$F64, 'Future Orders'!$D64, "2", 'Future Orders'!$C64, "B", 'Future Orders'!$B64, "2")</f>
        <v>0</v>
      </c>
      <c r="Y64" s="159">
        <f>SUMIFS('Future Orders'!$I64, 'Future Orders'!$D64, "2", 'Future Orders'!$C64, "B", 'Future Orders'!$B64, "2")</f>
        <v>0</v>
      </c>
      <c r="Z64" s="159">
        <f>SUMIFS('Future Orders'!$F64, 'Future Orders'!$D64, "3", 'Future Orders'!$C64, "A", 'Future Orders'!$B64, "1")</f>
        <v>0</v>
      </c>
      <c r="AA64" s="159">
        <f>SUMIFS('Future Orders'!$I64, 'Future Orders'!$D64, "3", 'Future Orders'!$C64, "A", 'Future Orders'!$B64, "1")</f>
        <v>0</v>
      </c>
      <c r="AB64" s="159">
        <f>SUMIFS('Future Orders'!$F64, 'Future Orders'!$D64, "3", 'Future Orders'!$C64, "B", 'Future Orders'!$B64, "1")</f>
        <v>0</v>
      </c>
      <c r="AC64" s="159">
        <f>SUMIFS('Future Orders'!$I64, 'Future Orders'!$D64, "3", 'Future Orders'!$C64, "B", 'Future Orders'!$B64, "1")</f>
        <v>0</v>
      </c>
      <c r="AD64" s="159">
        <f>SUMIFS('Future Orders'!$F64, 'Future Orders'!$D64, "3", 'Future Orders'!$C64, "A", 'Future Orders'!$B64, "2")</f>
        <v>0</v>
      </c>
      <c r="AE64" s="159">
        <f>SUMIFS('Future Orders'!$I64, 'Future Orders'!$D64, "3", 'Future Orders'!$C64, "A", 'Future Orders'!$B64, "2")</f>
        <v>0</v>
      </c>
      <c r="AF64" s="159">
        <f>SUMIFS('Future Orders'!$F64, 'Future Orders'!$D64, "3", 'Future Orders'!$C64, "B", 'Future Orders'!$B64, "2")</f>
        <v>0</v>
      </c>
      <c r="AG64" s="157">
        <f>SUMIFS('Future Orders'!$I64, 'Future Orders'!$D64, "3", 'Future Orders'!$C64, "B", 'Future Orders'!$B64, "2")</f>
        <v>0</v>
      </c>
      <c r="AH64" s="157">
        <f>SUMIFS('Future Orders'!$F64, 'Future Orders'!$D64, "4", 'Future Orders'!$C64, "A", 'Future Orders'!$B64, "1")</f>
        <v>0</v>
      </c>
      <c r="AI64" s="157">
        <f>SUMIFS('Future Orders'!$I64, 'Future Orders'!$D64, "4", 'Future Orders'!$C64, "A", 'Future Orders'!$B64, "1")</f>
        <v>0</v>
      </c>
      <c r="AJ64" s="157">
        <f>SUMIFS('Future Orders'!$F64, 'Future Orders'!$D64, "4", 'Future Orders'!$C64, "B", 'Future Orders'!$B64, "1")</f>
        <v>0</v>
      </c>
      <c r="AK64" s="157">
        <f>SUMIFS('Future Orders'!$I64, 'Future Orders'!$D64, "4", 'Future Orders'!$C64, "B", 'Future Orders'!$B64, "1")</f>
        <v>0</v>
      </c>
      <c r="AL64" s="157">
        <f>SUMIFS('Future Orders'!$F64, 'Future Orders'!$D64, "4", 'Future Orders'!$C64, "A", 'Future Orders'!$B64, "2")</f>
        <v>0</v>
      </c>
      <c r="AM64" s="157">
        <f>SUMIFS('Future Orders'!$I64, 'Future Orders'!$D64, "4", 'Future Orders'!$C64, "A", 'Future Orders'!$B64, "2")</f>
        <v>0</v>
      </c>
      <c r="AN64" s="171">
        <f>SUMIFS('Future Orders'!$F64, 'Future Orders'!$D64, "4", 'Future Orders'!$C64, "B", 'Future Orders'!$B64, "2")</f>
        <v>0</v>
      </c>
      <c r="AO64" s="171">
        <f>SUMIFS('Future Orders'!$I64, 'Future Orders'!$D64, "4", 'Future Orders'!$C64, "B", 'Future Orders'!$B64, "2")</f>
        <v>0</v>
      </c>
      <c r="AP64" s="171">
        <f>SUMIFS('Future Orders'!$H64, 'Future Orders'!$C64, "A", 'Future Orders'!$B64, "1")</f>
        <v>0</v>
      </c>
      <c r="AQ64" s="171">
        <f>SUMIFS('Future Orders'!$I64, 'Future Orders'!$C64, "B", 'Future Orders'!$B64, "1")</f>
        <v>0</v>
      </c>
      <c r="AR64" s="171">
        <f>SUMIFS('Future Orders'!$H64, 'Future Orders'!$C64, "A", 'Future Orders'!$B64, "2")</f>
        <v>6309.6</v>
      </c>
      <c r="AS64" s="171">
        <f>SUMIFS('Future Orders'!$I64, 'Future Orders'!$C64, "B", 'Future Orders'!$B64, "2")</f>
        <v>0</v>
      </c>
      <c r="AT64" s="145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2"/>
      <c r="BZ64" s="172"/>
      <c r="CA64" s="179"/>
      <c r="CB64" s="179"/>
      <c r="CC64" s="179"/>
      <c r="CD64" s="179"/>
      <c r="CE64" s="179"/>
      <c r="CF64" s="179"/>
      <c r="CG64" s="179"/>
      <c r="CH64" s="179"/>
      <c r="CI64" s="179"/>
      <c r="CJ64" s="179"/>
      <c r="CK64" s="179"/>
      <c r="CL64" s="179"/>
      <c r="CM64" s="179"/>
      <c r="CN64" s="179"/>
      <c r="CO64" s="179"/>
      <c r="CP64" s="179"/>
    </row>
    <row r="65" ht="15.75" customHeight="1">
      <c r="A65" s="151">
        <v>41925.0</v>
      </c>
      <c r="B65" s="152">
        <v>2.0</v>
      </c>
      <c r="C65" s="152" t="s">
        <v>45</v>
      </c>
      <c r="D65" s="152">
        <v>2.0</v>
      </c>
      <c r="E65" s="153">
        <v>4414.0</v>
      </c>
      <c r="F65" s="153">
        <f>SUM(('Future Orders'!$E65) * (1.1))</f>
        <v>4855.4</v>
      </c>
      <c r="G65" s="154">
        <v>1.2</v>
      </c>
      <c r="H65" s="155">
        <v>5296.8</v>
      </c>
      <c r="I65" s="155">
        <f>SUM(('Future Orders'!$H65) * (1.1))</f>
        <v>5826.48</v>
      </c>
      <c r="J65" s="159">
        <f>SUMIFS('Future Orders'!$F65, 'Future Orders'!$D65, "1", 'Future Orders'!$C65, "A", 'Future Orders'!$B65, "1")</f>
        <v>0</v>
      </c>
      <c r="K65" s="157">
        <f>SUMIFS('Future Orders'!$I65, 'Future Orders'!$D65, "1", 'Future Orders'!$C65, "A", 'Future Orders'!$B65, "1")</f>
        <v>0</v>
      </c>
      <c r="L65" s="157">
        <f>SUMIFS('Future Orders'!$F65, 'Future Orders'!$D65, "1", 'Future Orders'!$C65, "B", 'Future Orders'!$B65, "1")</f>
        <v>0</v>
      </c>
      <c r="M65" s="157">
        <f>SUMIFS('Future Orders'!$I65, 'Future Orders'!$D65, "1", 'Future Orders'!$C65, "B", 'Future Orders'!$B65, "1")</f>
        <v>0</v>
      </c>
      <c r="N65" s="159">
        <f>SUMIFS('Future Orders'!$F65, 'Future Orders'!$D65, "1", 'Future Orders'!$C65, "A", 'Future Orders'!$B65, "2")</f>
        <v>0</v>
      </c>
      <c r="O65" s="157">
        <f>SUMIFS('Future Orders'!$I65, 'Future Orders'!$D65, "1", 'Future Orders'!$C65, "A", 'Future Orders'!$B65, "2")</f>
        <v>0</v>
      </c>
      <c r="P65" s="157">
        <f>SUMIFS('Future Orders'!$E65, 'Future Orders'!$D65, "1", 'Future Orders'!$C65, "B", 'Future Orders'!$B65, "2")</f>
        <v>0</v>
      </c>
      <c r="Q65" s="157">
        <f>SUMIFS('Future Orders'!$I65, 'Future Orders'!$D65, "1", 'Future Orders'!$C65, "B", 'Future Orders'!$B65, "2")</f>
        <v>0</v>
      </c>
      <c r="R65" s="159">
        <f>SUMIFS('Future Orders'!$F65, 'Future Orders'!$D65, "2", 'Future Orders'!$C65, "A", 'Future Orders'!$B65, "1")</f>
        <v>0</v>
      </c>
      <c r="S65" s="157">
        <f>SUMIFS('Future Orders'!$I65, 'Future Orders'!$D65, "2", 'Future Orders'!$C65, "A", 'Future Orders'!$B65, "1")</f>
        <v>0</v>
      </c>
      <c r="T65" s="159">
        <f>SUMIFS('Future Orders'!$F65, 'Future Orders'!$D65, "2", 'Future Orders'!$C65, "B", 'Future Orders'!$B65, "1")</f>
        <v>0</v>
      </c>
      <c r="U65" s="157">
        <f>SUMIFS('Future Orders'!$I65, 'Future Orders'!$D65, "2", 'Future Orders'!$C65, "B", 'Future Orders'!$B65, "1")</f>
        <v>0</v>
      </c>
      <c r="V65" s="159">
        <f>SUMIFS('Future Orders'!$F65, 'Future Orders'!$D65, "2", 'Future Orders'!$C65, "A", 'Future Orders'!$B65, "2")</f>
        <v>4855.4</v>
      </c>
      <c r="W65" s="157">
        <f>SUMIFS('Future Orders'!$I65, 'Future Orders'!$D65, "2", 'Future Orders'!$C65, "A", 'Future Orders'!$B65, "2")</f>
        <v>5826.48</v>
      </c>
      <c r="X65" s="159">
        <f>SUMIFS('Future Orders'!$F65, 'Future Orders'!$D65, "2", 'Future Orders'!$C65, "B", 'Future Orders'!$B65, "2")</f>
        <v>0</v>
      </c>
      <c r="Y65" s="159">
        <f>SUMIFS('Future Orders'!$I65, 'Future Orders'!$D65, "2", 'Future Orders'!$C65, "B", 'Future Orders'!$B65, "2")</f>
        <v>0</v>
      </c>
      <c r="Z65" s="159">
        <f>SUMIFS('Future Orders'!$F65, 'Future Orders'!$D65, "3", 'Future Orders'!$C65, "A", 'Future Orders'!$B65, "1")</f>
        <v>0</v>
      </c>
      <c r="AA65" s="159">
        <f>SUMIFS('Future Orders'!$I65, 'Future Orders'!$D65, "3", 'Future Orders'!$C65, "A", 'Future Orders'!$B65, "1")</f>
        <v>0</v>
      </c>
      <c r="AB65" s="159">
        <f>SUMIFS('Future Orders'!$F65, 'Future Orders'!$D65, "3", 'Future Orders'!$C65, "B", 'Future Orders'!$B65, "1")</f>
        <v>0</v>
      </c>
      <c r="AC65" s="159">
        <f>SUMIFS('Future Orders'!$I65, 'Future Orders'!$D65, "3", 'Future Orders'!$C65, "B", 'Future Orders'!$B65, "1")</f>
        <v>0</v>
      </c>
      <c r="AD65" s="159">
        <f>SUMIFS('Future Orders'!$F65, 'Future Orders'!$D65, "3", 'Future Orders'!$C65, "A", 'Future Orders'!$B65, "2")</f>
        <v>0</v>
      </c>
      <c r="AE65" s="159">
        <f>SUMIFS('Future Orders'!$I65, 'Future Orders'!$D65, "3", 'Future Orders'!$C65, "A", 'Future Orders'!$B65, "2")</f>
        <v>0</v>
      </c>
      <c r="AF65" s="159">
        <f>SUMIFS('Future Orders'!$F65, 'Future Orders'!$D65, "3", 'Future Orders'!$C65, "B", 'Future Orders'!$B65, "2")</f>
        <v>0</v>
      </c>
      <c r="AG65" s="157">
        <f>SUMIFS('Future Orders'!$I65, 'Future Orders'!$D65, "3", 'Future Orders'!$C65, "B", 'Future Orders'!$B65, "2")</f>
        <v>0</v>
      </c>
      <c r="AH65" s="157">
        <f>SUMIFS('Future Orders'!$F65, 'Future Orders'!$D65, "4", 'Future Orders'!$C65, "A", 'Future Orders'!$B65, "1")</f>
        <v>0</v>
      </c>
      <c r="AI65" s="157">
        <f>SUMIFS('Future Orders'!$I65, 'Future Orders'!$D65, "4", 'Future Orders'!$C65, "A", 'Future Orders'!$B65, "1")</f>
        <v>0</v>
      </c>
      <c r="AJ65" s="157">
        <f>SUMIFS('Future Orders'!$F65, 'Future Orders'!$D65, "4", 'Future Orders'!$C65, "B", 'Future Orders'!$B65, "1")</f>
        <v>0</v>
      </c>
      <c r="AK65" s="157">
        <f>SUMIFS('Future Orders'!$I65, 'Future Orders'!$D65, "4", 'Future Orders'!$C65, "B", 'Future Orders'!$B65, "1")</f>
        <v>0</v>
      </c>
      <c r="AL65" s="157">
        <f>SUMIFS('Future Orders'!$F65, 'Future Orders'!$D65, "4", 'Future Orders'!$C65, "A", 'Future Orders'!$B65, "2")</f>
        <v>0</v>
      </c>
      <c r="AM65" s="157">
        <f>SUMIFS('Future Orders'!$I65, 'Future Orders'!$D65, "4", 'Future Orders'!$C65, "A", 'Future Orders'!$B65, "2")</f>
        <v>0</v>
      </c>
      <c r="AN65" s="171">
        <f>SUMIFS('Future Orders'!$F65, 'Future Orders'!$D65, "4", 'Future Orders'!$C65, "B", 'Future Orders'!$B65, "2")</f>
        <v>0</v>
      </c>
      <c r="AO65" s="171">
        <f>SUMIFS('Future Orders'!$I65, 'Future Orders'!$D65, "4", 'Future Orders'!$C65, "B", 'Future Orders'!$B65, "2")</f>
        <v>0</v>
      </c>
      <c r="AP65" s="171">
        <f>SUMIFS('Future Orders'!$H65, 'Future Orders'!$C65, "A", 'Future Orders'!$B65, "1")</f>
        <v>0</v>
      </c>
      <c r="AQ65" s="171">
        <f>SUMIFS('Future Orders'!$I65, 'Future Orders'!$C65, "B", 'Future Orders'!$B65, "1")</f>
        <v>0</v>
      </c>
      <c r="AR65" s="171">
        <f>SUMIFS('Future Orders'!$H65, 'Future Orders'!$C65, "A", 'Future Orders'!$B65, "2")</f>
        <v>5296.8</v>
      </c>
      <c r="AS65" s="171">
        <f>SUMIFS('Future Orders'!$I65, 'Future Orders'!$C65, "B", 'Future Orders'!$B65, "2")</f>
        <v>0</v>
      </c>
      <c r="AT65" s="145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9"/>
      <c r="CB65" s="179"/>
      <c r="CC65" s="179"/>
      <c r="CD65" s="179"/>
      <c r="CE65" s="179"/>
      <c r="CF65" s="179"/>
      <c r="CG65" s="179"/>
      <c r="CH65" s="179"/>
      <c r="CI65" s="179"/>
      <c r="CJ65" s="179"/>
      <c r="CK65" s="179"/>
      <c r="CL65" s="179"/>
      <c r="CM65" s="179"/>
      <c r="CN65" s="179"/>
      <c r="CO65" s="179"/>
      <c r="CP65" s="179"/>
    </row>
    <row r="66" ht="15.75" customHeight="1">
      <c r="A66" s="151">
        <v>41925.0</v>
      </c>
      <c r="B66" s="152">
        <v>1.0</v>
      </c>
      <c r="C66" s="152" t="s">
        <v>46</v>
      </c>
      <c r="D66" s="152">
        <v>3.0</v>
      </c>
      <c r="E66" s="153">
        <v>2050.0</v>
      </c>
      <c r="F66" s="153">
        <f>SUM(('Future Orders'!$E66) * (1.1))</f>
        <v>2255</v>
      </c>
      <c r="G66" s="154">
        <v>8.3</v>
      </c>
      <c r="H66" s="155">
        <v>17015.0</v>
      </c>
      <c r="I66" s="155">
        <f>SUM(('Future Orders'!$H66) * (1.1))</f>
        <v>18716.5</v>
      </c>
      <c r="J66" s="159">
        <f>SUMIFS('Future Orders'!$F66, 'Future Orders'!$D66, "1", 'Future Orders'!$C66, "A", 'Future Orders'!$B66, "1")</f>
        <v>0</v>
      </c>
      <c r="K66" s="157">
        <f>SUMIFS('Future Orders'!$I66, 'Future Orders'!$D66, "1", 'Future Orders'!$C66, "A", 'Future Orders'!$B66, "1")</f>
        <v>0</v>
      </c>
      <c r="L66" s="157">
        <f>SUMIFS('Future Orders'!$F66, 'Future Orders'!$D66, "1", 'Future Orders'!$C66, "B", 'Future Orders'!$B66, "1")</f>
        <v>0</v>
      </c>
      <c r="M66" s="157">
        <f>SUMIFS('Future Orders'!$I66, 'Future Orders'!$D66, "1", 'Future Orders'!$C66, "B", 'Future Orders'!$B66, "1")</f>
        <v>0</v>
      </c>
      <c r="N66" s="159">
        <f>SUMIFS('Future Orders'!$F66, 'Future Orders'!$D66, "1", 'Future Orders'!$C66, "A", 'Future Orders'!$B66, "2")</f>
        <v>0</v>
      </c>
      <c r="O66" s="157">
        <f>SUMIFS('Future Orders'!$I66, 'Future Orders'!$D66, "1", 'Future Orders'!$C66, "A", 'Future Orders'!$B66, "2")</f>
        <v>0</v>
      </c>
      <c r="P66" s="157">
        <f>SUMIFS('Future Orders'!$E66, 'Future Orders'!$D66, "1", 'Future Orders'!$C66, "B", 'Future Orders'!$B66, "2")</f>
        <v>0</v>
      </c>
      <c r="Q66" s="157">
        <f>SUMIFS('Future Orders'!$I66, 'Future Orders'!$D66, "1", 'Future Orders'!$C66, "B", 'Future Orders'!$B66, "2")</f>
        <v>0</v>
      </c>
      <c r="R66" s="159">
        <f>SUMIFS('Future Orders'!$F66, 'Future Orders'!$D66, "2", 'Future Orders'!$C66, "A", 'Future Orders'!$B66, "1")</f>
        <v>0</v>
      </c>
      <c r="S66" s="157">
        <f>SUMIFS('Future Orders'!$I66, 'Future Orders'!$D66, "2", 'Future Orders'!$C66, "A", 'Future Orders'!$B66, "1")</f>
        <v>0</v>
      </c>
      <c r="T66" s="159">
        <f>SUMIFS('Future Orders'!$F66, 'Future Orders'!$D66, "2", 'Future Orders'!$C66, "B", 'Future Orders'!$B66, "1")</f>
        <v>0</v>
      </c>
      <c r="U66" s="157">
        <f>SUMIFS('Future Orders'!$I66, 'Future Orders'!$D66, "2", 'Future Orders'!$C66, "B", 'Future Orders'!$B66, "1")</f>
        <v>0</v>
      </c>
      <c r="V66" s="159">
        <f>SUMIFS('Future Orders'!$F66, 'Future Orders'!$D66, "2", 'Future Orders'!$C66, "A", 'Future Orders'!$B66, "2")</f>
        <v>0</v>
      </c>
      <c r="W66" s="157">
        <f>SUMIFS('Future Orders'!$I66, 'Future Orders'!$D66, "2", 'Future Orders'!$C66, "A", 'Future Orders'!$B66, "2")</f>
        <v>0</v>
      </c>
      <c r="X66" s="159">
        <f>SUMIFS('Future Orders'!$F66, 'Future Orders'!$D66, "2", 'Future Orders'!$C66, "B", 'Future Orders'!$B66, "2")</f>
        <v>0</v>
      </c>
      <c r="Y66" s="159">
        <f>SUMIFS('Future Orders'!$I66, 'Future Orders'!$D66, "2", 'Future Orders'!$C66, "B", 'Future Orders'!$B66, "2")</f>
        <v>0</v>
      </c>
      <c r="Z66" s="159">
        <f>SUMIFS('Future Orders'!$F66, 'Future Orders'!$D66, "3", 'Future Orders'!$C66, "A", 'Future Orders'!$B66, "1")</f>
        <v>0</v>
      </c>
      <c r="AA66" s="159">
        <f>SUMIFS('Future Orders'!$I66, 'Future Orders'!$D66, "3", 'Future Orders'!$C66, "A", 'Future Orders'!$B66, "1")</f>
        <v>0</v>
      </c>
      <c r="AB66" s="159">
        <f>SUMIFS('Future Orders'!$F66, 'Future Orders'!$D66, "3", 'Future Orders'!$C66, "B", 'Future Orders'!$B66, "1")</f>
        <v>2255</v>
      </c>
      <c r="AC66" s="159">
        <f>SUMIFS('Future Orders'!$I66, 'Future Orders'!$D66, "3", 'Future Orders'!$C66, "B", 'Future Orders'!$B66, "1")</f>
        <v>18716.5</v>
      </c>
      <c r="AD66" s="159">
        <f>SUMIFS('Future Orders'!$F66, 'Future Orders'!$D66, "3", 'Future Orders'!$C66, "A", 'Future Orders'!$B66, "2")</f>
        <v>0</v>
      </c>
      <c r="AE66" s="159">
        <f>SUMIFS('Future Orders'!$I66, 'Future Orders'!$D66, "3", 'Future Orders'!$C66, "A", 'Future Orders'!$B66, "2")</f>
        <v>0</v>
      </c>
      <c r="AF66" s="159">
        <f>SUMIFS('Future Orders'!$F66, 'Future Orders'!$D66, "3", 'Future Orders'!$C66, "B", 'Future Orders'!$B66, "2")</f>
        <v>0</v>
      </c>
      <c r="AG66" s="157">
        <f>SUMIFS('Future Orders'!$I66, 'Future Orders'!$D66, "3", 'Future Orders'!$C66, "B", 'Future Orders'!$B66, "2")</f>
        <v>0</v>
      </c>
      <c r="AH66" s="157">
        <f>SUMIFS('Future Orders'!$F66, 'Future Orders'!$D66, "4", 'Future Orders'!$C66, "A", 'Future Orders'!$B66, "1")</f>
        <v>0</v>
      </c>
      <c r="AI66" s="157">
        <f>SUMIFS('Future Orders'!$I66, 'Future Orders'!$D66, "4", 'Future Orders'!$C66, "A", 'Future Orders'!$B66, "1")</f>
        <v>0</v>
      </c>
      <c r="AJ66" s="157">
        <f>SUMIFS('Future Orders'!$F66, 'Future Orders'!$D66, "4", 'Future Orders'!$C66, "B", 'Future Orders'!$B66, "1")</f>
        <v>0</v>
      </c>
      <c r="AK66" s="157">
        <f>SUMIFS('Future Orders'!$I66, 'Future Orders'!$D66, "4", 'Future Orders'!$C66, "B", 'Future Orders'!$B66, "1")</f>
        <v>0</v>
      </c>
      <c r="AL66" s="157">
        <f>SUMIFS('Future Orders'!$F66, 'Future Orders'!$D66, "4", 'Future Orders'!$C66, "A", 'Future Orders'!$B66, "2")</f>
        <v>0</v>
      </c>
      <c r="AM66" s="157">
        <f>SUMIFS('Future Orders'!$I66, 'Future Orders'!$D66, "4", 'Future Orders'!$C66, "A", 'Future Orders'!$B66, "2")</f>
        <v>0</v>
      </c>
      <c r="AN66" s="171">
        <f>SUMIFS('Future Orders'!$F66, 'Future Orders'!$D66, "4", 'Future Orders'!$C66, "B", 'Future Orders'!$B66, "2")</f>
        <v>0</v>
      </c>
      <c r="AO66" s="171">
        <f>SUMIFS('Future Orders'!$I66, 'Future Orders'!$D66, "4", 'Future Orders'!$C66, "B", 'Future Orders'!$B66, "2")</f>
        <v>0</v>
      </c>
      <c r="AP66" s="171">
        <f>SUMIFS('Future Orders'!$H66, 'Future Orders'!$C66, "A", 'Future Orders'!$B66, "1")</f>
        <v>0</v>
      </c>
      <c r="AQ66" s="171">
        <f>SUMIFS('Future Orders'!$I66, 'Future Orders'!$C66, "B", 'Future Orders'!$B66, "1")</f>
        <v>18716.5</v>
      </c>
      <c r="AR66" s="171">
        <f>SUMIFS('Future Orders'!$H66, 'Future Orders'!$C66, "A", 'Future Orders'!$B66, "2")</f>
        <v>0</v>
      </c>
      <c r="AS66" s="171">
        <f>SUMIFS('Future Orders'!$I66, 'Future Orders'!$C66, "B", 'Future Orders'!$B66, "2")</f>
        <v>0</v>
      </c>
      <c r="AT66" s="145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2"/>
      <c r="BZ66" s="172"/>
      <c r="CA66" s="179"/>
      <c r="CB66" s="179"/>
      <c r="CC66" s="179"/>
      <c r="CD66" s="179"/>
      <c r="CE66" s="179"/>
      <c r="CF66" s="179"/>
      <c r="CG66" s="179"/>
      <c r="CH66" s="179"/>
      <c r="CI66" s="179"/>
      <c r="CJ66" s="179"/>
      <c r="CK66" s="179"/>
      <c r="CL66" s="179"/>
      <c r="CM66" s="179"/>
      <c r="CN66" s="179"/>
      <c r="CO66" s="179"/>
      <c r="CP66" s="179"/>
    </row>
    <row r="67" ht="15.75" customHeight="1">
      <c r="A67" s="151">
        <v>41925.0</v>
      </c>
      <c r="B67" s="152">
        <v>2.0</v>
      </c>
      <c r="C67" s="152" t="s">
        <v>46</v>
      </c>
      <c r="D67" s="152">
        <v>3.0</v>
      </c>
      <c r="E67" s="153">
        <v>2179.0</v>
      </c>
      <c r="F67" s="153">
        <f>SUM(('Future Orders'!$E67) * (1.1))</f>
        <v>2396.9</v>
      </c>
      <c r="G67" s="154">
        <v>8.3</v>
      </c>
      <c r="H67" s="155">
        <v>18085.7</v>
      </c>
      <c r="I67" s="155">
        <f>SUM(('Future Orders'!$H67) * (1.1))</f>
        <v>19894.27</v>
      </c>
      <c r="J67" s="159">
        <f>SUMIFS('Future Orders'!$F67, 'Future Orders'!$D67, "1", 'Future Orders'!$C67, "A", 'Future Orders'!$B67, "1")</f>
        <v>0</v>
      </c>
      <c r="K67" s="157">
        <f>SUMIFS('Future Orders'!$I67, 'Future Orders'!$D67, "1", 'Future Orders'!$C67, "A", 'Future Orders'!$B67, "1")</f>
        <v>0</v>
      </c>
      <c r="L67" s="157">
        <f>SUMIFS('Future Orders'!$F67, 'Future Orders'!$D67, "1", 'Future Orders'!$C67, "B", 'Future Orders'!$B67, "1")</f>
        <v>0</v>
      </c>
      <c r="M67" s="157">
        <f>SUMIFS('Future Orders'!$I67, 'Future Orders'!$D67, "1", 'Future Orders'!$C67, "B", 'Future Orders'!$B67, "1")</f>
        <v>0</v>
      </c>
      <c r="N67" s="159">
        <f>SUMIFS('Future Orders'!$F67, 'Future Orders'!$D67, "1", 'Future Orders'!$C67, "A", 'Future Orders'!$B67, "2")</f>
        <v>0</v>
      </c>
      <c r="O67" s="157">
        <f>SUMIFS('Future Orders'!$I67, 'Future Orders'!$D67, "1", 'Future Orders'!$C67, "A", 'Future Orders'!$B67, "2")</f>
        <v>0</v>
      </c>
      <c r="P67" s="157">
        <f>SUMIFS('Future Orders'!$E67, 'Future Orders'!$D67, "1", 'Future Orders'!$C67, "B", 'Future Orders'!$B67, "2")</f>
        <v>0</v>
      </c>
      <c r="Q67" s="157">
        <f>SUMIFS('Future Orders'!$I67, 'Future Orders'!$D67, "1", 'Future Orders'!$C67, "B", 'Future Orders'!$B67, "2")</f>
        <v>0</v>
      </c>
      <c r="R67" s="159">
        <f>SUMIFS('Future Orders'!$F67, 'Future Orders'!$D67, "2", 'Future Orders'!$C67, "A", 'Future Orders'!$B67, "1")</f>
        <v>0</v>
      </c>
      <c r="S67" s="157">
        <f>SUMIFS('Future Orders'!$I67, 'Future Orders'!$D67, "2", 'Future Orders'!$C67, "A", 'Future Orders'!$B67, "1")</f>
        <v>0</v>
      </c>
      <c r="T67" s="159">
        <f>SUMIFS('Future Orders'!$F67, 'Future Orders'!$D67, "2", 'Future Orders'!$C67, "B", 'Future Orders'!$B67, "1")</f>
        <v>0</v>
      </c>
      <c r="U67" s="157">
        <f>SUMIFS('Future Orders'!$I67, 'Future Orders'!$D67, "2", 'Future Orders'!$C67, "B", 'Future Orders'!$B67, "1")</f>
        <v>0</v>
      </c>
      <c r="V67" s="159">
        <f>SUMIFS('Future Orders'!$F67, 'Future Orders'!$D67, "2", 'Future Orders'!$C67, "A", 'Future Orders'!$B67, "2")</f>
        <v>0</v>
      </c>
      <c r="W67" s="157">
        <f>SUMIFS('Future Orders'!$I67, 'Future Orders'!$D67, "2", 'Future Orders'!$C67, "A", 'Future Orders'!$B67, "2")</f>
        <v>0</v>
      </c>
      <c r="X67" s="159">
        <f>SUMIFS('Future Orders'!$F67, 'Future Orders'!$D67, "2", 'Future Orders'!$C67, "B", 'Future Orders'!$B67, "2")</f>
        <v>0</v>
      </c>
      <c r="Y67" s="159">
        <f>SUMIFS('Future Orders'!$I67, 'Future Orders'!$D67, "2", 'Future Orders'!$C67, "B", 'Future Orders'!$B67, "2")</f>
        <v>0</v>
      </c>
      <c r="Z67" s="159">
        <f>SUMIFS('Future Orders'!$F67, 'Future Orders'!$D67, "3", 'Future Orders'!$C67, "A", 'Future Orders'!$B67, "1")</f>
        <v>0</v>
      </c>
      <c r="AA67" s="159">
        <f>SUMIFS('Future Orders'!$I67, 'Future Orders'!$D67, "3", 'Future Orders'!$C67, "A", 'Future Orders'!$B67, "1")</f>
        <v>0</v>
      </c>
      <c r="AB67" s="159">
        <f>SUMIFS('Future Orders'!$F67, 'Future Orders'!$D67, "3", 'Future Orders'!$C67, "B", 'Future Orders'!$B67, "1")</f>
        <v>0</v>
      </c>
      <c r="AC67" s="159">
        <f>SUMIFS('Future Orders'!$I67, 'Future Orders'!$D67, "3", 'Future Orders'!$C67, "B", 'Future Orders'!$B67, "1")</f>
        <v>0</v>
      </c>
      <c r="AD67" s="159">
        <f>SUMIFS('Future Orders'!$F67, 'Future Orders'!$D67, "3", 'Future Orders'!$C67, "A", 'Future Orders'!$B67, "2")</f>
        <v>0</v>
      </c>
      <c r="AE67" s="159">
        <f>SUMIFS('Future Orders'!$I67, 'Future Orders'!$D67, "3", 'Future Orders'!$C67, "A", 'Future Orders'!$B67, "2")</f>
        <v>0</v>
      </c>
      <c r="AF67" s="159">
        <f>SUMIFS('Future Orders'!$F67, 'Future Orders'!$D67, "3", 'Future Orders'!$C67, "B", 'Future Orders'!$B67, "2")</f>
        <v>2396.9</v>
      </c>
      <c r="AG67" s="157">
        <f>SUMIFS('Future Orders'!$I67, 'Future Orders'!$D67, "3", 'Future Orders'!$C67, "B", 'Future Orders'!$B67, "2")</f>
        <v>19894.27</v>
      </c>
      <c r="AH67" s="157">
        <f>SUMIFS('Future Orders'!$F67, 'Future Orders'!$D67, "4", 'Future Orders'!$C67, "A", 'Future Orders'!$B67, "1")</f>
        <v>0</v>
      </c>
      <c r="AI67" s="157">
        <f>SUMIFS('Future Orders'!$I67, 'Future Orders'!$D67, "4", 'Future Orders'!$C67, "A", 'Future Orders'!$B67, "1")</f>
        <v>0</v>
      </c>
      <c r="AJ67" s="157">
        <f>SUMIFS('Future Orders'!$F67, 'Future Orders'!$D67, "4", 'Future Orders'!$C67, "B", 'Future Orders'!$B67, "1")</f>
        <v>0</v>
      </c>
      <c r="AK67" s="157">
        <f>SUMIFS('Future Orders'!$I67, 'Future Orders'!$D67, "4", 'Future Orders'!$C67, "B", 'Future Orders'!$B67, "1")</f>
        <v>0</v>
      </c>
      <c r="AL67" s="157">
        <f>SUMIFS('Future Orders'!$F67, 'Future Orders'!$D67, "4", 'Future Orders'!$C67, "A", 'Future Orders'!$B67, "2")</f>
        <v>0</v>
      </c>
      <c r="AM67" s="157">
        <f>SUMIFS('Future Orders'!$I67, 'Future Orders'!$D67, "4", 'Future Orders'!$C67, "A", 'Future Orders'!$B67, "2")</f>
        <v>0</v>
      </c>
      <c r="AN67" s="171">
        <f>SUMIFS('Future Orders'!$F67, 'Future Orders'!$D67, "4", 'Future Orders'!$C67, "B", 'Future Orders'!$B67, "2")</f>
        <v>0</v>
      </c>
      <c r="AO67" s="171">
        <f>SUMIFS('Future Orders'!$I67, 'Future Orders'!$D67, "4", 'Future Orders'!$C67, "B", 'Future Orders'!$B67, "2")</f>
        <v>0</v>
      </c>
      <c r="AP67" s="171">
        <f>SUMIFS('Future Orders'!$H67, 'Future Orders'!$C67, "A", 'Future Orders'!$B67, "1")</f>
        <v>0</v>
      </c>
      <c r="AQ67" s="171">
        <f>SUMIFS('Future Orders'!$I67, 'Future Orders'!$C67, "B", 'Future Orders'!$B67, "1")</f>
        <v>0</v>
      </c>
      <c r="AR67" s="171">
        <f>SUMIFS('Future Orders'!$H67, 'Future Orders'!$C67, "A", 'Future Orders'!$B67, "2")</f>
        <v>0</v>
      </c>
      <c r="AS67" s="171">
        <f>SUMIFS('Future Orders'!$I67, 'Future Orders'!$C67, "B", 'Future Orders'!$B67, "2")</f>
        <v>19894.27</v>
      </c>
      <c r="AT67" s="145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2"/>
      <c r="BZ67" s="172"/>
      <c r="CA67" s="179"/>
      <c r="CB67" s="179"/>
      <c r="CC67" s="179"/>
      <c r="CD67" s="179"/>
      <c r="CE67" s="179"/>
      <c r="CF67" s="179"/>
      <c r="CG67" s="179"/>
      <c r="CH67" s="179"/>
      <c r="CI67" s="179"/>
      <c r="CJ67" s="179"/>
      <c r="CK67" s="179"/>
      <c r="CL67" s="179"/>
      <c r="CM67" s="179"/>
      <c r="CN67" s="179"/>
      <c r="CO67" s="179"/>
      <c r="CP67" s="179"/>
    </row>
    <row r="68" ht="15.75" customHeight="1">
      <c r="A68" s="151">
        <v>41932.0</v>
      </c>
      <c r="B68" s="152">
        <v>1.0</v>
      </c>
      <c r="C68" s="152" t="s">
        <v>45</v>
      </c>
      <c r="D68" s="152">
        <v>1.0</v>
      </c>
      <c r="E68" s="153">
        <v>4227.0</v>
      </c>
      <c r="F68" s="153">
        <f>SUM(('Future Orders'!$E68) * (1.1))</f>
        <v>4649.7</v>
      </c>
      <c r="G68" s="154">
        <v>2.2</v>
      </c>
      <c r="H68" s="155">
        <v>9299.400000000001</v>
      </c>
      <c r="I68" s="155">
        <f>SUM(('Future Orders'!$H68) * (1.1))</f>
        <v>10229.34</v>
      </c>
      <c r="J68" s="159">
        <f>SUMIFS('Future Orders'!$F68, 'Future Orders'!$D68, "1", 'Future Orders'!$C68, "A", 'Future Orders'!$B68, "1")</f>
        <v>4649.7</v>
      </c>
      <c r="K68" s="157">
        <f>SUMIFS('Future Orders'!$I68, 'Future Orders'!$D68, "1", 'Future Orders'!$C68, "A", 'Future Orders'!$B68, "1")</f>
        <v>10229.34</v>
      </c>
      <c r="L68" s="157">
        <f>SUMIFS('Future Orders'!$F68, 'Future Orders'!$D68, "1", 'Future Orders'!$C68, "B", 'Future Orders'!$B68, "1")</f>
        <v>0</v>
      </c>
      <c r="M68" s="157">
        <f>SUMIFS('Future Orders'!$I68, 'Future Orders'!$D68, "1", 'Future Orders'!$C68, "B", 'Future Orders'!$B68, "1")</f>
        <v>0</v>
      </c>
      <c r="N68" s="159">
        <f>SUMIFS('Future Orders'!$F68, 'Future Orders'!$D68, "1", 'Future Orders'!$C68, "A", 'Future Orders'!$B68, "2")</f>
        <v>0</v>
      </c>
      <c r="O68" s="157">
        <f>SUMIFS('Future Orders'!$I68, 'Future Orders'!$D68, "1", 'Future Orders'!$C68, "A", 'Future Orders'!$B68, "2")</f>
        <v>0</v>
      </c>
      <c r="P68" s="157">
        <f>SUMIFS('Future Orders'!$E68, 'Future Orders'!$D68, "1", 'Future Orders'!$C68, "B", 'Future Orders'!$B68, "2")</f>
        <v>0</v>
      </c>
      <c r="Q68" s="157">
        <f>SUMIFS('Future Orders'!$I68, 'Future Orders'!$D68, "1", 'Future Orders'!$C68, "B", 'Future Orders'!$B68, "2")</f>
        <v>0</v>
      </c>
      <c r="R68" s="159">
        <f>SUMIFS('Future Orders'!$F68, 'Future Orders'!$D68, "2", 'Future Orders'!$C68, "A", 'Future Orders'!$B68, "1")</f>
        <v>0</v>
      </c>
      <c r="S68" s="157">
        <f>SUMIFS('Future Orders'!$I68, 'Future Orders'!$D68, "2", 'Future Orders'!$C68, "A", 'Future Orders'!$B68, "1")</f>
        <v>0</v>
      </c>
      <c r="T68" s="159">
        <f>SUMIFS('Future Orders'!$F68, 'Future Orders'!$D68, "2", 'Future Orders'!$C68, "B", 'Future Orders'!$B68, "1")</f>
        <v>0</v>
      </c>
      <c r="U68" s="157">
        <f>SUMIFS('Future Orders'!$I68, 'Future Orders'!$D68, "2", 'Future Orders'!$C68, "B", 'Future Orders'!$B68, "1")</f>
        <v>0</v>
      </c>
      <c r="V68" s="159">
        <f>SUMIFS('Future Orders'!$F68, 'Future Orders'!$D68, "2", 'Future Orders'!$C68, "A", 'Future Orders'!$B68, "2")</f>
        <v>0</v>
      </c>
      <c r="W68" s="157">
        <f>SUMIFS('Future Orders'!$I68, 'Future Orders'!$D68, "2", 'Future Orders'!$C68, "A", 'Future Orders'!$B68, "2")</f>
        <v>0</v>
      </c>
      <c r="X68" s="159">
        <f>SUMIFS('Future Orders'!$F68, 'Future Orders'!$D68, "2", 'Future Orders'!$C68, "B", 'Future Orders'!$B68, "2")</f>
        <v>0</v>
      </c>
      <c r="Y68" s="159">
        <f>SUMIFS('Future Orders'!$I68, 'Future Orders'!$D68, "2", 'Future Orders'!$C68, "B", 'Future Orders'!$B68, "2")</f>
        <v>0</v>
      </c>
      <c r="Z68" s="159">
        <f>SUMIFS('Future Orders'!$F68, 'Future Orders'!$D68, "3", 'Future Orders'!$C68, "A", 'Future Orders'!$B68, "1")</f>
        <v>0</v>
      </c>
      <c r="AA68" s="159">
        <f>SUMIFS('Future Orders'!$I68, 'Future Orders'!$D68, "3", 'Future Orders'!$C68, "A", 'Future Orders'!$B68, "1")</f>
        <v>0</v>
      </c>
      <c r="AB68" s="159">
        <f>SUMIFS('Future Orders'!$F68, 'Future Orders'!$D68, "3", 'Future Orders'!$C68, "B", 'Future Orders'!$B68, "1")</f>
        <v>0</v>
      </c>
      <c r="AC68" s="159">
        <f>SUMIFS('Future Orders'!$I68, 'Future Orders'!$D68, "3", 'Future Orders'!$C68, "B", 'Future Orders'!$B68, "1")</f>
        <v>0</v>
      </c>
      <c r="AD68" s="159">
        <f>SUMIFS('Future Orders'!$F68, 'Future Orders'!$D68, "3", 'Future Orders'!$C68, "A", 'Future Orders'!$B68, "2")</f>
        <v>0</v>
      </c>
      <c r="AE68" s="159">
        <f>SUMIFS('Future Orders'!$I68, 'Future Orders'!$D68, "3", 'Future Orders'!$C68, "A", 'Future Orders'!$B68, "2")</f>
        <v>0</v>
      </c>
      <c r="AF68" s="159">
        <f>SUMIFS('Future Orders'!$F68, 'Future Orders'!$D68, "3", 'Future Orders'!$C68, "B", 'Future Orders'!$B68, "2")</f>
        <v>0</v>
      </c>
      <c r="AG68" s="157">
        <f>SUMIFS('Future Orders'!$I68, 'Future Orders'!$D68, "3", 'Future Orders'!$C68, "B", 'Future Orders'!$B68, "2")</f>
        <v>0</v>
      </c>
      <c r="AH68" s="157">
        <f>SUMIFS('Future Orders'!$F68, 'Future Orders'!$D68, "4", 'Future Orders'!$C68, "A", 'Future Orders'!$B68, "1")</f>
        <v>0</v>
      </c>
      <c r="AI68" s="157">
        <f>SUMIFS('Future Orders'!$I68, 'Future Orders'!$D68, "4", 'Future Orders'!$C68, "A", 'Future Orders'!$B68, "1")</f>
        <v>0</v>
      </c>
      <c r="AJ68" s="157">
        <f>SUMIFS('Future Orders'!$F68, 'Future Orders'!$D68, "4", 'Future Orders'!$C68, "B", 'Future Orders'!$B68, "1")</f>
        <v>0</v>
      </c>
      <c r="AK68" s="157">
        <f>SUMIFS('Future Orders'!$I68, 'Future Orders'!$D68, "4", 'Future Orders'!$C68, "B", 'Future Orders'!$B68, "1")</f>
        <v>0</v>
      </c>
      <c r="AL68" s="157">
        <f>SUMIFS('Future Orders'!$F68, 'Future Orders'!$D68, "4", 'Future Orders'!$C68, "A", 'Future Orders'!$B68, "2")</f>
        <v>0</v>
      </c>
      <c r="AM68" s="157">
        <f>SUMIFS('Future Orders'!$I68, 'Future Orders'!$D68, "4", 'Future Orders'!$C68, "A", 'Future Orders'!$B68, "2")</f>
        <v>0</v>
      </c>
      <c r="AN68" s="171">
        <f>SUMIFS('Future Orders'!$F68, 'Future Orders'!$D68, "4", 'Future Orders'!$C68, "B", 'Future Orders'!$B68, "2")</f>
        <v>0</v>
      </c>
      <c r="AO68" s="171">
        <f>SUMIFS('Future Orders'!$I68, 'Future Orders'!$D68, "4", 'Future Orders'!$C68, "B", 'Future Orders'!$B68, "2")</f>
        <v>0</v>
      </c>
      <c r="AP68" s="171">
        <f>SUMIFS('Future Orders'!$H68, 'Future Orders'!$C68, "A", 'Future Orders'!$B68, "1")</f>
        <v>9299.4</v>
      </c>
      <c r="AQ68" s="171">
        <f>SUMIFS('Future Orders'!$I68, 'Future Orders'!$C68, "B", 'Future Orders'!$B68, "1")</f>
        <v>0</v>
      </c>
      <c r="AR68" s="171">
        <f>SUMIFS('Future Orders'!$H68, 'Future Orders'!$C68, "A", 'Future Orders'!$B68, "2")</f>
        <v>0</v>
      </c>
      <c r="AS68" s="171">
        <f>SUMIFS('Future Orders'!$I68, 'Future Orders'!$C68, "B", 'Future Orders'!$B68, "2")</f>
        <v>0</v>
      </c>
      <c r="AT68" s="145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2"/>
      <c r="BZ68" s="172"/>
      <c r="CA68" s="179"/>
      <c r="CB68" s="179"/>
      <c r="CC68" s="179"/>
      <c r="CD68" s="179"/>
      <c r="CE68" s="179"/>
      <c r="CF68" s="179"/>
      <c r="CG68" s="179"/>
      <c r="CH68" s="179"/>
      <c r="CI68" s="179"/>
      <c r="CJ68" s="179"/>
      <c r="CK68" s="179"/>
      <c r="CL68" s="179"/>
      <c r="CM68" s="179"/>
      <c r="CN68" s="179"/>
      <c r="CO68" s="179"/>
      <c r="CP68" s="179"/>
    </row>
    <row r="69" ht="15.75" customHeight="1">
      <c r="A69" s="151">
        <v>41932.0</v>
      </c>
      <c r="B69" s="152">
        <v>1.0</v>
      </c>
      <c r="C69" s="152" t="s">
        <v>45</v>
      </c>
      <c r="D69" s="152">
        <v>2.0</v>
      </c>
      <c r="E69" s="153">
        <v>5523.0</v>
      </c>
      <c r="F69" s="153">
        <f>SUM(('Future Orders'!$E69) * (1.1))</f>
        <v>6075.3</v>
      </c>
      <c r="G69" s="154">
        <v>1.2</v>
      </c>
      <c r="H69" s="155">
        <v>6627.599999999999</v>
      </c>
      <c r="I69" s="155">
        <f>SUM(('Future Orders'!$H69) * (1.1))</f>
        <v>7290.36</v>
      </c>
      <c r="J69" s="159">
        <f>SUMIFS('Future Orders'!$F69, 'Future Orders'!$D69, "1", 'Future Orders'!$C69, "A", 'Future Orders'!$B69, "1")</f>
        <v>0</v>
      </c>
      <c r="K69" s="157">
        <f>SUMIFS('Future Orders'!$I69, 'Future Orders'!$D69, "1", 'Future Orders'!$C69, "A", 'Future Orders'!$B69, "1")</f>
        <v>0</v>
      </c>
      <c r="L69" s="157">
        <f>SUMIFS('Future Orders'!$F69, 'Future Orders'!$D69, "1", 'Future Orders'!$C69, "B", 'Future Orders'!$B69, "1")</f>
        <v>0</v>
      </c>
      <c r="M69" s="157">
        <f>SUMIFS('Future Orders'!$I69, 'Future Orders'!$D69, "1", 'Future Orders'!$C69, "B", 'Future Orders'!$B69, "1")</f>
        <v>0</v>
      </c>
      <c r="N69" s="159">
        <f>SUMIFS('Future Orders'!$F69, 'Future Orders'!$D69, "1", 'Future Orders'!$C69, "A", 'Future Orders'!$B69, "2")</f>
        <v>0</v>
      </c>
      <c r="O69" s="157">
        <f>SUMIFS('Future Orders'!$I69, 'Future Orders'!$D69, "1", 'Future Orders'!$C69, "A", 'Future Orders'!$B69, "2")</f>
        <v>0</v>
      </c>
      <c r="P69" s="157">
        <f>SUMIFS('Future Orders'!$E69, 'Future Orders'!$D69, "1", 'Future Orders'!$C69, "B", 'Future Orders'!$B69, "2")</f>
        <v>0</v>
      </c>
      <c r="Q69" s="157">
        <f>SUMIFS('Future Orders'!$I69, 'Future Orders'!$D69, "1", 'Future Orders'!$C69, "B", 'Future Orders'!$B69, "2")</f>
        <v>0</v>
      </c>
      <c r="R69" s="159">
        <f>SUMIFS('Future Orders'!$F69, 'Future Orders'!$D69, "2", 'Future Orders'!$C69, "A", 'Future Orders'!$B69, "1")</f>
        <v>6075.3</v>
      </c>
      <c r="S69" s="157">
        <f>SUMIFS('Future Orders'!$I69, 'Future Orders'!$D69, "2", 'Future Orders'!$C69, "A", 'Future Orders'!$B69, "1")</f>
        <v>7290.36</v>
      </c>
      <c r="T69" s="159">
        <f>SUMIFS('Future Orders'!$F69, 'Future Orders'!$D69, "2", 'Future Orders'!$C69, "B", 'Future Orders'!$B69, "1")</f>
        <v>0</v>
      </c>
      <c r="U69" s="157">
        <f>SUMIFS('Future Orders'!$I69, 'Future Orders'!$D69, "2", 'Future Orders'!$C69, "B", 'Future Orders'!$B69, "1")</f>
        <v>0</v>
      </c>
      <c r="V69" s="159">
        <f>SUMIFS('Future Orders'!$F69, 'Future Orders'!$D69, "2", 'Future Orders'!$C69, "A", 'Future Orders'!$B69, "2")</f>
        <v>0</v>
      </c>
      <c r="W69" s="157">
        <f>SUMIFS('Future Orders'!$I69, 'Future Orders'!$D69, "2", 'Future Orders'!$C69, "A", 'Future Orders'!$B69, "2")</f>
        <v>0</v>
      </c>
      <c r="X69" s="159">
        <f>SUMIFS('Future Orders'!$F69, 'Future Orders'!$D69, "2", 'Future Orders'!$C69, "B", 'Future Orders'!$B69, "2")</f>
        <v>0</v>
      </c>
      <c r="Y69" s="159">
        <f>SUMIFS('Future Orders'!$I69, 'Future Orders'!$D69, "2", 'Future Orders'!$C69, "B", 'Future Orders'!$B69, "2")</f>
        <v>0</v>
      </c>
      <c r="Z69" s="159">
        <f>SUMIFS('Future Orders'!$F69, 'Future Orders'!$D69, "3", 'Future Orders'!$C69, "A", 'Future Orders'!$B69, "1")</f>
        <v>0</v>
      </c>
      <c r="AA69" s="159">
        <f>SUMIFS('Future Orders'!$I69, 'Future Orders'!$D69, "3", 'Future Orders'!$C69, "A", 'Future Orders'!$B69, "1")</f>
        <v>0</v>
      </c>
      <c r="AB69" s="159">
        <f>SUMIFS('Future Orders'!$F69, 'Future Orders'!$D69, "3", 'Future Orders'!$C69, "B", 'Future Orders'!$B69, "1")</f>
        <v>0</v>
      </c>
      <c r="AC69" s="159">
        <f>SUMIFS('Future Orders'!$I69, 'Future Orders'!$D69, "3", 'Future Orders'!$C69, "B", 'Future Orders'!$B69, "1")</f>
        <v>0</v>
      </c>
      <c r="AD69" s="159">
        <f>SUMIFS('Future Orders'!$F69, 'Future Orders'!$D69, "3", 'Future Orders'!$C69, "A", 'Future Orders'!$B69, "2")</f>
        <v>0</v>
      </c>
      <c r="AE69" s="159">
        <f>SUMIFS('Future Orders'!$I69, 'Future Orders'!$D69, "3", 'Future Orders'!$C69, "A", 'Future Orders'!$B69, "2")</f>
        <v>0</v>
      </c>
      <c r="AF69" s="159">
        <f>SUMIFS('Future Orders'!$F69, 'Future Orders'!$D69, "3", 'Future Orders'!$C69, "B", 'Future Orders'!$B69, "2")</f>
        <v>0</v>
      </c>
      <c r="AG69" s="157">
        <f>SUMIFS('Future Orders'!$I69, 'Future Orders'!$D69, "3", 'Future Orders'!$C69, "B", 'Future Orders'!$B69, "2")</f>
        <v>0</v>
      </c>
      <c r="AH69" s="157">
        <f>SUMIFS('Future Orders'!$F69, 'Future Orders'!$D69, "4", 'Future Orders'!$C69, "A", 'Future Orders'!$B69, "1")</f>
        <v>0</v>
      </c>
      <c r="AI69" s="157">
        <f>SUMIFS('Future Orders'!$I69, 'Future Orders'!$D69, "4", 'Future Orders'!$C69, "A", 'Future Orders'!$B69, "1")</f>
        <v>0</v>
      </c>
      <c r="AJ69" s="157">
        <f>SUMIFS('Future Orders'!$F69, 'Future Orders'!$D69, "4", 'Future Orders'!$C69, "B", 'Future Orders'!$B69, "1")</f>
        <v>0</v>
      </c>
      <c r="AK69" s="157">
        <f>SUMIFS('Future Orders'!$I69, 'Future Orders'!$D69, "4", 'Future Orders'!$C69, "B", 'Future Orders'!$B69, "1")</f>
        <v>0</v>
      </c>
      <c r="AL69" s="157">
        <f>SUMIFS('Future Orders'!$F69, 'Future Orders'!$D69, "4", 'Future Orders'!$C69, "A", 'Future Orders'!$B69, "2")</f>
        <v>0</v>
      </c>
      <c r="AM69" s="157">
        <f>SUMIFS('Future Orders'!$I69, 'Future Orders'!$D69, "4", 'Future Orders'!$C69, "A", 'Future Orders'!$B69, "2")</f>
        <v>0</v>
      </c>
      <c r="AN69" s="171">
        <f>SUMIFS('Future Orders'!$F69, 'Future Orders'!$D69, "4", 'Future Orders'!$C69, "B", 'Future Orders'!$B69, "2")</f>
        <v>0</v>
      </c>
      <c r="AO69" s="171">
        <f>SUMIFS('Future Orders'!$I69, 'Future Orders'!$D69, "4", 'Future Orders'!$C69, "B", 'Future Orders'!$B69, "2")</f>
        <v>0</v>
      </c>
      <c r="AP69" s="171">
        <f>SUMIFS('Future Orders'!$H69, 'Future Orders'!$C69, "A", 'Future Orders'!$B69, "1")</f>
        <v>6627.6</v>
      </c>
      <c r="AQ69" s="171">
        <f>SUMIFS('Future Orders'!$I69, 'Future Orders'!$C69, "B", 'Future Orders'!$B69, "1")</f>
        <v>0</v>
      </c>
      <c r="AR69" s="171">
        <f>SUMIFS('Future Orders'!$H69, 'Future Orders'!$C69, "A", 'Future Orders'!$B69, "2")</f>
        <v>0</v>
      </c>
      <c r="AS69" s="171">
        <f>SUMIFS('Future Orders'!$I69, 'Future Orders'!$C69, "B", 'Future Orders'!$B69, "2")</f>
        <v>0</v>
      </c>
      <c r="AT69" s="145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  <c r="BF69" s="172"/>
      <c r="BG69" s="172"/>
      <c r="BH69" s="172"/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2"/>
      <c r="BZ69" s="172"/>
      <c r="CA69" s="179"/>
      <c r="CB69" s="179"/>
      <c r="CC69" s="179"/>
      <c r="CD69" s="179"/>
      <c r="CE69" s="179"/>
      <c r="CF69" s="179"/>
      <c r="CG69" s="179"/>
      <c r="CH69" s="179"/>
      <c r="CI69" s="179"/>
      <c r="CJ69" s="179"/>
      <c r="CK69" s="179"/>
      <c r="CL69" s="179"/>
      <c r="CM69" s="179"/>
      <c r="CN69" s="179"/>
      <c r="CO69" s="179"/>
      <c r="CP69" s="179"/>
    </row>
    <row r="70" ht="15.75" customHeight="1">
      <c r="A70" s="151">
        <v>41932.0</v>
      </c>
      <c r="B70" s="152">
        <v>2.0</v>
      </c>
      <c r="C70" s="152" t="s">
        <v>45</v>
      </c>
      <c r="D70" s="152">
        <v>1.0</v>
      </c>
      <c r="E70" s="153">
        <v>3205.0</v>
      </c>
      <c r="F70" s="153">
        <f>SUM(('Future Orders'!$E70) * (1.1))</f>
        <v>3525.5</v>
      </c>
      <c r="G70" s="154">
        <v>2.2</v>
      </c>
      <c r="H70" s="155">
        <v>7051.000000000001</v>
      </c>
      <c r="I70" s="155">
        <f>SUM(('Future Orders'!$H70) * (1.1))</f>
        <v>7756.1</v>
      </c>
      <c r="J70" s="159">
        <f>SUMIFS('Future Orders'!$F70, 'Future Orders'!$D70, "1", 'Future Orders'!$C70, "A", 'Future Orders'!$B70, "1")</f>
        <v>0</v>
      </c>
      <c r="K70" s="157">
        <f>SUMIFS('Future Orders'!$I70, 'Future Orders'!$D70, "1", 'Future Orders'!$C70, "A", 'Future Orders'!$B70, "1")</f>
        <v>0</v>
      </c>
      <c r="L70" s="157">
        <f>SUMIFS('Future Orders'!$F70, 'Future Orders'!$D70, "1", 'Future Orders'!$C70, "B", 'Future Orders'!$B70, "1")</f>
        <v>0</v>
      </c>
      <c r="M70" s="157">
        <f>SUMIFS('Future Orders'!$I70, 'Future Orders'!$D70, "1", 'Future Orders'!$C70, "B", 'Future Orders'!$B70, "1")</f>
        <v>0</v>
      </c>
      <c r="N70" s="159">
        <f>SUMIFS('Future Orders'!$F70, 'Future Orders'!$D70, "1", 'Future Orders'!$C70, "A", 'Future Orders'!$B70, "2")</f>
        <v>3525.5</v>
      </c>
      <c r="O70" s="157">
        <f>SUMIFS('Future Orders'!$I70, 'Future Orders'!$D70, "1", 'Future Orders'!$C70, "A", 'Future Orders'!$B70, "2")</f>
        <v>7756.1</v>
      </c>
      <c r="P70" s="157">
        <f>SUMIFS('Future Orders'!$E70, 'Future Orders'!$D70, "1", 'Future Orders'!$C70, "B", 'Future Orders'!$B70, "2")</f>
        <v>0</v>
      </c>
      <c r="Q70" s="157">
        <f>SUMIFS('Future Orders'!$I70, 'Future Orders'!$D70, "1", 'Future Orders'!$C70, "B", 'Future Orders'!$B70, "2")</f>
        <v>0</v>
      </c>
      <c r="R70" s="159">
        <f>SUMIFS('Future Orders'!$F70, 'Future Orders'!$D70, "2", 'Future Orders'!$C70, "A", 'Future Orders'!$B70, "1")</f>
        <v>0</v>
      </c>
      <c r="S70" s="157">
        <f>SUMIFS('Future Orders'!$I70, 'Future Orders'!$D70, "2", 'Future Orders'!$C70, "A", 'Future Orders'!$B70, "1")</f>
        <v>0</v>
      </c>
      <c r="T70" s="159">
        <f>SUMIFS('Future Orders'!$F70, 'Future Orders'!$D70, "2", 'Future Orders'!$C70, "B", 'Future Orders'!$B70, "1")</f>
        <v>0</v>
      </c>
      <c r="U70" s="157">
        <f>SUMIFS('Future Orders'!$I70, 'Future Orders'!$D70, "2", 'Future Orders'!$C70, "B", 'Future Orders'!$B70, "1")</f>
        <v>0</v>
      </c>
      <c r="V70" s="159">
        <f>SUMIFS('Future Orders'!$F70, 'Future Orders'!$D70, "2", 'Future Orders'!$C70, "A", 'Future Orders'!$B70, "2")</f>
        <v>0</v>
      </c>
      <c r="W70" s="157">
        <f>SUMIFS('Future Orders'!$I70, 'Future Orders'!$D70, "2", 'Future Orders'!$C70, "A", 'Future Orders'!$B70, "2")</f>
        <v>0</v>
      </c>
      <c r="X70" s="159">
        <f>SUMIFS('Future Orders'!$F70, 'Future Orders'!$D70, "2", 'Future Orders'!$C70, "B", 'Future Orders'!$B70, "2")</f>
        <v>0</v>
      </c>
      <c r="Y70" s="159">
        <f>SUMIFS('Future Orders'!$I70, 'Future Orders'!$D70, "2", 'Future Orders'!$C70, "B", 'Future Orders'!$B70, "2")</f>
        <v>0</v>
      </c>
      <c r="Z70" s="159">
        <f>SUMIFS('Future Orders'!$F70, 'Future Orders'!$D70, "3", 'Future Orders'!$C70, "A", 'Future Orders'!$B70, "1")</f>
        <v>0</v>
      </c>
      <c r="AA70" s="159">
        <f>SUMIFS('Future Orders'!$I70, 'Future Orders'!$D70, "3", 'Future Orders'!$C70, "A", 'Future Orders'!$B70, "1")</f>
        <v>0</v>
      </c>
      <c r="AB70" s="159">
        <f>SUMIFS('Future Orders'!$F70, 'Future Orders'!$D70, "3", 'Future Orders'!$C70, "B", 'Future Orders'!$B70, "1")</f>
        <v>0</v>
      </c>
      <c r="AC70" s="159">
        <f>SUMIFS('Future Orders'!$I70, 'Future Orders'!$D70, "3", 'Future Orders'!$C70, "B", 'Future Orders'!$B70, "1")</f>
        <v>0</v>
      </c>
      <c r="AD70" s="159">
        <f>SUMIFS('Future Orders'!$F70, 'Future Orders'!$D70, "3", 'Future Orders'!$C70, "A", 'Future Orders'!$B70, "2")</f>
        <v>0</v>
      </c>
      <c r="AE70" s="159">
        <f>SUMIFS('Future Orders'!$I70, 'Future Orders'!$D70, "3", 'Future Orders'!$C70, "A", 'Future Orders'!$B70, "2")</f>
        <v>0</v>
      </c>
      <c r="AF70" s="159">
        <f>SUMIFS('Future Orders'!$F70, 'Future Orders'!$D70, "3", 'Future Orders'!$C70, "B", 'Future Orders'!$B70, "2")</f>
        <v>0</v>
      </c>
      <c r="AG70" s="157">
        <f>SUMIFS('Future Orders'!$I70, 'Future Orders'!$D70, "3", 'Future Orders'!$C70, "B", 'Future Orders'!$B70, "2")</f>
        <v>0</v>
      </c>
      <c r="AH70" s="157">
        <f>SUMIFS('Future Orders'!$F70, 'Future Orders'!$D70, "4", 'Future Orders'!$C70, "A", 'Future Orders'!$B70, "1")</f>
        <v>0</v>
      </c>
      <c r="AI70" s="157">
        <f>SUMIFS('Future Orders'!$I70, 'Future Orders'!$D70, "4", 'Future Orders'!$C70, "A", 'Future Orders'!$B70, "1")</f>
        <v>0</v>
      </c>
      <c r="AJ70" s="157">
        <f>SUMIFS('Future Orders'!$F70, 'Future Orders'!$D70, "4", 'Future Orders'!$C70, "B", 'Future Orders'!$B70, "1")</f>
        <v>0</v>
      </c>
      <c r="AK70" s="157">
        <f>SUMIFS('Future Orders'!$I70, 'Future Orders'!$D70, "4", 'Future Orders'!$C70, "B", 'Future Orders'!$B70, "1")</f>
        <v>0</v>
      </c>
      <c r="AL70" s="157">
        <f>SUMIFS('Future Orders'!$F70, 'Future Orders'!$D70, "4", 'Future Orders'!$C70, "A", 'Future Orders'!$B70, "2")</f>
        <v>0</v>
      </c>
      <c r="AM70" s="157">
        <f>SUMIFS('Future Orders'!$I70, 'Future Orders'!$D70, "4", 'Future Orders'!$C70, "A", 'Future Orders'!$B70, "2")</f>
        <v>0</v>
      </c>
      <c r="AN70" s="171">
        <f>SUMIFS('Future Orders'!$F70, 'Future Orders'!$D70, "4", 'Future Orders'!$C70, "B", 'Future Orders'!$B70, "2")</f>
        <v>0</v>
      </c>
      <c r="AO70" s="171">
        <f>SUMIFS('Future Orders'!$I70, 'Future Orders'!$D70, "4", 'Future Orders'!$C70, "B", 'Future Orders'!$B70, "2")</f>
        <v>0</v>
      </c>
      <c r="AP70" s="171">
        <f>SUMIFS('Future Orders'!$H70, 'Future Orders'!$C70, "A", 'Future Orders'!$B70, "1")</f>
        <v>0</v>
      </c>
      <c r="AQ70" s="171">
        <f>SUMIFS('Future Orders'!$I70, 'Future Orders'!$C70, "B", 'Future Orders'!$B70, "1")</f>
        <v>0</v>
      </c>
      <c r="AR70" s="171">
        <f>SUMIFS('Future Orders'!$H70, 'Future Orders'!$C70, "A", 'Future Orders'!$B70, "2")</f>
        <v>7051</v>
      </c>
      <c r="AS70" s="171">
        <f>SUMIFS('Future Orders'!$I70, 'Future Orders'!$C70, "B", 'Future Orders'!$B70, "2")</f>
        <v>0</v>
      </c>
      <c r="AT70" s="145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9"/>
      <c r="CB70" s="179"/>
      <c r="CC70" s="179"/>
      <c r="CD70" s="179"/>
      <c r="CE70" s="179"/>
      <c r="CF70" s="179"/>
      <c r="CG70" s="179"/>
      <c r="CH70" s="179"/>
      <c r="CI70" s="179"/>
      <c r="CJ70" s="179"/>
      <c r="CK70" s="179"/>
      <c r="CL70" s="179"/>
      <c r="CM70" s="179"/>
      <c r="CN70" s="179"/>
      <c r="CO70" s="179"/>
      <c r="CP70" s="179"/>
    </row>
    <row r="71" ht="15.75" customHeight="1">
      <c r="A71" s="151">
        <v>41932.0</v>
      </c>
      <c r="B71" s="152">
        <v>2.0</v>
      </c>
      <c r="C71" s="152" t="s">
        <v>45</v>
      </c>
      <c r="D71" s="152">
        <v>2.0</v>
      </c>
      <c r="E71" s="153">
        <v>5832.0</v>
      </c>
      <c r="F71" s="153">
        <f>SUM(('Future Orders'!$E71) * (1.1))</f>
        <v>6415.2</v>
      </c>
      <c r="G71" s="154">
        <v>1.2</v>
      </c>
      <c r="H71" s="155">
        <v>6998.4</v>
      </c>
      <c r="I71" s="155">
        <f>SUM(('Future Orders'!$H71) * (1.1))</f>
        <v>7698.24</v>
      </c>
      <c r="J71" s="159">
        <f>SUMIFS('Future Orders'!$F71, 'Future Orders'!$D71, "1", 'Future Orders'!$C71, "A", 'Future Orders'!$B71, "1")</f>
        <v>0</v>
      </c>
      <c r="K71" s="157">
        <f>SUMIFS('Future Orders'!$I71, 'Future Orders'!$D71, "1", 'Future Orders'!$C71, "A", 'Future Orders'!$B71, "1")</f>
        <v>0</v>
      </c>
      <c r="L71" s="157">
        <f>SUMIFS('Future Orders'!$F71, 'Future Orders'!$D71, "1", 'Future Orders'!$C71, "B", 'Future Orders'!$B71, "1")</f>
        <v>0</v>
      </c>
      <c r="M71" s="157">
        <f>SUMIFS('Future Orders'!$I71, 'Future Orders'!$D71, "1", 'Future Orders'!$C71, "B", 'Future Orders'!$B71, "1")</f>
        <v>0</v>
      </c>
      <c r="N71" s="159">
        <f>SUMIFS('Future Orders'!$F71, 'Future Orders'!$D71, "1", 'Future Orders'!$C71, "A", 'Future Orders'!$B71, "2")</f>
        <v>0</v>
      </c>
      <c r="O71" s="157">
        <f>SUMIFS('Future Orders'!$I71, 'Future Orders'!$D71, "1", 'Future Orders'!$C71, "A", 'Future Orders'!$B71, "2")</f>
        <v>0</v>
      </c>
      <c r="P71" s="157">
        <f>SUMIFS('Future Orders'!$E71, 'Future Orders'!$D71, "1", 'Future Orders'!$C71, "B", 'Future Orders'!$B71, "2")</f>
        <v>0</v>
      </c>
      <c r="Q71" s="157">
        <f>SUMIFS('Future Orders'!$I71, 'Future Orders'!$D71, "1", 'Future Orders'!$C71, "B", 'Future Orders'!$B71, "2")</f>
        <v>0</v>
      </c>
      <c r="R71" s="159">
        <f>SUMIFS('Future Orders'!$F71, 'Future Orders'!$D71, "2", 'Future Orders'!$C71, "A", 'Future Orders'!$B71, "1")</f>
        <v>0</v>
      </c>
      <c r="S71" s="157">
        <f>SUMIFS('Future Orders'!$I71, 'Future Orders'!$D71, "2", 'Future Orders'!$C71, "A", 'Future Orders'!$B71, "1")</f>
        <v>0</v>
      </c>
      <c r="T71" s="159">
        <f>SUMIFS('Future Orders'!$F71, 'Future Orders'!$D71, "2", 'Future Orders'!$C71, "B", 'Future Orders'!$B71, "1")</f>
        <v>0</v>
      </c>
      <c r="U71" s="157">
        <f>SUMIFS('Future Orders'!$I71, 'Future Orders'!$D71, "2", 'Future Orders'!$C71, "B", 'Future Orders'!$B71, "1")</f>
        <v>0</v>
      </c>
      <c r="V71" s="159">
        <f>SUMIFS('Future Orders'!$F71, 'Future Orders'!$D71, "2", 'Future Orders'!$C71, "A", 'Future Orders'!$B71, "2")</f>
        <v>6415.2</v>
      </c>
      <c r="W71" s="157">
        <f>SUMIFS('Future Orders'!$I71, 'Future Orders'!$D71, "2", 'Future Orders'!$C71, "A", 'Future Orders'!$B71, "2")</f>
        <v>7698.24</v>
      </c>
      <c r="X71" s="159">
        <f>SUMIFS('Future Orders'!$F71, 'Future Orders'!$D71, "2", 'Future Orders'!$C71, "B", 'Future Orders'!$B71, "2")</f>
        <v>0</v>
      </c>
      <c r="Y71" s="159">
        <f>SUMIFS('Future Orders'!$I71, 'Future Orders'!$D71, "2", 'Future Orders'!$C71, "B", 'Future Orders'!$B71, "2")</f>
        <v>0</v>
      </c>
      <c r="Z71" s="159">
        <f>SUMIFS('Future Orders'!$F71, 'Future Orders'!$D71, "3", 'Future Orders'!$C71, "A", 'Future Orders'!$B71, "1")</f>
        <v>0</v>
      </c>
      <c r="AA71" s="159">
        <f>SUMIFS('Future Orders'!$I71, 'Future Orders'!$D71, "3", 'Future Orders'!$C71, "A", 'Future Orders'!$B71, "1")</f>
        <v>0</v>
      </c>
      <c r="AB71" s="159">
        <f>SUMIFS('Future Orders'!$F71, 'Future Orders'!$D71, "3", 'Future Orders'!$C71, "B", 'Future Orders'!$B71, "1")</f>
        <v>0</v>
      </c>
      <c r="AC71" s="159">
        <f>SUMIFS('Future Orders'!$I71, 'Future Orders'!$D71, "3", 'Future Orders'!$C71, "B", 'Future Orders'!$B71, "1")</f>
        <v>0</v>
      </c>
      <c r="AD71" s="159">
        <f>SUMIFS('Future Orders'!$F71, 'Future Orders'!$D71, "3", 'Future Orders'!$C71, "A", 'Future Orders'!$B71, "2")</f>
        <v>0</v>
      </c>
      <c r="AE71" s="159">
        <f>SUMIFS('Future Orders'!$I71, 'Future Orders'!$D71, "3", 'Future Orders'!$C71, "A", 'Future Orders'!$B71, "2")</f>
        <v>0</v>
      </c>
      <c r="AF71" s="159">
        <f>SUMIFS('Future Orders'!$F71, 'Future Orders'!$D71, "3", 'Future Orders'!$C71, "B", 'Future Orders'!$B71, "2")</f>
        <v>0</v>
      </c>
      <c r="AG71" s="157">
        <f>SUMIFS('Future Orders'!$I71, 'Future Orders'!$D71, "3", 'Future Orders'!$C71, "B", 'Future Orders'!$B71, "2")</f>
        <v>0</v>
      </c>
      <c r="AH71" s="157">
        <f>SUMIFS('Future Orders'!$F71, 'Future Orders'!$D71, "4", 'Future Orders'!$C71, "A", 'Future Orders'!$B71, "1")</f>
        <v>0</v>
      </c>
      <c r="AI71" s="157">
        <f>SUMIFS('Future Orders'!$I71, 'Future Orders'!$D71, "4", 'Future Orders'!$C71, "A", 'Future Orders'!$B71, "1")</f>
        <v>0</v>
      </c>
      <c r="AJ71" s="157">
        <f>SUMIFS('Future Orders'!$F71, 'Future Orders'!$D71, "4", 'Future Orders'!$C71, "B", 'Future Orders'!$B71, "1")</f>
        <v>0</v>
      </c>
      <c r="AK71" s="157">
        <f>SUMIFS('Future Orders'!$I71, 'Future Orders'!$D71, "4", 'Future Orders'!$C71, "B", 'Future Orders'!$B71, "1")</f>
        <v>0</v>
      </c>
      <c r="AL71" s="157">
        <f>SUMIFS('Future Orders'!$F71, 'Future Orders'!$D71, "4", 'Future Orders'!$C71, "A", 'Future Orders'!$B71, "2")</f>
        <v>0</v>
      </c>
      <c r="AM71" s="157">
        <f>SUMIFS('Future Orders'!$I71, 'Future Orders'!$D71, "4", 'Future Orders'!$C71, "A", 'Future Orders'!$B71, "2")</f>
        <v>0</v>
      </c>
      <c r="AN71" s="171">
        <f>SUMIFS('Future Orders'!$F71, 'Future Orders'!$D71, "4", 'Future Orders'!$C71, "B", 'Future Orders'!$B71, "2")</f>
        <v>0</v>
      </c>
      <c r="AO71" s="171">
        <f>SUMIFS('Future Orders'!$I71, 'Future Orders'!$D71, "4", 'Future Orders'!$C71, "B", 'Future Orders'!$B71, "2")</f>
        <v>0</v>
      </c>
      <c r="AP71" s="171">
        <f>SUMIFS('Future Orders'!$H71, 'Future Orders'!$C71, "A", 'Future Orders'!$B71, "1")</f>
        <v>0</v>
      </c>
      <c r="AQ71" s="171">
        <f>SUMIFS('Future Orders'!$I71, 'Future Orders'!$C71, "B", 'Future Orders'!$B71, "1")</f>
        <v>0</v>
      </c>
      <c r="AR71" s="171">
        <f>SUMIFS('Future Orders'!$H71, 'Future Orders'!$C71, "A", 'Future Orders'!$B71, "2")</f>
        <v>6998.4</v>
      </c>
      <c r="AS71" s="171">
        <f>SUMIFS('Future Orders'!$I71, 'Future Orders'!$C71, "B", 'Future Orders'!$B71, "2")</f>
        <v>0</v>
      </c>
      <c r="AT71" s="145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2"/>
      <c r="BZ71" s="172"/>
      <c r="CA71" s="179"/>
      <c r="CB71" s="179"/>
      <c r="CC71" s="179"/>
      <c r="CD71" s="179"/>
      <c r="CE71" s="179"/>
      <c r="CF71" s="179"/>
      <c r="CG71" s="179"/>
      <c r="CH71" s="179"/>
      <c r="CI71" s="179"/>
      <c r="CJ71" s="179"/>
      <c r="CK71" s="179"/>
      <c r="CL71" s="179"/>
      <c r="CM71" s="179"/>
      <c r="CN71" s="179"/>
      <c r="CO71" s="179"/>
      <c r="CP71" s="179"/>
    </row>
    <row r="72" ht="15.75" customHeight="1">
      <c r="A72" s="151">
        <v>41932.0</v>
      </c>
      <c r="B72" s="152">
        <v>1.0</v>
      </c>
      <c r="C72" s="152" t="s">
        <v>46</v>
      </c>
      <c r="D72" s="152">
        <v>3.0</v>
      </c>
      <c r="E72" s="153">
        <v>1890.0</v>
      </c>
      <c r="F72" s="153">
        <f>SUM(('Future Orders'!$E72) * (1.1))</f>
        <v>2079</v>
      </c>
      <c r="G72" s="154">
        <v>8.3</v>
      </c>
      <c r="H72" s="155">
        <v>15687.000000000002</v>
      </c>
      <c r="I72" s="155">
        <f>SUM(('Future Orders'!$H72) * (1.1))</f>
        <v>17255.7</v>
      </c>
      <c r="J72" s="159">
        <f>SUMIFS('Future Orders'!$F72, 'Future Orders'!$D72, "1", 'Future Orders'!$C72, "A", 'Future Orders'!$B72, "1")</f>
        <v>0</v>
      </c>
      <c r="K72" s="157">
        <f>SUMIFS('Future Orders'!$I72, 'Future Orders'!$D72, "1", 'Future Orders'!$C72, "A", 'Future Orders'!$B72, "1")</f>
        <v>0</v>
      </c>
      <c r="L72" s="157">
        <f>SUMIFS('Future Orders'!$F72, 'Future Orders'!$D72, "1", 'Future Orders'!$C72, "B", 'Future Orders'!$B72, "1")</f>
        <v>0</v>
      </c>
      <c r="M72" s="157">
        <f>SUMIFS('Future Orders'!$I72, 'Future Orders'!$D72, "1", 'Future Orders'!$C72, "B", 'Future Orders'!$B72, "1")</f>
        <v>0</v>
      </c>
      <c r="N72" s="159">
        <f>SUMIFS('Future Orders'!$F72, 'Future Orders'!$D72, "1", 'Future Orders'!$C72, "A", 'Future Orders'!$B72, "2")</f>
        <v>0</v>
      </c>
      <c r="O72" s="157">
        <f>SUMIFS('Future Orders'!$I72, 'Future Orders'!$D72, "1", 'Future Orders'!$C72, "A", 'Future Orders'!$B72, "2")</f>
        <v>0</v>
      </c>
      <c r="P72" s="157">
        <f>SUMIFS('Future Orders'!$E72, 'Future Orders'!$D72, "1", 'Future Orders'!$C72, "B", 'Future Orders'!$B72, "2")</f>
        <v>0</v>
      </c>
      <c r="Q72" s="157">
        <f>SUMIFS('Future Orders'!$I72, 'Future Orders'!$D72, "1", 'Future Orders'!$C72, "B", 'Future Orders'!$B72, "2")</f>
        <v>0</v>
      </c>
      <c r="R72" s="159">
        <f>SUMIFS('Future Orders'!$F72, 'Future Orders'!$D72, "2", 'Future Orders'!$C72, "A", 'Future Orders'!$B72, "1")</f>
        <v>0</v>
      </c>
      <c r="S72" s="157">
        <f>SUMIFS('Future Orders'!$I72, 'Future Orders'!$D72, "2", 'Future Orders'!$C72, "A", 'Future Orders'!$B72, "1")</f>
        <v>0</v>
      </c>
      <c r="T72" s="159">
        <f>SUMIFS('Future Orders'!$F72, 'Future Orders'!$D72, "2", 'Future Orders'!$C72, "B", 'Future Orders'!$B72, "1")</f>
        <v>0</v>
      </c>
      <c r="U72" s="157">
        <f>SUMIFS('Future Orders'!$I72, 'Future Orders'!$D72, "2", 'Future Orders'!$C72, "B", 'Future Orders'!$B72, "1")</f>
        <v>0</v>
      </c>
      <c r="V72" s="159">
        <f>SUMIFS('Future Orders'!$F72, 'Future Orders'!$D72, "2", 'Future Orders'!$C72, "A", 'Future Orders'!$B72, "2")</f>
        <v>0</v>
      </c>
      <c r="W72" s="157">
        <f>SUMIFS('Future Orders'!$I72, 'Future Orders'!$D72, "2", 'Future Orders'!$C72, "A", 'Future Orders'!$B72, "2")</f>
        <v>0</v>
      </c>
      <c r="X72" s="159">
        <f>SUMIFS('Future Orders'!$F72, 'Future Orders'!$D72, "2", 'Future Orders'!$C72, "B", 'Future Orders'!$B72, "2")</f>
        <v>0</v>
      </c>
      <c r="Y72" s="159">
        <f>SUMIFS('Future Orders'!$I72, 'Future Orders'!$D72, "2", 'Future Orders'!$C72, "B", 'Future Orders'!$B72, "2")</f>
        <v>0</v>
      </c>
      <c r="Z72" s="159">
        <f>SUMIFS('Future Orders'!$F72, 'Future Orders'!$D72, "3", 'Future Orders'!$C72, "A", 'Future Orders'!$B72, "1")</f>
        <v>0</v>
      </c>
      <c r="AA72" s="159">
        <f>SUMIFS('Future Orders'!$I72, 'Future Orders'!$D72, "3", 'Future Orders'!$C72, "A", 'Future Orders'!$B72, "1")</f>
        <v>0</v>
      </c>
      <c r="AB72" s="159">
        <f>SUMIFS('Future Orders'!$F72, 'Future Orders'!$D72, "3", 'Future Orders'!$C72, "B", 'Future Orders'!$B72, "1")</f>
        <v>2079</v>
      </c>
      <c r="AC72" s="159">
        <f>SUMIFS('Future Orders'!$I72, 'Future Orders'!$D72, "3", 'Future Orders'!$C72, "B", 'Future Orders'!$B72, "1")</f>
        <v>17255.7</v>
      </c>
      <c r="AD72" s="159">
        <f>SUMIFS('Future Orders'!$F72, 'Future Orders'!$D72, "3", 'Future Orders'!$C72, "A", 'Future Orders'!$B72, "2")</f>
        <v>0</v>
      </c>
      <c r="AE72" s="159">
        <f>SUMIFS('Future Orders'!$I72, 'Future Orders'!$D72, "3", 'Future Orders'!$C72, "A", 'Future Orders'!$B72, "2")</f>
        <v>0</v>
      </c>
      <c r="AF72" s="159">
        <f>SUMIFS('Future Orders'!$F72, 'Future Orders'!$D72, "3", 'Future Orders'!$C72, "B", 'Future Orders'!$B72, "2")</f>
        <v>0</v>
      </c>
      <c r="AG72" s="157">
        <f>SUMIFS('Future Orders'!$I72, 'Future Orders'!$D72, "3", 'Future Orders'!$C72, "B", 'Future Orders'!$B72, "2")</f>
        <v>0</v>
      </c>
      <c r="AH72" s="157">
        <f>SUMIFS('Future Orders'!$F72, 'Future Orders'!$D72, "4", 'Future Orders'!$C72, "A", 'Future Orders'!$B72, "1")</f>
        <v>0</v>
      </c>
      <c r="AI72" s="157">
        <f>SUMIFS('Future Orders'!$I72, 'Future Orders'!$D72, "4", 'Future Orders'!$C72, "A", 'Future Orders'!$B72, "1")</f>
        <v>0</v>
      </c>
      <c r="AJ72" s="157">
        <f>SUMIFS('Future Orders'!$F72, 'Future Orders'!$D72, "4", 'Future Orders'!$C72, "B", 'Future Orders'!$B72, "1")</f>
        <v>0</v>
      </c>
      <c r="AK72" s="157">
        <f>SUMIFS('Future Orders'!$I72, 'Future Orders'!$D72, "4", 'Future Orders'!$C72, "B", 'Future Orders'!$B72, "1")</f>
        <v>0</v>
      </c>
      <c r="AL72" s="157">
        <f>SUMIFS('Future Orders'!$F72, 'Future Orders'!$D72, "4", 'Future Orders'!$C72, "A", 'Future Orders'!$B72, "2")</f>
        <v>0</v>
      </c>
      <c r="AM72" s="157">
        <f>SUMIFS('Future Orders'!$I72, 'Future Orders'!$D72, "4", 'Future Orders'!$C72, "A", 'Future Orders'!$B72, "2")</f>
        <v>0</v>
      </c>
      <c r="AN72" s="171">
        <f>SUMIFS('Future Orders'!$F72, 'Future Orders'!$D72, "4", 'Future Orders'!$C72, "B", 'Future Orders'!$B72, "2")</f>
        <v>0</v>
      </c>
      <c r="AO72" s="171">
        <f>SUMIFS('Future Orders'!$I72, 'Future Orders'!$D72, "4", 'Future Orders'!$C72, "B", 'Future Orders'!$B72, "2")</f>
        <v>0</v>
      </c>
      <c r="AP72" s="171">
        <f>SUMIFS('Future Orders'!$H72, 'Future Orders'!$C72, "A", 'Future Orders'!$B72, "1")</f>
        <v>0</v>
      </c>
      <c r="AQ72" s="171">
        <f>SUMIFS('Future Orders'!$I72, 'Future Orders'!$C72, "B", 'Future Orders'!$B72, "1")</f>
        <v>17255.7</v>
      </c>
      <c r="AR72" s="171">
        <f>SUMIFS('Future Orders'!$H72, 'Future Orders'!$C72, "A", 'Future Orders'!$B72, "2")</f>
        <v>0</v>
      </c>
      <c r="AS72" s="171">
        <f>SUMIFS('Future Orders'!$I72, 'Future Orders'!$C72, "B", 'Future Orders'!$B72, "2")</f>
        <v>0</v>
      </c>
      <c r="AT72" s="145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9"/>
      <c r="CB72" s="179"/>
      <c r="CC72" s="179"/>
      <c r="CD72" s="179"/>
      <c r="CE72" s="179"/>
      <c r="CF72" s="179"/>
      <c r="CG72" s="179"/>
      <c r="CH72" s="179"/>
      <c r="CI72" s="179"/>
      <c r="CJ72" s="179"/>
      <c r="CK72" s="179"/>
      <c r="CL72" s="179"/>
      <c r="CM72" s="179"/>
      <c r="CN72" s="179"/>
      <c r="CO72" s="179"/>
      <c r="CP72" s="179"/>
    </row>
    <row r="73" ht="15.75" customHeight="1">
      <c r="A73" s="151">
        <v>41932.0</v>
      </c>
      <c r="B73" s="152">
        <v>2.0</v>
      </c>
      <c r="C73" s="152" t="s">
        <v>46</v>
      </c>
      <c r="D73" s="152">
        <v>3.0</v>
      </c>
      <c r="E73" s="153">
        <v>2538.0</v>
      </c>
      <c r="F73" s="153">
        <f>SUM(('Future Orders'!$E73) * (1.1))</f>
        <v>2791.8</v>
      </c>
      <c r="G73" s="154">
        <v>8.3</v>
      </c>
      <c r="H73" s="155">
        <v>21065.4</v>
      </c>
      <c r="I73" s="155">
        <f>SUM(('Future Orders'!$H73) * (1.1))</f>
        <v>23171.94</v>
      </c>
      <c r="J73" s="159">
        <f>SUMIFS('Future Orders'!$F73, 'Future Orders'!$D73, "1", 'Future Orders'!$C73, "A", 'Future Orders'!$B73, "1")</f>
        <v>0</v>
      </c>
      <c r="K73" s="157">
        <f>SUMIFS('Future Orders'!$I73, 'Future Orders'!$D73, "1", 'Future Orders'!$C73, "A", 'Future Orders'!$B73, "1")</f>
        <v>0</v>
      </c>
      <c r="L73" s="157">
        <f>SUMIFS('Future Orders'!$F73, 'Future Orders'!$D73, "1", 'Future Orders'!$C73, "B", 'Future Orders'!$B73, "1")</f>
        <v>0</v>
      </c>
      <c r="M73" s="157">
        <f>SUMIFS('Future Orders'!$I73, 'Future Orders'!$D73, "1", 'Future Orders'!$C73, "B", 'Future Orders'!$B73, "1")</f>
        <v>0</v>
      </c>
      <c r="N73" s="159">
        <f>SUMIFS('Future Orders'!$F73, 'Future Orders'!$D73, "1", 'Future Orders'!$C73, "A", 'Future Orders'!$B73, "2")</f>
        <v>0</v>
      </c>
      <c r="O73" s="157">
        <f>SUMIFS('Future Orders'!$I73, 'Future Orders'!$D73, "1", 'Future Orders'!$C73, "A", 'Future Orders'!$B73, "2")</f>
        <v>0</v>
      </c>
      <c r="P73" s="157">
        <f>SUMIFS('Future Orders'!$E73, 'Future Orders'!$D73, "1", 'Future Orders'!$C73, "B", 'Future Orders'!$B73, "2")</f>
        <v>0</v>
      </c>
      <c r="Q73" s="157">
        <f>SUMIFS('Future Orders'!$I73, 'Future Orders'!$D73, "1", 'Future Orders'!$C73, "B", 'Future Orders'!$B73, "2")</f>
        <v>0</v>
      </c>
      <c r="R73" s="159">
        <f>SUMIFS('Future Orders'!$F73, 'Future Orders'!$D73, "2", 'Future Orders'!$C73, "A", 'Future Orders'!$B73, "1")</f>
        <v>0</v>
      </c>
      <c r="S73" s="157">
        <f>SUMIFS('Future Orders'!$I73, 'Future Orders'!$D73, "2", 'Future Orders'!$C73, "A", 'Future Orders'!$B73, "1")</f>
        <v>0</v>
      </c>
      <c r="T73" s="159">
        <f>SUMIFS('Future Orders'!$F73, 'Future Orders'!$D73, "2", 'Future Orders'!$C73, "B", 'Future Orders'!$B73, "1")</f>
        <v>0</v>
      </c>
      <c r="U73" s="157">
        <f>SUMIFS('Future Orders'!$I73, 'Future Orders'!$D73, "2", 'Future Orders'!$C73, "B", 'Future Orders'!$B73, "1")</f>
        <v>0</v>
      </c>
      <c r="V73" s="159">
        <f>SUMIFS('Future Orders'!$F73, 'Future Orders'!$D73, "2", 'Future Orders'!$C73, "A", 'Future Orders'!$B73, "2")</f>
        <v>0</v>
      </c>
      <c r="W73" s="157">
        <f>SUMIFS('Future Orders'!$I73, 'Future Orders'!$D73, "2", 'Future Orders'!$C73, "A", 'Future Orders'!$B73, "2")</f>
        <v>0</v>
      </c>
      <c r="X73" s="159">
        <f>SUMIFS('Future Orders'!$F73, 'Future Orders'!$D73, "2", 'Future Orders'!$C73, "B", 'Future Orders'!$B73, "2")</f>
        <v>0</v>
      </c>
      <c r="Y73" s="159">
        <f>SUMIFS('Future Orders'!$I73, 'Future Orders'!$D73, "2", 'Future Orders'!$C73, "B", 'Future Orders'!$B73, "2")</f>
        <v>0</v>
      </c>
      <c r="Z73" s="159">
        <f>SUMIFS('Future Orders'!$F73, 'Future Orders'!$D73, "3", 'Future Orders'!$C73, "A", 'Future Orders'!$B73, "1")</f>
        <v>0</v>
      </c>
      <c r="AA73" s="159">
        <f>SUMIFS('Future Orders'!$I73, 'Future Orders'!$D73, "3", 'Future Orders'!$C73, "A", 'Future Orders'!$B73, "1")</f>
        <v>0</v>
      </c>
      <c r="AB73" s="159">
        <f>SUMIFS('Future Orders'!$F73, 'Future Orders'!$D73, "3", 'Future Orders'!$C73, "B", 'Future Orders'!$B73, "1")</f>
        <v>0</v>
      </c>
      <c r="AC73" s="159">
        <f>SUMIFS('Future Orders'!$I73, 'Future Orders'!$D73, "3", 'Future Orders'!$C73, "B", 'Future Orders'!$B73, "1")</f>
        <v>0</v>
      </c>
      <c r="AD73" s="159">
        <f>SUMIFS('Future Orders'!$F73, 'Future Orders'!$D73, "3", 'Future Orders'!$C73, "A", 'Future Orders'!$B73, "2")</f>
        <v>0</v>
      </c>
      <c r="AE73" s="159">
        <f>SUMIFS('Future Orders'!$I73, 'Future Orders'!$D73, "3", 'Future Orders'!$C73, "A", 'Future Orders'!$B73, "2")</f>
        <v>0</v>
      </c>
      <c r="AF73" s="159">
        <f>SUMIFS('Future Orders'!$F73, 'Future Orders'!$D73, "3", 'Future Orders'!$C73, "B", 'Future Orders'!$B73, "2")</f>
        <v>2791.8</v>
      </c>
      <c r="AG73" s="157">
        <f>SUMIFS('Future Orders'!$I73, 'Future Orders'!$D73, "3", 'Future Orders'!$C73, "B", 'Future Orders'!$B73, "2")</f>
        <v>23171.94</v>
      </c>
      <c r="AH73" s="157">
        <f>SUMIFS('Future Orders'!$F73, 'Future Orders'!$D73, "4", 'Future Orders'!$C73, "A", 'Future Orders'!$B73, "1")</f>
        <v>0</v>
      </c>
      <c r="AI73" s="157">
        <f>SUMIFS('Future Orders'!$I73, 'Future Orders'!$D73, "4", 'Future Orders'!$C73, "A", 'Future Orders'!$B73, "1")</f>
        <v>0</v>
      </c>
      <c r="AJ73" s="157">
        <f>SUMIFS('Future Orders'!$F73, 'Future Orders'!$D73, "4", 'Future Orders'!$C73, "B", 'Future Orders'!$B73, "1")</f>
        <v>0</v>
      </c>
      <c r="AK73" s="157">
        <f>SUMIFS('Future Orders'!$I73, 'Future Orders'!$D73, "4", 'Future Orders'!$C73, "B", 'Future Orders'!$B73, "1")</f>
        <v>0</v>
      </c>
      <c r="AL73" s="157">
        <f>SUMIFS('Future Orders'!$F73, 'Future Orders'!$D73, "4", 'Future Orders'!$C73, "A", 'Future Orders'!$B73, "2")</f>
        <v>0</v>
      </c>
      <c r="AM73" s="157">
        <f>SUMIFS('Future Orders'!$I73, 'Future Orders'!$D73, "4", 'Future Orders'!$C73, "A", 'Future Orders'!$B73, "2")</f>
        <v>0</v>
      </c>
      <c r="AN73" s="171">
        <f>SUMIFS('Future Orders'!$F73, 'Future Orders'!$D73, "4", 'Future Orders'!$C73, "B", 'Future Orders'!$B73, "2")</f>
        <v>0</v>
      </c>
      <c r="AO73" s="171">
        <f>SUMIFS('Future Orders'!$I73, 'Future Orders'!$D73, "4", 'Future Orders'!$C73, "B", 'Future Orders'!$B73, "2")</f>
        <v>0</v>
      </c>
      <c r="AP73" s="171">
        <f>SUMIFS('Future Orders'!$H73, 'Future Orders'!$C73, "A", 'Future Orders'!$B73, "1")</f>
        <v>0</v>
      </c>
      <c r="AQ73" s="171">
        <f>SUMIFS('Future Orders'!$I73, 'Future Orders'!$C73, "B", 'Future Orders'!$B73, "1")</f>
        <v>0</v>
      </c>
      <c r="AR73" s="171">
        <f>SUMIFS('Future Orders'!$H73, 'Future Orders'!$C73, "A", 'Future Orders'!$B73, "2")</f>
        <v>0</v>
      </c>
      <c r="AS73" s="171">
        <f>SUMIFS('Future Orders'!$I73, 'Future Orders'!$C73, "B", 'Future Orders'!$B73, "2")</f>
        <v>23171.94</v>
      </c>
      <c r="AT73" s="145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9"/>
      <c r="CB73" s="179"/>
      <c r="CC73" s="179"/>
      <c r="CD73" s="179"/>
      <c r="CE73" s="179"/>
      <c r="CF73" s="179"/>
      <c r="CG73" s="179"/>
      <c r="CH73" s="179"/>
      <c r="CI73" s="179"/>
      <c r="CJ73" s="179"/>
      <c r="CK73" s="179"/>
      <c r="CL73" s="179"/>
      <c r="CM73" s="179"/>
      <c r="CN73" s="179"/>
      <c r="CO73" s="179"/>
      <c r="CP73" s="179"/>
    </row>
    <row r="74" ht="15.75" customHeight="1">
      <c r="A74" s="151">
        <v>41939.0</v>
      </c>
      <c r="B74" s="152">
        <v>1.0</v>
      </c>
      <c r="C74" s="152" t="s">
        <v>45</v>
      </c>
      <c r="D74" s="152">
        <v>1.0</v>
      </c>
      <c r="E74" s="153">
        <v>2990.0</v>
      </c>
      <c r="F74" s="153">
        <f>SUM(('Future Orders'!$E74) * (1.1))</f>
        <v>3289</v>
      </c>
      <c r="G74" s="154">
        <v>2.2</v>
      </c>
      <c r="H74" s="155">
        <v>6578.000000000001</v>
      </c>
      <c r="I74" s="155">
        <f>SUM(('Future Orders'!$H74) * (1.1))</f>
        <v>7235.8</v>
      </c>
      <c r="J74" s="159">
        <f>SUMIFS('Future Orders'!$F74, 'Future Orders'!$D74, "1", 'Future Orders'!$C74, "A", 'Future Orders'!$B74, "1")</f>
        <v>3289</v>
      </c>
      <c r="K74" s="157">
        <f>SUMIFS('Future Orders'!$I74, 'Future Orders'!$D74, "1", 'Future Orders'!$C74, "A", 'Future Orders'!$B74, "1")</f>
        <v>7235.8</v>
      </c>
      <c r="L74" s="157">
        <f>SUMIFS('Future Orders'!$F74, 'Future Orders'!$D74, "1", 'Future Orders'!$C74, "B", 'Future Orders'!$B74, "1")</f>
        <v>0</v>
      </c>
      <c r="M74" s="157">
        <f>SUMIFS('Future Orders'!$I74, 'Future Orders'!$D74, "1", 'Future Orders'!$C74, "B", 'Future Orders'!$B74, "1")</f>
        <v>0</v>
      </c>
      <c r="N74" s="159">
        <f>SUMIFS('Future Orders'!$F74, 'Future Orders'!$D74, "1", 'Future Orders'!$C74, "A", 'Future Orders'!$B74, "2")</f>
        <v>0</v>
      </c>
      <c r="O74" s="157">
        <f>SUMIFS('Future Orders'!$I74, 'Future Orders'!$D74, "1", 'Future Orders'!$C74, "A", 'Future Orders'!$B74, "2")</f>
        <v>0</v>
      </c>
      <c r="P74" s="157">
        <f>SUMIFS('Future Orders'!$E74, 'Future Orders'!$D74, "1", 'Future Orders'!$C74, "B", 'Future Orders'!$B74, "2")</f>
        <v>0</v>
      </c>
      <c r="Q74" s="157">
        <f>SUMIFS('Future Orders'!$I74, 'Future Orders'!$D74, "1", 'Future Orders'!$C74, "B", 'Future Orders'!$B74, "2")</f>
        <v>0</v>
      </c>
      <c r="R74" s="159">
        <f>SUMIFS('Future Orders'!$F74, 'Future Orders'!$D74, "2", 'Future Orders'!$C74, "A", 'Future Orders'!$B74, "1")</f>
        <v>0</v>
      </c>
      <c r="S74" s="157">
        <f>SUMIFS('Future Orders'!$I74, 'Future Orders'!$D74, "2", 'Future Orders'!$C74, "A", 'Future Orders'!$B74, "1")</f>
        <v>0</v>
      </c>
      <c r="T74" s="159">
        <f>SUMIFS('Future Orders'!$F74, 'Future Orders'!$D74, "2", 'Future Orders'!$C74, "B", 'Future Orders'!$B74, "1")</f>
        <v>0</v>
      </c>
      <c r="U74" s="157">
        <f>SUMIFS('Future Orders'!$I74, 'Future Orders'!$D74, "2", 'Future Orders'!$C74, "B", 'Future Orders'!$B74, "1")</f>
        <v>0</v>
      </c>
      <c r="V74" s="159">
        <f>SUMIFS('Future Orders'!$F74, 'Future Orders'!$D74, "2", 'Future Orders'!$C74, "A", 'Future Orders'!$B74, "2")</f>
        <v>0</v>
      </c>
      <c r="W74" s="157">
        <f>SUMIFS('Future Orders'!$I74, 'Future Orders'!$D74, "2", 'Future Orders'!$C74, "A", 'Future Orders'!$B74, "2")</f>
        <v>0</v>
      </c>
      <c r="X74" s="159">
        <f>SUMIFS('Future Orders'!$F74, 'Future Orders'!$D74, "2", 'Future Orders'!$C74, "B", 'Future Orders'!$B74, "2")</f>
        <v>0</v>
      </c>
      <c r="Y74" s="159">
        <f>SUMIFS('Future Orders'!$I74, 'Future Orders'!$D74, "2", 'Future Orders'!$C74, "B", 'Future Orders'!$B74, "2")</f>
        <v>0</v>
      </c>
      <c r="Z74" s="159">
        <f>SUMIFS('Future Orders'!$F74, 'Future Orders'!$D74, "3", 'Future Orders'!$C74, "A", 'Future Orders'!$B74, "1")</f>
        <v>0</v>
      </c>
      <c r="AA74" s="159">
        <f>SUMIFS('Future Orders'!$I74, 'Future Orders'!$D74, "3", 'Future Orders'!$C74, "A", 'Future Orders'!$B74, "1")</f>
        <v>0</v>
      </c>
      <c r="AB74" s="159">
        <f>SUMIFS('Future Orders'!$F74, 'Future Orders'!$D74, "3", 'Future Orders'!$C74, "B", 'Future Orders'!$B74, "1")</f>
        <v>0</v>
      </c>
      <c r="AC74" s="159">
        <f>SUMIFS('Future Orders'!$I74, 'Future Orders'!$D74, "3", 'Future Orders'!$C74, "B", 'Future Orders'!$B74, "1")</f>
        <v>0</v>
      </c>
      <c r="AD74" s="159">
        <f>SUMIFS('Future Orders'!$F74, 'Future Orders'!$D74, "3", 'Future Orders'!$C74, "A", 'Future Orders'!$B74, "2")</f>
        <v>0</v>
      </c>
      <c r="AE74" s="159">
        <f>SUMIFS('Future Orders'!$I74, 'Future Orders'!$D74, "3", 'Future Orders'!$C74, "A", 'Future Orders'!$B74, "2")</f>
        <v>0</v>
      </c>
      <c r="AF74" s="159">
        <f>SUMIFS('Future Orders'!$F74, 'Future Orders'!$D74, "3", 'Future Orders'!$C74, "B", 'Future Orders'!$B74, "2")</f>
        <v>0</v>
      </c>
      <c r="AG74" s="157">
        <f>SUMIFS('Future Orders'!$I74, 'Future Orders'!$D74, "3", 'Future Orders'!$C74, "B", 'Future Orders'!$B74, "2")</f>
        <v>0</v>
      </c>
      <c r="AH74" s="157">
        <f>SUMIFS('Future Orders'!$F74, 'Future Orders'!$D74, "4", 'Future Orders'!$C74, "A", 'Future Orders'!$B74, "1")</f>
        <v>0</v>
      </c>
      <c r="AI74" s="157">
        <f>SUMIFS('Future Orders'!$I74, 'Future Orders'!$D74, "4", 'Future Orders'!$C74, "A", 'Future Orders'!$B74, "1")</f>
        <v>0</v>
      </c>
      <c r="AJ74" s="157">
        <f>SUMIFS('Future Orders'!$F74, 'Future Orders'!$D74, "4", 'Future Orders'!$C74, "B", 'Future Orders'!$B74, "1")</f>
        <v>0</v>
      </c>
      <c r="AK74" s="157">
        <f>SUMIFS('Future Orders'!$I74, 'Future Orders'!$D74, "4", 'Future Orders'!$C74, "B", 'Future Orders'!$B74, "1")</f>
        <v>0</v>
      </c>
      <c r="AL74" s="157">
        <f>SUMIFS('Future Orders'!$F74, 'Future Orders'!$D74, "4", 'Future Orders'!$C74, "A", 'Future Orders'!$B74, "2")</f>
        <v>0</v>
      </c>
      <c r="AM74" s="157">
        <f>SUMIFS('Future Orders'!$I74, 'Future Orders'!$D74, "4", 'Future Orders'!$C74, "A", 'Future Orders'!$B74, "2")</f>
        <v>0</v>
      </c>
      <c r="AN74" s="171">
        <f>SUMIFS('Future Orders'!$F74, 'Future Orders'!$D74, "4", 'Future Orders'!$C74, "B", 'Future Orders'!$B74, "2")</f>
        <v>0</v>
      </c>
      <c r="AO74" s="171">
        <f>SUMIFS('Future Orders'!$I74, 'Future Orders'!$D74, "4", 'Future Orders'!$C74, "B", 'Future Orders'!$B74, "2")</f>
        <v>0</v>
      </c>
      <c r="AP74" s="171">
        <f>SUMIFS('Future Orders'!$H74, 'Future Orders'!$C74, "A", 'Future Orders'!$B74, "1")</f>
        <v>6578</v>
      </c>
      <c r="AQ74" s="171">
        <f>SUMIFS('Future Orders'!$I74, 'Future Orders'!$C74, "B", 'Future Orders'!$B74, "1")</f>
        <v>0</v>
      </c>
      <c r="AR74" s="171">
        <f>SUMIFS('Future Orders'!$H74, 'Future Orders'!$C74, "A", 'Future Orders'!$B74, "2")</f>
        <v>0</v>
      </c>
      <c r="AS74" s="171">
        <f>SUMIFS('Future Orders'!$I74, 'Future Orders'!$C74, "B", 'Future Orders'!$B74, "2")</f>
        <v>0</v>
      </c>
      <c r="AT74" s="145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2"/>
      <c r="BZ74" s="172"/>
      <c r="CA74" s="179"/>
      <c r="CB74" s="179"/>
      <c r="CC74" s="179"/>
      <c r="CD74" s="179"/>
      <c r="CE74" s="179"/>
      <c r="CF74" s="179"/>
      <c r="CG74" s="179"/>
      <c r="CH74" s="179"/>
      <c r="CI74" s="179"/>
      <c r="CJ74" s="179"/>
      <c r="CK74" s="179"/>
      <c r="CL74" s="179"/>
      <c r="CM74" s="179"/>
      <c r="CN74" s="179"/>
      <c r="CO74" s="179"/>
      <c r="CP74" s="179"/>
    </row>
    <row r="75" ht="15.75" customHeight="1">
      <c r="A75" s="151">
        <v>41939.0</v>
      </c>
      <c r="B75" s="152">
        <v>1.0</v>
      </c>
      <c r="C75" s="152" t="s">
        <v>45</v>
      </c>
      <c r="D75" s="152">
        <v>2.0</v>
      </c>
      <c r="E75" s="153">
        <v>5490.0</v>
      </c>
      <c r="F75" s="153">
        <f>SUM(('Future Orders'!$E75) * (1.1))</f>
        <v>6039</v>
      </c>
      <c r="G75" s="154">
        <v>1.2</v>
      </c>
      <c r="H75" s="155">
        <v>6588.0</v>
      </c>
      <c r="I75" s="155">
        <f>SUM(('Future Orders'!$H75) * (1.1))</f>
        <v>7246.8</v>
      </c>
      <c r="J75" s="159">
        <f>SUMIFS('Future Orders'!$F75, 'Future Orders'!$D75, "1", 'Future Orders'!$C75, "A", 'Future Orders'!$B75, "1")</f>
        <v>0</v>
      </c>
      <c r="K75" s="157">
        <f>SUMIFS('Future Orders'!$I75, 'Future Orders'!$D75, "1", 'Future Orders'!$C75, "A", 'Future Orders'!$B75, "1")</f>
        <v>0</v>
      </c>
      <c r="L75" s="157">
        <f>SUMIFS('Future Orders'!$F75, 'Future Orders'!$D75, "1", 'Future Orders'!$C75, "B", 'Future Orders'!$B75, "1")</f>
        <v>0</v>
      </c>
      <c r="M75" s="157">
        <f>SUMIFS('Future Orders'!$I75, 'Future Orders'!$D75, "1", 'Future Orders'!$C75, "B", 'Future Orders'!$B75, "1")</f>
        <v>0</v>
      </c>
      <c r="N75" s="159">
        <f>SUMIFS('Future Orders'!$F75, 'Future Orders'!$D75, "1", 'Future Orders'!$C75, "A", 'Future Orders'!$B75, "2")</f>
        <v>0</v>
      </c>
      <c r="O75" s="157">
        <f>SUMIFS('Future Orders'!$I75, 'Future Orders'!$D75, "1", 'Future Orders'!$C75, "A", 'Future Orders'!$B75, "2")</f>
        <v>0</v>
      </c>
      <c r="P75" s="157">
        <f>SUMIFS('Future Orders'!$E75, 'Future Orders'!$D75, "1", 'Future Orders'!$C75, "B", 'Future Orders'!$B75, "2")</f>
        <v>0</v>
      </c>
      <c r="Q75" s="157">
        <f>SUMIFS('Future Orders'!$I75, 'Future Orders'!$D75, "1", 'Future Orders'!$C75, "B", 'Future Orders'!$B75, "2")</f>
        <v>0</v>
      </c>
      <c r="R75" s="159">
        <f>SUMIFS('Future Orders'!$F75, 'Future Orders'!$D75, "2", 'Future Orders'!$C75, "A", 'Future Orders'!$B75, "1")</f>
        <v>6039</v>
      </c>
      <c r="S75" s="157">
        <f>SUMIFS('Future Orders'!$I75, 'Future Orders'!$D75, "2", 'Future Orders'!$C75, "A", 'Future Orders'!$B75, "1")</f>
        <v>7246.8</v>
      </c>
      <c r="T75" s="159">
        <f>SUMIFS('Future Orders'!$F75, 'Future Orders'!$D75, "2", 'Future Orders'!$C75, "B", 'Future Orders'!$B75, "1")</f>
        <v>0</v>
      </c>
      <c r="U75" s="157">
        <f>SUMIFS('Future Orders'!$I75, 'Future Orders'!$D75, "2", 'Future Orders'!$C75, "B", 'Future Orders'!$B75, "1")</f>
        <v>0</v>
      </c>
      <c r="V75" s="159">
        <f>SUMIFS('Future Orders'!$F75, 'Future Orders'!$D75, "2", 'Future Orders'!$C75, "A", 'Future Orders'!$B75, "2")</f>
        <v>0</v>
      </c>
      <c r="W75" s="157">
        <f>SUMIFS('Future Orders'!$I75, 'Future Orders'!$D75, "2", 'Future Orders'!$C75, "A", 'Future Orders'!$B75, "2")</f>
        <v>0</v>
      </c>
      <c r="X75" s="159">
        <f>SUMIFS('Future Orders'!$F75, 'Future Orders'!$D75, "2", 'Future Orders'!$C75, "B", 'Future Orders'!$B75, "2")</f>
        <v>0</v>
      </c>
      <c r="Y75" s="159">
        <f>SUMIFS('Future Orders'!$I75, 'Future Orders'!$D75, "2", 'Future Orders'!$C75, "B", 'Future Orders'!$B75, "2")</f>
        <v>0</v>
      </c>
      <c r="Z75" s="159">
        <f>SUMIFS('Future Orders'!$F75, 'Future Orders'!$D75, "3", 'Future Orders'!$C75, "A", 'Future Orders'!$B75, "1")</f>
        <v>0</v>
      </c>
      <c r="AA75" s="159">
        <f>SUMIFS('Future Orders'!$I75, 'Future Orders'!$D75, "3", 'Future Orders'!$C75, "A", 'Future Orders'!$B75, "1")</f>
        <v>0</v>
      </c>
      <c r="AB75" s="159">
        <f>SUMIFS('Future Orders'!$F75, 'Future Orders'!$D75, "3", 'Future Orders'!$C75, "B", 'Future Orders'!$B75, "1")</f>
        <v>0</v>
      </c>
      <c r="AC75" s="159">
        <f>SUMIFS('Future Orders'!$I75, 'Future Orders'!$D75, "3", 'Future Orders'!$C75, "B", 'Future Orders'!$B75, "1")</f>
        <v>0</v>
      </c>
      <c r="AD75" s="159">
        <f>SUMIFS('Future Orders'!$F75, 'Future Orders'!$D75, "3", 'Future Orders'!$C75, "A", 'Future Orders'!$B75, "2")</f>
        <v>0</v>
      </c>
      <c r="AE75" s="159">
        <f>SUMIFS('Future Orders'!$I75, 'Future Orders'!$D75, "3", 'Future Orders'!$C75, "A", 'Future Orders'!$B75, "2")</f>
        <v>0</v>
      </c>
      <c r="AF75" s="159">
        <f>SUMIFS('Future Orders'!$F75, 'Future Orders'!$D75, "3", 'Future Orders'!$C75, "B", 'Future Orders'!$B75, "2")</f>
        <v>0</v>
      </c>
      <c r="AG75" s="157">
        <f>SUMIFS('Future Orders'!$I75, 'Future Orders'!$D75, "3", 'Future Orders'!$C75, "B", 'Future Orders'!$B75, "2")</f>
        <v>0</v>
      </c>
      <c r="AH75" s="157">
        <f>SUMIFS('Future Orders'!$F75, 'Future Orders'!$D75, "4", 'Future Orders'!$C75, "A", 'Future Orders'!$B75, "1")</f>
        <v>0</v>
      </c>
      <c r="AI75" s="157">
        <f>SUMIFS('Future Orders'!$I75, 'Future Orders'!$D75, "4", 'Future Orders'!$C75, "A", 'Future Orders'!$B75, "1")</f>
        <v>0</v>
      </c>
      <c r="AJ75" s="157">
        <f>SUMIFS('Future Orders'!$F75, 'Future Orders'!$D75, "4", 'Future Orders'!$C75, "B", 'Future Orders'!$B75, "1")</f>
        <v>0</v>
      </c>
      <c r="AK75" s="157">
        <f>SUMIFS('Future Orders'!$I75, 'Future Orders'!$D75, "4", 'Future Orders'!$C75, "B", 'Future Orders'!$B75, "1")</f>
        <v>0</v>
      </c>
      <c r="AL75" s="157">
        <f>SUMIFS('Future Orders'!$F75, 'Future Orders'!$D75, "4", 'Future Orders'!$C75, "A", 'Future Orders'!$B75, "2")</f>
        <v>0</v>
      </c>
      <c r="AM75" s="157">
        <f>SUMIFS('Future Orders'!$I75, 'Future Orders'!$D75, "4", 'Future Orders'!$C75, "A", 'Future Orders'!$B75, "2")</f>
        <v>0</v>
      </c>
      <c r="AN75" s="171">
        <f>SUMIFS('Future Orders'!$F75, 'Future Orders'!$D75, "4", 'Future Orders'!$C75, "B", 'Future Orders'!$B75, "2")</f>
        <v>0</v>
      </c>
      <c r="AO75" s="171">
        <f>SUMIFS('Future Orders'!$I75, 'Future Orders'!$D75, "4", 'Future Orders'!$C75, "B", 'Future Orders'!$B75, "2")</f>
        <v>0</v>
      </c>
      <c r="AP75" s="171">
        <f>SUMIFS('Future Orders'!$H75, 'Future Orders'!$C75, "A", 'Future Orders'!$B75, "1")</f>
        <v>6588</v>
      </c>
      <c r="AQ75" s="171">
        <f>SUMIFS('Future Orders'!$I75, 'Future Orders'!$C75, "B", 'Future Orders'!$B75, "1")</f>
        <v>0</v>
      </c>
      <c r="AR75" s="171">
        <f>SUMIFS('Future Orders'!$H75, 'Future Orders'!$C75, "A", 'Future Orders'!$B75, "2")</f>
        <v>0</v>
      </c>
      <c r="AS75" s="171">
        <f>SUMIFS('Future Orders'!$I75, 'Future Orders'!$C75, "B", 'Future Orders'!$B75, "2")</f>
        <v>0</v>
      </c>
      <c r="AT75" s="145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9"/>
      <c r="CB75" s="179"/>
      <c r="CC75" s="179"/>
      <c r="CD75" s="179"/>
      <c r="CE75" s="179"/>
      <c r="CF75" s="179"/>
      <c r="CG75" s="179"/>
      <c r="CH75" s="179"/>
      <c r="CI75" s="179"/>
      <c r="CJ75" s="179"/>
      <c r="CK75" s="179"/>
      <c r="CL75" s="179"/>
      <c r="CM75" s="179"/>
      <c r="CN75" s="179"/>
      <c r="CO75" s="179"/>
      <c r="CP75" s="179"/>
    </row>
    <row r="76" ht="15.75" customHeight="1">
      <c r="A76" s="151">
        <v>41939.0</v>
      </c>
      <c r="B76" s="152">
        <v>2.0</v>
      </c>
      <c r="C76" s="152" t="s">
        <v>45</v>
      </c>
      <c r="D76" s="152">
        <v>1.0</v>
      </c>
      <c r="E76" s="153">
        <v>1470.0</v>
      </c>
      <c r="F76" s="153">
        <f>SUM(('Future Orders'!$E76) * (1.1))</f>
        <v>1617</v>
      </c>
      <c r="G76" s="154">
        <v>2.2</v>
      </c>
      <c r="H76" s="155">
        <v>3234.0000000000005</v>
      </c>
      <c r="I76" s="155">
        <f>SUM(('Future Orders'!$H76) * (1.1))</f>
        <v>3557.4</v>
      </c>
      <c r="J76" s="159">
        <f>SUMIFS('Future Orders'!$F76, 'Future Orders'!$D76, "1", 'Future Orders'!$C76, "A", 'Future Orders'!$B76, "1")</f>
        <v>0</v>
      </c>
      <c r="K76" s="157">
        <f>SUMIFS('Future Orders'!$I76, 'Future Orders'!$D76, "1", 'Future Orders'!$C76, "A", 'Future Orders'!$B76, "1")</f>
        <v>0</v>
      </c>
      <c r="L76" s="157">
        <f>SUMIFS('Future Orders'!$F76, 'Future Orders'!$D76, "1", 'Future Orders'!$C76, "B", 'Future Orders'!$B76, "1")</f>
        <v>0</v>
      </c>
      <c r="M76" s="157">
        <f>SUMIFS('Future Orders'!$I76, 'Future Orders'!$D76, "1", 'Future Orders'!$C76, "B", 'Future Orders'!$B76, "1")</f>
        <v>0</v>
      </c>
      <c r="N76" s="159">
        <f>SUMIFS('Future Orders'!$F76, 'Future Orders'!$D76, "1", 'Future Orders'!$C76, "A", 'Future Orders'!$B76, "2")</f>
        <v>1617</v>
      </c>
      <c r="O76" s="157">
        <f>SUMIFS('Future Orders'!$I76, 'Future Orders'!$D76, "1", 'Future Orders'!$C76, "A", 'Future Orders'!$B76, "2")</f>
        <v>3557.4</v>
      </c>
      <c r="P76" s="157">
        <f>SUMIFS('Future Orders'!$E76, 'Future Orders'!$D76, "1", 'Future Orders'!$C76, "B", 'Future Orders'!$B76, "2")</f>
        <v>0</v>
      </c>
      <c r="Q76" s="157">
        <f>SUMIFS('Future Orders'!$I76, 'Future Orders'!$D76, "1", 'Future Orders'!$C76, "B", 'Future Orders'!$B76, "2")</f>
        <v>0</v>
      </c>
      <c r="R76" s="159">
        <f>SUMIFS('Future Orders'!$F76, 'Future Orders'!$D76, "2", 'Future Orders'!$C76, "A", 'Future Orders'!$B76, "1")</f>
        <v>0</v>
      </c>
      <c r="S76" s="157">
        <f>SUMIFS('Future Orders'!$I76, 'Future Orders'!$D76, "2", 'Future Orders'!$C76, "A", 'Future Orders'!$B76, "1")</f>
        <v>0</v>
      </c>
      <c r="T76" s="159">
        <f>SUMIFS('Future Orders'!$F76, 'Future Orders'!$D76, "2", 'Future Orders'!$C76, "B", 'Future Orders'!$B76, "1")</f>
        <v>0</v>
      </c>
      <c r="U76" s="157">
        <f>SUMIFS('Future Orders'!$I76, 'Future Orders'!$D76, "2", 'Future Orders'!$C76, "B", 'Future Orders'!$B76, "1")</f>
        <v>0</v>
      </c>
      <c r="V76" s="159">
        <f>SUMIFS('Future Orders'!$F76, 'Future Orders'!$D76, "2", 'Future Orders'!$C76, "A", 'Future Orders'!$B76, "2")</f>
        <v>0</v>
      </c>
      <c r="W76" s="157">
        <f>SUMIFS('Future Orders'!$I76, 'Future Orders'!$D76, "2", 'Future Orders'!$C76, "A", 'Future Orders'!$B76, "2")</f>
        <v>0</v>
      </c>
      <c r="X76" s="159">
        <f>SUMIFS('Future Orders'!$F76, 'Future Orders'!$D76, "2", 'Future Orders'!$C76, "B", 'Future Orders'!$B76, "2")</f>
        <v>0</v>
      </c>
      <c r="Y76" s="159">
        <f>SUMIFS('Future Orders'!$I76, 'Future Orders'!$D76, "2", 'Future Orders'!$C76, "B", 'Future Orders'!$B76, "2")</f>
        <v>0</v>
      </c>
      <c r="Z76" s="159">
        <f>SUMIFS('Future Orders'!$F76, 'Future Orders'!$D76, "3", 'Future Orders'!$C76, "A", 'Future Orders'!$B76, "1")</f>
        <v>0</v>
      </c>
      <c r="AA76" s="159">
        <f>SUMIFS('Future Orders'!$I76, 'Future Orders'!$D76, "3", 'Future Orders'!$C76, "A", 'Future Orders'!$B76, "1")</f>
        <v>0</v>
      </c>
      <c r="AB76" s="159">
        <f>SUMIFS('Future Orders'!$F76, 'Future Orders'!$D76, "3", 'Future Orders'!$C76, "B", 'Future Orders'!$B76, "1")</f>
        <v>0</v>
      </c>
      <c r="AC76" s="159">
        <f>SUMIFS('Future Orders'!$I76, 'Future Orders'!$D76, "3", 'Future Orders'!$C76, "B", 'Future Orders'!$B76, "1")</f>
        <v>0</v>
      </c>
      <c r="AD76" s="159">
        <f>SUMIFS('Future Orders'!$F76, 'Future Orders'!$D76, "3", 'Future Orders'!$C76, "A", 'Future Orders'!$B76, "2")</f>
        <v>0</v>
      </c>
      <c r="AE76" s="159">
        <f>SUMIFS('Future Orders'!$I76, 'Future Orders'!$D76, "3", 'Future Orders'!$C76, "A", 'Future Orders'!$B76, "2")</f>
        <v>0</v>
      </c>
      <c r="AF76" s="159">
        <f>SUMIFS('Future Orders'!$F76, 'Future Orders'!$D76, "3", 'Future Orders'!$C76, "B", 'Future Orders'!$B76, "2")</f>
        <v>0</v>
      </c>
      <c r="AG76" s="157">
        <f>SUMIFS('Future Orders'!$I76, 'Future Orders'!$D76, "3", 'Future Orders'!$C76, "B", 'Future Orders'!$B76, "2")</f>
        <v>0</v>
      </c>
      <c r="AH76" s="157">
        <f>SUMIFS('Future Orders'!$F76, 'Future Orders'!$D76, "4", 'Future Orders'!$C76, "A", 'Future Orders'!$B76, "1")</f>
        <v>0</v>
      </c>
      <c r="AI76" s="157">
        <f>SUMIFS('Future Orders'!$I76, 'Future Orders'!$D76, "4", 'Future Orders'!$C76, "A", 'Future Orders'!$B76, "1")</f>
        <v>0</v>
      </c>
      <c r="AJ76" s="157">
        <f>SUMIFS('Future Orders'!$F76, 'Future Orders'!$D76, "4", 'Future Orders'!$C76, "B", 'Future Orders'!$B76, "1")</f>
        <v>0</v>
      </c>
      <c r="AK76" s="157">
        <f>SUMIFS('Future Orders'!$I76, 'Future Orders'!$D76, "4", 'Future Orders'!$C76, "B", 'Future Orders'!$B76, "1")</f>
        <v>0</v>
      </c>
      <c r="AL76" s="157">
        <f>SUMIFS('Future Orders'!$F76, 'Future Orders'!$D76, "4", 'Future Orders'!$C76, "A", 'Future Orders'!$B76, "2")</f>
        <v>0</v>
      </c>
      <c r="AM76" s="157">
        <f>SUMIFS('Future Orders'!$I76, 'Future Orders'!$D76, "4", 'Future Orders'!$C76, "A", 'Future Orders'!$B76, "2")</f>
        <v>0</v>
      </c>
      <c r="AN76" s="171">
        <f>SUMIFS('Future Orders'!$F76, 'Future Orders'!$D76, "4", 'Future Orders'!$C76, "B", 'Future Orders'!$B76, "2")</f>
        <v>0</v>
      </c>
      <c r="AO76" s="171">
        <f>SUMIFS('Future Orders'!$I76, 'Future Orders'!$D76, "4", 'Future Orders'!$C76, "B", 'Future Orders'!$B76, "2")</f>
        <v>0</v>
      </c>
      <c r="AP76" s="171">
        <f>SUMIFS('Future Orders'!$H76, 'Future Orders'!$C76, "A", 'Future Orders'!$B76, "1")</f>
        <v>0</v>
      </c>
      <c r="AQ76" s="171">
        <f>SUMIFS('Future Orders'!$I76, 'Future Orders'!$C76, "B", 'Future Orders'!$B76, "1")</f>
        <v>0</v>
      </c>
      <c r="AR76" s="171">
        <f>SUMIFS('Future Orders'!$H76, 'Future Orders'!$C76, "A", 'Future Orders'!$B76, "2")</f>
        <v>3234</v>
      </c>
      <c r="AS76" s="171">
        <f>SUMIFS('Future Orders'!$I76, 'Future Orders'!$C76, "B", 'Future Orders'!$B76, "2")</f>
        <v>0</v>
      </c>
      <c r="AT76" s="145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  <c r="BT76" s="172"/>
      <c r="BU76" s="172"/>
      <c r="BV76" s="172"/>
      <c r="BW76" s="172"/>
      <c r="BX76" s="172"/>
      <c r="BY76" s="172"/>
      <c r="BZ76" s="172"/>
      <c r="CA76" s="179"/>
      <c r="CB76" s="179"/>
      <c r="CC76" s="179"/>
      <c r="CD76" s="179"/>
      <c r="CE76" s="179"/>
      <c r="CF76" s="179"/>
      <c r="CG76" s="179"/>
      <c r="CH76" s="179"/>
      <c r="CI76" s="179"/>
      <c r="CJ76" s="179"/>
      <c r="CK76" s="179"/>
      <c r="CL76" s="179"/>
      <c r="CM76" s="179"/>
      <c r="CN76" s="179"/>
      <c r="CO76" s="179"/>
      <c r="CP76" s="179"/>
    </row>
    <row r="77" ht="15.75" customHeight="1">
      <c r="A77" s="151">
        <v>41939.0</v>
      </c>
      <c r="B77" s="152">
        <v>2.0</v>
      </c>
      <c r="C77" s="152" t="s">
        <v>45</v>
      </c>
      <c r="D77" s="152">
        <v>2.0</v>
      </c>
      <c r="E77" s="153">
        <v>5076.0</v>
      </c>
      <c r="F77" s="153">
        <f>SUM(('Future Orders'!$E77) * (1.1))</f>
        <v>5583.6</v>
      </c>
      <c r="G77" s="154">
        <v>1.2</v>
      </c>
      <c r="H77" s="155">
        <v>6091.2</v>
      </c>
      <c r="I77" s="155">
        <f>SUM(('Future Orders'!$H77) * (1.1))</f>
        <v>6700.32</v>
      </c>
      <c r="J77" s="159">
        <f>SUMIFS('Future Orders'!$F77, 'Future Orders'!$D77, "1", 'Future Orders'!$C77, "A", 'Future Orders'!$B77, "1")</f>
        <v>0</v>
      </c>
      <c r="K77" s="157">
        <f>SUMIFS('Future Orders'!$I77, 'Future Orders'!$D77, "1", 'Future Orders'!$C77, "A", 'Future Orders'!$B77, "1")</f>
        <v>0</v>
      </c>
      <c r="L77" s="157">
        <f>SUMIFS('Future Orders'!$F77, 'Future Orders'!$D77, "1", 'Future Orders'!$C77, "B", 'Future Orders'!$B77, "1")</f>
        <v>0</v>
      </c>
      <c r="M77" s="157">
        <f>SUMIFS('Future Orders'!$I77, 'Future Orders'!$D77, "1", 'Future Orders'!$C77, "B", 'Future Orders'!$B77, "1")</f>
        <v>0</v>
      </c>
      <c r="N77" s="159">
        <f>SUMIFS('Future Orders'!$F77, 'Future Orders'!$D77, "1", 'Future Orders'!$C77, "A", 'Future Orders'!$B77, "2")</f>
        <v>0</v>
      </c>
      <c r="O77" s="157">
        <f>SUMIFS('Future Orders'!$I77, 'Future Orders'!$D77, "1", 'Future Orders'!$C77, "A", 'Future Orders'!$B77, "2")</f>
        <v>0</v>
      </c>
      <c r="P77" s="157">
        <f>SUMIFS('Future Orders'!$E77, 'Future Orders'!$D77, "1", 'Future Orders'!$C77, "B", 'Future Orders'!$B77, "2")</f>
        <v>0</v>
      </c>
      <c r="Q77" s="157">
        <f>SUMIFS('Future Orders'!$I77, 'Future Orders'!$D77, "1", 'Future Orders'!$C77, "B", 'Future Orders'!$B77, "2")</f>
        <v>0</v>
      </c>
      <c r="R77" s="159">
        <f>SUMIFS('Future Orders'!$F77, 'Future Orders'!$D77, "2", 'Future Orders'!$C77, "A", 'Future Orders'!$B77, "1")</f>
        <v>0</v>
      </c>
      <c r="S77" s="157">
        <f>SUMIFS('Future Orders'!$I77, 'Future Orders'!$D77, "2", 'Future Orders'!$C77, "A", 'Future Orders'!$B77, "1")</f>
        <v>0</v>
      </c>
      <c r="T77" s="159">
        <f>SUMIFS('Future Orders'!$F77, 'Future Orders'!$D77, "2", 'Future Orders'!$C77, "B", 'Future Orders'!$B77, "1")</f>
        <v>0</v>
      </c>
      <c r="U77" s="157">
        <f>SUMIFS('Future Orders'!$I77, 'Future Orders'!$D77, "2", 'Future Orders'!$C77, "B", 'Future Orders'!$B77, "1")</f>
        <v>0</v>
      </c>
      <c r="V77" s="159">
        <f>SUMIFS('Future Orders'!$F77, 'Future Orders'!$D77, "2", 'Future Orders'!$C77, "A", 'Future Orders'!$B77, "2")</f>
        <v>5583.6</v>
      </c>
      <c r="W77" s="157">
        <f>SUMIFS('Future Orders'!$I77, 'Future Orders'!$D77, "2", 'Future Orders'!$C77, "A", 'Future Orders'!$B77, "2")</f>
        <v>6700.32</v>
      </c>
      <c r="X77" s="159">
        <f>SUMIFS('Future Orders'!$F77, 'Future Orders'!$D77, "2", 'Future Orders'!$C77, "B", 'Future Orders'!$B77, "2")</f>
        <v>0</v>
      </c>
      <c r="Y77" s="159">
        <f>SUMIFS('Future Orders'!$I77, 'Future Orders'!$D77, "2", 'Future Orders'!$C77, "B", 'Future Orders'!$B77, "2")</f>
        <v>0</v>
      </c>
      <c r="Z77" s="159">
        <f>SUMIFS('Future Orders'!$F77, 'Future Orders'!$D77, "3", 'Future Orders'!$C77, "A", 'Future Orders'!$B77, "1")</f>
        <v>0</v>
      </c>
      <c r="AA77" s="159">
        <f>SUMIFS('Future Orders'!$I77, 'Future Orders'!$D77, "3", 'Future Orders'!$C77, "A", 'Future Orders'!$B77, "1")</f>
        <v>0</v>
      </c>
      <c r="AB77" s="159">
        <f>SUMIFS('Future Orders'!$F77, 'Future Orders'!$D77, "3", 'Future Orders'!$C77, "B", 'Future Orders'!$B77, "1")</f>
        <v>0</v>
      </c>
      <c r="AC77" s="159">
        <f>SUMIFS('Future Orders'!$I77, 'Future Orders'!$D77, "3", 'Future Orders'!$C77, "B", 'Future Orders'!$B77, "1")</f>
        <v>0</v>
      </c>
      <c r="AD77" s="159">
        <f>SUMIFS('Future Orders'!$F77, 'Future Orders'!$D77, "3", 'Future Orders'!$C77, "A", 'Future Orders'!$B77, "2")</f>
        <v>0</v>
      </c>
      <c r="AE77" s="159">
        <f>SUMIFS('Future Orders'!$I77, 'Future Orders'!$D77, "3", 'Future Orders'!$C77, "A", 'Future Orders'!$B77, "2")</f>
        <v>0</v>
      </c>
      <c r="AF77" s="159">
        <f>SUMIFS('Future Orders'!$F77, 'Future Orders'!$D77, "3", 'Future Orders'!$C77, "B", 'Future Orders'!$B77, "2")</f>
        <v>0</v>
      </c>
      <c r="AG77" s="157">
        <f>SUMIFS('Future Orders'!$I77, 'Future Orders'!$D77, "3", 'Future Orders'!$C77, "B", 'Future Orders'!$B77, "2")</f>
        <v>0</v>
      </c>
      <c r="AH77" s="157">
        <f>SUMIFS('Future Orders'!$F77, 'Future Orders'!$D77, "4", 'Future Orders'!$C77, "A", 'Future Orders'!$B77, "1")</f>
        <v>0</v>
      </c>
      <c r="AI77" s="157">
        <f>SUMIFS('Future Orders'!$I77, 'Future Orders'!$D77, "4", 'Future Orders'!$C77, "A", 'Future Orders'!$B77, "1")</f>
        <v>0</v>
      </c>
      <c r="AJ77" s="157">
        <f>SUMIFS('Future Orders'!$F77, 'Future Orders'!$D77, "4", 'Future Orders'!$C77, "B", 'Future Orders'!$B77, "1")</f>
        <v>0</v>
      </c>
      <c r="AK77" s="157">
        <f>SUMIFS('Future Orders'!$I77, 'Future Orders'!$D77, "4", 'Future Orders'!$C77, "B", 'Future Orders'!$B77, "1")</f>
        <v>0</v>
      </c>
      <c r="AL77" s="157">
        <f>SUMIFS('Future Orders'!$F77, 'Future Orders'!$D77, "4", 'Future Orders'!$C77, "A", 'Future Orders'!$B77, "2")</f>
        <v>0</v>
      </c>
      <c r="AM77" s="157">
        <f>SUMIFS('Future Orders'!$I77, 'Future Orders'!$D77, "4", 'Future Orders'!$C77, "A", 'Future Orders'!$B77, "2")</f>
        <v>0</v>
      </c>
      <c r="AN77" s="171">
        <f>SUMIFS('Future Orders'!$F77, 'Future Orders'!$D77, "4", 'Future Orders'!$C77, "B", 'Future Orders'!$B77, "2")</f>
        <v>0</v>
      </c>
      <c r="AO77" s="171">
        <f>SUMIFS('Future Orders'!$I77, 'Future Orders'!$D77, "4", 'Future Orders'!$C77, "B", 'Future Orders'!$B77, "2")</f>
        <v>0</v>
      </c>
      <c r="AP77" s="171">
        <f>SUMIFS('Future Orders'!$H77, 'Future Orders'!$C77, "A", 'Future Orders'!$B77, "1")</f>
        <v>0</v>
      </c>
      <c r="AQ77" s="171">
        <f>SUMIFS('Future Orders'!$I77, 'Future Orders'!$C77, "B", 'Future Orders'!$B77, "1")</f>
        <v>0</v>
      </c>
      <c r="AR77" s="171">
        <f>SUMIFS('Future Orders'!$H77, 'Future Orders'!$C77, "A", 'Future Orders'!$B77, "2")</f>
        <v>6091.2</v>
      </c>
      <c r="AS77" s="171">
        <f>SUMIFS('Future Orders'!$I77, 'Future Orders'!$C77, "B", 'Future Orders'!$B77, "2")</f>
        <v>0</v>
      </c>
      <c r="AT77" s="145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  <c r="BT77" s="172"/>
      <c r="BU77" s="172"/>
      <c r="BV77" s="172"/>
      <c r="BW77" s="172"/>
      <c r="BX77" s="172"/>
      <c r="BY77" s="172"/>
      <c r="BZ77" s="172"/>
      <c r="CA77" s="179"/>
      <c r="CB77" s="179"/>
      <c r="CC77" s="179"/>
      <c r="CD77" s="179"/>
      <c r="CE77" s="179"/>
      <c r="CF77" s="179"/>
      <c r="CG77" s="179"/>
      <c r="CH77" s="179"/>
      <c r="CI77" s="179"/>
      <c r="CJ77" s="179"/>
      <c r="CK77" s="179"/>
      <c r="CL77" s="179"/>
      <c r="CM77" s="179"/>
      <c r="CN77" s="179"/>
      <c r="CO77" s="179"/>
      <c r="CP77" s="179"/>
    </row>
    <row r="78" ht="15.75" customHeight="1">
      <c r="A78" s="151">
        <v>41939.0</v>
      </c>
      <c r="B78" s="152">
        <v>1.0</v>
      </c>
      <c r="C78" s="152" t="s">
        <v>46</v>
      </c>
      <c r="D78" s="152">
        <v>3.0</v>
      </c>
      <c r="E78" s="153">
        <v>2086.0</v>
      </c>
      <c r="F78" s="153">
        <f>SUM(('Future Orders'!$E78) * (1.1))</f>
        <v>2294.6</v>
      </c>
      <c r="G78" s="154">
        <v>8.3</v>
      </c>
      <c r="H78" s="155">
        <v>17313.800000000003</v>
      </c>
      <c r="I78" s="155">
        <f>SUM(('Future Orders'!$H78) * (1.1))</f>
        <v>19045.18</v>
      </c>
      <c r="J78" s="159">
        <f>SUMIFS('Future Orders'!$F78, 'Future Orders'!$D78, "1", 'Future Orders'!$C78, "A", 'Future Orders'!$B78, "1")</f>
        <v>0</v>
      </c>
      <c r="K78" s="157">
        <f>SUMIFS('Future Orders'!$I78, 'Future Orders'!$D78, "1", 'Future Orders'!$C78, "A", 'Future Orders'!$B78, "1")</f>
        <v>0</v>
      </c>
      <c r="L78" s="157">
        <f>SUMIFS('Future Orders'!$F78, 'Future Orders'!$D78, "1", 'Future Orders'!$C78, "B", 'Future Orders'!$B78, "1")</f>
        <v>0</v>
      </c>
      <c r="M78" s="157">
        <f>SUMIFS('Future Orders'!$I78, 'Future Orders'!$D78, "1", 'Future Orders'!$C78, "B", 'Future Orders'!$B78, "1")</f>
        <v>0</v>
      </c>
      <c r="N78" s="159">
        <f>SUMIFS('Future Orders'!$F78, 'Future Orders'!$D78, "1", 'Future Orders'!$C78, "A", 'Future Orders'!$B78, "2")</f>
        <v>0</v>
      </c>
      <c r="O78" s="157">
        <f>SUMIFS('Future Orders'!$I78, 'Future Orders'!$D78, "1", 'Future Orders'!$C78, "A", 'Future Orders'!$B78, "2")</f>
        <v>0</v>
      </c>
      <c r="P78" s="157">
        <f>SUMIFS('Future Orders'!$E78, 'Future Orders'!$D78, "1", 'Future Orders'!$C78, "B", 'Future Orders'!$B78, "2")</f>
        <v>0</v>
      </c>
      <c r="Q78" s="157">
        <f>SUMIFS('Future Orders'!$I78, 'Future Orders'!$D78, "1", 'Future Orders'!$C78, "B", 'Future Orders'!$B78, "2")</f>
        <v>0</v>
      </c>
      <c r="R78" s="159">
        <f>SUMIFS('Future Orders'!$F78, 'Future Orders'!$D78, "2", 'Future Orders'!$C78, "A", 'Future Orders'!$B78, "1")</f>
        <v>0</v>
      </c>
      <c r="S78" s="157">
        <f>SUMIFS('Future Orders'!$I78, 'Future Orders'!$D78, "2", 'Future Orders'!$C78, "A", 'Future Orders'!$B78, "1")</f>
        <v>0</v>
      </c>
      <c r="T78" s="159">
        <f>SUMIFS('Future Orders'!$F78, 'Future Orders'!$D78, "2", 'Future Orders'!$C78, "B", 'Future Orders'!$B78, "1")</f>
        <v>0</v>
      </c>
      <c r="U78" s="157">
        <f>SUMIFS('Future Orders'!$I78, 'Future Orders'!$D78, "2", 'Future Orders'!$C78, "B", 'Future Orders'!$B78, "1")</f>
        <v>0</v>
      </c>
      <c r="V78" s="159">
        <f>SUMIFS('Future Orders'!$F78, 'Future Orders'!$D78, "2", 'Future Orders'!$C78, "A", 'Future Orders'!$B78, "2")</f>
        <v>0</v>
      </c>
      <c r="W78" s="157">
        <f>SUMIFS('Future Orders'!$I78, 'Future Orders'!$D78, "2", 'Future Orders'!$C78, "A", 'Future Orders'!$B78, "2")</f>
        <v>0</v>
      </c>
      <c r="X78" s="159">
        <f>SUMIFS('Future Orders'!$F78, 'Future Orders'!$D78, "2", 'Future Orders'!$C78, "B", 'Future Orders'!$B78, "2")</f>
        <v>0</v>
      </c>
      <c r="Y78" s="159">
        <f>SUMIFS('Future Orders'!$I78, 'Future Orders'!$D78, "2", 'Future Orders'!$C78, "B", 'Future Orders'!$B78, "2")</f>
        <v>0</v>
      </c>
      <c r="Z78" s="159">
        <f>SUMIFS('Future Orders'!$F78, 'Future Orders'!$D78, "3", 'Future Orders'!$C78, "A", 'Future Orders'!$B78, "1")</f>
        <v>0</v>
      </c>
      <c r="AA78" s="159">
        <f>SUMIFS('Future Orders'!$I78, 'Future Orders'!$D78, "3", 'Future Orders'!$C78, "A", 'Future Orders'!$B78, "1")</f>
        <v>0</v>
      </c>
      <c r="AB78" s="159">
        <f>SUMIFS('Future Orders'!$F78, 'Future Orders'!$D78, "3", 'Future Orders'!$C78, "B", 'Future Orders'!$B78, "1")</f>
        <v>2294.6</v>
      </c>
      <c r="AC78" s="159">
        <f>SUMIFS('Future Orders'!$I78, 'Future Orders'!$D78, "3", 'Future Orders'!$C78, "B", 'Future Orders'!$B78, "1")</f>
        <v>19045.18</v>
      </c>
      <c r="AD78" s="159">
        <f>SUMIFS('Future Orders'!$F78, 'Future Orders'!$D78, "3", 'Future Orders'!$C78, "A", 'Future Orders'!$B78, "2")</f>
        <v>0</v>
      </c>
      <c r="AE78" s="159">
        <f>SUMIFS('Future Orders'!$I78, 'Future Orders'!$D78, "3", 'Future Orders'!$C78, "A", 'Future Orders'!$B78, "2")</f>
        <v>0</v>
      </c>
      <c r="AF78" s="159">
        <f>SUMIFS('Future Orders'!$F78, 'Future Orders'!$D78, "3", 'Future Orders'!$C78, "B", 'Future Orders'!$B78, "2")</f>
        <v>0</v>
      </c>
      <c r="AG78" s="157">
        <f>SUMIFS('Future Orders'!$I78, 'Future Orders'!$D78, "3", 'Future Orders'!$C78, "B", 'Future Orders'!$B78, "2")</f>
        <v>0</v>
      </c>
      <c r="AH78" s="157">
        <f>SUMIFS('Future Orders'!$F78, 'Future Orders'!$D78, "4", 'Future Orders'!$C78, "A", 'Future Orders'!$B78, "1")</f>
        <v>0</v>
      </c>
      <c r="AI78" s="157">
        <f>SUMIFS('Future Orders'!$I78, 'Future Orders'!$D78, "4", 'Future Orders'!$C78, "A", 'Future Orders'!$B78, "1")</f>
        <v>0</v>
      </c>
      <c r="AJ78" s="157">
        <f>SUMIFS('Future Orders'!$F78, 'Future Orders'!$D78, "4", 'Future Orders'!$C78, "B", 'Future Orders'!$B78, "1")</f>
        <v>0</v>
      </c>
      <c r="AK78" s="157">
        <f>SUMIFS('Future Orders'!$I78, 'Future Orders'!$D78, "4", 'Future Orders'!$C78, "B", 'Future Orders'!$B78, "1")</f>
        <v>0</v>
      </c>
      <c r="AL78" s="157">
        <f>SUMIFS('Future Orders'!$F78, 'Future Orders'!$D78, "4", 'Future Orders'!$C78, "A", 'Future Orders'!$B78, "2")</f>
        <v>0</v>
      </c>
      <c r="AM78" s="157">
        <f>SUMIFS('Future Orders'!$I78, 'Future Orders'!$D78, "4", 'Future Orders'!$C78, "A", 'Future Orders'!$B78, "2")</f>
        <v>0</v>
      </c>
      <c r="AN78" s="171">
        <f>SUMIFS('Future Orders'!$F78, 'Future Orders'!$D78, "4", 'Future Orders'!$C78, "B", 'Future Orders'!$B78, "2")</f>
        <v>0</v>
      </c>
      <c r="AO78" s="171">
        <f>SUMIFS('Future Orders'!$I78, 'Future Orders'!$D78, "4", 'Future Orders'!$C78, "B", 'Future Orders'!$B78, "2")</f>
        <v>0</v>
      </c>
      <c r="AP78" s="171">
        <f>SUMIFS('Future Orders'!$H78, 'Future Orders'!$C78, "A", 'Future Orders'!$B78, "1")</f>
        <v>0</v>
      </c>
      <c r="AQ78" s="171">
        <f>SUMIFS('Future Orders'!$I78, 'Future Orders'!$C78, "B", 'Future Orders'!$B78, "1")</f>
        <v>19045.18</v>
      </c>
      <c r="AR78" s="171">
        <f>SUMIFS('Future Orders'!$H78, 'Future Orders'!$C78, "A", 'Future Orders'!$B78, "2")</f>
        <v>0</v>
      </c>
      <c r="AS78" s="171">
        <f>SUMIFS('Future Orders'!$I78, 'Future Orders'!$C78, "B", 'Future Orders'!$B78, "2")</f>
        <v>0</v>
      </c>
      <c r="AT78" s="145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9"/>
      <c r="CB78" s="179"/>
      <c r="CC78" s="179"/>
      <c r="CD78" s="179"/>
      <c r="CE78" s="179"/>
      <c r="CF78" s="179"/>
      <c r="CG78" s="179"/>
      <c r="CH78" s="179"/>
      <c r="CI78" s="179"/>
      <c r="CJ78" s="179"/>
      <c r="CK78" s="179"/>
      <c r="CL78" s="179"/>
      <c r="CM78" s="179"/>
      <c r="CN78" s="179"/>
      <c r="CO78" s="179"/>
      <c r="CP78" s="179"/>
    </row>
    <row r="79" ht="15.75" customHeight="1">
      <c r="A79" s="151">
        <v>41939.0</v>
      </c>
      <c r="B79" s="152">
        <v>2.0</v>
      </c>
      <c r="C79" s="152" t="s">
        <v>46</v>
      </c>
      <c r="D79" s="152">
        <v>3.0</v>
      </c>
      <c r="E79" s="153">
        <v>2833.0</v>
      </c>
      <c r="F79" s="153">
        <f>SUM(('Future Orders'!$E79) * (1.1))</f>
        <v>3116.3</v>
      </c>
      <c r="G79" s="154">
        <v>8.3</v>
      </c>
      <c r="H79" s="155">
        <v>23513.9</v>
      </c>
      <c r="I79" s="155">
        <f>SUM(('Future Orders'!$H79) * (1.1))</f>
        <v>25865.29</v>
      </c>
      <c r="J79" s="159">
        <f>SUMIFS('Future Orders'!$F79, 'Future Orders'!$D79, "1", 'Future Orders'!$C79, "A", 'Future Orders'!$B79, "1")</f>
        <v>0</v>
      </c>
      <c r="K79" s="157">
        <f>SUMIFS('Future Orders'!$I79, 'Future Orders'!$D79, "1", 'Future Orders'!$C79, "A", 'Future Orders'!$B79, "1")</f>
        <v>0</v>
      </c>
      <c r="L79" s="157">
        <f>SUMIFS('Future Orders'!$F79, 'Future Orders'!$D79, "1", 'Future Orders'!$C79, "B", 'Future Orders'!$B79, "1")</f>
        <v>0</v>
      </c>
      <c r="M79" s="157">
        <f>SUMIFS('Future Orders'!$I79, 'Future Orders'!$D79, "1", 'Future Orders'!$C79, "B", 'Future Orders'!$B79, "1")</f>
        <v>0</v>
      </c>
      <c r="N79" s="159">
        <f>SUMIFS('Future Orders'!$F79, 'Future Orders'!$D79, "1", 'Future Orders'!$C79, "A", 'Future Orders'!$B79, "2")</f>
        <v>0</v>
      </c>
      <c r="O79" s="157">
        <f>SUMIFS('Future Orders'!$I79, 'Future Orders'!$D79, "1", 'Future Orders'!$C79, "A", 'Future Orders'!$B79, "2")</f>
        <v>0</v>
      </c>
      <c r="P79" s="157">
        <f>SUMIFS('Future Orders'!$E79, 'Future Orders'!$D79, "1", 'Future Orders'!$C79, "B", 'Future Orders'!$B79, "2")</f>
        <v>0</v>
      </c>
      <c r="Q79" s="157">
        <f>SUMIFS('Future Orders'!$I79, 'Future Orders'!$D79, "1", 'Future Orders'!$C79, "B", 'Future Orders'!$B79, "2")</f>
        <v>0</v>
      </c>
      <c r="R79" s="159">
        <f>SUMIFS('Future Orders'!$F79, 'Future Orders'!$D79, "2", 'Future Orders'!$C79, "A", 'Future Orders'!$B79, "1")</f>
        <v>0</v>
      </c>
      <c r="S79" s="157">
        <f>SUMIFS('Future Orders'!$I79, 'Future Orders'!$D79, "2", 'Future Orders'!$C79, "A", 'Future Orders'!$B79, "1")</f>
        <v>0</v>
      </c>
      <c r="T79" s="159">
        <f>SUMIFS('Future Orders'!$F79, 'Future Orders'!$D79, "2", 'Future Orders'!$C79, "B", 'Future Orders'!$B79, "1")</f>
        <v>0</v>
      </c>
      <c r="U79" s="157">
        <f>SUMIFS('Future Orders'!$I79, 'Future Orders'!$D79, "2", 'Future Orders'!$C79, "B", 'Future Orders'!$B79, "1")</f>
        <v>0</v>
      </c>
      <c r="V79" s="159">
        <f>SUMIFS('Future Orders'!$F79, 'Future Orders'!$D79, "2", 'Future Orders'!$C79, "A", 'Future Orders'!$B79, "2")</f>
        <v>0</v>
      </c>
      <c r="W79" s="157">
        <f>SUMIFS('Future Orders'!$I79, 'Future Orders'!$D79, "2", 'Future Orders'!$C79, "A", 'Future Orders'!$B79, "2")</f>
        <v>0</v>
      </c>
      <c r="X79" s="159">
        <f>SUMIFS('Future Orders'!$F79, 'Future Orders'!$D79, "2", 'Future Orders'!$C79, "B", 'Future Orders'!$B79, "2")</f>
        <v>0</v>
      </c>
      <c r="Y79" s="159">
        <f>SUMIFS('Future Orders'!$I79, 'Future Orders'!$D79, "2", 'Future Orders'!$C79, "B", 'Future Orders'!$B79, "2")</f>
        <v>0</v>
      </c>
      <c r="Z79" s="159">
        <f>SUMIFS('Future Orders'!$F79, 'Future Orders'!$D79, "3", 'Future Orders'!$C79, "A", 'Future Orders'!$B79, "1")</f>
        <v>0</v>
      </c>
      <c r="AA79" s="159">
        <f>SUMIFS('Future Orders'!$I79, 'Future Orders'!$D79, "3", 'Future Orders'!$C79, "A", 'Future Orders'!$B79, "1")</f>
        <v>0</v>
      </c>
      <c r="AB79" s="159">
        <f>SUMIFS('Future Orders'!$F79, 'Future Orders'!$D79, "3", 'Future Orders'!$C79, "B", 'Future Orders'!$B79, "1")</f>
        <v>0</v>
      </c>
      <c r="AC79" s="159">
        <f>SUMIFS('Future Orders'!$I79, 'Future Orders'!$D79, "3", 'Future Orders'!$C79, "B", 'Future Orders'!$B79, "1")</f>
        <v>0</v>
      </c>
      <c r="AD79" s="159">
        <f>SUMIFS('Future Orders'!$F79, 'Future Orders'!$D79, "3", 'Future Orders'!$C79, "A", 'Future Orders'!$B79, "2")</f>
        <v>0</v>
      </c>
      <c r="AE79" s="159">
        <f>SUMIFS('Future Orders'!$I79, 'Future Orders'!$D79, "3", 'Future Orders'!$C79, "A", 'Future Orders'!$B79, "2")</f>
        <v>0</v>
      </c>
      <c r="AF79" s="159">
        <f>SUMIFS('Future Orders'!$F79, 'Future Orders'!$D79, "3", 'Future Orders'!$C79, "B", 'Future Orders'!$B79, "2")</f>
        <v>3116.3</v>
      </c>
      <c r="AG79" s="157">
        <f>SUMIFS('Future Orders'!$I79, 'Future Orders'!$D79, "3", 'Future Orders'!$C79, "B", 'Future Orders'!$B79, "2")</f>
        <v>25865.29</v>
      </c>
      <c r="AH79" s="157">
        <f>SUMIFS('Future Orders'!$F79, 'Future Orders'!$D79, "4", 'Future Orders'!$C79, "A", 'Future Orders'!$B79, "1")</f>
        <v>0</v>
      </c>
      <c r="AI79" s="157">
        <f>SUMIFS('Future Orders'!$I79, 'Future Orders'!$D79, "4", 'Future Orders'!$C79, "A", 'Future Orders'!$B79, "1")</f>
        <v>0</v>
      </c>
      <c r="AJ79" s="157">
        <f>SUMIFS('Future Orders'!$F79, 'Future Orders'!$D79, "4", 'Future Orders'!$C79, "B", 'Future Orders'!$B79, "1")</f>
        <v>0</v>
      </c>
      <c r="AK79" s="157">
        <f>SUMIFS('Future Orders'!$I79, 'Future Orders'!$D79, "4", 'Future Orders'!$C79, "B", 'Future Orders'!$B79, "1")</f>
        <v>0</v>
      </c>
      <c r="AL79" s="157">
        <f>SUMIFS('Future Orders'!$F79, 'Future Orders'!$D79, "4", 'Future Orders'!$C79, "A", 'Future Orders'!$B79, "2")</f>
        <v>0</v>
      </c>
      <c r="AM79" s="157">
        <f>SUMIFS('Future Orders'!$I79, 'Future Orders'!$D79, "4", 'Future Orders'!$C79, "A", 'Future Orders'!$B79, "2")</f>
        <v>0</v>
      </c>
      <c r="AN79" s="171">
        <f>SUMIFS('Future Orders'!$F79, 'Future Orders'!$D79, "4", 'Future Orders'!$C79, "B", 'Future Orders'!$B79, "2")</f>
        <v>0</v>
      </c>
      <c r="AO79" s="171">
        <f>SUMIFS('Future Orders'!$I79, 'Future Orders'!$D79, "4", 'Future Orders'!$C79, "B", 'Future Orders'!$B79, "2")</f>
        <v>0</v>
      </c>
      <c r="AP79" s="171">
        <f>SUMIFS('Future Orders'!$H79, 'Future Orders'!$C79, "A", 'Future Orders'!$B79, "1")</f>
        <v>0</v>
      </c>
      <c r="AQ79" s="171">
        <f>SUMIFS('Future Orders'!$I79, 'Future Orders'!$C79, "B", 'Future Orders'!$B79, "1")</f>
        <v>0</v>
      </c>
      <c r="AR79" s="171">
        <f>SUMIFS('Future Orders'!$H79, 'Future Orders'!$C79, "A", 'Future Orders'!$B79, "2")</f>
        <v>0</v>
      </c>
      <c r="AS79" s="171">
        <f>SUMIFS('Future Orders'!$I79, 'Future Orders'!$C79, "B", 'Future Orders'!$B79, "2")</f>
        <v>25865.29</v>
      </c>
      <c r="AT79" s="145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9"/>
      <c r="CB79" s="179"/>
      <c r="CC79" s="179"/>
      <c r="CD79" s="179"/>
      <c r="CE79" s="179"/>
      <c r="CF79" s="179"/>
      <c r="CG79" s="179"/>
      <c r="CH79" s="179"/>
      <c r="CI79" s="179"/>
      <c r="CJ79" s="179"/>
      <c r="CK79" s="179"/>
      <c r="CL79" s="179"/>
      <c r="CM79" s="179"/>
      <c r="CN79" s="179"/>
      <c r="CO79" s="179"/>
      <c r="CP79" s="179"/>
    </row>
    <row r="80" ht="15.75" customHeight="1">
      <c r="A80" s="151">
        <v>41946.0</v>
      </c>
      <c r="B80" s="152">
        <v>1.0</v>
      </c>
      <c r="C80" s="152" t="s">
        <v>45</v>
      </c>
      <c r="D80" s="152">
        <v>1.0</v>
      </c>
      <c r="E80" s="153">
        <v>3493.0</v>
      </c>
      <c r="F80" s="153">
        <f>SUM(('Future Orders'!$E80) * (1.1))</f>
        <v>3842.3</v>
      </c>
      <c r="G80" s="154">
        <v>2.2</v>
      </c>
      <c r="H80" s="155">
        <v>7684.6</v>
      </c>
      <c r="I80" s="155">
        <f>SUM(('Future Orders'!$H80) * (1.1))</f>
        <v>8453.06</v>
      </c>
      <c r="J80" s="159">
        <f>SUMIFS('Future Orders'!$F80, 'Future Orders'!$D80, "1", 'Future Orders'!$C80, "A", 'Future Orders'!$B80, "1")</f>
        <v>3842.3</v>
      </c>
      <c r="K80" s="157">
        <f>SUMIFS('Future Orders'!$I80, 'Future Orders'!$D80, "1", 'Future Orders'!$C80, "A", 'Future Orders'!$B80, "1")</f>
        <v>8453.06</v>
      </c>
      <c r="L80" s="157">
        <f>SUMIFS('Future Orders'!$F80, 'Future Orders'!$D80, "1", 'Future Orders'!$C80, "B", 'Future Orders'!$B80, "1")</f>
        <v>0</v>
      </c>
      <c r="M80" s="157">
        <f>SUMIFS('Future Orders'!$I80, 'Future Orders'!$D80, "1", 'Future Orders'!$C80, "B", 'Future Orders'!$B80, "1")</f>
        <v>0</v>
      </c>
      <c r="N80" s="159">
        <f>SUMIFS('Future Orders'!$F80, 'Future Orders'!$D80, "1", 'Future Orders'!$C80, "A", 'Future Orders'!$B80, "2")</f>
        <v>0</v>
      </c>
      <c r="O80" s="157">
        <f>SUMIFS('Future Orders'!$I80, 'Future Orders'!$D80, "1", 'Future Orders'!$C80, "A", 'Future Orders'!$B80, "2")</f>
        <v>0</v>
      </c>
      <c r="P80" s="157">
        <f>SUMIFS('Future Orders'!$E80, 'Future Orders'!$D80, "1", 'Future Orders'!$C80, "B", 'Future Orders'!$B80, "2")</f>
        <v>0</v>
      </c>
      <c r="Q80" s="157">
        <f>SUMIFS('Future Orders'!$I80, 'Future Orders'!$D80, "1", 'Future Orders'!$C80, "B", 'Future Orders'!$B80, "2")</f>
        <v>0</v>
      </c>
      <c r="R80" s="159">
        <f>SUMIFS('Future Orders'!$F80, 'Future Orders'!$D80, "2", 'Future Orders'!$C80, "A", 'Future Orders'!$B80, "1")</f>
        <v>0</v>
      </c>
      <c r="S80" s="157">
        <f>SUMIFS('Future Orders'!$I80, 'Future Orders'!$D80, "2", 'Future Orders'!$C80, "A", 'Future Orders'!$B80, "1")</f>
        <v>0</v>
      </c>
      <c r="T80" s="159">
        <f>SUMIFS('Future Orders'!$F80, 'Future Orders'!$D80, "2", 'Future Orders'!$C80, "B", 'Future Orders'!$B80, "1")</f>
        <v>0</v>
      </c>
      <c r="U80" s="157">
        <f>SUMIFS('Future Orders'!$I80, 'Future Orders'!$D80, "2", 'Future Orders'!$C80, "B", 'Future Orders'!$B80, "1")</f>
        <v>0</v>
      </c>
      <c r="V80" s="159">
        <f>SUMIFS('Future Orders'!$F80, 'Future Orders'!$D80, "2", 'Future Orders'!$C80, "A", 'Future Orders'!$B80, "2")</f>
        <v>0</v>
      </c>
      <c r="W80" s="157">
        <f>SUMIFS('Future Orders'!$I80, 'Future Orders'!$D80, "2", 'Future Orders'!$C80, "A", 'Future Orders'!$B80, "2")</f>
        <v>0</v>
      </c>
      <c r="X80" s="159">
        <f>SUMIFS('Future Orders'!$F80, 'Future Orders'!$D80, "2", 'Future Orders'!$C80, "B", 'Future Orders'!$B80, "2")</f>
        <v>0</v>
      </c>
      <c r="Y80" s="159">
        <f>SUMIFS('Future Orders'!$I80, 'Future Orders'!$D80, "2", 'Future Orders'!$C80, "B", 'Future Orders'!$B80, "2")</f>
        <v>0</v>
      </c>
      <c r="Z80" s="159">
        <f>SUMIFS('Future Orders'!$F80, 'Future Orders'!$D80, "3", 'Future Orders'!$C80, "A", 'Future Orders'!$B80, "1")</f>
        <v>0</v>
      </c>
      <c r="AA80" s="159">
        <f>SUMIFS('Future Orders'!$I80, 'Future Orders'!$D80, "3", 'Future Orders'!$C80, "A", 'Future Orders'!$B80, "1")</f>
        <v>0</v>
      </c>
      <c r="AB80" s="159">
        <f>SUMIFS('Future Orders'!$F80, 'Future Orders'!$D80, "3", 'Future Orders'!$C80, "B", 'Future Orders'!$B80, "1")</f>
        <v>0</v>
      </c>
      <c r="AC80" s="159">
        <f>SUMIFS('Future Orders'!$I80, 'Future Orders'!$D80, "3", 'Future Orders'!$C80, "B", 'Future Orders'!$B80, "1")</f>
        <v>0</v>
      </c>
      <c r="AD80" s="159">
        <f>SUMIFS('Future Orders'!$F80, 'Future Orders'!$D80, "3", 'Future Orders'!$C80, "A", 'Future Orders'!$B80, "2")</f>
        <v>0</v>
      </c>
      <c r="AE80" s="159">
        <f>SUMIFS('Future Orders'!$I80, 'Future Orders'!$D80, "3", 'Future Orders'!$C80, "A", 'Future Orders'!$B80, "2")</f>
        <v>0</v>
      </c>
      <c r="AF80" s="159">
        <f>SUMIFS('Future Orders'!$F80, 'Future Orders'!$D80, "3", 'Future Orders'!$C80, "B", 'Future Orders'!$B80, "2")</f>
        <v>0</v>
      </c>
      <c r="AG80" s="157">
        <f>SUMIFS('Future Orders'!$I80, 'Future Orders'!$D80, "3", 'Future Orders'!$C80, "B", 'Future Orders'!$B80, "2")</f>
        <v>0</v>
      </c>
      <c r="AH80" s="157">
        <f>SUMIFS('Future Orders'!$F80, 'Future Orders'!$D80, "4", 'Future Orders'!$C80, "A", 'Future Orders'!$B80, "1")</f>
        <v>0</v>
      </c>
      <c r="AI80" s="157">
        <f>SUMIFS('Future Orders'!$I80, 'Future Orders'!$D80, "4", 'Future Orders'!$C80, "A", 'Future Orders'!$B80, "1")</f>
        <v>0</v>
      </c>
      <c r="AJ80" s="157">
        <f>SUMIFS('Future Orders'!$F80, 'Future Orders'!$D80, "4", 'Future Orders'!$C80, "B", 'Future Orders'!$B80, "1")</f>
        <v>0</v>
      </c>
      <c r="AK80" s="157">
        <f>SUMIFS('Future Orders'!$I80, 'Future Orders'!$D80, "4", 'Future Orders'!$C80, "B", 'Future Orders'!$B80, "1")</f>
        <v>0</v>
      </c>
      <c r="AL80" s="157">
        <f>SUMIFS('Future Orders'!$F80, 'Future Orders'!$D80, "4", 'Future Orders'!$C80, "A", 'Future Orders'!$B80, "2")</f>
        <v>0</v>
      </c>
      <c r="AM80" s="157">
        <f>SUMIFS('Future Orders'!$I80, 'Future Orders'!$D80, "4", 'Future Orders'!$C80, "A", 'Future Orders'!$B80, "2")</f>
        <v>0</v>
      </c>
      <c r="AN80" s="171">
        <f>SUMIFS('Future Orders'!$F80, 'Future Orders'!$D80, "4", 'Future Orders'!$C80, "B", 'Future Orders'!$B80, "2")</f>
        <v>0</v>
      </c>
      <c r="AO80" s="171">
        <f>SUMIFS('Future Orders'!$I80, 'Future Orders'!$D80, "4", 'Future Orders'!$C80, "B", 'Future Orders'!$B80, "2")</f>
        <v>0</v>
      </c>
      <c r="AP80" s="171">
        <f>SUMIFS('Future Orders'!$H80, 'Future Orders'!$C80, "A", 'Future Orders'!$B80, "1")</f>
        <v>7684.6</v>
      </c>
      <c r="AQ80" s="171">
        <f>SUMIFS('Future Orders'!$I80, 'Future Orders'!$C80, "B", 'Future Orders'!$B80, "1")</f>
        <v>0</v>
      </c>
      <c r="AR80" s="171">
        <f>SUMIFS('Future Orders'!$H80, 'Future Orders'!$C80, "A", 'Future Orders'!$B80, "2")</f>
        <v>0</v>
      </c>
      <c r="AS80" s="171">
        <f>SUMIFS('Future Orders'!$I80, 'Future Orders'!$C80, "B", 'Future Orders'!$B80, "2")</f>
        <v>0</v>
      </c>
      <c r="AT80" s="145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2"/>
      <c r="BW80" s="172"/>
      <c r="BX80" s="172"/>
      <c r="BY80" s="172"/>
      <c r="BZ80" s="172"/>
      <c r="CA80" s="179"/>
      <c r="CB80" s="179"/>
      <c r="CC80" s="179"/>
      <c r="CD80" s="179"/>
      <c r="CE80" s="179"/>
      <c r="CF80" s="179"/>
      <c r="CG80" s="179"/>
      <c r="CH80" s="179"/>
      <c r="CI80" s="179"/>
      <c r="CJ80" s="179"/>
      <c r="CK80" s="179"/>
      <c r="CL80" s="179"/>
      <c r="CM80" s="179"/>
      <c r="CN80" s="179"/>
      <c r="CO80" s="179"/>
      <c r="CP80" s="179"/>
    </row>
    <row r="81" ht="15.75" customHeight="1">
      <c r="A81" s="151">
        <v>41946.0</v>
      </c>
      <c r="B81" s="152">
        <v>1.0</v>
      </c>
      <c r="C81" s="152" t="s">
        <v>45</v>
      </c>
      <c r="D81" s="152">
        <v>2.0</v>
      </c>
      <c r="E81" s="153">
        <v>5618.0</v>
      </c>
      <c r="F81" s="153">
        <f>SUM(('Future Orders'!$E81) * (1.1))</f>
        <v>6179.8</v>
      </c>
      <c r="G81" s="154">
        <v>1.2</v>
      </c>
      <c r="H81" s="155">
        <v>6741.599999999999</v>
      </c>
      <c r="I81" s="155">
        <f>SUM(('Future Orders'!$H81) * (1.1))</f>
        <v>7415.76</v>
      </c>
      <c r="J81" s="159">
        <f>SUMIFS('Future Orders'!$F81, 'Future Orders'!$D81, "1", 'Future Orders'!$C81, "A", 'Future Orders'!$B81, "1")</f>
        <v>0</v>
      </c>
      <c r="K81" s="157">
        <f>SUMIFS('Future Orders'!$I81, 'Future Orders'!$D81, "1", 'Future Orders'!$C81, "A", 'Future Orders'!$B81, "1")</f>
        <v>0</v>
      </c>
      <c r="L81" s="157">
        <f>SUMIFS('Future Orders'!$F81, 'Future Orders'!$D81, "1", 'Future Orders'!$C81, "B", 'Future Orders'!$B81, "1")</f>
        <v>0</v>
      </c>
      <c r="M81" s="157">
        <f>SUMIFS('Future Orders'!$I81, 'Future Orders'!$D81, "1", 'Future Orders'!$C81, "B", 'Future Orders'!$B81, "1")</f>
        <v>0</v>
      </c>
      <c r="N81" s="159">
        <f>SUMIFS('Future Orders'!$F81, 'Future Orders'!$D81, "1", 'Future Orders'!$C81, "A", 'Future Orders'!$B81, "2")</f>
        <v>0</v>
      </c>
      <c r="O81" s="157">
        <f>SUMIFS('Future Orders'!$I81, 'Future Orders'!$D81, "1", 'Future Orders'!$C81, "A", 'Future Orders'!$B81, "2")</f>
        <v>0</v>
      </c>
      <c r="P81" s="157">
        <f>SUMIFS('Future Orders'!$E81, 'Future Orders'!$D81, "1", 'Future Orders'!$C81, "B", 'Future Orders'!$B81, "2")</f>
        <v>0</v>
      </c>
      <c r="Q81" s="157">
        <f>SUMIFS('Future Orders'!$I81, 'Future Orders'!$D81, "1", 'Future Orders'!$C81, "B", 'Future Orders'!$B81, "2")</f>
        <v>0</v>
      </c>
      <c r="R81" s="159">
        <f>SUMIFS('Future Orders'!$F81, 'Future Orders'!$D81, "2", 'Future Orders'!$C81, "A", 'Future Orders'!$B81, "1")</f>
        <v>6179.8</v>
      </c>
      <c r="S81" s="157">
        <f>SUMIFS('Future Orders'!$I81, 'Future Orders'!$D81, "2", 'Future Orders'!$C81, "A", 'Future Orders'!$B81, "1")</f>
        <v>7415.76</v>
      </c>
      <c r="T81" s="159">
        <f>SUMIFS('Future Orders'!$F81, 'Future Orders'!$D81, "2", 'Future Orders'!$C81, "B", 'Future Orders'!$B81, "1")</f>
        <v>0</v>
      </c>
      <c r="U81" s="157">
        <f>SUMIFS('Future Orders'!$I81, 'Future Orders'!$D81, "2", 'Future Orders'!$C81, "B", 'Future Orders'!$B81, "1")</f>
        <v>0</v>
      </c>
      <c r="V81" s="159">
        <f>SUMIFS('Future Orders'!$F81, 'Future Orders'!$D81, "2", 'Future Orders'!$C81, "A", 'Future Orders'!$B81, "2")</f>
        <v>0</v>
      </c>
      <c r="W81" s="157">
        <f>SUMIFS('Future Orders'!$I81, 'Future Orders'!$D81, "2", 'Future Orders'!$C81, "A", 'Future Orders'!$B81, "2")</f>
        <v>0</v>
      </c>
      <c r="X81" s="159">
        <f>SUMIFS('Future Orders'!$F81, 'Future Orders'!$D81, "2", 'Future Orders'!$C81, "B", 'Future Orders'!$B81, "2")</f>
        <v>0</v>
      </c>
      <c r="Y81" s="159">
        <f>SUMIFS('Future Orders'!$I81, 'Future Orders'!$D81, "2", 'Future Orders'!$C81, "B", 'Future Orders'!$B81, "2")</f>
        <v>0</v>
      </c>
      <c r="Z81" s="159">
        <f>SUMIFS('Future Orders'!$F81, 'Future Orders'!$D81, "3", 'Future Orders'!$C81, "A", 'Future Orders'!$B81, "1")</f>
        <v>0</v>
      </c>
      <c r="AA81" s="159">
        <f>SUMIFS('Future Orders'!$I81, 'Future Orders'!$D81, "3", 'Future Orders'!$C81, "A", 'Future Orders'!$B81, "1")</f>
        <v>0</v>
      </c>
      <c r="AB81" s="159">
        <f>SUMIFS('Future Orders'!$F81, 'Future Orders'!$D81, "3", 'Future Orders'!$C81, "B", 'Future Orders'!$B81, "1")</f>
        <v>0</v>
      </c>
      <c r="AC81" s="159">
        <f>SUMIFS('Future Orders'!$I81, 'Future Orders'!$D81, "3", 'Future Orders'!$C81, "B", 'Future Orders'!$B81, "1")</f>
        <v>0</v>
      </c>
      <c r="AD81" s="159">
        <f>SUMIFS('Future Orders'!$F81, 'Future Orders'!$D81, "3", 'Future Orders'!$C81, "A", 'Future Orders'!$B81, "2")</f>
        <v>0</v>
      </c>
      <c r="AE81" s="159">
        <f>SUMIFS('Future Orders'!$I81, 'Future Orders'!$D81, "3", 'Future Orders'!$C81, "A", 'Future Orders'!$B81, "2")</f>
        <v>0</v>
      </c>
      <c r="AF81" s="159">
        <f>SUMIFS('Future Orders'!$F81, 'Future Orders'!$D81, "3", 'Future Orders'!$C81, "B", 'Future Orders'!$B81, "2")</f>
        <v>0</v>
      </c>
      <c r="AG81" s="157">
        <f>SUMIFS('Future Orders'!$I81, 'Future Orders'!$D81, "3", 'Future Orders'!$C81, "B", 'Future Orders'!$B81, "2")</f>
        <v>0</v>
      </c>
      <c r="AH81" s="157">
        <f>SUMIFS('Future Orders'!$F81, 'Future Orders'!$D81, "4", 'Future Orders'!$C81, "A", 'Future Orders'!$B81, "1")</f>
        <v>0</v>
      </c>
      <c r="AI81" s="157">
        <f>SUMIFS('Future Orders'!$I81, 'Future Orders'!$D81, "4", 'Future Orders'!$C81, "A", 'Future Orders'!$B81, "1")</f>
        <v>0</v>
      </c>
      <c r="AJ81" s="157">
        <f>SUMIFS('Future Orders'!$F81, 'Future Orders'!$D81, "4", 'Future Orders'!$C81, "B", 'Future Orders'!$B81, "1")</f>
        <v>0</v>
      </c>
      <c r="AK81" s="157">
        <f>SUMIFS('Future Orders'!$I81, 'Future Orders'!$D81, "4", 'Future Orders'!$C81, "B", 'Future Orders'!$B81, "1")</f>
        <v>0</v>
      </c>
      <c r="AL81" s="157">
        <f>SUMIFS('Future Orders'!$F81, 'Future Orders'!$D81, "4", 'Future Orders'!$C81, "A", 'Future Orders'!$B81, "2")</f>
        <v>0</v>
      </c>
      <c r="AM81" s="157">
        <f>SUMIFS('Future Orders'!$I81, 'Future Orders'!$D81, "4", 'Future Orders'!$C81, "A", 'Future Orders'!$B81, "2")</f>
        <v>0</v>
      </c>
      <c r="AN81" s="171">
        <f>SUMIFS('Future Orders'!$F81, 'Future Orders'!$D81, "4", 'Future Orders'!$C81, "B", 'Future Orders'!$B81, "2")</f>
        <v>0</v>
      </c>
      <c r="AO81" s="171">
        <f>SUMIFS('Future Orders'!$I81, 'Future Orders'!$D81, "4", 'Future Orders'!$C81, "B", 'Future Orders'!$B81, "2")</f>
        <v>0</v>
      </c>
      <c r="AP81" s="171">
        <f>SUMIFS('Future Orders'!$H81, 'Future Orders'!$C81, "A", 'Future Orders'!$B81, "1")</f>
        <v>6741.6</v>
      </c>
      <c r="AQ81" s="171">
        <f>SUMIFS('Future Orders'!$I81, 'Future Orders'!$C81, "B", 'Future Orders'!$B81, "1")</f>
        <v>0</v>
      </c>
      <c r="AR81" s="171">
        <f>SUMIFS('Future Orders'!$H81, 'Future Orders'!$C81, "A", 'Future Orders'!$B81, "2")</f>
        <v>0</v>
      </c>
      <c r="AS81" s="171">
        <f>SUMIFS('Future Orders'!$I81, 'Future Orders'!$C81, "B", 'Future Orders'!$B81, "2")</f>
        <v>0</v>
      </c>
      <c r="AT81" s="145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2"/>
      <c r="BZ81" s="172"/>
      <c r="CA81" s="179"/>
      <c r="CB81" s="179"/>
      <c r="CC81" s="179"/>
      <c r="CD81" s="179"/>
      <c r="CE81" s="179"/>
      <c r="CF81" s="179"/>
      <c r="CG81" s="179"/>
      <c r="CH81" s="179"/>
      <c r="CI81" s="179"/>
      <c r="CJ81" s="179"/>
      <c r="CK81" s="179"/>
      <c r="CL81" s="179"/>
      <c r="CM81" s="179"/>
      <c r="CN81" s="179"/>
      <c r="CO81" s="179"/>
      <c r="CP81" s="179"/>
    </row>
    <row r="82" ht="15.75" customHeight="1">
      <c r="A82" s="151">
        <v>41946.0</v>
      </c>
      <c r="B82" s="152">
        <v>2.0</v>
      </c>
      <c r="C82" s="152" t="s">
        <v>45</v>
      </c>
      <c r="D82" s="152">
        <v>1.0</v>
      </c>
      <c r="E82" s="153">
        <v>2842.0</v>
      </c>
      <c r="F82" s="153">
        <f>SUM(('Future Orders'!$E82) * (1.1))</f>
        <v>3126.2</v>
      </c>
      <c r="G82" s="154">
        <v>2.2</v>
      </c>
      <c r="H82" s="155">
        <v>6252.400000000001</v>
      </c>
      <c r="I82" s="155">
        <f>SUM(('Future Orders'!$H82) * (1.1))</f>
        <v>6877.64</v>
      </c>
      <c r="J82" s="159">
        <f>SUMIFS('Future Orders'!$F82, 'Future Orders'!$D82, "1", 'Future Orders'!$C82, "A", 'Future Orders'!$B82, "1")</f>
        <v>0</v>
      </c>
      <c r="K82" s="157">
        <f>SUMIFS('Future Orders'!$I82, 'Future Orders'!$D82, "1", 'Future Orders'!$C82, "A", 'Future Orders'!$B82, "1")</f>
        <v>0</v>
      </c>
      <c r="L82" s="157">
        <f>SUMIFS('Future Orders'!$F82, 'Future Orders'!$D82, "1", 'Future Orders'!$C82, "B", 'Future Orders'!$B82, "1")</f>
        <v>0</v>
      </c>
      <c r="M82" s="157">
        <f>SUMIFS('Future Orders'!$I82, 'Future Orders'!$D82, "1", 'Future Orders'!$C82, "B", 'Future Orders'!$B82, "1")</f>
        <v>0</v>
      </c>
      <c r="N82" s="159">
        <f>SUMIFS('Future Orders'!$F82, 'Future Orders'!$D82, "1", 'Future Orders'!$C82, "A", 'Future Orders'!$B82, "2")</f>
        <v>3126.2</v>
      </c>
      <c r="O82" s="157">
        <f>SUMIFS('Future Orders'!$I82, 'Future Orders'!$D82, "1", 'Future Orders'!$C82, "A", 'Future Orders'!$B82, "2")</f>
        <v>6877.64</v>
      </c>
      <c r="P82" s="157">
        <f>SUMIFS('Future Orders'!$E82, 'Future Orders'!$D82, "1", 'Future Orders'!$C82, "B", 'Future Orders'!$B82, "2")</f>
        <v>0</v>
      </c>
      <c r="Q82" s="157">
        <f>SUMIFS('Future Orders'!$I82, 'Future Orders'!$D82, "1", 'Future Orders'!$C82, "B", 'Future Orders'!$B82, "2")</f>
        <v>0</v>
      </c>
      <c r="R82" s="159">
        <f>SUMIFS('Future Orders'!$F82, 'Future Orders'!$D82, "2", 'Future Orders'!$C82, "A", 'Future Orders'!$B82, "1")</f>
        <v>0</v>
      </c>
      <c r="S82" s="157">
        <f>SUMIFS('Future Orders'!$I82, 'Future Orders'!$D82, "2", 'Future Orders'!$C82, "A", 'Future Orders'!$B82, "1")</f>
        <v>0</v>
      </c>
      <c r="T82" s="159">
        <f>SUMIFS('Future Orders'!$F82, 'Future Orders'!$D82, "2", 'Future Orders'!$C82, "B", 'Future Orders'!$B82, "1")</f>
        <v>0</v>
      </c>
      <c r="U82" s="157">
        <f>SUMIFS('Future Orders'!$I82, 'Future Orders'!$D82, "2", 'Future Orders'!$C82, "B", 'Future Orders'!$B82, "1")</f>
        <v>0</v>
      </c>
      <c r="V82" s="159">
        <f>SUMIFS('Future Orders'!$F82, 'Future Orders'!$D82, "2", 'Future Orders'!$C82, "A", 'Future Orders'!$B82, "2")</f>
        <v>0</v>
      </c>
      <c r="W82" s="157">
        <f>SUMIFS('Future Orders'!$I82, 'Future Orders'!$D82, "2", 'Future Orders'!$C82, "A", 'Future Orders'!$B82, "2")</f>
        <v>0</v>
      </c>
      <c r="X82" s="159">
        <f>SUMIFS('Future Orders'!$F82, 'Future Orders'!$D82, "2", 'Future Orders'!$C82, "B", 'Future Orders'!$B82, "2")</f>
        <v>0</v>
      </c>
      <c r="Y82" s="159">
        <f>SUMIFS('Future Orders'!$I82, 'Future Orders'!$D82, "2", 'Future Orders'!$C82, "B", 'Future Orders'!$B82, "2")</f>
        <v>0</v>
      </c>
      <c r="Z82" s="159">
        <f>SUMIFS('Future Orders'!$F82, 'Future Orders'!$D82, "3", 'Future Orders'!$C82, "A", 'Future Orders'!$B82, "1")</f>
        <v>0</v>
      </c>
      <c r="AA82" s="159">
        <f>SUMIFS('Future Orders'!$I82, 'Future Orders'!$D82, "3", 'Future Orders'!$C82, "A", 'Future Orders'!$B82, "1")</f>
        <v>0</v>
      </c>
      <c r="AB82" s="159">
        <f>SUMIFS('Future Orders'!$F82, 'Future Orders'!$D82, "3", 'Future Orders'!$C82, "B", 'Future Orders'!$B82, "1")</f>
        <v>0</v>
      </c>
      <c r="AC82" s="159">
        <f>SUMIFS('Future Orders'!$I82, 'Future Orders'!$D82, "3", 'Future Orders'!$C82, "B", 'Future Orders'!$B82, "1")</f>
        <v>0</v>
      </c>
      <c r="AD82" s="159">
        <f>SUMIFS('Future Orders'!$F82, 'Future Orders'!$D82, "3", 'Future Orders'!$C82, "A", 'Future Orders'!$B82, "2")</f>
        <v>0</v>
      </c>
      <c r="AE82" s="159">
        <f>SUMIFS('Future Orders'!$I82, 'Future Orders'!$D82, "3", 'Future Orders'!$C82, "A", 'Future Orders'!$B82, "2")</f>
        <v>0</v>
      </c>
      <c r="AF82" s="159">
        <f>SUMIFS('Future Orders'!$F82, 'Future Orders'!$D82, "3", 'Future Orders'!$C82, "B", 'Future Orders'!$B82, "2")</f>
        <v>0</v>
      </c>
      <c r="AG82" s="157">
        <f>SUMIFS('Future Orders'!$I82, 'Future Orders'!$D82, "3", 'Future Orders'!$C82, "B", 'Future Orders'!$B82, "2")</f>
        <v>0</v>
      </c>
      <c r="AH82" s="157">
        <f>SUMIFS('Future Orders'!$F82, 'Future Orders'!$D82, "4", 'Future Orders'!$C82, "A", 'Future Orders'!$B82, "1")</f>
        <v>0</v>
      </c>
      <c r="AI82" s="157">
        <f>SUMIFS('Future Orders'!$I82, 'Future Orders'!$D82, "4", 'Future Orders'!$C82, "A", 'Future Orders'!$B82, "1")</f>
        <v>0</v>
      </c>
      <c r="AJ82" s="157">
        <f>SUMIFS('Future Orders'!$F82, 'Future Orders'!$D82, "4", 'Future Orders'!$C82, "B", 'Future Orders'!$B82, "1")</f>
        <v>0</v>
      </c>
      <c r="AK82" s="157">
        <f>SUMIFS('Future Orders'!$I82, 'Future Orders'!$D82, "4", 'Future Orders'!$C82, "B", 'Future Orders'!$B82, "1")</f>
        <v>0</v>
      </c>
      <c r="AL82" s="157">
        <f>SUMIFS('Future Orders'!$F82, 'Future Orders'!$D82, "4", 'Future Orders'!$C82, "A", 'Future Orders'!$B82, "2")</f>
        <v>0</v>
      </c>
      <c r="AM82" s="157">
        <f>SUMIFS('Future Orders'!$I82, 'Future Orders'!$D82, "4", 'Future Orders'!$C82, "A", 'Future Orders'!$B82, "2")</f>
        <v>0</v>
      </c>
      <c r="AN82" s="171">
        <f>SUMIFS('Future Orders'!$F82, 'Future Orders'!$D82, "4", 'Future Orders'!$C82, "B", 'Future Orders'!$B82, "2")</f>
        <v>0</v>
      </c>
      <c r="AO82" s="171">
        <f>SUMIFS('Future Orders'!$I82, 'Future Orders'!$D82, "4", 'Future Orders'!$C82, "B", 'Future Orders'!$B82, "2")</f>
        <v>0</v>
      </c>
      <c r="AP82" s="171">
        <f>SUMIFS('Future Orders'!$H82, 'Future Orders'!$C82, "A", 'Future Orders'!$B82, "1")</f>
        <v>0</v>
      </c>
      <c r="AQ82" s="171">
        <f>SUMIFS('Future Orders'!$I82, 'Future Orders'!$C82, "B", 'Future Orders'!$B82, "1")</f>
        <v>0</v>
      </c>
      <c r="AR82" s="171">
        <f>SUMIFS('Future Orders'!$H82, 'Future Orders'!$C82, "A", 'Future Orders'!$B82, "2")</f>
        <v>6252.4</v>
      </c>
      <c r="AS82" s="171">
        <f>SUMIFS('Future Orders'!$I82, 'Future Orders'!$C82, "B", 'Future Orders'!$B82, "2")</f>
        <v>0</v>
      </c>
      <c r="AT82" s="145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2"/>
      <c r="BZ82" s="172"/>
      <c r="CA82" s="179"/>
      <c r="CB82" s="179"/>
      <c r="CC82" s="179"/>
      <c r="CD82" s="179"/>
      <c r="CE82" s="179"/>
      <c r="CF82" s="179"/>
      <c r="CG82" s="179"/>
      <c r="CH82" s="179"/>
      <c r="CI82" s="179"/>
      <c r="CJ82" s="179"/>
      <c r="CK82" s="179"/>
      <c r="CL82" s="179"/>
      <c r="CM82" s="179"/>
      <c r="CN82" s="179"/>
      <c r="CO82" s="179"/>
      <c r="CP82" s="179"/>
    </row>
    <row r="83" ht="15.75" customHeight="1">
      <c r="A83" s="151">
        <v>41946.0</v>
      </c>
      <c r="B83" s="152">
        <v>2.0</v>
      </c>
      <c r="C83" s="152" t="s">
        <v>45</v>
      </c>
      <c r="D83" s="152">
        <v>2.0</v>
      </c>
      <c r="E83" s="153">
        <v>5293.0</v>
      </c>
      <c r="F83" s="153">
        <f>SUM(('Future Orders'!$E83) * (1.1))</f>
        <v>5822.3</v>
      </c>
      <c r="G83" s="154">
        <v>1.2</v>
      </c>
      <c r="H83" s="155">
        <v>6351.599999999999</v>
      </c>
      <c r="I83" s="155">
        <f>SUM(('Future Orders'!$H83) * (1.1))</f>
        <v>6986.76</v>
      </c>
      <c r="J83" s="159">
        <f>SUMIFS('Future Orders'!$F83, 'Future Orders'!$D83, "1", 'Future Orders'!$C83, "A", 'Future Orders'!$B83, "1")</f>
        <v>0</v>
      </c>
      <c r="K83" s="157">
        <f>SUMIFS('Future Orders'!$I83, 'Future Orders'!$D83, "1", 'Future Orders'!$C83, "A", 'Future Orders'!$B83, "1")</f>
        <v>0</v>
      </c>
      <c r="L83" s="157">
        <f>SUMIFS('Future Orders'!$F83, 'Future Orders'!$D83, "1", 'Future Orders'!$C83, "B", 'Future Orders'!$B83, "1")</f>
        <v>0</v>
      </c>
      <c r="M83" s="157">
        <f>SUMIFS('Future Orders'!$I83, 'Future Orders'!$D83, "1", 'Future Orders'!$C83, "B", 'Future Orders'!$B83, "1")</f>
        <v>0</v>
      </c>
      <c r="N83" s="159">
        <f>SUMIFS('Future Orders'!$F83, 'Future Orders'!$D83, "1", 'Future Orders'!$C83, "A", 'Future Orders'!$B83, "2")</f>
        <v>0</v>
      </c>
      <c r="O83" s="157">
        <f>SUMIFS('Future Orders'!$I83, 'Future Orders'!$D83, "1", 'Future Orders'!$C83, "A", 'Future Orders'!$B83, "2")</f>
        <v>0</v>
      </c>
      <c r="P83" s="157">
        <f>SUMIFS('Future Orders'!$E83, 'Future Orders'!$D83, "1", 'Future Orders'!$C83, "B", 'Future Orders'!$B83, "2")</f>
        <v>0</v>
      </c>
      <c r="Q83" s="157">
        <f>SUMIFS('Future Orders'!$I83, 'Future Orders'!$D83, "1", 'Future Orders'!$C83, "B", 'Future Orders'!$B83, "2")</f>
        <v>0</v>
      </c>
      <c r="R83" s="159">
        <f>SUMIFS('Future Orders'!$F83, 'Future Orders'!$D83, "2", 'Future Orders'!$C83, "A", 'Future Orders'!$B83, "1")</f>
        <v>0</v>
      </c>
      <c r="S83" s="157">
        <f>SUMIFS('Future Orders'!$I83, 'Future Orders'!$D83, "2", 'Future Orders'!$C83, "A", 'Future Orders'!$B83, "1")</f>
        <v>0</v>
      </c>
      <c r="T83" s="159">
        <f>SUMIFS('Future Orders'!$F83, 'Future Orders'!$D83, "2", 'Future Orders'!$C83, "B", 'Future Orders'!$B83, "1")</f>
        <v>0</v>
      </c>
      <c r="U83" s="157">
        <f>SUMIFS('Future Orders'!$I83, 'Future Orders'!$D83, "2", 'Future Orders'!$C83, "B", 'Future Orders'!$B83, "1")</f>
        <v>0</v>
      </c>
      <c r="V83" s="159">
        <f>SUMIFS('Future Orders'!$F83, 'Future Orders'!$D83, "2", 'Future Orders'!$C83, "A", 'Future Orders'!$B83, "2")</f>
        <v>5822.3</v>
      </c>
      <c r="W83" s="157">
        <f>SUMIFS('Future Orders'!$I83, 'Future Orders'!$D83, "2", 'Future Orders'!$C83, "A", 'Future Orders'!$B83, "2")</f>
        <v>6986.76</v>
      </c>
      <c r="X83" s="159">
        <f>SUMIFS('Future Orders'!$F83, 'Future Orders'!$D83, "2", 'Future Orders'!$C83, "B", 'Future Orders'!$B83, "2")</f>
        <v>0</v>
      </c>
      <c r="Y83" s="159">
        <f>SUMIFS('Future Orders'!$I83, 'Future Orders'!$D83, "2", 'Future Orders'!$C83, "B", 'Future Orders'!$B83, "2")</f>
        <v>0</v>
      </c>
      <c r="Z83" s="159">
        <f>SUMIFS('Future Orders'!$F83, 'Future Orders'!$D83, "3", 'Future Orders'!$C83, "A", 'Future Orders'!$B83, "1")</f>
        <v>0</v>
      </c>
      <c r="AA83" s="159">
        <f>SUMIFS('Future Orders'!$I83, 'Future Orders'!$D83, "3", 'Future Orders'!$C83, "A", 'Future Orders'!$B83, "1")</f>
        <v>0</v>
      </c>
      <c r="AB83" s="159">
        <f>SUMIFS('Future Orders'!$F83, 'Future Orders'!$D83, "3", 'Future Orders'!$C83, "B", 'Future Orders'!$B83, "1")</f>
        <v>0</v>
      </c>
      <c r="AC83" s="159">
        <f>SUMIFS('Future Orders'!$I83, 'Future Orders'!$D83, "3", 'Future Orders'!$C83, "B", 'Future Orders'!$B83, "1")</f>
        <v>0</v>
      </c>
      <c r="AD83" s="159">
        <f>SUMIFS('Future Orders'!$F83, 'Future Orders'!$D83, "3", 'Future Orders'!$C83, "A", 'Future Orders'!$B83, "2")</f>
        <v>0</v>
      </c>
      <c r="AE83" s="159">
        <f>SUMIFS('Future Orders'!$I83, 'Future Orders'!$D83, "3", 'Future Orders'!$C83, "A", 'Future Orders'!$B83, "2")</f>
        <v>0</v>
      </c>
      <c r="AF83" s="159">
        <f>SUMIFS('Future Orders'!$F83, 'Future Orders'!$D83, "3", 'Future Orders'!$C83, "B", 'Future Orders'!$B83, "2")</f>
        <v>0</v>
      </c>
      <c r="AG83" s="157">
        <f>SUMIFS('Future Orders'!$I83, 'Future Orders'!$D83, "3", 'Future Orders'!$C83, "B", 'Future Orders'!$B83, "2")</f>
        <v>0</v>
      </c>
      <c r="AH83" s="157">
        <f>SUMIFS('Future Orders'!$F83, 'Future Orders'!$D83, "4", 'Future Orders'!$C83, "A", 'Future Orders'!$B83, "1")</f>
        <v>0</v>
      </c>
      <c r="AI83" s="157">
        <f>SUMIFS('Future Orders'!$I83, 'Future Orders'!$D83, "4", 'Future Orders'!$C83, "A", 'Future Orders'!$B83, "1")</f>
        <v>0</v>
      </c>
      <c r="AJ83" s="157">
        <f>SUMIFS('Future Orders'!$F83, 'Future Orders'!$D83, "4", 'Future Orders'!$C83, "B", 'Future Orders'!$B83, "1")</f>
        <v>0</v>
      </c>
      <c r="AK83" s="157">
        <f>SUMIFS('Future Orders'!$I83, 'Future Orders'!$D83, "4", 'Future Orders'!$C83, "B", 'Future Orders'!$B83, "1")</f>
        <v>0</v>
      </c>
      <c r="AL83" s="157">
        <f>SUMIFS('Future Orders'!$F83, 'Future Orders'!$D83, "4", 'Future Orders'!$C83, "A", 'Future Orders'!$B83, "2")</f>
        <v>0</v>
      </c>
      <c r="AM83" s="157">
        <f>SUMIFS('Future Orders'!$I83, 'Future Orders'!$D83, "4", 'Future Orders'!$C83, "A", 'Future Orders'!$B83, "2")</f>
        <v>0</v>
      </c>
      <c r="AN83" s="171">
        <f>SUMIFS('Future Orders'!$F83, 'Future Orders'!$D83, "4", 'Future Orders'!$C83, "B", 'Future Orders'!$B83, "2")</f>
        <v>0</v>
      </c>
      <c r="AO83" s="171">
        <f>SUMIFS('Future Orders'!$I83, 'Future Orders'!$D83, "4", 'Future Orders'!$C83, "B", 'Future Orders'!$B83, "2")</f>
        <v>0</v>
      </c>
      <c r="AP83" s="171">
        <f>SUMIFS('Future Orders'!$H83, 'Future Orders'!$C83, "A", 'Future Orders'!$B83, "1")</f>
        <v>0</v>
      </c>
      <c r="AQ83" s="171">
        <f>SUMIFS('Future Orders'!$I83, 'Future Orders'!$C83, "B", 'Future Orders'!$B83, "1")</f>
        <v>0</v>
      </c>
      <c r="AR83" s="171">
        <f>SUMIFS('Future Orders'!$H83, 'Future Orders'!$C83, "A", 'Future Orders'!$B83, "2")</f>
        <v>6351.6</v>
      </c>
      <c r="AS83" s="171">
        <f>SUMIFS('Future Orders'!$I83, 'Future Orders'!$C83, "B", 'Future Orders'!$B83, "2")</f>
        <v>0</v>
      </c>
      <c r="AT83" s="145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2"/>
      <c r="BW83" s="172"/>
      <c r="BX83" s="172"/>
      <c r="BY83" s="172"/>
      <c r="BZ83" s="172"/>
      <c r="CA83" s="179"/>
      <c r="CB83" s="179"/>
      <c r="CC83" s="179"/>
      <c r="CD83" s="179"/>
      <c r="CE83" s="179"/>
      <c r="CF83" s="179"/>
      <c r="CG83" s="179"/>
      <c r="CH83" s="179"/>
      <c r="CI83" s="179"/>
      <c r="CJ83" s="179"/>
      <c r="CK83" s="179"/>
      <c r="CL83" s="179"/>
      <c r="CM83" s="179"/>
      <c r="CN83" s="179"/>
      <c r="CO83" s="179"/>
      <c r="CP83" s="179"/>
    </row>
    <row r="84" ht="15.75" customHeight="1">
      <c r="A84" s="151">
        <v>41946.0</v>
      </c>
      <c r="B84" s="152">
        <v>1.0</v>
      </c>
      <c r="C84" s="152" t="s">
        <v>46</v>
      </c>
      <c r="D84" s="152">
        <v>3.0</v>
      </c>
      <c r="E84" s="153">
        <v>1966.0</v>
      </c>
      <c r="F84" s="153">
        <f>SUM(('Future Orders'!$E84) * (1.1))</f>
        <v>2162.6</v>
      </c>
      <c r="G84" s="154">
        <v>8.3</v>
      </c>
      <c r="H84" s="155">
        <v>16317.800000000001</v>
      </c>
      <c r="I84" s="155">
        <f>SUM(('Future Orders'!$H84) * (1.1))</f>
        <v>17949.58</v>
      </c>
      <c r="J84" s="159">
        <f>SUMIFS('Future Orders'!$F84, 'Future Orders'!$D84, "1", 'Future Orders'!$C84, "A", 'Future Orders'!$B84, "1")</f>
        <v>0</v>
      </c>
      <c r="K84" s="157">
        <f>SUMIFS('Future Orders'!$I84, 'Future Orders'!$D84, "1", 'Future Orders'!$C84, "A", 'Future Orders'!$B84, "1")</f>
        <v>0</v>
      </c>
      <c r="L84" s="157">
        <f>SUMIFS('Future Orders'!$F84, 'Future Orders'!$D84, "1", 'Future Orders'!$C84, "B", 'Future Orders'!$B84, "1")</f>
        <v>0</v>
      </c>
      <c r="M84" s="157">
        <f>SUMIFS('Future Orders'!$I84, 'Future Orders'!$D84, "1", 'Future Orders'!$C84, "B", 'Future Orders'!$B84, "1")</f>
        <v>0</v>
      </c>
      <c r="N84" s="159">
        <f>SUMIFS('Future Orders'!$F84, 'Future Orders'!$D84, "1", 'Future Orders'!$C84, "A", 'Future Orders'!$B84, "2")</f>
        <v>0</v>
      </c>
      <c r="O84" s="157">
        <f>SUMIFS('Future Orders'!$I84, 'Future Orders'!$D84, "1", 'Future Orders'!$C84, "A", 'Future Orders'!$B84, "2")</f>
        <v>0</v>
      </c>
      <c r="P84" s="157">
        <f>SUMIFS('Future Orders'!$E84, 'Future Orders'!$D84, "1", 'Future Orders'!$C84, "B", 'Future Orders'!$B84, "2")</f>
        <v>0</v>
      </c>
      <c r="Q84" s="157">
        <f>SUMIFS('Future Orders'!$I84, 'Future Orders'!$D84, "1", 'Future Orders'!$C84, "B", 'Future Orders'!$B84, "2")</f>
        <v>0</v>
      </c>
      <c r="R84" s="159">
        <f>SUMIFS('Future Orders'!$F84, 'Future Orders'!$D84, "2", 'Future Orders'!$C84, "A", 'Future Orders'!$B84, "1")</f>
        <v>0</v>
      </c>
      <c r="S84" s="157">
        <f>SUMIFS('Future Orders'!$I84, 'Future Orders'!$D84, "2", 'Future Orders'!$C84, "A", 'Future Orders'!$B84, "1")</f>
        <v>0</v>
      </c>
      <c r="T84" s="159">
        <f>SUMIFS('Future Orders'!$F84, 'Future Orders'!$D84, "2", 'Future Orders'!$C84, "B", 'Future Orders'!$B84, "1")</f>
        <v>0</v>
      </c>
      <c r="U84" s="157">
        <f>SUMIFS('Future Orders'!$I84, 'Future Orders'!$D84, "2", 'Future Orders'!$C84, "B", 'Future Orders'!$B84, "1")</f>
        <v>0</v>
      </c>
      <c r="V84" s="159">
        <f>SUMIFS('Future Orders'!$F84, 'Future Orders'!$D84, "2", 'Future Orders'!$C84, "A", 'Future Orders'!$B84, "2")</f>
        <v>0</v>
      </c>
      <c r="W84" s="157">
        <f>SUMIFS('Future Orders'!$I84, 'Future Orders'!$D84, "2", 'Future Orders'!$C84, "A", 'Future Orders'!$B84, "2")</f>
        <v>0</v>
      </c>
      <c r="X84" s="159">
        <f>SUMIFS('Future Orders'!$F84, 'Future Orders'!$D84, "2", 'Future Orders'!$C84, "B", 'Future Orders'!$B84, "2")</f>
        <v>0</v>
      </c>
      <c r="Y84" s="159">
        <f>SUMIFS('Future Orders'!$I84, 'Future Orders'!$D84, "2", 'Future Orders'!$C84, "B", 'Future Orders'!$B84, "2")</f>
        <v>0</v>
      </c>
      <c r="Z84" s="159">
        <f>SUMIFS('Future Orders'!$F84, 'Future Orders'!$D84, "3", 'Future Orders'!$C84, "A", 'Future Orders'!$B84, "1")</f>
        <v>0</v>
      </c>
      <c r="AA84" s="159">
        <f>SUMIFS('Future Orders'!$I84, 'Future Orders'!$D84, "3", 'Future Orders'!$C84, "A", 'Future Orders'!$B84, "1")</f>
        <v>0</v>
      </c>
      <c r="AB84" s="159">
        <f>SUMIFS('Future Orders'!$F84, 'Future Orders'!$D84, "3", 'Future Orders'!$C84, "B", 'Future Orders'!$B84, "1")</f>
        <v>2162.6</v>
      </c>
      <c r="AC84" s="159">
        <f>SUMIFS('Future Orders'!$I84, 'Future Orders'!$D84, "3", 'Future Orders'!$C84, "B", 'Future Orders'!$B84, "1")</f>
        <v>17949.58</v>
      </c>
      <c r="AD84" s="159">
        <f>SUMIFS('Future Orders'!$F84, 'Future Orders'!$D84, "3", 'Future Orders'!$C84, "A", 'Future Orders'!$B84, "2")</f>
        <v>0</v>
      </c>
      <c r="AE84" s="159">
        <f>SUMIFS('Future Orders'!$I84, 'Future Orders'!$D84, "3", 'Future Orders'!$C84, "A", 'Future Orders'!$B84, "2")</f>
        <v>0</v>
      </c>
      <c r="AF84" s="159">
        <f>SUMIFS('Future Orders'!$F84, 'Future Orders'!$D84, "3", 'Future Orders'!$C84, "B", 'Future Orders'!$B84, "2")</f>
        <v>0</v>
      </c>
      <c r="AG84" s="157">
        <f>SUMIFS('Future Orders'!$I84, 'Future Orders'!$D84, "3", 'Future Orders'!$C84, "B", 'Future Orders'!$B84, "2")</f>
        <v>0</v>
      </c>
      <c r="AH84" s="157">
        <f>SUMIFS('Future Orders'!$F84, 'Future Orders'!$D84, "4", 'Future Orders'!$C84, "A", 'Future Orders'!$B84, "1")</f>
        <v>0</v>
      </c>
      <c r="AI84" s="157">
        <f>SUMIFS('Future Orders'!$I84, 'Future Orders'!$D84, "4", 'Future Orders'!$C84, "A", 'Future Orders'!$B84, "1")</f>
        <v>0</v>
      </c>
      <c r="AJ84" s="157">
        <f>SUMIFS('Future Orders'!$F84, 'Future Orders'!$D84, "4", 'Future Orders'!$C84, "B", 'Future Orders'!$B84, "1")</f>
        <v>0</v>
      </c>
      <c r="AK84" s="157">
        <f>SUMIFS('Future Orders'!$I84, 'Future Orders'!$D84, "4", 'Future Orders'!$C84, "B", 'Future Orders'!$B84, "1")</f>
        <v>0</v>
      </c>
      <c r="AL84" s="157">
        <f>SUMIFS('Future Orders'!$F84, 'Future Orders'!$D84, "4", 'Future Orders'!$C84, "A", 'Future Orders'!$B84, "2")</f>
        <v>0</v>
      </c>
      <c r="AM84" s="157">
        <f>SUMIFS('Future Orders'!$I84, 'Future Orders'!$D84, "4", 'Future Orders'!$C84, "A", 'Future Orders'!$B84, "2")</f>
        <v>0</v>
      </c>
      <c r="AN84" s="171">
        <f>SUMIFS('Future Orders'!$F84, 'Future Orders'!$D84, "4", 'Future Orders'!$C84, "B", 'Future Orders'!$B84, "2")</f>
        <v>0</v>
      </c>
      <c r="AO84" s="171">
        <f>SUMIFS('Future Orders'!$I84, 'Future Orders'!$D84, "4", 'Future Orders'!$C84, "B", 'Future Orders'!$B84, "2")</f>
        <v>0</v>
      </c>
      <c r="AP84" s="171">
        <f>SUMIFS('Future Orders'!$H84, 'Future Orders'!$C84, "A", 'Future Orders'!$B84, "1")</f>
        <v>0</v>
      </c>
      <c r="AQ84" s="171">
        <f>SUMIFS('Future Orders'!$I84, 'Future Orders'!$C84, "B", 'Future Orders'!$B84, "1")</f>
        <v>17949.58</v>
      </c>
      <c r="AR84" s="171">
        <f>SUMIFS('Future Orders'!$H84, 'Future Orders'!$C84, "A", 'Future Orders'!$B84, "2")</f>
        <v>0</v>
      </c>
      <c r="AS84" s="171">
        <f>SUMIFS('Future Orders'!$I84, 'Future Orders'!$C84, "B", 'Future Orders'!$B84, "2")</f>
        <v>0</v>
      </c>
      <c r="AT84" s="145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  <c r="BT84" s="172"/>
      <c r="BU84" s="172"/>
      <c r="BV84" s="172"/>
      <c r="BW84" s="172"/>
      <c r="BX84" s="172"/>
      <c r="BY84" s="172"/>
      <c r="BZ84" s="172"/>
      <c r="CA84" s="179"/>
      <c r="CB84" s="179"/>
      <c r="CC84" s="179"/>
      <c r="CD84" s="179"/>
      <c r="CE84" s="179"/>
      <c r="CF84" s="179"/>
      <c r="CG84" s="179"/>
      <c r="CH84" s="179"/>
      <c r="CI84" s="179"/>
      <c r="CJ84" s="179"/>
      <c r="CK84" s="179"/>
      <c r="CL84" s="179"/>
      <c r="CM84" s="179"/>
      <c r="CN84" s="179"/>
      <c r="CO84" s="179"/>
      <c r="CP84" s="179"/>
    </row>
    <row r="85" ht="15.75" customHeight="1">
      <c r="A85" s="151">
        <v>41946.0</v>
      </c>
      <c r="B85" s="152">
        <v>2.0</v>
      </c>
      <c r="C85" s="152" t="s">
        <v>46</v>
      </c>
      <c r="D85" s="152">
        <v>3.0</v>
      </c>
      <c r="E85" s="153">
        <v>2353.0</v>
      </c>
      <c r="F85" s="153">
        <f>SUM(('Future Orders'!$E85) * (1.1))</f>
        <v>2588.3</v>
      </c>
      <c r="G85" s="154">
        <v>8.3</v>
      </c>
      <c r="H85" s="155">
        <v>19529.9</v>
      </c>
      <c r="I85" s="155">
        <f>SUM(('Future Orders'!$H85) * (1.1))</f>
        <v>21482.89</v>
      </c>
      <c r="J85" s="159">
        <f>SUMIFS('Future Orders'!$F85, 'Future Orders'!$D85, "1", 'Future Orders'!$C85, "A", 'Future Orders'!$B85, "1")</f>
        <v>0</v>
      </c>
      <c r="K85" s="157">
        <f>SUMIFS('Future Orders'!$I85, 'Future Orders'!$D85, "1", 'Future Orders'!$C85, "A", 'Future Orders'!$B85, "1")</f>
        <v>0</v>
      </c>
      <c r="L85" s="157">
        <f>SUMIFS('Future Orders'!$F85, 'Future Orders'!$D85, "1", 'Future Orders'!$C85, "B", 'Future Orders'!$B85, "1")</f>
        <v>0</v>
      </c>
      <c r="M85" s="157">
        <f>SUMIFS('Future Orders'!$I85, 'Future Orders'!$D85, "1", 'Future Orders'!$C85, "B", 'Future Orders'!$B85, "1")</f>
        <v>0</v>
      </c>
      <c r="N85" s="159">
        <f>SUMIFS('Future Orders'!$F85, 'Future Orders'!$D85, "1", 'Future Orders'!$C85, "A", 'Future Orders'!$B85, "2")</f>
        <v>0</v>
      </c>
      <c r="O85" s="157">
        <f>SUMIFS('Future Orders'!$I85, 'Future Orders'!$D85, "1", 'Future Orders'!$C85, "A", 'Future Orders'!$B85, "2")</f>
        <v>0</v>
      </c>
      <c r="P85" s="157">
        <f>SUMIFS('Future Orders'!$E85, 'Future Orders'!$D85, "1", 'Future Orders'!$C85, "B", 'Future Orders'!$B85, "2")</f>
        <v>0</v>
      </c>
      <c r="Q85" s="157">
        <f>SUMIFS('Future Orders'!$I85, 'Future Orders'!$D85, "1", 'Future Orders'!$C85, "B", 'Future Orders'!$B85, "2")</f>
        <v>0</v>
      </c>
      <c r="R85" s="159">
        <f>SUMIFS('Future Orders'!$F85, 'Future Orders'!$D85, "2", 'Future Orders'!$C85, "A", 'Future Orders'!$B85, "1")</f>
        <v>0</v>
      </c>
      <c r="S85" s="157">
        <f>SUMIFS('Future Orders'!$I85, 'Future Orders'!$D85, "2", 'Future Orders'!$C85, "A", 'Future Orders'!$B85, "1")</f>
        <v>0</v>
      </c>
      <c r="T85" s="159">
        <f>SUMIFS('Future Orders'!$F85, 'Future Orders'!$D85, "2", 'Future Orders'!$C85, "B", 'Future Orders'!$B85, "1")</f>
        <v>0</v>
      </c>
      <c r="U85" s="157">
        <f>SUMIFS('Future Orders'!$I85, 'Future Orders'!$D85, "2", 'Future Orders'!$C85, "B", 'Future Orders'!$B85, "1")</f>
        <v>0</v>
      </c>
      <c r="V85" s="159">
        <f>SUMIFS('Future Orders'!$F85, 'Future Orders'!$D85, "2", 'Future Orders'!$C85, "A", 'Future Orders'!$B85, "2")</f>
        <v>0</v>
      </c>
      <c r="W85" s="157">
        <f>SUMIFS('Future Orders'!$I85, 'Future Orders'!$D85, "2", 'Future Orders'!$C85, "A", 'Future Orders'!$B85, "2")</f>
        <v>0</v>
      </c>
      <c r="X85" s="159">
        <f>SUMIFS('Future Orders'!$F85, 'Future Orders'!$D85, "2", 'Future Orders'!$C85, "B", 'Future Orders'!$B85, "2")</f>
        <v>0</v>
      </c>
      <c r="Y85" s="159">
        <f>SUMIFS('Future Orders'!$I85, 'Future Orders'!$D85, "2", 'Future Orders'!$C85, "B", 'Future Orders'!$B85, "2")</f>
        <v>0</v>
      </c>
      <c r="Z85" s="159">
        <f>SUMIFS('Future Orders'!$F85, 'Future Orders'!$D85, "3", 'Future Orders'!$C85, "A", 'Future Orders'!$B85, "1")</f>
        <v>0</v>
      </c>
      <c r="AA85" s="159">
        <f>SUMIFS('Future Orders'!$I85, 'Future Orders'!$D85, "3", 'Future Orders'!$C85, "A", 'Future Orders'!$B85, "1")</f>
        <v>0</v>
      </c>
      <c r="AB85" s="159">
        <f>SUMIFS('Future Orders'!$F85, 'Future Orders'!$D85, "3", 'Future Orders'!$C85, "B", 'Future Orders'!$B85, "1")</f>
        <v>0</v>
      </c>
      <c r="AC85" s="159">
        <f>SUMIFS('Future Orders'!$I85, 'Future Orders'!$D85, "3", 'Future Orders'!$C85, "B", 'Future Orders'!$B85, "1")</f>
        <v>0</v>
      </c>
      <c r="AD85" s="159">
        <f>SUMIFS('Future Orders'!$F85, 'Future Orders'!$D85, "3", 'Future Orders'!$C85, "A", 'Future Orders'!$B85, "2")</f>
        <v>0</v>
      </c>
      <c r="AE85" s="159">
        <f>SUMIFS('Future Orders'!$I85, 'Future Orders'!$D85, "3", 'Future Orders'!$C85, "A", 'Future Orders'!$B85, "2")</f>
        <v>0</v>
      </c>
      <c r="AF85" s="159">
        <f>SUMIFS('Future Orders'!$F85, 'Future Orders'!$D85, "3", 'Future Orders'!$C85, "B", 'Future Orders'!$B85, "2")</f>
        <v>2588.3</v>
      </c>
      <c r="AG85" s="157">
        <f>SUMIFS('Future Orders'!$I85, 'Future Orders'!$D85, "3", 'Future Orders'!$C85, "B", 'Future Orders'!$B85, "2")</f>
        <v>21482.89</v>
      </c>
      <c r="AH85" s="157">
        <f>SUMIFS('Future Orders'!$F85, 'Future Orders'!$D85, "4", 'Future Orders'!$C85, "A", 'Future Orders'!$B85, "1")</f>
        <v>0</v>
      </c>
      <c r="AI85" s="157">
        <f>SUMIFS('Future Orders'!$I85, 'Future Orders'!$D85, "4", 'Future Orders'!$C85, "A", 'Future Orders'!$B85, "1")</f>
        <v>0</v>
      </c>
      <c r="AJ85" s="157">
        <f>SUMIFS('Future Orders'!$F85, 'Future Orders'!$D85, "4", 'Future Orders'!$C85, "B", 'Future Orders'!$B85, "1")</f>
        <v>0</v>
      </c>
      <c r="AK85" s="157">
        <f>SUMIFS('Future Orders'!$I85, 'Future Orders'!$D85, "4", 'Future Orders'!$C85, "B", 'Future Orders'!$B85, "1")</f>
        <v>0</v>
      </c>
      <c r="AL85" s="157">
        <f>SUMIFS('Future Orders'!$F85, 'Future Orders'!$D85, "4", 'Future Orders'!$C85, "A", 'Future Orders'!$B85, "2")</f>
        <v>0</v>
      </c>
      <c r="AM85" s="157">
        <f>SUMIFS('Future Orders'!$I85, 'Future Orders'!$D85, "4", 'Future Orders'!$C85, "A", 'Future Orders'!$B85, "2")</f>
        <v>0</v>
      </c>
      <c r="AN85" s="171">
        <f>SUMIFS('Future Orders'!$F85, 'Future Orders'!$D85, "4", 'Future Orders'!$C85, "B", 'Future Orders'!$B85, "2")</f>
        <v>0</v>
      </c>
      <c r="AO85" s="171">
        <f>SUMIFS('Future Orders'!$I85, 'Future Orders'!$D85, "4", 'Future Orders'!$C85, "B", 'Future Orders'!$B85, "2")</f>
        <v>0</v>
      </c>
      <c r="AP85" s="171">
        <f>SUMIFS('Future Orders'!$H85, 'Future Orders'!$C85, "A", 'Future Orders'!$B85, "1")</f>
        <v>0</v>
      </c>
      <c r="AQ85" s="171">
        <f>SUMIFS('Future Orders'!$I85, 'Future Orders'!$C85, "B", 'Future Orders'!$B85, "1")</f>
        <v>0</v>
      </c>
      <c r="AR85" s="171">
        <f>SUMIFS('Future Orders'!$H85, 'Future Orders'!$C85, "A", 'Future Orders'!$B85, "2")</f>
        <v>0</v>
      </c>
      <c r="AS85" s="171">
        <f>SUMIFS('Future Orders'!$I85, 'Future Orders'!$C85, "B", 'Future Orders'!$B85, "2")</f>
        <v>21482.89</v>
      </c>
      <c r="AT85" s="145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2"/>
      <c r="BW85" s="172"/>
      <c r="BX85" s="172"/>
      <c r="BY85" s="172"/>
      <c r="BZ85" s="172"/>
      <c r="CA85" s="179"/>
      <c r="CB85" s="179"/>
      <c r="CC85" s="179"/>
      <c r="CD85" s="179"/>
      <c r="CE85" s="179"/>
      <c r="CF85" s="179"/>
      <c r="CG85" s="179"/>
      <c r="CH85" s="179"/>
      <c r="CI85" s="179"/>
      <c r="CJ85" s="179"/>
      <c r="CK85" s="179"/>
      <c r="CL85" s="179"/>
      <c r="CM85" s="179"/>
      <c r="CN85" s="179"/>
      <c r="CO85" s="179"/>
      <c r="CP85" s="179"/>
    </row>
    <row r="86" ht="15.75" customHeight="1">
      <c r="A86" s="151">
        <v>41953.0</v>
      </c>
      <c r="B86" s="152">
        <v>1.0</v>
      </c>
      <c r="C86" s="152" t="s">
        <v>45</v>
      </c>
      <c r="D86" s="152">
        <v>1.0</v>
      </c>
      <c r="E86" s="153">
        <v>4838.0</v>
      </c>
      <c r="F86" s="153">
        <f>SUM(('Future Orders'!$E86) * (1.1))</f>
        <v>5321.8</v>
      </c>
      <c r="G86" s="154">
        <v>2.2</v>
      </c>
      <c r="H86" s="155">
        <v>10643.6</v>
      </c>
      <c r="I86" s="155">
        <f>SUM(('Future Orders'!$H86) * (1.1))</f>
        <v>11707.96</v>
      </c>
      <c r="J86" s="159">
        <f>SUMIFS('Future Orders'!$F86, 'Future Orders'!$D86, "1", 'Future Orders'!$C86, "A", 'Future Orders'!$B86, "1")</f>
        <v>5321.8</v>
      </c>
      <c r="K86" s="157">
        <f>SUMIFS('Future Orders'!$I86, 'Future Orders'!$D86, "1", 'Future Orders'!$C86, "A", 'Future Orders'!$B86, "1")</f>
        <v>11707.96</v>
      </c>
      <c r="L86" s="157">
        <f>SUMIFS('Future Orders'!$F86, 'Future Orders'!$D86, "1", 'Future Orders'!$C86, "B", 'Future Orders'!$B86, "1")</f>
        <v>0</v>
      </c>
      <c r="M86" s="157">
        <f>SUMIFS('Future Orders'!$I86, 'Future Orders'!$D86, "1", 'Future Orders'!$C86, "B", 'Future Orders'!$B86, "1")</f>
        <v>0</v>
      </c>
      <c r="N86" s="159">
        <f>SUMIFS('Future Orders'!$F86, 'Future Orders'!$D86, "1", 'Future Orders'!$C86, "A", 'Future Orders'!$B86, "2")</f>
        <v>0</v>
      </c>
      <c r="O86" s="157">
        <f>SUMIFS('Future Orders'!$I86, 'Future Orders'!$D86, "1", 'Future Orders'!$C86, "A", 'Future Orders'!$B86, "2")</f>
        <v>0</v>
      </c>
      <c r="P86" s="157">
        <f>SUMIFS('Future Orders'!$E86, 'Future Orders'!$D86, "1", 'Future Orders'!$C86, "B", 'Future Orders'!$B86, "2")</f>
        <v>0</v>
      </c>
      <c r="Q86" s="157">
        <f>SUMIFS('Future Orders'!$I86, 'Future Orders'!$D86, "1", 'Future Orders'!$C86, "B", 'Future Orders'!$B86, "2")</f>
        <v>0</v>
      </c>
      <c r="R86" s="159">
        <f>SUMIFS('Future Orders'!$F86, 'Future Orders'!$D86, "2", 'Future Orders'!$C86, "A", 'Future Orders'!$B86, "1")</f>
        <v>0</v>
      </c>
      <c r="S86" s="157">
        <f>SUMIFS('Future Orders'!$I86, 'Future Orders'!$D86, "2", 'Future Orders'!$C86, "A", 'Future Orders'!$B86, "1")</f>
        <v>0</v>
      </c>
      <c r="T86" s="159">
        <f>SUMIFS('Future Orders'!$F86, 'Future Orders'!$D86, "2", 'Future Orders'!$C86, "B", 'Future Orders'!$B86, "1")</f>
        <v>0</v>
      </c>
      <c r="U86" s="157">
        <f>SUMIFS('Future Orders'!$I86, 'Future Orders'!$D86, "2", 'Future Orders'!$C86, "B", 'Future Orders'!$B86, "1")</f>
        <v>0</v>
      </c>
      <c r="V86" s="159">
        <f>SUMIFS('Future Orders'!$F86, 'Future Orders'!$D86, "2", 'Future Orders'!$C86, "A", 'Future Orders'!$B86, "2")</f>
        <v>0</v>
      </c>
      <c r="W86" s="157">
        <f>SUMIFS('Future Orders'!$I86, 'Future Orders'!$D86, "2", 'Future Orders'!$C86, "A", 'Future Orders'!$B86, "2")</f>
        <v>0</v>
      </c>
      <c r="X86" s="159">
        <f>SUMIFS('Future Orders'!$F86, 'Future Orders'!$D86, "2", 'Future Orders'!$C86, "B", 'Future Orders'!$B86, "2")</f>
        <v>0</v>
      </c>
      <c r="Y86" s="159">
        <f>SUMIFS('Future Orders'!$I86, 'Future Orders'!$D86, "2", 'Future Orders'!$C86, "B", 'Future Orders'!$B86, "2")</f>
        <v>0</v>
      </c>
      <c r="Z86" s="159">
        <f>SUMIFS('Future Orders'!$F86, 'Future Orders'!$D86, "3", 'Future Orders'!$C86, "A", 'Future Orders'!$B86, "1")</f>
        <v>0</v>
      </c>
      <c r="AA86" s="159">
        <f>SUMIFS('Future Orders'!$I86, 'Future Orders'!$D86, "3", 'Future Orders'!$C86, "A", 'Future Orders'!$B86, "1")</f>
        <v>0</v>
      </c>
      <c r="AB86" s="159">
        <f>SUMIFS('Future Orders'!$F86, 'Future Orders'!$D86, "3", 'Future Orders'!$C86, "B", 'Future Orders'!$B86, "1")</f>
        <v>0</v>
      </c>
      <c r="AC86" s="159">
        <f>SUMIFS('Future Orders'!$I86, 'Future Orders'!$D86, "3", 'Future Orders'!$C86, "B", 'Future Orders'!$B86, "1")</f>
        <v>0</v>
      </c>
      <c r="AD86" s="159">
        <f>SUMIFS('Future Orders'!$F86, 'Future Orders'!$D86, "3", 'Future Orders'!$C86, "A", 'Future Orders'!$B86, "2")</f>
        <v>0</v>
      </c>
      <c r="AE86" s="159">
        <f>SUMIFS('Future Orders'!$I86, 'Future Orders'!$D86, "3", 'Future Orders'!$C86, "A", 'Future Orders'!$B86, "2")</f>
        <v>0</v>
      </c>
      <c r="AF86" s="159">
        <f>SUMIFS('Future Orders'!$F86, 'Future Orders'!$D86, "3", 'Future Orders'!$C86, "B", 'Future Orders'!$B86, "2")</f>
        <v>0</v>
      </c>
      <c r="AG86" s="157">
        <f>SUMIFS('Future Orders'!$I86, 'Future Orders'!$D86, "3", 'Future Orders'!$C86, "B", 'Future Orders'!$B86, "2")</f>
        <v>0</v>
      </c>
      <c r="AH86" s="157">
        <f>SUMIFS('Future Orders'!$F86, 'Future Orders'!$D86, "4", 'Future Orders'!$C86, "A", 'Future Orders'!$B86, "1")</f>
        <v>0</v>
      </c>
      <c r="AI86" s="157">
        <f>SUMIFS('Future Orders'!$I86, 'Future Orders'!$D86, "4", 'Future Orders'!$C86, "A", 'Future Orders'!$B86, "1")</f>
        <v>0</v>
      </c>
      <c r="AJ86" s="157">
        <f>SUMIFS('Future Orders'!$F86, 'Future Orders'!$D86, "4", 'Future Orders'!$C86, "B", 'Future Orders'!$B86, "1")</f>
        <v>0</v>
      </c>
      <c r="AK86" s="157">
        <f>SUMIFS('Future Orders'!$I86, 'Future Orders'!$D86, "4", 'Future Orders'!$C86, "B", 'Future Orders'!$B86, "1")</f>
        <v>0</v>
      </c>
      <c r="AL86" s="157">
        <f>SUMIFS('Future Orders'!$F86, 'Future Orders'!$D86, "4", 'Future Orders'!$C86, "A", 'Future Orders'!$B86, "2")</f>
        <v>0</v>
      </c>
      <c r="AM86" s="157">
        <f>SUMIFS('Future Orders'!$I86, 'Future Orders'!$D86, "4", 'Future Orders'!$C86, "A", 'Future Orders'!$B86, "2")</f>
        <v>0</v>
      </c>
      <c r="AN86" s="171">
        <f>SUMIFS('Future Orders'!$F86, 'Future Orders'!$D86, "4", 'Future Orders'!$C86, "B", 'Future Orders'!$B86, "2")</f>
        <v>0</v>
      </c>
      <c r="AO86" s="171">
        <f>SUMIFS('Future Orders'!$I86, 'Future Orders'!$D86, "4", 'Future Orders'!$C86, "B", 'Future Orders'!$B86, "2")</f>
        <v>0</v>
      </c>
      <c r="AP86" s="171">
        <f>SUMIFS('Future Orders'!$H86, 'Future Orders'!$C86, "A", 'Future Orders'!$B86, "1")</f>
        <v>10643.6</v>
      </c>
      <c r="AQ86" s="171">
        <f>SUMIFS('Future Orders'!$I86, 'Future Orders'!$C86, "B", 'Future Orders'!$B86, "1")</f>
        <v>0</v>
      </c>
      <c r="AR86" s="171">
        <f>SUMIFS('Future Orders'!$H86, 'Future Orders'!$C86, "A", 'Future Orders'!$B86, "2")</f>
        <v>0</v>
      </c>
      <c r="AS86" s="171">
        <f>SUMIFS('Future Orders'!$I86, 'Future Orders'!$C86, "B", 'Future Orders'!$B86, "2")</f>
        <v>0</v>
      </c>
      <c r="AT86" s="145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  <c r="BT86" s="172"/>
      <c r="BU86" s="172"/>
      <c r="BV86" s="172"/>
      <c r="BW86" s="172"/>
      <c r="BX86" s="172"/>
      <c r="BY86" s="172"/>
      <c r="BZ86" s="172"/>
      <c r="CA86" s="179"/>
      <c r="CB86" s="179"/>
      <c r="CC86" s="179"/>
      <c r="CD86" s="179"/>
      <c r="CE86" s="179"/>
      <c r="CF86" s="179"/>
      <c r="CG86" s="179"/>
      <c r="CH86" s="179"/>
      <c r="CI86" s="179"/>
      <c r="CJ86" s="179"/>
      <c r="CK86" s="179"/>
      <c r="CL86" s="179"/>
      <c r="CM86" s="179"/>
      <c r="CN86" s="179"/>
      <c r="CO86" s="179"/>
      <c r="CP86" s="179"/>
    </row>
    <row r="87" ht="15.75" customHeight="1">
      <c r="A87" s="151">
        <v>41953.0</v>
      </c>
      <c r="B87" s="152">
        <v>1.0</v>
      </c>
      <c r="C87" s="152" t="s">
        <v>45</v>
      </c>
      <c r="D87" s="152">
        <v>2.0</v>
      </c>
      <c r="E87" s="153">
        <v>6438.0</v>
      </c>
      <c r="F87" s="153">
        <f>SUM(('Future Orders'!$E87) * (1.1))</f>
        <v>7081.8</v>
      </c>
      <c r="G87" s="154">
        <v>1.2</v>
      </c>
      <c r="H87" s="155">
        <v>7725.599999999999</v>
      </c>
      <c r="I87" s="155">
        <f>SUM(('Future Orders'!$H87) * (1.1))</f>
        <v>8498.16</v>
      </c>
      <c r="J87" s="159">
        <f>SUMIFS('Future Orders'!$F87, 'Future Orders'!$D87, "1", 'Future Orders'!$C87, "A", 'Future Orders'!$B87, "1")</f>
        <v>0</v>
      </c>
      <c r="K87" s="157">
        <f>SUMIFS('Future Orders'!$I87, 'Future Orders'!$D87, "1", 'Future Orders'!$C87, "A", 'Future Orders'!$B87, "1")</f>
        <v>0</v>
      </c>
      <c r="L87" s="157">
        <f>SUMIFS('Future Orders'!$F87, 'Future Orders'!$D87, "1", 'Future Orders'!$C87, "B", 'Future Orders'!$B87, "1")</f>
        <v>0</v>
      </c>
      <c r="M87" s="157">
        <f>SUMIFS('Future Orders'!$I87, 'Future Orders'!$D87, "1", 'Future Orders'!$C87, "B", 'Future Orders'!$B87, "1")</f>
        <v>0</v>
      </c>
      <c r="N87" s="159">
        <f>SUMIFS('Future Orders'!$F87, 'Future Orders'!$D87, "1", 'Future Orders'!$C87, "A", 'Future Orders'!$B87, "2")</f>
        <v>0</v>
      </c>
      <c r="O87" s="157">
        <f>SUMIFS('Future Orders'!$I87, 'Future Orders'!$D87, "1", 'Future Orders'!$C87, "A", 'Future Orders'!$B87, "2")</f>
        <v>0</v>
      </c>
      <c r="P87" s="157">
        <f>SUMIFS('Future Orders'!$E87, 'Future Orders'!$D87, "1", 'Future Orders'!$C87, "B", 'Future Orders'!$B87, "2")</f>
        <v>0</v>
      </c>
      <c r="Q87" s="157">
        <f>SUMIFS('Future Orders'!$I87, 'Future Orders'!$D87, "1", 'Future Orders'!$C87, "B", 'Future Orders'!$B87, "2")</f>
        <v>0</v>
      </c>
      <c r="R87" s="159">
        <f>SUMIFS('Future Orders'!$F87, 'Future Orders'!$D87, "2", 'Future Orders'!$C87, "A", 'Future Orders'!$B87, "1")</f>
        <v>7081.8</v>
      </c>
      <c r="S87" s="157">
        <f>SUMIFS('Future Orders'!$I87, 'Future Orders'!$D87, "2", 'Future Orders'!$C87, "A", 'Future Orders'!$B87, "1")</f>
        <v>8498.16</v>
      </c>
      <c r="T87" s="159">
        <f>SUMIFS('Future Orders'!$F87, 'Future Orders'!$D87, "2", 'Future Orders'!$C87, "B", 'Future Orders'!$B87, "1")</f>
        <v>0</v>
      </c>
      <c r="U87" s="157">
        <f>SUMIFS('Future Orders'!$I87, 'Future Orders'!$D87, "2", 'Future Orders'!$C87, "B", 'Future Orders'!$B87, "1")</f>
        <v>0</v>
      </c>
      <c r="V87" s="159">
        <f>SUMIFS('Future Orders'!$F87, 'Future Orders'!$D87, "2", 'Future Orders'!$C87, "A", 'Future Orders'!$B87, "2")</f>
        <v>0</v>
      </c>
      <c r="W87" s="157">
        <f>SUMIFS('Future Orders'!$I87, 'Future Orders'!$D87, "2", 'Future Orders'!$C87, "A", 'Future Orders'!$B87, "2")</f>
        <v>0</v>
      </c>
      <c r="X87" s="159">
        <f>SUMIFS('Future Orders'!$F87, 'Future Orders'!$D87, "2", 'Future Orders'!$C87, "B", 'Future Orders'!$B87, "2")</f>
        <v>0</v>
      </c>
      <c r="Y87" s="159">
        <f>SUMIFS('Future Orders'!$I87, 'Future Orders'!$D87, "2", 'Future Orders'!$C87, "B", 'Future Orders'!$B87, "2")</f>
        <v>0</v>
      </c>
      <c r="Z87" s="159">
        <f>SUMIFS('Future Orders'!$F87, 'Future Orders'!$D87, "3", 'Future Orders'!$C87, "A", 'Future Orders'!$B87, "1")</f>
        <v>0</v>
      </c>
      <c r="AA87" s="159">
        <f>SUMIFS('Future Orders'!$I87, 'Future Orders'!$D87, "3", 'Future Orders'!$C87, "A", 'Future Orders'!$B87, "1")</f>
        <v>0</v>
      </c>
      <c r="AB87" s="159">
        <f>SUMIFS('Future Orders'!$F87, 'Future Orders'!$D87, "3", 'Future Orders'!$C87, "B", 'Future Orders'!$B87, "1")</f>
        <v>0</v>
      </c>
      <c r="AC87" s="159">
        <f>SUMIFS('Future Orders'!$I87, 'Future Orders'!$D87, "3", 'Future Orders'!$C87, "B", 'Future Orders'!$B87, "1")</f>
        <v>0</v>
      </c>
      <c r="AD87" s="159">
        <f>SUMIFS('Future Orders'!$F87, 'Future Orders'!$D87, "3", 'Future Orders'!$C87, "A", 'Future Orders'!$B87, "2")</f>
        <v>0</v>
      </c>
      <c r="AE87" s="159">
        <f>SUMIFS('Future Orders'!$I87, 'Future Orders'!$D87, "3", 'Future Orders'!$C87, "A", 'Future Orders'!$B87, "2")</f>
        <v>0</v>
      </c>
      <c r="AF87" s="159">
        <f>SUMIFS('Future Orders'!$F87, 'Future Orders'!$D87, "3", 'Future Orders'!$C87, "B", 'Future Orders'!$B87, "2")</f>
        <v>0</v>
      </c>
      <c r="AG87" s="157">
        <f>SUMIFS('Future Orders'!$I87, 'Future Orders'!$D87, "3", 'Future Orders'!$C87, "B", 'Future Orders'!$B87, "2")</f>
        <v>0</v>
      </c>
      <c r="AH87" s="157">
        <f>SUMIFS('Future Orders'!$F87, 'Future Orders'!$D87, "4", 'Future Orders'!$C87, "A", 'Future Orders'!$B87, "1")</f>
        <v>0</v>
      </c>
      <c r="AI87" s="157">
        <f>SUMIFS('Future Orders'!$I87, 'Future Orders'!$D87, "4", 'Future Orders'!$C87, "A", 'Future Orders'!$B87, "1")</f>
        <v>0</v>
      </c>
      <c r="AJ87" s="157">
        <f>SUMIFS('Future Orders'!$F87, 'Future Orders'!$D87, "4", 'Future Orders'!$C87, "B", 'Future Orders'!$B87, "1")</f>
        <v>0</v>
      </c>
      <c r="AK87" s="157">
        <f>SUMIFS('Future Orders'!$I87, 'Future Orders'!$D87, "4", 'Future Orders'!$C87, "B", 'Future Orders'!$B87, "1")</f>
        <v>0</v>
      </c>
      <c r="AL87" s="157">
        <f>SUMIFS('Future Orders'!$F87, 'Future Orders'!$D87, "4", 'Future Orders'!$C87, "A", 'Future Orders'!$B87, "2")</f>
        <v>0</v>
      </c>
      <c r="AM87" s="157">
        <f>SUMIFS('Future Orders'!$I87, 'Future Orders'!$D87, "4", 'Future Orders'!$C87, "A", 'Future Orders'!$B87, "2")</f>
        <v>0</v>
      </c>
      <c r="AN87" s="171">
        <f>SUMIFS('Future Orders'!$F87, 'Future Orders'!$D87, "4", 'Future Orders'!$C87, "B", 'Future Orders'!$B87, "2")</f>
        <v>0</v>
      </c>
      <c r="AO87" s="171">
        <f>SUMIFS('Future Orders'!$I87, 'Future Orders'!$D87, "4", 'Future Orders'!$C87, "B", 'Future Orders'!$B87, "2")</f>
        <v>0</v>
      </c>
      <c r="AP87" s="171">
        <f>SUMIFS('Future Orders'!$H87, 'Future Orders'!$C87, "A", 'Future Orders'!$B87, "1")</f>
        <v>7725.6</v>
      </c>
      <c r="AQ87" s="171">
        <f>SUMIFS('Future Orders'!$I87, 'Future Orders'!$C87, "B", 'Future Orders'!$B87, "1")</f>
        <v>0</v>
      </c>
      <c r="AR87" s="171">
        <f>SUMIFS('Future Orders'!$H87, 'Future Orders'!$C87, "A", 'Future Orders'!$B87, "2")</f>
        <v>0</v>
      </c>
      <c r="AS87" s="171">
        <f>SUMIFS('Future Orders'!$I87, 'Future Orders'!$C87, "B", 'Future Orders'!$B87, "2")</f>
        <v>0</v>
      </c>
      <c r="AT87" s="145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2"/>
      <c r="BW87" s="172"/>
      <c r="BX87" s="172"/>
      <c r="BY87" s="172"/>
      <c r="BZ87" s="172"/>
      <c r="CA87" s="179"/>
      <c r="CB87" s="179"/>
      <c r="CC87" s="179"/>
      <c r="CD87" s="179"/>
      <c r="CE87" s="179"/>
      <c r="CF87" s="179"/>
      <c r="CG87" s="179"/>
      <c r="CH87" s="179"/>
      <c r="CI87" s="179"/>
      <c r="CJ87" s="179"/>
      <c r="CK87" s="179"/>
      <c r="CL87" s="179"/>
      <c r="CM87" s="179"/>
      <c r="CN87" s="179"/>
      <c r="CO87" s="179"/>
      <c r="CP87" s="179"/>
    </row>
    <row r="88" ht="15.75" customHeight="1">
      <c r="A88" s="151">
        <v>41953.0</v>
      </c>
      <c r="B88" s="152">
        <v>2.0</v>
      </c>
      <c r="C88" s="152" t="s">
        <v>45</v>
      </c>
      <c r="D88" s="152">
        <v>1.0</v>
      </c>
      <c r="E88" s="153">
        <v>3750.0</v>
      </c>
      <c r="F88" s="153">
        <f>SUM(('Future Orders'!$E88) * (1.1))</f>
        <v>4125</v>
      </c>
      <c r="G88" s="154">
        <v>2.2</v>
      </c>
      <c r="H88" s="155">
        <v>8250.0</v>
      </c>
      <c r="I88" s="155">
        <f>SUM(('Future Orders'!$H88) * (1.1))</f>
        <v>9075</v>
      </c>
      <c r="J88" s="159">
        <f>SUMIFS('Future Orders'!$F88, 'Future Orders'!$D88, "1", 'Future Orders'!$C88, "A", 'Future Orders'!$B88, "1")</f>
        <v>0</v>
      </c>
      <c r="K88" s="157">
        <f>SUMIFS('Future Orders'!$I88, 'Future Orders'!$D88, "1", 'Future Orders'!$C88, "A", 'Future Orders'!$B88, "1")</f>
        <v>0</v>
      </c>
      <c r="L88" s="157">
        <f>SUMIFS('Future Orders'!$F88, 'Future Orders'!$D88, "1", 'Future Orders'!$C88, "B", 'Future Orders'!$B88, "1")</f>
        <v>0</v>
      </c>
      <c r="M88" s="157">
        <f>SUMIFS('Future Orders'!$I88, 'Future Orders'!$D88, "1", 'Future Orders'!$C88, "B", 'Future Orders'!$B88, "1")</f>
        <v>0</v>
      </c>
      <c r="N88" s="159">
        <f>SUMIFS('Future Orders'!$F88, 'Future Orders'!$D88, "1", 'Future Orders'!$C88, "A", 'Future Orders'!$B88, "2")</f>
        <v>4125</v>
      </c>
      <c r="O88" s="157">
        <f>SUMIFS('Future Orders'!$I88, 'Future Orders'!$D88, "1", 'Future Orders'!$C88, "A", 'Future Orders'!$B88, "2")</f>
        <v>9075</v>
      </c>
      <c r="P88" s="157">
        <f>SUMIFS('Future Orders'!$E88, 'Future Orders'!$D88, "1", 'Future Orders'!$C88, "B", 'Future Orders'!$B88, "2")</f>
        <v>0</v>
      </c>
      <c r="Q88" s="157">
        <f>SUMIFS('Future Orders'!$I88, 'Future Orders'!$D88, "1", 'Future Orders'!$C88, "B", 'Future Orders'!$B88, "2")</f>
        <v>0</v>
      </c>
      <c r="R88" s="159">
        <f>SUMIFS('Future Orders'!$F88, 'Future Orders'!$D88, "2", 'Future Orders'!$C88, "A", 'Future Orders'!$B88, "1")</f>
        <v>0</v>
      </c>
      <c r="S88" s="157">
        <f>SUMIFS('Future Orders'!$I88, 'Future Orders'!$D88, "2", 'Future Orders'!$C88, "A", 'Future Orders'!$B88, "1")</f>
        <v>0</v>
      </c>
      <c r="T88" s="159">
        <f>SUMIFS('Future Orders'!$F88, 'Future Orders'!$D88, "2", 'Future Orders'!$C88, "B", 'Future Orders'!$B88, "1")</f>
        <v>0</v>
      </c>
      <c r="U88" s="157">
        <f>SUMIFS('Future Orders'!$I88, 'Future Orders'!$D88, "2", 'Future Orders'!$C88, "B", 'Future Orders'!$B88, "1")</f>
        <v>0</v>
      </c>
      <c r="V88" s="159">
        <f>SUMIFS('Future Orders'!$F88, 'Future Orders'!$D88, "2", 'Future Orders'!$C88, "A", 'Future Orders'!$B88, "2")</f>
        <v>0</v>
      </c>
      <c r="W88" s="157">
        <f>SUMIFS('Future Orders'!$I88, 'Future Orders'!$D88, "2", 'Future Orders'!$C88, "A", 'Future Orders'!$B88, "2")</f>
        <v>0</v>
      </c>
      <c r="X88" s="159">
        <f>SUMIFS('Future Orders'!$F88, 'Future Orders'!$D88, "2", 'Future Orders'!$C88, "B", 'Future Orders'!$B88, "2")</f>
        <v>0</v>
      </c>
      <c r="Y88" s="159">
        <f>SUMIFS('Future Orders'!$I88, 'Future Orders'!$D88, "2", 'Future Orders'!$C88, "B", 'Future Orders'!$B88, "2")</f>
        <v>0</v>
      </c>
      <c r="Z88" s="159">
        <f>SUMIFS('Future Orders'!$F88, 'Future Orders'!$D88, "3", 'Future Orders'!$C88, "A", 'Future Orders'!$B88, "1")</f>
        <v>0</v>
      </c>
      <c r="AA88" s="159">
        <f>SUMIFS('Future Orders'!$I88, 'Future Orders'!$D88, "3", 'Future Orders'!$C88, "A", 'Future Orders'!$B88, "1")</f>
        <v>0</v>
      </c>
      <c r="AB88" s="159">
        <f>SUMIFS('Future Orders'!$F88, 'Future Orders'!$D88, "3", 'Future Orders'!$C88, "B", 'Future Orders'!$B88, "1")</f>
        <v>0</v>
      </c>
      <c r="AC88" s="159">
        <f>SUMIFS('Future Orders'!$I88, 'Future Orders'!$D88, "3", 'Future Orders'!$C88, "B", 'Future Orders'!$B88, "1")</f>
        <v>0</v>
      </c>
      <c r="AD88" s="159">
        <f>SUMIFS('Future Orders'!$F88, 'Future Orders'!$D88, "3", 'Future Orders'!$C88, "A", 'Future Orders'!$B88, "2")</f>
        <v>0</v>
      </c>
      <c r="AE88" s="159">
        <f>SUMIFS('Future Orders'!$I88, 'Future Orders'!$D88, "3", 'Future Orders'!$C88, "A", 'Future Orders'!$B88, "2")</f>
        <v>0</v>
      </c>
      <c r="AF88" s="159">
        <f>SUMIFS('Future Orders'!$F88, 'Future Orders'!$D88, "3", 'Future Orders'!$C88, "B", 'Future Orders'!$B88, "2")</f>
        <v>0</v>
      </c>
      <c r="AG88" s="157">
        <f>SUMIFS('Future Orders'!$I88, 'Future Orders'!$D88, "3", 'Future Orders'!$C88, "B", 'Future Orders'!$B88, "2")</f>
        <v>0</v>
      </c>
      <c r="AH88" s="157">
        <f>SUMIFS('Future Orders'!$F88, 'Future Orders'!$D88, "4", 'Future Orders'!$C88, "A", 'Future Orders'!$B88, "1")</f>
        <v>0</v>
      </c>
      <c r="AI88" s="157">
        <f>SUMIFS('Future Orders'!$I88, 'Future Orders'!$D88, "4", 'Future Orders'!$C88, "A", 'Future Orders'!$B88, "1")</f>
        <v>0</v>
      </c>
      <c r="AJ88" s="157">
        <f>SUMIFS('Future Orders'!$F88, 'Future Orders'!$D88, "4", 'Future Orders'!$C88, "B", 'Future Orders'!$B88, "1")</f>
        <v>0</v>
      </c>
      <c r="AK88" s="157">
        <f>SUMIFS('Future Orders'!$I88, 'Future Orders'!$D88, "4", 'Future Orders'!$C88, "B", 'Future Orders'!$B88, "1")</f>
        <v>0</v>
      </c>
      <c r="AL88" s="157">
        <f>SUMIFS('Future Orders'!$F88, 'Future Orders'!$D88, "4", 'Future Orders'!$C88, "A", 'Future Orders'!$B88, "2")</f>
        <v>0</v>
      </c>
      <c r="AM88" s="157">
        <f>SUMIFS('Future Orders'!$I88, 'Future Orders'!$D88, "4", 'Future Orders'!$C88, "A", 'Future Orders'!$B88, "2")</f>
        <v>0</v>
      </c>
      <c r="AN88" s="171">
        <f>SUMIFS('Future Orders'!$F88, 'Future Orders'!$D88, "4", 'Future Orders'!$C88, "B", 'Future Orders'!$B88, "2")</f>
        <v>0</v>
      </c>
      <c r="AO88" s="171">
        <f>SUMIFS('Future Orders'!$I88, 'Future Orders'!$D88, "4", 'Future Orders'!$C88, "B", 'Future Orders'!$B88, "2")</f>
        <v>0</v>
      </c>
      <c r="AP88" s="171">
        <f>SUMIFS('Future Orders'!$H88, 'Future Orders'!$C88, "A", 'Future Orders'!$B88, "1")</f>
        <v>0</v>
      </c>
      <c r="AQ88" s="171">
        <f>SUMIFS('Future Orders'!$I88, 'Future Orders'!$C88, "B", 'Future Orders'!$B88, "1")</f>
        <v>0</v>
      </c>
      <c r="AR88" s="171">
        <f>SUMIFS('Future Orders'!$H88, 'Future Orders'!$C88, "A", 'Future Orders'!$B88, "2")</f>
        <v>8250</v>
      </c>
      <c r="AS88" s="171">
        <f>SUMIFS('Future Orders'!$I88, 'Future Orders'!$C88, "B", 'Future Orders'!$B88, "2")</f>
        <v>0</v>
      </c>
      <c r="AT88" s="145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2"/>
      <c r="BZ88" s="172"/>
      <c r="CA88" s="179"/>
      <c r="CB88" s="179"/>
      <c r="CC88" s="179"/>
      <c r="CD88" s="179"/>
      <c r="CE88" s="179"/>
      <c r="CF88" s="179"/>
      <c r="CG88" s="179"/>
      <c r="CH88" s="179"/>
      <c r="CI88" s="179"/>
      <c r="CJ88" s="179"/>
      <c r="CK88" s="179"/>
      <c r="CL88" s="179"/>
      <c r="CM88" s="179"/>
      <c r="CN88" s="179"/>
      <c r="CO88" s="179"/>
      <c r="CP88" s="179"/>
    </row>
    <row r="89" ht="15.75" customHeight="1">
      <c r="A89" s="151">
        <v>41953.0</v>
      </c>
      <c r="B89" s="152">
        <v>2.0</v>
      </c>
      <c r="C89" s="152" t="s">
        <v>45</v>
      </c>
      <c r="D89" s="152">
        <v>2.0</v>
      </c>
      <c r="E89" s="153">
        <v>6325.0</v>
      </c>
      <c r="F89" s="153">
        <f>SUM(('Future Orders'!$E89) * (1.1))</f>
        <v>6957.5</v>
      </c>
      <c r="G89" s="154">
        <v>1.2</v>
      </c>
      <c r="H89" s="155">
        <v>7590.0</v>
      </c>
      <c r="I89" s="155">
        <f>SUM(('Future Orders'!$H89) * (1.1))</f>
        <v>8349</v>
      </c>
      <c r="J89" s="159">
        <f>SUMIFS('Future Orders'!$F89, 'Future Orders'!$D89, "1", 'Future Orders'!$C89, "A", 'Future Orders'!$B89, "1")</f>
        <v>0</v>
      </c>
      <c r="K89" s="157">
        <f>SUMIFS('Future Orders'!$I89, 'Future Orders'!$D89, "1", 'Future Orders'!$C89, "A", 'Future Orders'!$B89, "1")</f>
        <v>0</v>
      </c>
      <c r="L89" s="157">
        <f>SUMIFS('Future Orders'!$F89, 'Future Orders'!$D89, "1", 'Future Orders'!$C89, "B", 'Future Orders'!$B89, "1")</f>
        <v>0</v>
      </c>
      <c r="M89" s="157">
        <f>SUMIFS('Future Orders'!$I89, 'Future Orders'!$D89, "1", 'Future Orders'!$C89, "B", 'Future Orders'!$B89, "1")</f>
        <v>0</v>
      </c>
      <c r="N89" s="159">
        <f>SUMIFS('Future Orders'!$F89, 'Future Orders'!$D89, "1", 'Future Orders'!$C89, "A", 'Future Orders'!$B89, "2")</f>
        <v>0</v>
      </c>
      <c r="O89" s="157">
        <f>SUMIFS('Future Orders'!$I89, 'Future Orders'!$D89, "1", 'Future Orders'!$C89, "A", 'Future Orders'!$B89, "2")</f>
        <v>0</v>
      </c>
      <c r="P89" s="157">
        <f>SUMIFS('Future Orders'!$E89, 'Future Orders'!$D89, "1", 'Future Orders'!$C89, "B", 'Future Orders'!$B89, "2")</f>
        <v>0</v>
      </c>
      <c r="Q89" s="157">
        <f>SUMIFS('Future Orders'!$I89, 'Future Orders'!$D89, "1", 'Future Orders'!$C89, "B", 'Future Orders'!$B89, "2")</f>
        <v>0</v>
      </c>
      <c r="R89" s="159">
        <f>SUMIFS('Future Orders'!$F89, 'Future Orders'!$D89, "2", 'Future Orders'!$C89, "A", 'Future Orders'!$B89, "1")</f>
        <v>0</v>
      </c>
      <c r="S89" s="157">
        <f>SUMIFS('Future Orders'!$I89, 'Future Orders'!$D89, "2", 'Future Orders'!$C89, "A", 'Future Orders'!$B89, "1")</f>
        <v>0</v>
      </c>
      <c r="T89" s="159">
        <f>SUMIFS('Future Orders'!$F89, 'Future Orders'!$D89, "2", 'Future Orders'!$C89, "B", 'Future Orders'!$B89, "1")</f>
        <v>0</v>
      </c>
      <c r="U89" s="157">
        <f>SUMIFS('Future Orders'!$I89, 'Future Orders'!$D89, "2", 'Future Orders'!$C89, "B", 'Future Orders'!$B89, "1")</f>
        <v>0</v>
      </c>
      <c r="V89" s="159">
        <f>SUMIFS('Future Orders'!$F89, 'Future Orders'!$D89, "2", 'Future Orders'!$C89, "A", 'Future Orders'!$B89, "2")</f>
        <v>6957.5</v>
      </c>
      <c r="W89" s="157">
        <f>SUMIFS('Future Orders'!$I89, 'Future Orders'!$D89, "2", 'Future Orders'!$C89, "A", 'Future Orders'!$B89, "2")</f>
        <v>8349</v>
      </c>
      <c r="X89" s="159">
        <f>SUMIFS('Future Orders'!$F89, 'Future Orders'!$D89, "2", 'Future Orders'!$C89, "B", 'Future Orders'!$B89, "2")</f>
        <v>0</v>
      </c>
      <c r="Y89" s="159">
        <f>SUMIFS('Future Orders'!$I89, 'Future Orders'!$D89, "2", 'Future Orders'!$C89, "B", 'Future Orders'!$B89, "2")</f>
        <v>0</v>
      </c>
      <c r="Z89" s="159">
        <f>SUMIFS('Future Orders'!$F89, 'Future Orders'!$D89, "3", 'Future Orders'!$C89, "A", 'Future Orders'!$B89, "1")</f>
        <v>0</v>
      </c>
      <c r="AA89" s="159">
        <f>SUMIFS('Future Orders'!$I89, 'Future Orders'!$D89, "3", 'Future Orders'!$C89, "A", 'Future Orders'!$B89, "1")</f>
        <v>0</v>
      </c>
      <c r="AB89" s="159">
        <f>SUMIFS('Future Orders'!$F89, 'Future Orders'!$D89, "3", 'Future Orders'!$C89, "B", 'Future Orders'!$B89, "1")</f>
        <v>0</v>
      </c>
      <c r="AC89" s="159">
        <f>SUMIFS('Future Orders'!$I89, 'Future Orders'!$D89, "3", 'Future Orders'!$C89, "B", 'Future Orders'!$B89, "1")</f>
        <v>0</v>
      </c>
      <c r="AD89" s="159">
        <f>SUMIFS('Future Orders'!$F89, 'Future Orders'!$D89, "3", 'Future Orders'!$C89, "A", 'Future Orders'!$B89, "2")</f>
        <v>0</v>
      </c>
      <c r="AE89" s="159">
        <f>SUMIFS('Future Orders'!$I89, 'Future Orders'!$D89, "3", 'Future Orders'!$C89, "A", 'Future Orders'!$B89, "2")</f>
        <v>0</v>
      </c>
      <c r="AF89" s="159">
        <f>SUMIFS('Future Orders'!$F89, 'Future Orders'!$D89, "3", 'Future Orders'!$C89, "B", 'Future Orders'!$B89, "2")</f>
        <v>0</v>
      </c>
      <c r="AG89" s="157">
        <f>SUMIFS('Future Orders'!$I89, 'Future Orders'!$D89, "3", 'Future Orders'!$C89, "B", 'Future Orders'!$B89, "2")</f>
        <v>0</v>
      </c>
      <c r="AH89" s="157">
        <f>SUMIFS('Future Orders'!$F89, 'Future Orders'!$D89, "4", 'Future Orders'!$C89, "A", 'Future Orders'!$B89, "1")</f>
        <v>0</v>
      </c>
      <c r="AI89" s="157">
        <f>SUMIFS('Future Orders'!$I89, 'Future Orders'!$D89, "4", 'Future Orders'!$C89, "A", 'Future Orders'!$B89, "1")</f>
        <v>0</v>
      </c>
      <c r="AJ89" s="157">
        <f>SUMIFS('Future Orders'!$F89, 'Future Orders'!$D89, "4", 'Future Orders'!$C89, "B", 'Future Orders'!$B89, "1")</f>
        <v>0</v>
      </c>
      <c r="AK89" s="157">
        <f>SUMIFS('Future Orders'!$I89, 'Future Orders'!$D89, "4", 'Future Orders'!$C89, "B", 'Future Orders'!$B89, "1")</f>
        <v>0</v>
      </c>
      <c r="AL89" s="157">
        <f>SUMIFS('Future Orders'!$F89, 'Future Orders'!$D89, "4", 'Future Orders'!$C89, "A", 'Future Orders'!$B89, "2")</f>
        <v>0</v>
      </c>
      <c r="AM89" s="157">
        <f>SUMIFS('Future Orders'!$I89, 'Future Orders'!$D89, "4", 'Future Orders'!$C89, "A", 'Future Orders'!$B89, "2")</f>
        <v>0</v>
      </c>
      <c r="AN89" s="171">
        <f>SUMIFS('Future Orders'!$F89, 'Future Orders'!$D89, "4", 'Future Orders'!$C89, "B", 'Future Orders'!$B89, "2")</f>
        <v>0</v>
      </c>
      <c r="AO89" s="171">
        <f>SUMIFS('Future Orders'!$I89, 'Future Orders'!$D89, "4", 'Future Orders'!$C89, "B", 'Future Orders'!$B89, "2")</f>
        <v>0</v>
      </c>
      <c r="AP89" s="171">
        <f>SUMIFS('Future Orders'!$H89, 'Future Orders'!$C89, "A", 'Future Orders'!$B89, "1")</f>
        <v>0</v>
      </c>
      <c r="AQ89" s="171">
        <f>SUMIFS('Future Orders'!$I89, 'Future Orders'!$C89, "B", 'Future Orders'!$B89, "1")</f>
        <v>0</v>
      </c>
      <c r="AR89" s="171">
        <f>SUMIFS('Future Orders'!$H89, 'Future Orders'!$C89, "A", 'Future Orders'!$B89, "2")</f>
        <v>7590</v>
      </c>
      <c r="AS89" s="171">
        <f>SUMIFS('Future Orders'!$I89, 'Future Orders'!$C89, "B", 'Future Orders'!$B89, "2")</f>
        <v>0</v>
      </c>
      <c r="AT89" s="145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  <c r="BT89" s="172"/>
      <c r="BU89" s="172"/>
      <c r="BV89" s="172"/>
      <c r="BW89" s="172"/>
      <c r="BX89" s="172"/>
      <c r="BY89" s="172"/>
      <c r="BZ89" s="172"/>
      <c r="CA89" s="179"/>
      <c r="CB89" s="179"/>
      <c r="CC89" s="179"/>
      <c r="CD89" s="179"/>
      <c r="CE89" s="179"/>
      <c r="CF89" s="179"/>
      <c r="CG89" s="179"/>
      <c r="CH89" s="179"/>
      <c r="CI89" s="179"/>
      <c r="CJ89" s="179"/>
      <c r="CK89" s="179"/>
      <c r="CL89" s="179"/>
      <c r="CM89" s="179"/>
      <c r="CN89" s="179"/>
      <c r="CO89" s="179"/>
      <c r="CP89" s="179"/>
    </row>
    <row r="90" ht="15.75" customHeight="1">
      <c r="A90" s="151">
        <v>41953.0</v>
      </c>
      <c r="B90" s="152">
        <v>1.0</v>
      </c>
      <c r="C90" s="152" t="s">
        <v>46</v>
      </c>
      <c r="D90" s="152">
        <v>3.0</v>
      </c>
      <c r="E90" s="153">
        <v>1875.0</v>
      </c>
      <c r="F90" s="153">
        <f>SUM(('Future Orders'!$E90) * (1.1))</f>
        <v>2062.5</v>
      </c>
      <c r="G90" s="154">
        <v>8.3</v>
      </c>
      <c r="H90" s="155">
        <v>15562.500000000002</v>
      </c>
      <c r="I90" s="155">
        <f>SUM(('Future Orders'!$H90) * (1.1))</f>
        <v>17118.75</v>
      </c>
      <c r="J90" s="159">
        <f>SUMIFS('Future Orders'!$F90, 'Future Orders'!$D90, "1", 'Future Orders'!$C90, "A", 'Future Orders'!$B90, "1")</f>
        <v>0</v>
      </c>
      <c r="K90" s="157">
        <f>SUMIFS('Future Orders'!$I90, 'Future Orders'!$D90, "1", 'Future Orders'!$C90, "A", 'Future Orders'!$B90, "1")</f>
        <v>0</v>
      </c>
      <c r="L90" s="157">
        <f>SUMIFS('Future Orders'!$F90, 'Future Orders'!$D90, "1", 'Future Orders'!$C90, "B", 'Future Orders'!$B90, "1")</f>
        <v>0</v>
      </c>
      <c r="M90" s="157">
        <f>SUMIFS('Future Orders'!$I90, 'Future Orders'!$D90, "1", 'Future Orders'!$C90, "B", 'Future Orders'!$B90, "1")</f>
        <v>0</v>
      </c>
      <c r="N90" s="159">
        <f>SUMIFS('Future Orders'!$F90, 'Future Orders'!$D90, "1", 'Future Orders'!$C90, "A", 'Future Orders'!$B90, "2")</f>
        <v>0</v>
      </c>
      <c r="O90" s="157">
        <f>SUMIFS('Future Orders'!$I90, 'Future Orders'!$D90, "1", 'Future Orders'!$C90, "A", 'Future Orders'!$B90, "2")</f>
        <v>0</v>
      </c>
      <c r="P90" s="157">
        <f>SUMIFS('Future Orders'!$E90, 'Future Orders'!$D90, "1", 'Future Orders'!$C90, "B", 'Future Orders'!$B90, "2")</f>
        <v>0</v>
      </c>
      <c r="Q90" s="157">
        <f>SUMIFS('Future Orders'!$I90, 'Future Orders'!$D90, "1", 'Future Orders'!$C90, "B", 'Future Orders'!$B90, "2")</f>
        <v>0</v>
      </c>
      <c r="R90" s="159">
        <f>SUMIFS('Future Orders'!$F90, 'Future Orders'!$D90, "2", 'Future Orders'!$C90, "A", 'Future Orders'!$B90, "1")</f>
        <v>0</v>
      </c>
      <c r="S90" s="157">
        <f>SUMIFS('Future Orders'!$I90, 'Future Orders'!$D90, "2", 'Future Orders'!$C90, "A", 'Future Orders'!$B90, "1")</f>
        <v>0</v>
      </c>
      <c r="T90" s="159">
        <f>SUMIFS('Future Orders'!$F90, 'Future Orders'!$D90, "2", 'Future Orders'!$C90, "B", 'Future Orders'!$B90, "1")</f>
        <v>0</v>
      </c>
      <c r="U90" s="157">
        <f>SUMIFS('Future Orders'!$I90, 'Future Orders'!$D90, "2", 'Future Orders'!$C90, "B", 'Future Orders'!$B90, "1")</f>
        <v>0</v>
      </c>
      <c r="V90" s="159">
        <f>SUMIFS('Future Orders'!$F90, 'Future Orders'!$D90, "2", 'Future Orders'!$C90, "A", 'Future Orders'!$B90, "2")</f>
        <v>0</v>
      </c>
      <c r="W90" s="157">
        <f>SUMIFS('Future Orders'!$I90, 'Future Orders'!$D90, "2", 'Future Orders'!$C90, "A", 'Future Orders'!$B90, "2")</f>
        <v>0</v>
      </c>
      <c r="X90" s="159">
        <f>SUMIFS('Future Orders'!$F90, 'Future Orders'!$D90, "2", 'Future Orders'!$C90, "B", 'Future Orders'!$B90, "2")</f>
        <v>0</v>
      </c>
      <c r="Y90" s="159">
        <f>SUMIFS('Future Orders'!$I90, 'Future Orders'!$D90, "2", 'Future Orders'!$C90, "B", 'Future Orders'!$B90, "2")</f>
        <v>0</v>
      </c>
      <c r="Z90" s="159">
        <f>SUMIFS('Future Orders'!$F90, 'Future Orders'!$D90, "3", 'Future Orders'!$C90, "A", 'Future Orders'!$B90, "1")</f>
        <v>0</v>
      </c>
      <c r="AA90" s="159">
        <f>SUMIFS('Future Orders'!$I90, 'Future Orders'!$D90, "3", 'Future Orders'!$C90, "A", 'Future Orders'!$B90, "1")</f>
        <v>0</v>
      </c>
      <c r="AB90" s="159">
        <f>SUMIFS('Future Orders'!$F90, 'Future Orders'!$D90, "3", 'Future Orders'!$C90, "B", 'Future Orders'!$B90, "1")</f>
        <v>2062.5</v>
      </c>
      <c r="AC90" s="159">
        <f>SUMIFS('Future Orders'!$I90, 'Future Orders'!$D90, "3", 'Future Orders'!$C90, "B", 'Future Orders'!$B90, "1")</f>
        <v>17118.75</v>
      </c>
      <c r="AD90" s="159">
        <f>SUMIFS('Future Orders'!$F90, 'Future Orders'!$D90, "3", 'Future Orders'!$C90, "A", 'Future Orders'!$B90, "2")</f>
        <v>0</v>
      </c>
      <c r="AE90" s="159">
        <f>SUMIFS('Future Orders'!$I90, 'Future Orders'!$D90, "3", 'Future Orders'!$C90, "A", 'Future Orders'!$B90, "2")</f>
        <v>0</v>
      </c>
      <c r="AF90" s="159">
        <f>SUMIFS('Future Orders'!$F90, 'Future Orders'!$D90, "3", 'Future Orders'!$C90, "B", 'Future Orders'!$B90, "2")</f>
        <v>0</v>
      </c>
      <c r="AG90" s="157">
        <f>SUMIFS('Future Orders'!$I90, 'Future Orders'!$D90, "3", 'Future Orders'!$C90, "B", 'Future Orders'!$B90, "2")</f>
        <v>0</v>
      </c>
      <c r="AH90" s="157">
        <f>SUMIFS('Future Orders'!$F90, 'Future Orders'!$D90, "4", 'Future Orders'!$C90, "A", 'Future Orders'!$B90, "1")</f>
        <v>0</v>
      </c>
      <c r="AI90" s="157">
        <f>SUMIFS('Future Orders'!$I90, 'Future Orders'!$D90, "4", 'Future Orders'!$C90, "A", 'Future Orders'!$B90, "1")</f>
        <v>0</v>
      </c>
      <c r="AJ90" s="157">
        <f>SUMIFS('Future Orders'!$F90, 'Future Orders'!$D90, "4", 'Future Orders'!$C90, "B", 'Future Orders'!$B90, "1")</f>
        <v>0</v>
      </c>
      <c r="AK90" s="157">
        <f>SUMIFS('Future Orders'!$I90, 'Future Orders'!$D90, "4", 'Future Orders'!$C90, "B", 'Future Orders'!$B90, "1")</f>
        <v>0</v>
      </c>
      <c r="AL90" s="157">
        <f>SUMIFS('Future Orders'!$F90, 'Future Orders'!$D90, "4", 'Future Orders'!$C90, "A", 'Future Orders'!$B90, "2")</f>
        <v>0</v>
      </c>
      <c r="AM90" s="157">
        <f>SUMIFS('Future Orders'!$I90, 'Future Orders'!$D90, "4", 'Future Orders'!$C90, "A", 'Future Orders'!$B90, "2")</f>
        <v>0</v>
      </c>
      <c r="AN90" s="171">
        <f>SUMIFS('Future Orders'!$F90, 'Future Orders'!$D90, "4", 'Future Orders'!$C90, "B", 'Future Orders'!$B90, "2")</f>
        <v>0</v>
      </c>
      <c r="AO90" s="171">
        <f>SUMIFS('Future Orders'!$I90, 'Future Orders'!$D90, "4", 'Future Orders'!$C90, "B", 'Future Orders'!$B90, "2")</f>
        <v>0</v>
      </c>
      <c r="AP90" s="171">
        <f>SUMIFS('Future Orders'!$H90, 'Future Orders'!$C90, "A", 'Future Orders'!$B90, "1")</f>
        <v>0</v>
      </c>
      <c r="AQ90" s="171">
        <f>SUMIFS('Future Orders'!$I90, 'Future Orders'!$C90, "B", 'Future Orders'!$B90, "1")</f>
        <v>17118.75</v>
      </c>
      <c r="AR90" s="171">
        <f>SUMIFS('Future Orders'!$H90, 'Future Orders'!$C90, "A", 'Future Orders'!$B90, "2")</f>
        <v>0</v>
      </c>
      <c r="AS90" s="171">
        <f>SUMIFS('Future Orders'!$I90, 'Future Orders'!$C90, "B", 'Future Orders'!$B90, "2")</f>
        <v>0</v>
      </c>
      <c r="AT90" s="145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2"/>
      <c r="BZ90" s="172"/>
      <c r="CA90" s="179"/>
      <c r="CB90" s="179"/>
      <c r="CC90" s="179"/>
      <c r="CD90" s="179"/>
      <c r="CE90" s="179"/>
      <c r="CF90" s="179"/>
      <c r="CG90" s="179"/>
      <c r="CH90" s="179"/>
      <c r="CI90" s="179"/>
      <c r="CJ90" s="179"/>
      <c r="CK90" s="179"/>
      <c r="CL90" s="179"/>
      <c r="CM90" s="179"/>
      <c r="CN90" s="179"/>
      <c r="CO90" s="179"/>
      <c r="CP90" s="179"/>
    </row>
    <row r="91" ht="15.75" customHeight="1">
      <c r="A91" s="151">
        <v>41953.0</v>
      </c>
      <c r="B91" s="152">
        <v>2.0</v>
      </c>
      <c r="C91" s="152" t="s">
        <v>46</v>
      </c>
      <c r="D91" s="152">
        <v>3.0</v>
      </c>
      <c r="E91" s="153">
        <v>2515.0</v>
      </c>
      <c r="F91" s="153">
        <f>SUM(('Future Orders'!$E91) * (1.1))</f>
        <v>2766.5</v>
      </c>
      <c r="G91" s="154">
        <v>8.3</v>
      </c>
      <c r="H91" s="155">
        <v>20874.5</v>
      </c>
      <c r="I91" s="155">
        <f>SUM(('Future Orders'!$H91) * (1.1))</f>
        <v>22961.95</v>
      </c>
      <c r="J91" s="159">
        <f>SUMIFS('Future Orders'!$F91, 'Future Orders'!$D91, "1", 'Future Orders'!$C91, "A", 'Future Orders'!$B91, "1")</f>
        <v>0</v>
      </c>
      <c r="K91" s="157">
        <f>SUMIFS('Future Orders'!$I91, 'Future Orders'!$D91, "1", 'Future Orders'!$C91, "A", 'Future Orders'!$B91, "1")</f>
        <v>0</v>
      </c>
      <c r="L91" s="157">
        <f>SUMIFS('Future Orders'!$F91, 'Future Orders'!$D91, "1", 'Future Orders'!$C91, "B", 'Future Orders'!$B91, "1")</f>
        <v>0</v>
      </c>
      <c r="M91" s="157">
        <f>SUMIFS('Future Orders'!$I91, 'Future Orders'!$D91, "1", 'Future Orders'!$C91, "B", 'Future Orders'!$B91, "1")</f>
        <v>0</v>
      </c>
      <c r="N91" s="159">
        <f>SUMIFS('Future Orders'!$F91, 'Future Orders'!$D91, "1", 'Future Orders'!$C91, "A", 'Future Orders'!$B91, "2")</f>
        <v>0</v>
      </c>
      <c r="O91" s="157">
        <f>SUMIFS('Future Orders'!$I91, 'Future Orders'!$D91, "1", 'Future Orders'!$C91, "A", 'Future Orders'!$B91, "2")</f>
        <v>0</v>
      </c>
      <c r="P91" s="157">
        <f>SUMIFS('Future Orders'!$E91, 'Future Orders'!$D91, "1", 'Future Orders'!$C91, "B", 'Future Orders'!$B91, "2")</f>
        <v>0</v>
      </c>
      <c r="Q91" s="157">
        <f>SUMIFS('Future Orders'!$I91, 'Future Orders'!$D91, "1", 'Future Orders'!$C91, "B", 'Future Orders'!$B91, "2")</f>
        <v>0</v>
      </c>
      <c r="R91" s="159">
        <f>SUMIFS('Future Orders'!$F91, 'Future Orders'!$D91, "2", 'Future Orders'!$C91, "A", 'Future Orders'!$B91, "1")</f>
        <v>0</v>
      </c>
      <c r="S91" s="157">
        <f>SUMIFS('Future Orders'!$I91, 'Future Orders'!$D91, "2", 'Future Orders'!$C91, "A", 'Future Orders'!$B91, "1")</f>
        <v>0</v>
      </c>
      <c r="T91" s="159">
        <f>SUMIFS('Future Orders'!$F91, 'Future Orders'!$D91, "2", 'Future Orders'!$C91, "B", 'Future Orders'!$B91, "1")</f>
        <v>0</v>
      </c>
      <c r="U91" s="157">
        <f>SUMIFS('Future Orders'!$I91, 'Future Orders'!$D91, "2", 'Future Orders'!$C91, "B", 'Future Orders'!$B91, "1")</f>
        <v>0</v>
      </c>
      <c r="V91" s="159">
        <f>SUMIFS('Future Orders'!$F91, 'Future Orders'!$D91, "2", 'Future Orders'!$C91, "A", 'Future Orders'!$B91, "2")</f>
        <v>0</v>
      </c>
      <c r="W91" s="157">
        <f>SUMIFS('Future Orders'!$I91, 'Future Orders'!$D91, "2", 'Future Orders'!$C91, "A", 'Future Orders'!$B91, "2")</f>
        <v>0</v>
      </c>
      <c r="X91" s="159">
        <f>SUMIFS('Future Orders'!$F91, 'Future Orders'!$D91, "2", 'Future Orders'!$C91, "B", 'Future Orders'!$B91, "2")</f>
        <v>0</v>
      </c>
      <c r="Y91" s="159">
        <f>SUMIFS('Future Orders'!$I91, 'Future Orders'!$D91, "2", 'Future Orders'!$C91, "B", 'Future Orders'!$B91, "2")</f>
        <v>0</v>
      </c>
      <c r="Z91" s="159">
        <f>SUMIFS('Future Orders'!$F91, 'Future Orders'!$D91, "3", 'Future Orders'!$C91, "A", 'Future Orders'!$B91, "1")</f>
        <v>0</v>
      </c>
      <c r="AA91" s="159">
        <f>SUMIFS('Future Orders'!$I91, 'Future Orders'!$D91, "3", 'Future Orders'!$C91, "A", 'Future Orders'!$B91, "1")</f>
        <v>0</v>
      </c>
      <c r="AB91" s="159">
        <f>SUMIFS('Future Orders'!$F91, 'Future Orders'!$D91, "3", 'Future Orders'!$C91, "B", 'Future Orders'!$B91, "1")</f>
        <v>0</v>
      </c>
      <c r="AC91" s="159">
        <f>SUMIFS('Future Orders'!$I91, 'Future Orders'!$D91, "3", 'Future Orders'!$C91, "B", 'Future Orders'!$B91, "1")</f>
        <v>0</v>
      </c>
      <c r="AD91" s="159">
        <f>SUMIFS('Future Orders'!$F91, 'Future Orders'!$D91, "3", 'Future Orders'!$C91, "A", 'Future Orders'!$B91, "2")</f>
        <v>0</v>
      </c>
      <c r="AE91" s="159">
        <f>SUMIFS('Future Orders'!$I91, 'Future Orders'!$D91, "3", 'Future Orders'!$C91, "A", 'Future Orders'!$B91, "2")</f>
        <v>0</v>
      </c>
      <c r="AF91" s="159">
        <f>SUMIFS('Future Orders'!$F91, 'Future Orders'!$D91, "3", 'Future Orders'!$C91, "B", 'Future Orders'!$B91, "2")</f>
        <v>2766.5</v>
      </c>
      <c r="AG91" s="157">
        <f>SUMIFS('Future Orders'!$I91, 'Future Orders'!$D91, "3", 'Future Orders'!$C91, "B", 'Future Orders'!$B91, "2")</f>
        <v>22961.95</v>
      </c>
      <c r="AH91" s="157">
        <f>SUMIFS('Future Orders'!$F91, 'Future Orders'!$D91, "4", 'Future Orders'!$C91, "A", 'Future Orders'!$B91, "1")</f>
        <v>0</v>
      </c>
      <c r="AI91" s="157">
        <f>SUMIFS('Future Orders'!$I91, 'Future Orders'!$D91, "4", 'Future Orders'!$C91, "A", 'Future Orders'!$B91, "1")</f>
        <v>0</v>
      </c>
      <c r="AJ91" s="157">
        <f>SUMIFS('Future Orders'!$F91, 'Future Orders'!$D91, "4", 'Future Orders'!$C91, "B", 'Future Orders'!$B91, "1")</f>
        <v>0</v>
      </c>
      <c r="AK91" s="157">
        <f>SUMIFS('Future Orders'!$I91, 'Future Orders'!$D91, "4", 'Future Orders'!$C91, "B", 'Future Orders'!$B91, "1")</f>
        <v>0</v>
      </c>
      <c r="AL91" s="157">
        <f>SUMIFS('Future Orders'!$F91, 'Future Orders'!$D91, "4", 'Future Orders'!$C91, "A", 'Future Orders'!$B91, "2")</f>
        <v>0</v>
      </c>
      <c r="AM91" s="157">
        <f>SUMIFS('Future Orders'!$I91, 'Future Orders'!$D91, "4", 'Future Orders'!$C91, "A", 'Future Orders'!$B91, "2")</f>
        <v>0</v>
      </c>
      <c r="AN91" s="171">
        <f>SUMIFS('Future Orders'!$F91, 'Future Orders'!$D91, "4", 'Future Orders'!$C91, "B", 'Future Orders'!$B91, "2")</f>
        <v>0</v>
      </c>
      <c r="AO91" s="171">
        <f>SUMIFS('Future Orders'!$I91, 'Future Orders'!$D91, "4", 'Future Orders'!$C91, "B", 'Future Orders'!$B91, "2")</f>
        <v>0</v>
      </c>
      <c r="AP91" s="171">
        <f>SUMIFS('Future Orders'!$H91, 'Future Orders'!$C91, "A", 'Future Orders'!$B91, "1")</f>
        <v>0</v>
      </c>
      <c r="AQ91" s="171">
        <f>SUMIFS('Future Orders'!$I91, 'Future Orders'!$C91, "B", 'Future Orders'!$B91, "1")</f>
        <v>0</v>
      </c>
      <c r="AR91" s="171">
        <f>SUMIFS('Future Orders'!$H91, 'Future Orders'!$C91, "A", 'Future Orders'!$B91, "2")</f>
        <v>0</v>
      </c>
      <c r="AS91" s="171">
        <f>SUMIFS('Future Orders'!$I91, 'Future Orders'!$C91, "B", 'Future Orders'!$B91, "2")</f>
        <v>22961.95</v>
      </c>
      <c r="AT91" s="145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2"/>
      <c r="BZ91" s="172"/>
      <c r="CA91" s="179"/>
      <c r="CB91" s="179"/>
      <c r="CC91" s="179"/>
      <c r="CD91" s="179"/>
      <c r="CE91" s="179"/>
      <c r="CF91" s="179"/>
      <c r="CG91" s="179"/>
      <c r="CH91" s="179"/>
      <c r="CI91" s="179"/>
      <c r="CJ91" s="179"/>
      <c r="CK91" s="179"/>
      <c r="CL91" s="179"/>
      <c r="CM91" s="179"/>
      <c r="CN91" s="179"/>
      <c r="CO91" s="179"/>
      <c r="CP91" s="179"/>
    </row>
    <row r="92" ht="15.75" customHeight="1">
      <c r="A92" s="151">
        <v>41960.0</v>
      </c>
      <c r="B92" s="152">
        <v>1.0</v>
      </c>
      <c r="C92" s="152" t="s">
        <v>45</v>
      </c>
      <c r="D92" s="152">
        <v>1.0</v>
      </c>
      <c r="E92" s="153">
        <v>3560.0</v>
      </c>
      <c r="F92" s="153">
        <f>SUM(('Future Orders'!$E92) * (1.1))</f>
        <v>3916</v>
      </c>
      <c r="G92" s="154">
        <v>2.2</v>
      </c>
      <c r="H92" s="155">
        <v>7832.000000000001</v>
      </c>
      <c r="I92" s="155">
        <f>SUM(('Future Orders'!$H92) * (1.1))</f>
        <v>8615.2</v>
      </c>
      <c r="J92" s="159">
        <f>SUMIFS('Future Orders'!$F92, 'Future Orders'!$D92, "1", 'Future Orders'!$C92, "A", 'Future Orders'!$B92, "1")</f>
        <v>3916</v>
      </c>
      <c r="K92" s="157">
        <f>SUMIFS('Future Orders'!$I92, 'Future Orders'!$D92, "1", 'Future Orders'!$C92, "A", 'Future Orders'!$B92, "1")</f>
        <v>8615.2</v>
      </c>
      <c r="L92" s="157">
        <f>SUMIFS('Future Orders'!$F92, 'Future Orders'!$D92, "1", 'Future Orders'!$C92, "B", 'Future Orders'!$B92, "1")</f>
        <v>0</v>
      </c>
      <c r="M92" s="157">
        <f>SUMIFS('Future Orders'!$I92, 'Future Orders'!$D92, "1", 'Future Orders'!$C92, "B", 'Future Orders'!$B92, "1")</f>
        <v>0</v>
      </c>
      <c r="N92" s="159">
        <f>SUMIFS('Future Orders'!$F92, 'Future Orders'!$D92, "1", 'Future Orders'!$C92, "A", 'Future Orders'!$B92, "2")</f>
        <v>0</v>
      </c>
      <c r="O92" s="157">
        <f>SUMIFS('Future Orders'!$I92, 'Future Orders'!$D92, "1", 'Future Orders'!$C92, "A", 'Future Orders'!$B92, "2")</f>
        <v>0</v>
      </c>
      <c r="P92" s="157">
        <f>SUMIFS('Future Orders'!$E92, 'Future Orders'!$D92, "1", 'Future Orders'!$C92, "B", 'Future Orders'!$B92, "2")</f>
        <v>0</v>
      </c>
      <c r="Q92" s="157">
        <f>SUMIFS('Future Orders'!$I92, 'Future Orders'!$D92, "1", 'Future Orders'!$C92, "B", 'Future Orders'!$B92, "2")</f>
        <v>0</v>
      </c>
      <c r="R92" s="159">
        <f>SUMIFS('Future Orders'!$F92, 'Future Orders'!$D92, "2", 'Future Orders'!$C92, "A", 'Future Orders'!$B92, "1")</f>
        <v>0</v>
      </c>
      <c r="S92" s="157">
        <f>SUMIFS('Future Orders'!$I92, 'Future Orders'!$D92, "2", 'Future Orders'!$C92, "A", 'Future Orders'!$B92, "1")</f>
        <v>0</v>
      </c>
      <c r="T92" s="159">
        <f>SUMIFS('Future Orders'!$F92, 'Future Orders'!$D92, "2", 'Future Orders'!$C92, "B", 'Future Orders'!$B92, "1")</f>
        <v>0</v>
      </c>
      <c r="U92" s="157">
        <f>SUMIFS('Future Orders'!$I92, 'Future Orders'!$D92, "2", 'Future Orders'!$C92, "B", 'Future Orders'!$B92, "1")</f>
        <v>0</v>
      </c>
      <c r="V92" s="159">
        <f>SUMIFS('Future Orders'!$F92, 'Future Orders'!$D92, "2", 'Future Orders'!$C92, "A", 'Future Orders'!$B92, "2")</f>
        <v>0</v>
      </c>
      <c r="W92" s="157">
        <f>SUMIFS('Future Orders'!$I92, 'Future Orders'!$D92, "2", 'Future Orders'!$C92, "A", 'Future Orders'!$B92, "2")</f>
        <v>0</v>
      </c>
      <c r="X92" s="159">
        <f>SUMIFS('Future Orders'!$F92, 'Future Orders'!$D92, "2", 'Future Orders'!$C92, "B", 'Future Orders'!$B92, "2")</f>
        <v>0</v>
      </c>
      <c r="Y92" s="159">
        <f>SUMIFS('Future Orders'!$I92, 'Future Orders'!$D92, "2", 'Future Orders'!$C92, "B", 'Future Orders'!$B92, "2")</f>
        <v>0</v>
      </c>
      <c r="Z92" s="159">
        <f>SUMIFS('Future Orders'!$F92, 'Future Orders'!$D92, "3", 'Future Orders'!$C92, "A", 'Future Orders'!$B92, "1")</f>
        <v>0</v>
      </c>
      <c r="AA92" s="159">
        <f>SUMIFS('Future Orders'!$I92, 'Future Orders'!$D92, "3", 'Future Orders'!$C92, "A", 'Future Orders'!$B92, "1")</f>
        <v>0</v>
      </c>
      <c r="AB92" s="159">
        <f>SUMIFS('Future Orders'!$F92, 'Future Orders'!$D92, "3", 'Future Orders'!$C92, "B", 'Future Orders'!$B92, "1")</f>
        <v>0</v>
      </c>
      <c r="AC92" s="159">
        <f>SUMIFS('Future Orders'!$I92, 'Future Orders'!$D92, "3", 'Future Orders'!$C92, "B", 'Future Orders'!$B92, "1")</f>
        <v>0</v>
      </c>
      <c r="AD92" s="159">
        <f>SUMIFS('Future Orders'!$F92, 'Future Orders'!$D92, "3", 'Future Orders'!$C92, "A", 'Future Orders'!$B92, "2")</f>
        <v>0</v>
      </c>
      <c r="AE92" s="159">
        <f>SUMIFS('Future Orders'!$I92, 'Future Orders'!$D92, "3", 'Future Orders'!$C92, "A", 'Future Orders'!$B92, "2")</f>
        <v>0</v>
      </c>
      <c r="AF92" s="159">
        <f>SUMIFS('Future Orders'!$F92, 'Future Orders'!$D92, "3", 'Future Orders'!$C92, "B", 'Future Orders'!$B92, "2")</f>
        <v>0</v>
      </c>
      <c r="AG92" s="157">
        <f>SUMIFS('Future Orders'!$I92, 'Future Orders'!$D92, "3", 'Future Orders'!$C92, "B", 'Future Orders'!$B92, "2")</f>
        <v>0</v>
      </c>
      <c r="AH92" s="157">
        <f>SUMIFS('Future Orders'!$F92, 'Future Orders'!$D92, "4", 'Future Orders'!$C92, "A", 'Future Orders'!$B92, "1")</f>
        <v>0</v>
      </c>
      <c r="AI92" s="157">
        <f>SUMIFS('Future Orders'!$I92, 'Future Orders'!$D92, "4", 'Future Orders'!$C92, "A", 'Future Orders'!$B92, "1")</f>
        <v>0</v>
      </c>
      <c r="AJ92" s="157">
        <f>SUMIFS('Future Orders'!$F92, 'Future Orders'!$D92, "4", 'Future Orders'!$C92, "B", 'Future Orders'!$B92, "1")</f>
        <v>0</v>
      </c>
      <c r="AK92" s="157">
        <f>SUMIFS('Future Orders'!$I92, 'Future Orders'!$D92, "4", 'Future Orders'!$C92, "B", 'Future Orders'!$B92, "1")</f>
        <v>0</v>
      </c>
      <c r="AL92" s="157">
        <f>SUMIFS('Future Orders'!$F92, 'Future Orders'!$D92, "4", 'Future Orders'!$C92, "A", 'Future Orders'!$B92, "2")</f>
        <v>0</v>
      </c>
      <c r="AM92" s="157">
        <f>SUMIFS('Future Orders'!$I92, 'Future Orders'!$D92, "4", 'Future Orders'!$C92, "A", 'Future Orders'!$B92, "2")</f>
        <v>0</v>
      </c>
      <c r="AN92" s="171">
        <f>SUMIFS('Future Orders'!$F92, 'Future Orders'!$D92, "4", 'Future Orders'!$C92, "B", 'Future Orders'!$B92, "2")</f>
        <v>0</v>
      </c>
      <c r="AO92" s="171">
        <f>SUMIFS('Future Orders'!$I92, 'Future Orders'!$D92, "4", 'Future Orders'!$C92, "B", 'Future Orders'!$B92, "2")</f>
        <v>0</v>
      </c>
      <c r="AP92" s="171">
        <f>SUMIFS('Future Orders'!$H92, 'Future Orders'!$C92, "A", 'Future Orders'!$B92, "1")</f>
        <v>7832</v>
      </c>
      <c r="AQ92" s="171">
        <f>SUMIFS('Future Orders'!$I92, 'Future Orders'!$C92, "B", 'Future Orders'!$B92, "1")</f>
        <v>0</v>
      </c>
      <c r="AR92" s="171">
        <f>SUMIFS('Future Orders'!$H92, 'Future Orders'!$C92, "A", 'Future Orders'!$B92, "2")</f>
        <v>0</v>
      </c>
      <c r="AS92" s="171">
        <f>SUMIFS('Future Orders'!$I92, 'Future Orders'!$C92, "B", 'Future Orders'!$B92, "2")</f>
        <v>0</v>
      </c>
      <c r="AT92" s="145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2"/>
      <c r="BZ92" s="172"/>
      <c r="CA92" s="179"/>
      <c r="CB92" s="179"/>
      <c r="CC92" s="179"/>
      <c r="CD92" s="179"/>
      <c r="CE92" s="179"/>
      <c r="CF92" s="179"/>
      <c r="CG92" s="179"/>
      <c r="CH92" s="179"/>
      <c r="CI92" s="179"/>
      <c r="CJ92" s="179"/>
      <c r="CK92" s="179"/>
      <c r="CL92" s="179"/>
      <c r="CM92" s="179"/>
      <c r="CN92" s="179"/>
      <c r="CO92" s="179"/>
      <c r="CP92" s="179"/>
    </row>
    <row r="93" ht="15.75" customHeight="1">
      <c r="A93" s="151">
        <v>41960.0</v>
      </c>
      <c r="B93" s="152">
        <v>1.0</v>
      </c>
      <c r="C93" s="152" t="s">
        <v>45</v>
      </c>
      <c r="D93" s="152">
        <v>2.0</v>
      </c>
      <c r="E93" s="153">
        <v>5746.0</v>
      </c>
      <c r="F93" s="153">
        <f>SUM(('Future Orders'!$E93) * (1.1))</f>
        <v>6320.6</v>
      </c>
      <c r="G93" s="154">
        <v>1.2</v>
      </c>
      <c r="H93" s="155">
        <v>6895.2</v>
      </c>
      <c r="I93" s="155">
        <f>SUM(('Future Orders'!$H93) * (1.1))</f>
        <v>7584.72</v>
      </c>
      <c r="J93" s="159">
        <f>SUMIFS('Future Orders'!$F93, 'Future Orders'!$D93, "1", 'Future Orders'!$C93, "A", 'Future Orders'!$B93, "1")</f>
        <v>0</v>
      </c>
      <c r="K93" s="157">
        <f>SUMIFS('Future Orders'!$I93, 'Future Orders'!$D93, "1", 'Future Orders'!$C93, "A", 'Future Orders'!$B93, "1")</f>
        <v>0</v>
      </c>
      <c r="L93" s="157">
        <f>SUMIFS('Future Orders'!$F93, 'Future Orders'!$D93, "1", 'Future Orders'!$C93, "B", 'Future Orders'!$B93, "1")</f>
        <v>0</v>
      </c>
      <c r="M93" s="157">
        <f>SUMIFS('Future Orders'!$I93, 'Future Orders'!$D93, "1", 'Future Orders'!$C93, "B", 'Future Orders'!$B93, "1")</f>
        <v>0</v>
      </c>
      <c r="N93" s="159">
        <f>SUMIFS('Future Orders'!$F93, 'Future Orders'!$D93, "1", 'Future Orders'!$C93, "A", 'Future Orders'!$B93, "2")</f>
        <v>0</v>
      </c>
      <c r="O93" s="157">
        <f>SUMIFS('Future Orders'!$I93, 'Future Orders'!$D93, "1", 'Future Orders'!$C93, "A", 'Future Orders'!$B93, "2")</f>
        <v>0</v>
      </c>
      <c r="P93" s="157">
        <f>SUMIFS('Future Orders'!$E93, 'Future Orders'!$D93, "1", 'Future Orders'!$C93, "B", 'Future Orders'!$B93, "2")</f>
        <v>0</v>
      </c>
      <c r="Q93" s="157">
        <f>SUMIFS('Future Orders'!$I93, 'Future Orders'!$D93, "1", 'Future Orders'!$C93, "B", 'Future Orders'!$B93, "2")</f>
        <v>0</v>
      </c>
      <c r="R93" s="159">
        <f>SUMIFS('Future Orders'!$F93, 'Future Orders'!$D93, "2", 'Future Orders'!$C93, "A", 'Future Orders'!$B93, "1")</f>
        <v>6320.6</v>
      </c>
      <c r="S93" s="157">
        <f>SUMIFS('Future Orders'!$I93, 'Future Orders'!$D93, "2", 'Future Orders'!$C93, "A", 'Future Orders'!$B93, "1")</f>
        <v>7584.72</v>
      </c>
      <c r="T93" s="159">
        <f>SUMIFS('Future Orders'!$F93, 'Future Orders'!$D93, "2", 'Future Orders'!$C93, "B", 'Future Orders'!$B93, "1")</f>
        <v>0</v>
      </c>
      <c r="U93" s="157">
        <f>SUMIFS('Future Orders'!$I93, 'Future Orders'!$D93, "2", 'Future Orders'!$C93, "B", 'Future Orders'!$B93, "1")</f>
        <v>0</v>
      </c>
      <c r="V93" s="159">
        <f>SUMIFS('Future Orders'!$F93, 'Future Orders'!$D93, "2", 'Future Orders'!$C93, "A", 'Future Orders'!$B93, "2")</f>
        <v>0</v>
      </c>
      <c r="W93" s="157">
        <f>SUMIFS('Future Orders'!$I93, 'Future Orders'!$D93, "2", 'Future Orders'!$C93, "A", 'Future Orders'!$B93, "2")</f>
        <v>0</v>
      </c>
      <c r="X93" s="159">
        <f>SUMIFS('Future Orders'!$F93, 'Future Orders'!$D93, "2", 'Future Orders'!$C93, "B", 'Future Orders'!$B93, "2")</f>
        <v>0</v>
      </c>
      <c r="Y93" s="159">
        <f>SUMIFS('Future Orders'!$I93, 'Future Orders'!$D93, "2", 'Future Orders'!$C93, "B", 'Future Orders'!$B93, "2")</f>
        <v>0</v>
      </c>
      <c r="Z93" s="159">
        <f>SUMIFS('Future Orders'!$F93, 'Future Orders'!$D93, "3", 'Future Orders'!$C93, "A", 'Future Orders'!$B93, "1")</f>
        <v>0</v>
      </c>
      <c r="AA93" s="159">
        <f>SUMIFS('Future Orders'!$I93, 'Future Orders'!$D93, "3", 'Future Orders'!$C93, "A", 'Future Orders'!$B93, "1")</f>
        <v>0</v>
      </c>
      <c r="AB93" s="159">
        <f>SUMIFS('Future Orders'!$F93, 'Future Orders'!$D93, "3", 'Future Orders'!$C93, "B", 'Future Orders'!$B93, "1")</f>
        <v>0</v>
      </c>
      <c r="AC93" s="159">
        <f>SUMIFS('Future Orders'!$I93, 'Future Orders'!$D93, "3", 'Future Orders'!$C93, "B", 'Future Orders'!$B93, "1")</f>
        <v>0</v>
      </c>
      <c r="AD93" s="159">
        <f>SUMIFS('Future Orders'!$F93, 'Future Orders'!$D93, "3", 'Future Orders'!$C93, "A", 'Future Orders'!$B93, "2")</f>
        <v>0</v>
      </c>
      <c r="AE93" s="159">
        <f>SUMIFS('Future Orders'!$I93, 'Future Orders'!$D93, "3", 'Future Orders'!$C93, "A", 'Future Orders'!$B93, "2")</f>
        <v>0</v>
      </c>
      <c r="AF93" s="159">
        <f>SUMIFS('Future Orders'!$F93, 'Future Orders'!$D93, "3", 'Future Orders'!$C93, "B", 'Future Orders'!$B93, "2")</f>
        <v>0</v>
      </c>
      <c r="AG93" s="157">
        <f>SUMIFS('Future Orders'!$I93, 'Future Orders'!$D93, "3", 'Future Orders'!$C93, "B", 'Future Orders'!$B93, "2")</f>
        <v>0</v>
      </c>
      <c r="AH93" s="157">
        <f>SUMIFS('Future Orders'!$F93, 'Future Orders'!$D93, "4", 'Future Orders'!$C93, "A", 'Future Orders'!$B93, "1")</f>
        <v>0</v>
      </c>
      <c r="AI93" s="157">
        <f>SUMIFS('Future Orders'!$I93, 'Future Orders'!$D93, "4", 'Future Orders'!$C93, "A", 'Future Orders'!$B93, "1")</f>
        <v>0</v>
      </c>
      <c r="AJ93" s="157">
        <f>SUMIFS('Future Orders'!$F93, 'Future Orders'!$D93, "4", 'Future Orders'!$C93, "B", 'Future Orders'!$B93, "1")</f>
        <v>0</v>
      </c>
      <c r="AK93" s="157">
        <f>SUMIFS('Future Orders'!$I93, 'Future Orders'!$D93, "4", 'Future Orders'!$C93, "B", 'Future Orders'!$B93, "1")</f>
        <v>0</v>
      </c>
      <c r="AL93" s="157">
        <f>SUMIFS('Future Orders'!$F93, 'Future Orders'!$D93, "4", 'Future Orders'!$C93, "A", 'Future Orders'!$B93, "2")</f>
        <v>0</v>
      </c>
      <c r="AM93" s="157">
        <f>SUMIFS('Future Orders'!$I93, 'Future Orders'!$D93, "4", 'Future Orders'!$C93, "A", 'Future Orders'!$B93, "2")</f>
        <v>0</v>
      </c>
      <c r="AN93" s="171">
        <f>SUMIFS('Future Orders'!$F93, 'Future Orders'!$D93, "4", 'Future Orders'!$C93, "B", 'Future Orders'!$B93, "2")</f>
        <v>0</v>
      </c>
      <c r="AO93" s="171">
        <f>SUMIFS('Future Orders'!$I93, 'Future Orders'!$D93, "4", 'Future Orders'!$C93, "B", 'Future Orders'!$B93, "2")</f>
        <v>0</v>
      </c>
      <c r="AP93" s="171">
        <f>SUMIFS('Future Orders'!$H93, 'Future Orders'!$C93, "A", 'Future Orders'!$B93, "1")</f>
        <v>6895.2</v>
      </c>
      <c r="AQ93" s="171">
        <f>SUMIFS('Future Orders'!$I93, 'Future Orders'!$C93, "B", 'Future Orders'!$B93, "1")</f>
        <v>0</v>
      </c>
      <c r="AR93" s="171">
        <f>SUMIFS('Future Orders'!$H93, 'Future Orders'!$C93, "A", 'Future Orders'!$B93, "2")</f>
        <v>0</v>
      </c>
      <c r="AS93" s="171">
        <f>SUMIFS('Future Orders'!$I93, 'Future Orders'!$C93, "B", 'Future Orders'!$B93, "2")</f>
        <v>0</v>
      </c>
      <c r="AT93" s="145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2"/>
      <c r="BZ93" s="172"/>
      <c r="CA93" s="179"/>
      <c r="CB93" s="179"/>
      <c r="CC93" s="179"/>
      <c r="CD93" s="179"/>
      <c r="CE93" s="179"/>
      <c r="CF93" s="179"/>
      <c r="CG93" s="179"/>
      <c r="CH93" s="179"/>
      <c r="CI93" s="179"/>
      <c r="CJ93" s="179"/>
      <c r="CK93" s="179"/>
      <c r="CL93" s="179"/>
      <c r="CM93" s="179"/>
      <c r="CN93" s="179"/>
      <c r="CO93" s="179"/>
      <c r="CP93" s="179"/>
    </row>
    <row r="94" ht="15.75" customHeight="1">
      <c r="A94" s="151">
        <v>41960.0</v>
      </c>
      <c r="B94" s="152">
        <v>2.0</v>
      </c>
      <c r="C94" s="152" t="s">
        <v>45</v>
      </c>
      <c r="D94" s="152">
        <v>1.0</v>
      </c>
      <c r="E94" s="153">
        <v>2293.0</v>
      </c>
      <c r="F94" s="153">
        <f>SUM(('Future Orders'!$E94) * (1.1))</f>
        <v>2522.3</v>
      </c>
      <c r="G94" s="154">
        <v>2.2</v>
      </c>
      <c r="H94" s="155">
        <v>5044.6</v>
      </c>
      <c r="I94" s="155">
        <f>SUM(('Future Orders'!$H94) * (1.1))</f>
        <v>5549.06</v>
      </c>
      <c r="J94" s="159">
        <f>SUMIFS('Future Orders'!$F94, 'Future Orders'!$D94, "1", 'Future Orders'!$C94, "A", 'Future Orders'!$B94, "1")</f>
        <v>0</v>
      </c>
      <c r="K94" s="157">
        <f>SUMIFS('Future Orders'!$I94, 'Future Orders'!$D94, "1", 'Future Orders'!$C94, "A", 'Future Orders'!$B94, "1")</f>
        <v>0</v>
      </c>
      <c r="L94" s="157">
        <f>SUMIFS('Future Orders'!$F94, 'Future Orders'!$D94, "1", 'Future Orders'!$C94, "B", 'Future Orders'!$B94, "1")</f>
        <v>0</v>
      </c>
      <c r="M94" s="157">
        <f>SUMIFS('Future Orders'!$I94, 'Future Orders'!$D94, "1", 'Future Orders'!$C94, "B", 'Future Orders'!$B94, "1")</f>
        <v>0</v>
      </c>
      <c r="N94" s="159">
        <f>SUMIFS('Future Orders'!$F94, 'Future Orders'!$D94, "1", 'Future Orders'!$C94, "A", 'Future Orders'!$B94, "2")</f>
        <v>2522.3</v>
      </c>
      <c r="O94" s="157">
        <f>SUMIFS('Future Orders'!$I94, 'Future Orders'!$D94, "1", 'Future Orders'!$C94, "A", 'Future Orders'!$B94, "2")</f>
        <v>5549.06</v>
      </c>
      <c r="P94" s="157">
        <f>SUMIFS('Future Orders'!$E94, 'Future Orders'!$D94, "1", 'Future Orders'!$C94, "B", 'Future Orders'!$B94, "2")</f>
        <v>0</v>
      </c>
      <c r="Q94" s="157">
        <f>SUMIFS('Future Orders'!$I94, 'Future Orders'!$D94, "1", 'Future Orders'!$C94, "B", 'Future Orders'!$B94, "2")</f>
        <v>0</v>
      </c>
      <c r="R94" s="159">
        <f>SUMIFS('Future Orders'!$F94, 'Future Orders'!$D94, "2", 'Future Orders'!$C94, "A", 'Future Orders'!$B94, "1")</f>
        <v>0</v>
      </c>
      <c r="S94" s="157">
        <f>SUMIFS('Future Orders'!$I94, 'Future Orders'!$D94, "2", 'Future Orders'!$C94, "A", 'Future Orders'!$B94, "1")</f>
        <v>0</v>
      </c>
      <c r="T94" s="159">
        <f>SUMIFS('Future Orders'!$F94, 'Future Orders'!$D94, "2", 'Future Orders'!$C94, "B", 'Future Orders'!$B94, "1")</f>
        <v>0</v>
      </c>
      <c r="U94" s="157">
        <f>SUMIFS('Future Orders'!$I94, 'Future Orders'!$D94, "2", 'Future Orders'!$C94, "B", 'Future Orders'!$B94, "1")</f>
        <v>0</v>
      </c>
      <c r="V94" s="159">
        <f>SUMIFS('Future Orders'!$F94, 'Future Orders'!$D94, "2", 'Future Orders'!$C94, "A", 'Future Orders'!$B94, "2")</f>
        <v>0</v>
      </c>
      <c r="W94" s="157">
        <f>SUMIFS('Future Orders'!$I94, 'Future Orders'!$D94, "2", 'Future Orders'!$C94, "A", 'Future Orders'!$B94, "2")</f>
        <v>0</v>
      </c>
      <c r="X94" s="159">
        <f>SUMIFS('Future Orders'!$F94, 'Future Orders'!$D94, "2", 'Future Orders'!$C94, "B", 'Future Orders'!$B94, "2")</f>
        <v>0</v>
      </c>
      <c r="Y94" s="159">
        <f>SUMIFS('Future Orders'!$I94, 'Future Orders'!$D94, "2", 'Future Orders'!$C94, "B", 'Future Orders'!$B94, "2")</f>
        <v>0</v>
      </c>
      <c r="Z94" s="159">
        <f>SUMIFS('Future Orders'!$F94, 'Future Orders'!$D94, "3", 'Future Orders'!$C94, "A", 'Future Orders'!$B94, "1")</f>
        <v>0</v>
      </c>
      <c r="AA94" s="159">
        <f>SUMIFS('Future Orders'!$I94, 'Future Orders'!$D94, "3", 'Future Orders'!$C94, "A", 'Future Orders'!$B94, "1")</f>
        <v>0</v>
      </c>
      <c r="AB94" s="159">
        <f>SUMIFS('Future Orders'!$F94, 'Future Orders'!$D94, "3", 'Future Orders'!$C94, "B", 'Future Orders'!$B94, "1")</f>
        <v>0</v>
      </c>
      <c r="AC94" s="159">
        <f>SUMIFS('Future Orders'!$I94, 'Future Orders'!$D94, "3", 'Future Orders'!$C94, "B", 'Future Orders'!$B94, "1")</f>
        <v>0</v>
      </c>
      <c r="AD94" s="159">
        <f>SUMIFS('Future Orders'!$F94, 'Future Orders'!$D94, "3", 'Future Orders'!$C94, "A", 'Future Orders'!$B94, "2")</f>
        <v>0</v>
      </c>
      <c r="AE94" s="159">
        <f>SUMIFS('Future Orders'!$I94, 'Future Orders'!$D94, "3", 'Future Orders'!$C94, "A", 'Future Orders'!$B94, "2")</f>
        <v>0</v>
      </c>
      <c r="AF94" s="159">
        <f>SUMIFS('Future Orders'!$F94, 'Future Orders'!$D94, "3", 'Future Orders'!$C94, "B", 'Future Orders'!$B94, "2")</f>
        <v>0</v>
      </c>
      <c r="AG94" s="157">
        <f>SUMIFS('Future Orders'!$I94, 'Future Orders'!$D94, "3", 'Future Orders'!$C94, "B", 'Future Orders'!$B94, "2")</f>
        <v>0</v>
      </c>
      <c r="AH94" s="157">
        <f>SUMIFS('Future Orders'!$F94, 'Future Orders'!$D94, "4", 'Future Orders'!$C94, "A", 'Future Orders'!$B94, "1")</f>
        <v>0</v>
      </c>
      <c r="AI94" s="157">
        <f>SUMIFS('Future Orders'!$I94, 'Future Orders'!$D94, "4", 'Future Orders'!$C94, "A", 'Future Orders'!$B94, "1")</f>
        <v>0</v>
      </c>
      <c r="AJ94" s="157">
        <f>SUMIFS('Future Orders'!$F94, 'Future Orders'!$D94, "4", 'Future Orders'!$C94, "B", 'Future Orders'!$B94, "1")</f>
        <v>0</v>
      </c>
      <c r="AK94" s="157">
        <f>SUMIFS('Future Orders'!$I94, 'Future Orders'!$D94, "4", 'Future Orders'!$C94, "B", 'Future Orders'!$B94, "1")</f>
        <v>0</v>
      </c>
      <c r="AL94" s="157">
        <f>SUMIFS('Future Orders'!$F94, 'Future Orders'!$D94, "4", 'Future Orders'!$C94, "A", 'Future Orders'!$B94, "2")</f>
        <v>0</v>
      </c>
      <c r="AM94" s="157">
        <f>SUMIFS('Future Orders'!$I94, 'Future Orders'!$D94, "4", 'Future Orders'!$C94, "A", 'Future Orders'!$B94, "2")</f>
        <v>0</v>
      </c>
      <c r="AN94" s="171">
        <f>SUMIFS('Future Orders'!$F94, 'Future Orders'!$D94, "4", 'Future Orders'!$C94, "B", 'Future Orders'!$B94, "2")</f>
        <v>0</v>
      </c>
      <c r="AO94" s="171">
        <f>SUMIFS('Future Orders'!$I94, 'Future Orders'!$D94, "4", 'Future Orders'!$C94, "B", 'Future Orders'!$B94, "2")</f>
        <v>0</v>
      </c>
      <c r="AP94" s="171">
        <f>SUMIFS('Future Orders'!$H94, 'Future Orders'!$C94, "A", 'Future Orders'!$B94, "1")</f>
        <v>0</v>
      </c>
      <c r="AQ94" s="171">
        <f>SUMIFS('Future Orders'!$I94, 'Future Orders'!$C94, "B", 'Future Orders'!$B94, "1")</f>
        <v>0</v>
      </c>
      <c r="AR94" s="171">
        <f>SUMIFS('Future Orders'!$H94, 'Future Orders'!$C94, "A", 'Future Orders'!$B94, "2")</f>
        <v>5044.6</v>
      </c>
      <c r="AS94" s="171">
        <f>SUMIFS('Future Orders'!$I94, 'Future Orders'!$C94, "B", 'Future Orders'!$B94, "2")</f>
        <v>0</v>
      </c>
      <c r="AT94" s="145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2"/>
      <c r="BZ94" s="172"/>
      <c r="CA94" s="179"/>
      <c r="CB94" s="179"/>
      <c r="CC94" s="179"/>
      <c r="CD94" s="179"/>
      <c r="CE94" s="179"/>
      <c r="CF94" s="179"/>
      <c r="CG94" s="179"/>
      <c r="CH94" s="179"/>
      <c r="CI94" s="179"/>
      <c r="CJ94" s="179"/>
      <c r="CK94" s="179"/>
      <c r="CL94" s="179"/>
      <c r="CM94" s="179"/>
      <c r="CN94" s="179"/>
      <c r="CO94" s="179"/>
      <c r="CP94" s="179"/>
    </row>
    <row r="95" ht="15.75" customHeight="1">
      <c r="A95" s="151">
        <v>41960.0</v>
      </c>
      <c r="B95" s="152">
        <v>2.0</v>
      </c>
      <c r="C95" s="152" t="s">
        <v>45</v>
      </c>
      <c r="D95" s="152">
        <v>2.0</v>
      </c>
      <c r="E95" s="153">
        <v>6842.0</v>
      </c>
      <c r="F95" s="153">
        <f>SUM(('Future Orders'!$E95) * (1.1))</f>
        <v>7526.2</v>
      </c>
      <c r="G95" s="154">
        <v>1.2</v>
      </c>
      <c r="H95" s="155">
        <v>8210.4</v>
      </c>
      <c r="I95" s="155">
        <f>SUM(('Future Orders'!$H95) * (1.1))</f>
        <v>9031.44</v>
      </c>
      <c r="J95" s="159">
        <f>SUMIFS('Future Orders'!$F95, 'Future Orders'!$D95, "1", 'Future Orders'!$C95, "A", 'Future Orders'!$B95, "1")</f>
        <v>0</v>
      </c>
      <c r="K95" s="157">
        <f>SUMIFS('Future Orders'!$I95, 'Future Orders'!$D95, "1", 'Future Orders'!$C95, "A", 'Future Orders'!$B95, "1")</f>
        <v>0</v>
      </c>
      <c r="L95" s="157">
        <f>SUMIFS('Future Orders'!$F95, 'Future Orders'!$D95, "1", 'Future Orders'!$C95, "B", 'Future Orders'!$B95, "1")</f>
        <v>0</v>
      </c>
      <c r="M95" s="157">
        <f>SUMIFS('Future Orders'!$I95, 'Future Orders'!$D95, "1", 'Future Orders'!$C95, "B", 'Future Orders'!$B95, "1")</f>
        <v>0</v>
      </c>
      <c r="N95" s="159">
        <f>SUMIFS('Future Orders'!$F95, 'Future Orders'!$D95, "1", 'Future Orders'!$C95, "A", 'Future Orders'!$B95, "2")</f>
        <v>0</v>
      </c>
      <c r="O95" s="157">
        <f>SUMIFS('Future Orders'!$I95, 'Future Orders'!$D95, "1", 'Future Orders'!$C95, "A", 'Future Orders'!$B95, "2")</f>
        <v>0</v>
      </c>
      <c r="P95" s="157">
        <f>SUMIFS('Future Orders'!$E95, 'Future Orders'!$D95, "1", 'Future Orders'!$C95, "B", 'Future Orders'!$B95, "2")</f>
        <v>0</v>
      </c>
      <c r="Q95" s="157">
        <f>SUMIFS('Future Orders'!$I95, 'Future Orders'!$D95, "1", 'Future Orders'!$C95, "B", 'Future Orders'!$B95, "2")</f>
        <v>0</v>
      </c>
      <c r="R95" s="159">
        <f>SUMIFS('Future Orders'!$F95, 'Future Orders'!$D95, "2", 'Future Orders'!$C95, "A", 'Future Orders'!$B95, "1")</f>
        <v>0</v>
      </c>
      <c r="S95" s="157">
        <f>SUMIFS('Future Orders'!$I95, 'Future Orders'!$D95, "2", 'Future Orders'!$C95, "A", 'Future Orders'!$B95, "1")</f>
        <v>0</v>
      </c>
      <c r="T95" s="159">
        <f>SUMIFS('Future Orders'!$F95, 'Future Orders'!$D95, "2", 'Future Orders'!$C95, "B", 'Future Orders'!$B95, "1")</f>
        <v>0</v>
      </c>
      <c r="U95" s="157">
        <f>SUMIFS('Future Orders'!$I95, 'Future Orders'!$D95, "2", 'Future Orders'!$C95, "B", 'Future Orders'!$B95, "1")</f>
        <v>0</v>
      </c>
      <c r="V95" s="159">
        <f>SUMIFS('Future Orders'!$F95, 'Future Orders'!$D95, "2", 'Future Orders'!$C95, "A", 'Future Orders'!$B95, "2")</f>
        <v>7526.2</v>
      </c>
      <c r="W95" s="157">
        <f>SUMIFS('Future Orders'!$I95, 'Future Orders'!$D95, "2", 'Future Orders'!$C95, "A", 'Future Orders'!$B95, "2")</f>
        <v>9031.44</v>
      </c>
      <c r="X95" s="159">
        <f>SUMIFS('Future Orders'!$F95, 'Future Orders'!$D95, "2", 'Future Orders'!$C95, "B", 'Future Orders'!$B95, "2")</f>
        <v>0</v>
      </c>
      <c r="Y95" s="159">
        <f>SUMIFS('Future Orders'!$I95, 'Future Orders'!$D95, "2", 'Future Orders'!$C95, "B", 'Future Orders'!$B95, "2")</f>
        <v>0</v>
      </c>
      <c r="Z95" s="159">
        <f>SUMIFS('Future Orders'!$F95, 'Future Orders'!$D95, "3", 'Future Orders'!$C95, "A", 'Future Orders'!$B95, "1")</f>
        <v>0</v>
      </c>
      <c r="AA95" s="159">
        <f>SUMIFS('Future Orders'!$I95, 'Future Orders'!$D95, "3", 'Future Orders'!$C95, "A", 'Future Orders'!$B95, "1")</f>
        <v>0</v>
      </c>
      <c r="AB95" s="159">
        <f>SUMIFS('Future Orders'!$F95, 'Future Orders'!$D95, "3", 'Future Orders'!$C95, "B", 'Future Orders'!$B95, "1")</f>
        <v>0</v>
      </c>
      <c r="AC95" s="159">
        <f>SUMIFS('Future Orders'!$I95, 'Future Orders'!$D95, "3", 'Future Orders'!$C95, "B", 'Future Orders'!$B95, "1")</f>
        <v>0</v>
      </c>
      <c r="AD95" s="159">
        <f>SUMIFS('Future Orders'!$F95, 'Future Orders'!$D95, "3", 'Future Orders'!$C95, "A", 'Future Orders'!$B95, "2")</f>
        <v>0</v>
      </c>
      <c r="AE95" s="159">
        <f>SUMIFS('Future Orders'!$I95, 'Future Orders'!$D95, "3", 'Future Orders'!$C95, "A", 'Future Orders'!$B95, "2")</f>
        <v>0</v>
      </c>
      <c r="AF95" s="159">
        <f>SUMIFS('Future Orders'!$F95, 'Future Orders'!$D95, "3", 'Future Orders'!$C95, "B", 'Future Orders'!$B95, "2")</f>
        <v>0</v>
      </c>
      <c r="AG95" s="157">
        <f>SUMIFS('Future Orders'!$I95, 'Future Orders'!$D95, "3", 'Future Orders'!$C95, "B", 'Future Orders'!$B95, "2")</f>
        <v>0</v>
      </c>
      <c r="AH95" s="157">
        <f>SUMIFS('Future Orders'!$F95, 'Future Orders'!$D95, "4", 'Future Orders'!$C95, "A", 'Future Orders'!$B95, "1")</f>
        <v>0</v>
      </c>
      <c r="AI95" s="157">
        <f>SUMIFS('Future Orders'!$I95, 'Future Orders'!$D95, "4", 'Future Orders'!$C95, "A", 'Future Orders'!$B95, "1")</f>
        <v>0</v>
      </c>
      <c r="AJ95" s="157">
        <f>SUMIFS('Future Orders'!$F95, 'Future Orders'!$D95, "4", 'Future Orders'!$C95, "B", 'Future Orders'!$B95, "1")</f>
        <v>0</v>
      </c>
      <c r="AK95" s="157">
        <f>SUMIFS('Future Orders'!$I95, 'Future Orders'!$D95, "4", 'Future Orders'!$C95, "B", 'Future Orders'!$B95, "1")</f>
        <v>0</v>
      </c>
      <c r="AL95" s="157">
        <f>SUMIFS('Future Orders'!$F95, 'Future Orders'!$D95, "4", 'Future Orders'!$C95, "A", 'Future Orders'!$B95, "2")</f>
        <v>0</v>
      </c>
      <c r="AM95" s="157">
        <f>SUMIFS('Future Orders'!$I95, 'Future Orders'!$D95, "4", 'Future Orders'!$C95, "A", 'Future Orders'!$B95, "2")</f>
        <v>0</v>
      </c>
      <c r="AN95" s="171">
        <f>SUMIFS('Future Orders'!$F95, 'Future Orders'!$D95, "4", 'Future Orders'!$C95, "B", 'Future Orders'!$B95, "2")</f>
        <v>0</v>
      </c>
      <c r="AO95" s="171">
        <f>SUMIFS('Future Orders'!$I95, 'Future Orders'!$D95, "4", 'Future Orders'!$C95, "B", 'Future Orders'!$B95, "2")</f>
        <v>0</v>
      </c>
      <c r="AP95" s="171">
        <f>SUMIFS('Future Orders'!$H95, 'Future Orders'!$C95, "A", 'Future Orders'!$B95, "1")</f>
        <v>0</v>
      </c>
      <c r="AQ95" s="171">
        <f>SUMIFS('Future Orders'!$I95, 'Future Orders'!$C95, "B", 'Future Orders'!$B95, "1")</f>
        <v>0</v>
      </c>
      <c r="AR95" s="171">
        <f>SUMIFS('Future Orders'!$H95, 'Future Orders'!$C95, "A", 'Future Orders'!$B95, "2")</f>
        <v>8210.4</v>
      </c>
      <c r="AS95" s="171">
        <f>SUMIFS('Future Orders'!$I95, 'Future Orders'!$C95, "B", 'Future Orders'!$B95, "2")</f>
        <v>0</v>
      </c>
      <c r="AT95" s="145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2"/>
      <c r="BZ95" s="172"/>
      <c r="CA95" s="179"/>
      <c r="CB95" s="179"/>
      <c r="CC95" s="179"/>
      <c r="CD95" s="179"/>
      <c r="CE95" s="179"/>
      <c r="CF95" s="179"/>
      <c r="CG95" s="179"/>
      <c r="CH95" s="179"/>
      <c r="CI95" s="179"/>
      <c r="CJ95" s="179"/>
      <c r="CK95" s="179"/>
      <c r="CL95" s="179"/>
      <c r="CM95" s="179"/>
      <c r="CN95" s="179"/>
      <c r="CO95" s="179"/>
      <c r="CP95" s="179"/>
    </row>
    <row r="96" ht="15.75" customHeight="1">
      <c r="A96" s="151">
        <v>41960.0</v>
      </c>
      <c r="B96" s="152">
        <v>1.0</v>
      </c>
      <c r="C96" s="152" t="s">
        <v>46</v>
      </c>
      <c r="D96" s="152">
        <v>3.0</v>
      </c>
      <c r="E96" s="153">
        <v>1798.0</v>
      </c>
      <c r="F96" s="153">
        <f>SUM(('Future Orders'!$E96) * (1.1))</f>
        <v>1977.8</v>
      </c>
      <c r="G96" s="154">
        <v>8.3</v>
      </c>
      <c r="H96" s="155">
        <v>14923.400000000001</v>
      </c>
      <c r="I96" s="155">
        <f>SUM(('Future Orders'!$H96) * (1.1))</f>
        <v>16415.74</v>
      </c>
      <c r="J96" s="159">
        <f>SUMIFS('Future Orders'!$F96, 'Future Orders'!$D96, "1", 'Future Orders'!$C96, "A", 'Future Orders'!$B96, "1")</f>
        <v>0</v>
      </c>
      <c r="K96" s="157">
        <f>SUMIFS('Future Orders'!$I96, 'Future Orders'!$D96, "1", 'Future Orders'!$C96, "A", 'Future Orders'!$B96, "1")</f>
        <v>0</v>
      </c>
      <c r="L96" s="157">
        <f>SUMIFS('Future Orders'!$F96, 'Future Orders'!$D96, "1", 'Future Orders'!$C96, "B", 'Future Orders'!$B96, "1")</f>
        <v>0</v>
      </c>
      <c r="M96" s="157">
        <f>SUMIFS('Future Orders'!$I96, 'Future Orders'!$D96, "1", 'Future Orders'!$C96, "B", 'Future Orders'!$B96, "1")</f>
        <v>0</v>
      </c>
      <c r="N96" s="159">
        <f>SUMIFS('Future Orders'!$F96, 'Future Orders'!$D96, "1", 'Future Orders'!$C96, "A", 'Future Orders'!$B96, "2")</f>
        <v>0</v>
      </c>
      <c r="O96" s="157">
        <f>SUMIFS('Future Orders'!$I96, 'Future Orders'!$D96, "1", 'Future Orders'!$C96, "A", 'Future Orders'!$B96, "2")</f>
        <v>0</v>
      </c>
      <c r="P96" s="157">
        <f>SUMIFS('Future Orders'!$E96, 'Future Orders'!$D96, "1", 'Future Orders'!$C96, "B", 'Future Orders'!$B96, "2")</f>
        <v>0</v>
      </c>
      <c r="Q96" s="157">
        <f>SUMIFS('Future Orders'!$I96, 'Future Orders'!$D96, "1", 'Future Orders'!$C96, "B", 'Future Orders'!$B96, "2")</f>
        <v>0</v>
      </c>
      <c r="R96" s="159">
        <f>SUMIFS('Future Orders'!$F96, 'Future Orders'!$D96, "2", 'Future Orders'!$C96, "A", 'Future Orders'!$B96, "1")</f>
        <v>0</v>
      </c>
      <c r="S96" s="157">
        <f>SUMIFS('Future Orders'!$I96, 'Future Orders'!$D96, "2", 'Future Orders'!$C96, "A", 'Future Orders'!$B96, "1")</f>
        <v>0</v>
      </c>
      <c r="T96" s="159">
        <f>SUMIFS('Future Orders'!$F96, 'Future Orders'!$D96, "2", 'Future Orders'!$C96, "B", 'Future Orders'!$B96, "1")</f>
        <v>0</v>
      </c>
      <c r="U96" s="157">
        <f>SUMIFS('Future Orders'!$I96, 'Future Orders'!$D96, "2", 'Future Orders'!$C96, "B", 'Future Orders'!$B96, "1")</f>
        <v>0</v>
      </c>
      <c r="V96" s="159">
        <f>SUMIFS('Future Orders'!$F96, 'Future Orders'!$D96, "2", 'Future Orders'!$C96, "A", 'Future Orders'!$B96, "2")</f>
        <v>0</v>
      </c>
      <c r="W96" s="157">
        <f>SUMIFS('Future Orders'!$I96, 'Future Orders'!$D96, "2", 'Future Orders'!$C96, "A", 'Future Orders'!$B96, "2")</f>
        <v>0</v>
      </c>
      <c r="X96" s="159">
        <f>SUMIFS('Future Orders'!$F96, 'Future Orders'!$D96, "2", 'Future Orders'!$C96, "B", 'Future Orders'!$B96, "2")</f>
        <v>0</v>
      </c>
      <c r="Y96" s="159">
        <f>SUMIFS('Future Orders'!$I96, 'Future Orders'!$D96, "2", 'Future Orders'!$C96, "B", 'Future Orders'!$B96, "2")</f>
        <v>0</v>
      </c>
      <c r="Z96" s="159">
        <f>SUMIFS('Future Orders'!$F96, 'Future Orders'!$D96, "3", 'Future Orders'!$C96, "A", 'Future Orders'!$B96, "1")</f>
        <v>0</v>
      </c>
      <c r="AA96" s="159">
        <f>SUMIFS('Future Orders'!$I96, 'Future Orders'!$D96, "3", 'Future Orders'!$C96, "A", 'Future Orders'!$B96, "1")</f>
        <v>0</v>
      </c>
      <c r="AB96" s="159">
        <f>SUMIFS('Future Orders'!$F96, 'Future Orders'!$D96, "3", 'Future Orders'!$C96, "B", 'Future Orders'!$B96, "1")</f>
        <v>1977.8</v>
      </c>
      <c r="AC96" s="159">
        <f>SUMIFS('Future Orders'!$I96, 'Future Orders'!$D96, "3", 'Future Orders'!$C96, "B", 'Future Orders'!$B96, "1")</f>
        <v>16415.74</v>
      </c>
      <c r="AD96" s="159">
        <f>SUMIFS('Future Orders'!$F96, 'Future Orders'!$D96, "3", 'Future Orders'!$C96, "A", 'Future Orders'!$B96, "2")</f>
        <v>0</v>
      </c>
      <c r="AE96" s="159">
        <f>SUMIFS('Future Orders'!$I96, 'Future Orders'!$D96, "3", 'Future Orders'!$C96, "A", 'Future Orders'!$B96, "2")</f>
        <v>0</v>
      </c>
      <c r="AF96" s="159">
        <f>SUMIFS('Future Orders'!$F96, 'Future Orders'!$D96, "3", 'Future Orders'!$C96, "B", 'Future Orders'!$B96, "2")</f>
        <v>0</v>
      </c>
      <c r="AG96" s="157">
        <f>SUMIFS('Future Orders'!$I96, 'Future Orders'!$D96, "3", 'Future Orders'!$C96, "B", 'Future Orders'!$B96, "2")</f>
        <v>0</v>
      </c>
      <c r="AH96" s="157">
        <f>SUMIFS('Future Orders'!$F96, 'Future Orders'!$D96, "4", 'Future Orders'!$C96, "A", 'Future Orders'!$B96, "1")</f>
        <v>0</v>
      </c>
      <c r="AI96" s="157">
        <f>SUMIFS('Future Orders'!$I96, 'Future Orders'!$D96, "4", 'Future Orders'!$C96, "A", 'Future Orders'!$B96, "1")</f>
        <v>0</v>
      </c>
      <c r="AJ96" s="157">
        <f>SUMIFS('Future Orders'!$F96, 'Future Orders'!$D96, "4", 'Future Orders'!$C96, "B", 'Future Orders'!$B96, "1")</f>
        <v>0</v>
      </c>
      <c r="AK96" s="157">
        <f>SUMIFS('Future Orders'!$I96, 'Future Orders'!$D96, "4", 'Future Orders'!$C96, "B", 'Future Orders'!$B96, "1")</f>
        <v>0</v>
      </c>
      <c r="AL96" s="157">
        <f>SUMIFS('Future Orders'!$F96, 'Future Orders'!$D96, "4", 'Future Orders'!$C96, "A", 'Future Orders'!$B96, "2")</f>
        <v>0</v>
      </c>
      <c r="AM96" s="157">
        <f>SUMIFS('Future Orders'!$I96, 'Future Orders'!$D96, "4", 'Future Orders'!$C96, "A", 'Future Orders'!$B96, "2")</f>
        <v>0</v>
      </c>
      <c r="AN96" s="171">
        <f>SUMIFS('Future Orders'!$F96, 'Future Orders'!$D96, "4", 'Future Orders'!$C96, "B", 'Future Orders'!$B96, "2")</f>
        <v>0</v>
      </c>
      <c r="AO96" s="171">
        <f>SUMIFS('Future Orders'!$I96, 'Future Orders'!$D96, "4", 'Future Orders'!$C96, "B", 'Future Orders'!$B96, "2")</f>
        <v>0</v>
      </c>
      <c r="AP96" s="171">
        <f>SUMIFS('Future Orders'!$H96, 'Future Orders'!$C96, "A", 'Future Orders'!$B96, "1")</f>
        <v>0</v>
      </c>
      <c r="AQ96" s="171">
        <f>SUMIFS('Future Orders'!$I96, 'Future Orders'!$C96, "B", 'Future Orders'!$B96, "1")</f>
        <v>16415.74</v>
      </c>
      <c r="AR96" s="171">
        <f>SUMIFS('Future Orders'!$H96, 'Future Orders'!$C96, "A", 'Future Orders'!$B96, "2")</f>
        <v>0</v>
      </c>
      <c r="AS96" s="171">
        <f>SUMIFS('Future Orders'!$I96, 'Future Orders'!$C96, "B", 'Future Orders'!$B96, "2")</f>
        <v>0</v>
      </c>
      <c r="AT96" s="145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2"/>
      <c r="BZ96" s="172"/>
      <c r="CA96" s="179"/>
      <c r="CB96" s="179"/>
      <c r="CC96" s="179"/>
      <c r="CD96" s="179"/>
      <c r="CE96" s="179"/>
      <c r="CF96" s="179"/>
      <c r="CG96" s="179"/>
      <c r="CH96" s="179"/>
      <c r="CI96" s="179"/>
      <c r="CJ96" s="179"/>
      <c r="CK96" s="179"/>
      <c r="CL96" s="179"/>
      <c r="CM96" s="179"/>
      <c r="CN96" s="179"/>
      <c r="CO96" s="179"/>
      <c r="CP96" s="179"/>
    </row>
    <row r="97" ht="15.75" customHeight="1">
      <c r="A97" s="151">
        <v>41960.0</v>
      </c>
      <c r="B97" s="152">
        <v>2.0</v>
      </c>
      <c r="C97" s="152" t="s">
        <v>46</v>
      </c>
      <c r="D97" s="152">
        <v>3.0</v>
      </c>
      <c r="E97" s="153">
        <v>1806.0</v>
      </c>
      <c r="F97" s="153">
        <f>SUM(('Future Orders'!$E97) * (1.1))</f>
        <v>1986.6</v>
      </c>
      <c r="G97" s="154">
        <v>8.3</v>
      </c>
      <c r="H97" s="155">
        <v>14989.800000000001</v>
      </c>
      <c r="I97" s="155">
        <f>SUM(('Future Orders'!$H97) * (1.1))</f>
        <v>16488.78</v>
      </c>
      <c r="J97" s="159">
        <f>SUMIFS('Future Orders'!$F97, 'Future Orders'!$D97, "1", 'Future Orders'!$C97, "A", 'Future Orders'!$B97, "1")</f>
        <v>0</v>
      </c>
      <c r="K97" s="157">
        <f>SUMIFS('Future Orders'!$I97, 'Future Orders'!$D97, "1", 'Future Orders'!$C97, "A", 'Future Orders'!$B97, "1")</f>
        <v>0</v>
      </c>
      <c r="L97" s="157">
        <f>SUMIFS('Future Orders'!$F97, 'Future Orders'!$D97, "1", 'Future Orders'!$C97, "B", 'Future Orders'!$B97, "1")</f>
        <v>0</v>
      </c>
      <c r="M97" s="157">
        <f>SUMIFS('Future Orders'!$I97, 'Future Orders'!$D97, "1", 'Future Orders'!$C97, "B", 'Future Orders'!$B97, "1")</f>
        <v>0</v>
      </c>
      <c r="N97" s="159">
        <f>SUMIFS('Future Orders'!$F97, 'Future Orders'!$D97, "1", 'Future Orders'!$C97, "A", 'Future Orders'!$B97, "2")</f>
        <v>0</v>
      </c>
      <c r="O97" s="157">
        <f>SUMIFS('Future Orders'!$I97, 'Future Orders'!$D97, "1", 'Future Orders'!$C97, "A", 'Future Orders'!$B97, "2")</f>
        <v>0</v>
      </c>
      <c r="P97" s="157">
        <f>SUMIFS('Future Orders'!$E97, 'Future Orders'!$D97, "1", 'Future Orders'!$C97, "B", 'Future Orders'!$B97, "2")</f>
        <v>0</v>
      </c>
      <c r="Q97" s="157">
        <f>SUMIFS('Future Orders'!$I97, 'Future Orders'!$D97, "1", 'Future Orders'!$C97, "B", 'Future Orders'!$B97, "2")</f>
        <v>0</v>
      </c>
      <c r="R97" s="159">
        <f>SUMIFS('Future Orders'!$F97, 'Future Orders'!$D97, "2", 'Future Orders'!$C97, "A", 'Future Orders'!$B97, "1")</f>
        <v>0</v>
      </c>
      <c r="S97" s="157">
        <f>SUMIFS('Future Orders'!$I97, 'Future Orders'!$D97, "2", 'Future Orders'!$C97, "A", 'Future Orders'!$B97, "1")</f>
        <v>0</v>
      </c>
      <c r="T97" s="159">
        <f>SUMIFS('Future Orders'!$F97, 'Future Orders'!$D97, "2", 'Future Orders'!$C97, "B", 'Future Orders'!$B97, "1")</f>
        <v>0</v>
      </c>
      <c r="U97" s="157">
        <f>SUMIFS('Future Orders'!$I97, 'Future Orders'!$D97, "2", 'Future Orders'!$C97, "B", 'Future Orders'!$B97, "1")</f>
        <v>0</v>
      </c>
      <c r="V97" s="159">
        <f>SUMIFS('Future Orders'!$F97, 'Future Orders'!$D97, "2", 'Future Orders'!$C97, "A", 'Future Orders'!$B97, "2")</f>
        <v>0</v>
      </c>
      <c r="W97" s="157">
        <f>SUMIFS('Future Orders'!$I97, 'Future Orders'!$D97, "2", 'Future Orders'!$C97, "A", 'Future Orders'!$B97, "2")</f>
        <v>0</v>
      </c>
      <c r="X97" s="159">
        <f>SUMIFS('Future Orders'!$F97, 'Future Orders'!$D97, "2", 'Future Orders'!$C97, "B", 'Future Orders'!$B97, "2")</f>
        <v>0</v>
      </c>
      <c r="Y97" s="159">
        <f>SUMIFS('Future Orders'!$I97, 'Future Orders'!$D97, "2", 'Future Orders'!$C97, "B", 'Future Orders'!$B97, "2")</f>
        <v>0</v>
      </c>
      <c r="Z97" s="159">
        <f>SUMIFS('Future Orders'!$F97, 'Future Orders'!$D97, "3", 'Future Orders'!$C97, "A", 'Future Orders'!$B97, "1")</f>
        <v>0</v>
      </c>
      <c r="AA97" s="159">
        <f>SUMIFS('Future Orders'!$I97, 'Future Orders'!$D97, "3", 'Future Orders'!$C97, "A", 'Future Orders'!$B97, "1")</f>
        <v>0</v>
      </c>
      <c r="AB97" s="159">
        <f>SUMIFS('Future Orders'!$F97, 'Future Orders'!$D97, "3", 'Future Orders'!$C97, "B", 'Future Orders'!$B97, "1")</f>
        <v>0</v>
      </c>
      <c r="AC97" s="159">
        <f>SUMIFS('Future Orders'!$I97, 'Future Orders'!$D97, "3", 'Future Orders'!$C97, "B", 'Future Orders'!$B97, "1")</f>
        <v>0</v>
      </c>
      <c r="AD97" s="159">
        <f>SUMIFS('Future Orders'!$F97, 'Future Orders'!$D97, "3", 'Future Orders'!$C97, "A", 'Future Orders'!$B97, "2")</f>
        <v>0</v>
      </c>
      <c r="AE97" s="159">
        <f>SUMIFS('Future Orders'!$I97, 'Future Orders'!$D97, "3", 'Future Orders'!$C97, "A", 'Future Orders'!$B97, "2")</f>
        <v>0</v>
      </c>
      <c r="AF97" s="159">
        <f>SUMIFS('Future Orders'!$F97, 'Future Orders'!$D97, "3", 'Future Orders'!$C97, "B", 'Future Orders'!$B97, "2")</f>
        <v>1986.6</v>
      </c>
      <c r="AG97" s="157">
        <f>SUMIFS('Future Orders'!$I97, 'Future Orders'!$D97, "3", 'Future Orders'!$C97, "B", 'Future Orders'!$B97, "2")</f>
        <v>16488.78</v>
      </c>
      <c r="AH97" s="157">
        <f>SUMIFS('Future Orders'!$F97, 'Future Orders'!$D97, "4", 'Future Orders'!$C97, "A", 'Future Orders'!$B97, "1")</f>
        <v>0</v>
      </c>
      <c r="AI97" s="157">
        <f>SUMIFS('Future Orders'!$I97, 'Future Orders'!$D97, "4", 'Future Orders'!$C97, "A", 'Future Orders'!$B97, "1")</f>
        <v>0</v>
      </c>
      <c r="AJ97" s="157">
        <f>SUMIFS('Future Orders'!$F97, 'Future Orders'!$D97, "4", 'Future Orders'!$C97, "B", 'Future Orders'!$B97, "1")</f>
        <v>0</v>
      </c>
      <c r="AK97" s="157">
        <f>SUMIFS('Future Orders'!$I97, 'Future Orders'!$D97, "4", 'Future Orders'!$C97, "B", 'Future Orders'!$B97, "1")</f>
        <v>0</v>
      </c>
      <c r="AL97" s="157">
        <f>SUMIFS('Future Orders'!$F97, 'Future Orders'!$D97, "4", 'Future Orders'!$C97, "A", 'Future Orders'!$B97, "2")</f>
        <v>0</v>
      </c>
      <c r="AM97" s="157">
        <f>SUMIFS('Future Orders'!$I97, 'Future Orders'!$D97, "4", 'Future Orders'!$C97, "A", 'Future Orders'!$B97, "2")</f>
        <v>0</v>
      </c>
      <c r="AN97" s="171">
        <f>SUMIFS('Future Orders'!$F97, 'Future Orders'!$D97, "4", 'Future Orders'!$C97, "B", 'Future Orders'!$B97, "2")</f>
        <v>0</v>
      </c>
      <c r="AO97" s="171">
        <f>SUMIFS('Future Orders'!$I97, 'Future Orders'!$D97, "4", 'Future Orders'!$C97, "B", 'Future Orders'!$B97, "2")</f>
        <v>0</v>
      </c>
      <c r="AP97" s="171">
        <f>SUMIFS('Future Orders'!$H97, 'Future Orders'!$C97, "A", 'Future Orders'!$B97, "1")</f>
        <v>0</v>
      </c>
      <c r="AQ97" s="171">
        <f>SUMIFS('Future Orders'!$I97, 'Future Orders'!$C97, "B", 'Future Orders'!$B97, "1")</f>
        <v>0</v>
      </c>
      <c r="AR97" s="171">
        <f>SUMIFS('Future Orders'!$H97, 'Future Orders'!$C97, "A", 'Future Orders'!$B97, "2")</f>
        <v>0</v>
      </c>
      <c r="AS97" s="171">
        <f>SUMIFS('Future Orders'!$I97, 'Future Orders'!$C97, "B", 'Future Orders'!$B97, "2")</f>
        <v>16488.78</v>
      </c>
      <c r="AT97" s="145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2"/>
      <c r="BZ97" s="172"/>
      <c r="CA97" s="179"/>
      <c r="CB97" s="179"/>
      <c r="CC97" s="179"/>
      <c r="CD97" s="179"/>
      <c r="CE97" s="179"/>
      <c r="CF97" s="179"/>
      <c r="CG97" s="179"/>
      <c r="CH97" s="179"/>
      <c r="CI97" s="179"/>
      <c r="CJ97" s="179"/>
      <c r="CK97" s="179"/>
      <c r="CL97" s="179"/>
      <c r="CM97" s="179"/>
      <c r="CN97" s="179"/>
      <c r="CO97" s="179"/>
      <c r="CP97" s="179"/>
    </row>
    <row r="98" ht="15.75" customHeight="1">
      <c r="A98" s="151">
        <v>41967.0</v>
      </c>
      <c r="B98" s="152">
        <v>1.0</v>
      </c>
      <c r="C98" s="152" t="s">
        <v>45</v>
      </c>
      <c r="D98" s="152">
        <v>1.0</v>
      </c>
      <c r="E98" s="153">
        <v>4329.0</v>
      </c>
      <c r="F98" s="153">
        <f>SUM(('Future Orders'!$E98) * (1.1))</f>
        <v>4761.9</v>
      </c>
      <c r="G98" s="154">
        <v>2.2</v>
      </c>
      <c r="H98" s="155">
        <v>9523.800000000001</v>
      </c>
      <c r="I98" s="155">
        <f>SUM(('Future Orders'!$H98) * (1.1))</f>
        <v>10476.18</v>
      </c>
      <c r="J98" s="159">
        <f>SUMIFS('Future Orders'!$F98, 'Future Orders'!$D98, "1", 'Future Orders'!$C98, "A", 'Future Orders'!$B98, "1")</f>
        <v>4761.9</v>
      </c>
      <c r="K98" s="157">
        <f>SUMIFS('Future Orders'!$I98, 'Future Orders'!$D98, "1", 'Future Orders'!$C98, "A", 'Future Orders'!$B98, "1")</f>
        <v>10476.18</v>
      </c>
      <c r="L98" s="157">
        <f>SUMIFS('Future Orders'!$F98, 'Future Orders'!$D98, "1", 'Future Orders'!$C98, "B", 'Future Orders'!$B98, "1")</f>
        <v>0</v>
      </c>
      <c r="M98" s="157">
        <f>SUMIFS('Future Orders'!$I98, 'Future Orders'!$D98, "1", 'Future Orders'!$C98, "B", 'Future Orders'!$B98, "1")</f>
        <v>0</v>
      </c>
      <c r="N98" s="159">
        <f>SUMIFS('Future Orders'!$F98, 'Future Orders'!$D98, "1", 'Future Orders'!$C98, "A", 'Future Orders'!$B98, "2")</f>
        <v>0</v>
      </c>
      <c r="O98" s="157">
        <f>SUMIFS('Future Orders'!$I98, 'Future Orders'!$D98, "1", 'Future Orders'!$C98, "A", 'Future Orders'!$B98, "2")</f>
        <v>0</v>
      </c>
      <c r="P98" s="157">
        <f>SUMIFS('Future Orders'!$E98, 'Future Orders'!$D98, "1", 'Future Orders'!$C98, "B", 'Future Orders'!$B98, "2")</f>
        <v>0</v>
      </c>
      <c r="Q98" s="157">
        <f>SUMIFS('Future Orders'!$I98, 'Future Orders'!$D98, "1", 'Future Orders'!$C98, "B", 'Future Orders'!$B98, "2")</f>
        <v>0</v>
      </c>
      <c r="R98" s="159">
        <f>SUMIFS('Future Orders'!$F98, 'Future Orders'!$D98, "2", 'Future Orders'!$C98, "A", 'Future Orders'!$B98, "1")</f>
        <v>0</v>
      </c>
      <c r="S98" s="157">
        <f>SUMIFS('Future Orders'!$I98, 'Future Orders'!$D98, "2", 'Future Orders'!$C98, "A", 'Future Orders'!$B98, "1")</f>
        <v>0</v>
      </c>
      <c r="T98" s="159">
        <f>SUMIFS('Future Orders'!$F98, 'Future Orders'!$D98, "2", 'Future Orders'!$C98, "B", 'Future Orders'!$B98, "1")</f>
        <v>0</v>
      </c>
      <c r="U98" s="157">
        <f>SUMIFS('Future Orders'!$I98, 'Future Orders'!$D98, "2", 'Future Orders'!$C98, "B", 'Future Orders'!$B98, "1")</f>
        <v>0</v>
      </c>
      <c r="V98" s="159">
        <f>SUMIFS('Future Orders'!$F98, 'Future Orders'!$D98, "2", 'Future Orders'!$C98, "A", 'Future Orders'!$B98, "2")</f>
        <v>0</v>
      </c>
      <c r="W98" s="157">
        <f>SUMIFS('Future Orders'!$I98, 'Future Orders'!$D98, "2", 'Future Orders'!$C98, "A", 'Future Orders'!$B98, "2")</f>
        <v>0</v>
      </c>
      <c r="X98" s="159">
        <f>SUMIFS('Future Orders'!$F98, 'Future Orders'!$D98, "2", 'Future Orders'!$C98, "B", 'Future Orders'!$B98, "2")</f>
        <v>0</v>
      </c>
      <c r="Y98" s="159">
        <f>SUMIFS('Future Orders'!$I98, 'Future Orders'!$D98, "2", 'Future Orders'!$C98, "B", 'Future Orders'!$B98, "2")</f>
        <v>0</v>
      </c>
      <c r="Z98" s="159">
        <f>SUMIFS('Future Orders'!$F98, 'Future Orders'!$D98, "3", 'Future Orders'!$C98, "A", 'Future Orders'!$B98, "1")</f>
        <v>0</v>
      </c>
      <c r="AA98" s="159">
        <f>SUMIFS('Future Orders'!$I98, 'Future Orders'!$D98, "3", 'Future Orders'!$C98, "A", 'Future Orders'!$B98, "1")</f>
        <v>0</v>
      </c>
      <c r="AB98" s="159">
        <f>SUMIFS('Future Orders'!$F98, 'Future Orders'!$D98, "3", 'Future Orders'!$C98, "B", 'Future Orders'!$B98, "1")</f>
        <v>0</v>
      </c>
      <c r="AC98" s="159">
        <f>SUMIFS('Future Orders'!$I98, 'Future Orders'!$D98, "3", 'Future Orders'!$C98, "B", 'Future Orders'!$B98, "1")</f>
        <v>0</v>
      </c>
      <c r="AD98" s="159">
        <f>SUMIFS('Future Orders'!$F98, 'Future Orders'!$D98, "3", 'Future Orders'!$C98, "A", 'Future Orders'!$B98, "2")</f>
        <v>0</v>
      </c>
      <c r="AE98" s="159">
        <f>SUMIFS('Future Orders'!$I98, 'Future Orders'!$D98, "3", 'Future Orders'!$C98, "A", 'Future Orders'!$B98, "2")</f>
        <v>0</v>
      </c>
      <c r="AF98" s="159">
        <f>SUMIFS('Future Orders'!$F98, 'Future Orders'!$D98, "3", 'Future Orders'!$C98, "B", 'Future Orders'!$B98, "2")</f>
        <v>0</v>
      </c>
      <c r="AG98" s="157">
        <f>SUMIFS('Future Orders'!$I98, 'Future Orders'!$D98, "3", 'Future Orders'!$C98, "B", 'Future Orders'!$B98, "2")</f>
        <v>0</v>
      </c>
      <c r="AH98" s="157">
        <f>SUMIFS('Future Orders'!$F98, 'Future Orders'!$D98, "4", 'Future Orders'!$C98, "A", 'Future Orders'!$B98, "1")</f>
        <v>0</v>
      </c>
      <c r="AI98" s="157">
        <f>SUMIFS('Future Orders'!$I98, 'Future Orders'!$D98, "4", 'Future Orders'!$C98, "A", 'Future Orders'!$B98, "1")</f>
        <v>0</v>
      </c>
      <c r="AJ98" s="157">
        <f>SUMIFS('Future Orders'!$F98, 'Future Orders'!$D98, "4", 'Future Orders'!$C98, "B", 'Future Orders'!$B98, "1")</f>
        <v>0</v>
      </c>
      <c r="AK98" s="157">
        <f>SUMIFS('Future Orders'!$I98, 'Future Orders'!$D98, "4", 'Future Orders'!$C98, "B", 'Future Orders'!$B98, "1")</f>
        <v>0</v>
      </c>
      <c r="AL98" s="157">
        <f>SUMIFS('Future Orders'!$F98, 'Future Orders'!$D98, "4", 'Future Orders'!$C98, "A", 'Future Orders'!$B98, "2")</f>
        <v>0</v>
      </c>
      <c r="AM98" s="157">
        <f>SUMIFS('Future Orders'!$I98, 'Future Orders'!$D98, "4", 'Future Orders'!$C98, "A", 'Future Orders'!$B98, "2")</f>
        <v>0</v>
      </c>
      <c r="AN98" s="171">
        <f>SUMIFS('Future Orders'!$F98, 'Future Orders'!$D98, "4", 'Future Orders'!$C98, "B", 'Future Orders'!$B98, "2")</f>
        <v>0</v>
      </c>
      <c r="AO98" s="171">
        <f>SUMIFS('Future Orders'!$I98, 'Future Orders'!$D98, "4", 'Future Orders'!$C98, "B", 'Future Orders'!$B98, "2")</f>
        <v>0</v>
      </c>
      <c r="AP98" s="171">
        <f>SUMIFS('Future Orders'!$H98, 'Future Orders'!$C98, "A", 'Future Orders'!$B98, "1")</f>
        <v>9523.8</v>
      </c>
      <c r="AQ98" s="171">
        <f>SUMIFS('Future Orders'!$I98, 'Future Orders'!$C98, "B", 'Future Orders'!$B98, "1")</f>
        <v>0</v>
      </c>
      <c r="AR98" s="171">
        <f>SUMIFS('Future Orders'!$H98, 'Future Orders'!$C98, "A", 'Future Orders'!$B98, "2")</f>
        <v>0</v>
      </c>
      <c r="AS98" s="171">
        <f>SUMIFS('Future Orders'!$I98, 'Future Orders'!$C98, "B", 'Future Orders'!$B98, "2")</f>
        <v>0</v>
      </c>
      <c r="AT98" s="145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2"/>
      <c r="BZ98" s="172"/>
      <c r="CA98" s="179"/>
      <c r="CB98" s="179"/>
      <c r="CC98" s="179"/>
      <c r="CD98" s="179"/>
      <c r="CE98" s="179"/>
      <c r="CF98" s="179"/>
      <c r="CG98" s="179"/>
      <c r="CH98" s="179"/>
      <c r="CI98" s="179"/>
      <c r="CJ98" s="179"/>
      <c r="CK98" s="179"/>
      <c r="CL98" s="179"/>
      <c r="CM98" s="179"/>
      <c r="CN98" s="179"/>
      <c r="CO98" s="179"/>
      <c r="CP98" s="179"/>
    </row>
    <row r="99" ht="15.75" customHeight="1">
      <c r="A99" s="151">
        <v>41967.0</v>
      </c>
      <c r="B99" s="152">
        <v>1.0</v>
      </c>
      <c r="C99" s="152" t="s">
        <v>45</v>
      </c>
      <c r="D99" s="152">
        <v>2.0</v>
      </c>
      <c r="E99" s="153">
        <v>4950.0</v>
      </c>
      <c r="F99" s="153">
        <f>SUM(('Future Orders'!$E99) * (1.1))</f>
        <v>5445</v>
      </c>
      <c r="G99" s="154">
        <v>1.2</v>
      </c>
      <c r="H99" s="155">
        <v>5940.0</v>
      </c>
      <c r="I99" s="155">
        <f>SUM(('Future Orders'!$H99) * (1.1))</f>
        <v>6534</v>
      </c>
      <c r="J99" s="159">
        <f>SUMIFS('Future Orders'!$F99, 'Future Orders'!$D99, "1", 'Future Orders'!$C99, "A", 'Future Orders'!$B99, "1")</f>
        <v>0</v>
      </c>
      <c r="K99" s="157">
        <f>SUMIFS('Future Orders'!$I99, 'Future Orders'!$D99, "1", 'Future Orders'!$C99, "A", 'Future Orders'!$B99, "1")</f>
        <v>0</v>
      </c>
      <c r="L99" s="157">
        <f>SUMIFS('Future Orders'!$F99, 'Future Orders'!$D99, "1", 'Future Orders'!$C99, "B", 'Future Orders'!$B99, "1")</f>
        <v>0</v>
      </c>
      <c r="M99" s="157">
        <f>SUMIFS('Future Orders'!$I99, 'Future Orders'!$D99, "1", 'Future Orders'!$C99, "B", 'Future Orders'!$B99, "1")</f>
        <v>0</v>
      </c>
      <c r="N99" s="159">
        <f>SUMIFS('Future Orders'!$F99, 'Future Orders'!$D99, "1", 'Future Orders'!$C99, "A", 'Future Orders'!$B99, "2")</f>
        <v>0</v>
      </c>
      <c r="O99" s="157">
        <f>SUMIFS('Future Orders'!$I99, 'Future Orders'!$D99, "1", 'Future Orders'!$C99, "A", 'Future Orders'!$B99, "2")</f>
        <v>0</v>
      </c>
      <c r="P99" s="157">
        <f>SUMIFS('Future Orders'!$E99, 'Future Orders'!$D99, "1", 'Future Orders'!$C99, "B", 'Future Orders'!$B99, "2")</f>
        <v>0</v>
      </c>
      <c r="Q99" s="157">
        <f>SUMIFS('Future Orders'!$I99, 'Future Orders'!$D99, "1", 'Future Orders'!$C99, "B", 'Future Orders'!$B99, "2")</f>
        <v>0</v>
      </c>
      <c r="R99" s="159">
        <f>SUMIFS('Future Orders'!$F99, 'Future Orders'!$D99, "2", 'Future Orders'!$C99, "A", 'Future Orders'!$B99, "1")</f>
        <v>5445</v>
      </c>
      <c r="S99" s="157">
        <f>SUMIFS('Future Orders'!$I99, 'Future Orders'!$D99, "2", 'Future Orders'!$C99, "A", 'Future Orders'!$B99, "1")</f>
        <v>6534</v>
      </c>
      <c r="T99" s="159">
        <f>SUMIFS('Future Orders'!$F99, 'Future Orders'!$D99, "2", 'Future Orders'!$C99, "B", 'Future Orders'!$B99, "1")</f>
        <v>0</v>
      </c>
      <c r="U99" s="157">
        <f>SUMIFS('Future Orders'!$I99, 'Future Orders'!$D99, "2", 'Future Orders'!$C99, "B", 'Future Orders'!$B99, "1")</f>
        <v>0</v>
      </c>
      <c r="V99" s="159">
        <f>SUMIFS('Future Orders'!$F99, 'Future Orders'!$D99, "2", 'Future Orders'!$C99, "A", 'Future Orders'!$B99, "2")</f>
        <v>0</v>
      </c>
      <c r="W99" s="157">
        <f>SUMIFS('Future Orders'!$I99, 'Future Orders'!$D99, "2", 'Future Orders'!$C99, "A", 'Future Orders'!$B99, "2")</f>
        <v>0</v>
      </c>
      <c r="X99" s="159">
        <f>SUMIFS('Future Orders'!$F99, 'Future Orders'!$D99, "2", 'Future Orders'!$C99, "B", 'Future Orders'!$B99, "2")</f>
        <v>0</v>
      </c>
      <c r="Y99" s="159">
        <f>SUMIFS('Future Orders'!$I99, 'Future Orders'!$D99, "2", 'Future Orders'!$C99, "B", 'Future Orders'!$B99, "2")</f>
        <v>0</v>
      </c>
      <c r="Z99" s="159">
        <f>SUMIFS('Future Orders'!$F99, 'Future Orders'!$D99, "3", 'Future Orders'!$C99, "A", 'Future Orders'!$B99, "1")</f>
        <v>0</v>
      </c>
      <c r="AA99" s="159">
        <f>SUMIFS('Future Orders'!$I99, 'Future Orders'!$D99, "3", 'Future Orders'!$C99, "A", 'Future Orders'!$B99, "1")</f>
        <v>0</v>
      </c>
      <c r="AB99" s="159">
        <f>SUMIFS('Future Orders'!$F99, 'Future Orders'!$D99, "3", 'Future Orders'!$C99, "B", 'Future Orders'!$B99, "1")</f>
        <v>0</v>
      </c>
      <c r="AC99" s="159">
        <f>SUMIFS('Future Orders'!$I99, 'Future Orders'!$D99, "3", 'Future Orders'!$C99, "B", 'Future Orders'!$B99, "1")</f>
        <v>0</v>
      </c>
      <c r="AD99" s="159">
        <f>SUMIFS('Future Orders'!$F99, 'Future Orders'!$D99, "3", 'Future Orders'!$C99, "A", 'Future Orders'!$B99, "2")</f>
        <v>0</v>
      </c>
      <c r="AE99" s="159">
        <f>SUMIFS('Future Orders'!$I99, 'Future Orders'!$D99, "3", 'Future Orders'!$C99, "A", 'Future Orders'!$B99, "2")</f>
        <v>0</v>
      </c>
      <c r="AF99" s="159">
        <f>SUMIFS('Future Orders'!$F99, 'Future Orders'!$D99, "3", 'Future Orders'!$C99, "B", 'Future Orders'!$B99, "2")</f>
        <v>0</v>
      </c>
      <c r="AG99" s="157">
        <f>SUMIFS('Future Orders'!$I99, 'Future Orders'!$D99, "3", 'Future Orders'!$C99, "B", 'Future Orders'!$B99, "2")</f>
        <v>0</v>
      </c>
      <c r="AH99" s="157">
        <f>SUMIFS('Future Orders'!$F99, 'Future Orders'!$D99, "4", 'Future Orders'!$C99, "A", 'Future Orders'!$B99, "1")</f>
        <v>0</v>
      </c>
      <c r="AI99" s="157">
        <f>SUMIFS('Future Orders'!$I99, 'Future Orders'!$D99, "4", 'Future Orders'!$C99, "A", 'Future Orders'!$B99, "1")</f>
        <v>0</v>
      </c>
      <c r="AJ99" s="157">
        <f>SUMIFS('Future Orders'!$F99, 'Future Orders'!$D99, "4", 'Future Orders'!$C99, "B", 'Future Orders'!$B99, "1")</f>
        <v>0</v>
      </c>
      <c r="AK99" s="157">
        <f>SUMIFS('Future Orders'!$I99, 'Future Orders'!$D99, "4", 'Future Orders'!$C99, "B", 'Future Orders'!$B99, "1")</f>
        <v>0</v>
      </c>
      <c r="AL99" s="157">
        <f>SUMIFS('Future Orders'!$F99, 'Future Orders'!$D99, "4", 'Future Orders'!$C99, "A", 'Future Orders'!$B99, "2")</f>
        <v>0</v>
      </c>
      <c r="AM99" s="157">
        <f>SUMIFS('Future Orders'!$I99, 'Future Orders'!$D99, "4", 'Future Orders'!$C99, "A", 'Future Orders'!$B99, "2")</f>
        <v>0</v>
      </c>
      <c r="AN99" s="171">
        <f>SUMIFS('Future Orders'!$F99, 'Future Orders'!$D99, "4", 'Future Orders'!$C99, "B", 'Future Orders'!$B99, "2")</f>
        <v>0</v>
      </c>
      <c r="AO99" s="171">
        <f>SUMIFS('Future Orders'!$I99, 'Future Orders'!$D99, "4", 'Future Orders'!$C99, "B", 'Future Orders'!$B99, "2")</f>
        <v>0</v>
      </c>
      <c r="AP99" s="171">
        <f>SUMIFS('Future Orders'!$H99, 'Future Orders'!$C99, "A", 'Future Orders'!$B99, "1")</f>
        <v>5940</v>
      </c>
      <c r="AQ99" s="171">
        <f>SUMIFS('Future Orders'!$I99, 'Future Orders'!$C99, "B", 'Future Orders'!$B99, "1")</f>
        <v>0</v>
      </c>
      <c r="AR99" s="171">
        <f>SUMIFS('Future Orders'!$H99, 'Future Orders'!$C99, "A", 'Future Orders'!$B99, "2")</f>
        <v>0</v>
      </c>
      <c r="AS99" s="171">
        <f>SUMIFS('Future Orders'!$I99, 'Future Orders'!$C99, "B", 'Future Orders'!$B99, "2")</f>
        <v>0</v>
      </c>
      <c r="AT99" s="145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2"/>
      <c r="BZ99" s="172"/>
      <c r="CA99" s="179"/>
      <c r="CB99" s="179"/>
      <c r="CC99" s="179"/>
      <c r="CD99" s="179"/>
      <c r="CE99" s="179"/>
      <c r="CF99" s="179"/>
      <c r="CG99" s="179"/>
      <c r="CH99" s="179"/>
      <c r="CI99" s="179"/>
      <c r="CJ99" s="179"/>
      <c r="CK99" s="179"/>
      <c r="CL99" s="179"/>
      <c r="CM99" s="179"/>
      <c r="CN99" s="179"/>
      <c r="CO99" s="179"/>
      <c r="CP99" s="179"/>
    </row>
    <row r="100" ht="15.75" customHeight="1">
      <c r="A100" s="151">
        <v>41967.0</v>
      </c>
      <c r="B100" s="152">
        <v>2.0</v>
      </c>
      <c r="C100" s="152" t="s">
        <v>45</v>
      </c>
      <c r="D100" s="152">
        <v>1.0</v>
      </c>
      <c r="E100" s="153">
        <v>3295.0</v>
      </c>
      <c r="F100" s="153">
        <f>SUM(('Future Orders'!$E100) * (1.1))</f>
        <v>3624.5</v>
      </c>
      <c r="G100" s="154">
        <v>2.2</v>
      </c>
      <c r="H100" s="155">
        <v>7249.000000000001</v>
      </c>
      <c r="I100" s="155">
        <f>SUM(('Future Orders'!$H100) * (1.1))</f>
        <v>7973.9</v>
      </c>
      <c r="J100" s="159">
        <f>SUMIFS('Future Orders'!$F100, 'Future Orders'!$D100, "1", 'Future Orders'!$C100, "A", 'Future Orders'!$B100, "1")</f>
        <v>0</v>
      </c>
      <c r="K100" s="157">
        <f>SUMIFS('Future Orders'!$I100, 'Future Orders'!$D100, "1", 'Future Orders'!$C100, "A", 'Future Orders'!$B100, "1")</f>
        <v>0</v>
      </c>
      <c r="L100" s="157">
        <f>SUMIFS('Future Orders'!$F100, 'Future Orders'!$D100, "1", 'Future Orders'!$C100, "B", 'Future Orders'!$B100, "1")</f>
        <v>0</v>
      </c>
      <c r="M100" s="157">
        <f>SUMIFS('Future Orders'!$I100, 'Future Orders'!$D100, "1", 'Future Orders'!$C100, "B", 'Future Orders'!$B100, "1")</f>
        <v>0</v>
      </c>
      <c r="N100" s="159">
        <f>SUMIFS('Future Orders'!$F100, 'Future Orders'!$D100, "1", 'Future Orders'!$C100, "A", 'Future Orders'!$B100, "2")</f>
        <v>3624.5</v>
      </c>
      <c r="O100" s="157">
        <f>SUMIFS('Future Orders'!$I100, 'Future Orders'!$D100, "1", 'Future Orders'!$C100, "A", 'Future Orders'!$B100, "2")</f>
        <v>7973.9</v>
      </c>
      <c r="P100" s="157">
        <f>SUMIFS('Future Orders'!$E100, 'Future Orders'!$D100, "1", 'Future Orders'!$C100, "B", 'Future Orders'!$B100, "2")</f>
        <v>0</v>
      </c>
      <c r="Q100" s="157">
        <f>SUMIFS('Future Orders'!$I100, 'Future Orders'!$D100, "1", 'Future Orders'!$C100, "B", 'Future Orders'!$B100, "2")</f>
        <v>0</v>
      </c>
      <c r="R100" s="159">
        <f>SUMIFS('Future Orders'!$F100, 'Future Orders'!$D100, "2", 'Future Orders'!$C100, "A", 'Future Orders'!$B100, "1")</f>
        <v>0</v>
      </c>
      <c r="S100" s="157">
        <f>SUMIFS('Future Orders'!$I100, 'Future Orders'!$D100, "2", 'Future Orders'!$C100, "A", 'Future Orders'!$B100, "1")</f>
        <v>0</v>
      </c>
      <c r="T100" s="159">
        <f>SUMIFS('Future Orders'!$F100, 'Future Orders'!$D100, "2", 'Future Orders'!$C100, "B", 'Future Orders'!$B100, "1")</f>
        <v>0</v>
      </c>
      <c r="U100" s="157">
        <f>SUMIFS('Future Orders'!$I100, 'Future Orders'!$D100, "2", 'Future Orders'!$C100, "B", 'Future Orders'!$B100, "1")</f>
        <v>0</v>
      </c>
      <c r="V100" s="159">
        <f>SUMIFS('Future Orders'!$F100, 'Future Orders'!$D100, "2", 'Future Orders'!$C100, "A", 'Future Orders'!$B100, "2")</f>
        <v>0</v>
      </c>
      <c r="W100" s="157">
        <f>SUMIFS('Future Orders'!$I100, 'Future Orders'!$D100, "2", 'Future Orders'!$C100, "A", 'Future Orders'!$B100, "2")</f>
        <v>0</v>
      </c>
      <c r="X100" s="159">
        <f>SUMIFS('Future Orders'!$F100, 'Future Orders'!$D100, "2", 'Future Orders'!$C100, "B", 'Future Orders'!$B100, "2")</f>
        <v>0</v>
      </c>
      <c r="Y100" s="159">
        <f>SUMIFS('Future Orders'!$I100, 'Future Orders'!$D100, "2", 'Future Orders'!$C100, "B", 'Future Orders'!$B100, "2")</f>
        <v>0</v>
      </c>
      <c r="Z100" s="159">
        <f>SUMIFS('Future Orders'!$F100, 'Future Orders'!$D100, "3", 'Future Orders'!$C100, "A", 'Future Orders'!$B100, "1")</f>
        <v>0</v>
      </c>
      <c r="AA100" s="159">
        <f>SUMIFS('Future Orders'!$I100, 'Future Orders'!$D100, "3", 'Future Orders'!$C100, "A", 'Future Orders'!$B100, "1")</f>
        <v>0</v>
      </c>
      <c r="AB100" s="159">
        <f>SUMIFS('Future Orders'!$F100, 'Future Orders'!$D100, "3", 'Future Orders'!$C100, "B", 'Future Orders'!$B100, "1")</f>
        <v>0</v>
      </c>
      <c r="AC100" s="159">
        <f>SUMIFS('Future Orders'!$I100, 'Future Orders'!$D100, "3", 'Future Orders'!$C100, "B", 'Future Orders'!$B100, "1")</f>
        <v>0</v>
      </c>
      <c r="AD100" s="159">
        <f>SUMIFS('Future Orders'!$F100, 'Future Orders'!$D100, "3", 'Future Orders'!$C100, "A", 'Future Orders'!$B100, "2")</f>
        <v>0</v>
      </c>
      <c r="AE100" s="159">
        <f>SUMIFS('Future Orders'!$I100, 'Future Orders'!$D100, "3", 'Future Orders'!$C100, "A", 'Future Orders'!$B100, "2")</f>
        <v>0</v>
      </c>
      <c r="AF100" s="159">
        <f>SUMIFS('Future Orders'!$F100, 'Future Orders'!$D100, "3", 'Future Orders'!$C100, "B", 'Future Orders'!$B100, "2")</f>
        <v>0</v>
      </c>
      <c r="AG100" s="157">
        <f>SUMIFS('Future Orders'!$I100, 'Future Orders'!$D100, "3", 'Future Orders'!$C100, "B", 'Future Orders'!$B100, "2")</f>
        <v>0</v>
      </c>
      <c r="AH100" s="157">
        <f>SUMIFS('Future Orders'!$F100, 'Future Orders'!$D100, "4", 'Future Orders'!$C100, "A", 'Future Orders'!$B100, "1")</f>
        <v>0</v>
      </c>
      <c r="AI100" s="157">
        <f>SUMIFS('Future Orders'!$I100, 'Future Orders'!$D100, "4", 'Future Orders'!$C100, "A", 'Future Orders'!$B100, "1")</f>
        <v>0</v>
      </c>
      <c r="AJ100" s="157">
        <f>SUMIFS('Future Orders'!$F100, 'Future Orders'!$D100, "4", 'Future Orders'!$C100, "B", 'Future Orders'!$B100, "1")</f>
        <v>0</v>
      </c>
      <c r="AK100" s="157">
        <f>SUMIFS('Future Orders'!$I100, 'Future Orders'!$D100, "4", 'Future Orders'!$C100, "B", 'Future Orders'!$B100, "1")</f>
        <v>0</v>
      </c>
      <c r="AL100" s="157">
        <f>SUMIFS('Future Orders'!$F100, 'Future Orders'!$D100, "4", 'Future Orders'!$C100, "A", 'Future Orders'!$B100, "2")</f>
        <v>0</v>
      </c>
      <c r="AM100" s="157">
        <f>SUMIFS('Future Orders'!$I100, 'Future Orders'!$D100, "4", 'Future Orders'!$C100, "A", 'Future Orders'!$B100, "2")</f>
        <v>0</v>
      </c>
      <c r="AN100" s="171">
        <f>SUMIFS('Future Orders'!$F100, 'Future Orders'!$D100, "4", 'Future Orders'!$C100, "B", 'Future Orders'!$B100, "2")</f>
        <v>0</v>
      </c>
      <c r="AO100" s="171">
        <f>SUMIFS('Future Orders'!$I100, 'Future Orders'!$D100, "4", 'Future Orders'!$C100, "B", 'Future Orders'!$B100, "2")</f>
        <v>0</v>
      </c>
      <c r="AP100" s="171">
        <f>SUMIFS('Future Orders'!$H100, 'Future Orders'!$C100, "A", 'Future Orders'!$B100, "1")</f>
        <v>0</v>
      </c>
      <c r="AQ100" s="171">
        <f>SUMIFS('Future Orders'!$I100, 'Future Orders'!$C100, "B", 'Future Orders'!$B100, "1")</f>
        <v>0</v>
      </c>
      <c r="AR100" s="171">
        <f>SUMIFS('Future Orders'!$H100, 'Future Orders'!$C100, "A", 'Future Orders'!$B100, "2")</f>
        <v>7249</v>
      </c>
      <c r="AS100" s="171">
        <f>SUMIFS('Future Orders'!$I100, 'Future Orders'!$C100, "B", 'Future Orders'!$B100, "2")</f>
        <v>0</v>
      </c>
      <c r="AT100" s="145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2"/>
      <c r="BZ100" s="172"/>
      <c r="CA100" s="179"/>
      <c r="CB100" s="179"/>
      <c r="CC100" s="179"/>
      <c r="CD100" s="179"/>
      <c r="CE100" s="179"/>
      <c r="CF100" s="179"/>
      <c r="CG100" s="179"/>
      <c r="CH100" s="179"/>
      <c r="CI100" s="179"/>
      <c r="CJ100" s="179"/>
      <c r="CK100" s="179"/>
      <c r="CL100" s="179"/>
      <c r="CM100" s="179"/>
      <c r="CN100" s="179"/>
      <c r="CO100" s="179"/>
      <c r="CP100" s="179"/>
    </row>
    <row r="101" ht="15.75" customHeight="1">
      <c r="A101" s="151">
        <v>41967.0</v>
      </c>
      <c r="B101" s="152">
        <v>2.0</v>
      </c>
      <c r="C101" s="152" t="s">
        <v>45</v>
      </c>
      <c r="D101" s="152">
        <v>2.0</v>
      </c>
      <c r="E101" s="153">
        <v>4361.0</v>
      </c>
      <c r="F101" s="153">
        <f>SUM(('Future Orders'!$E101) * (1.1))</f>
        <v>4797.1</v>
      </c>
      <c r="G101" s="154">
        <v>1.2</v>
      </c>
      <c r="H101" s="155">
        <v>5233.2</v>
      </c>
      <c r="I101" s="155">
        <f>SUM(('Future Orders'!$H101) * (1.1))</f>
        <v>5756.52</v>
      </c>
      <c r="J101" s="159">
        <f>SUMIFS('Future Orders'!$F101, 'Future Orders'!$D101, "1", 'Future Orders'!$C101, "A", 'Future Orders'!$B101, "1")</f>
        <v>0</v>
      </c>
      <c r="K101" s="157">
        <f>SUMIFS('Future Orders'!$I101, 'Future Orders'!$D101, "1", 'Future Orders'!$C101, "A", 'Future Orders'!$B101, "1")</f>
        <v>0</v>
      </c>
      <c r="L101" s="157">
        <f>SUMIFS('Future Orders'!$F101, 'Future Orders'!$D101, "1", 'Future Orders'!$C101, "B", 'Future Orders'!$B101, "1")</f>
        <v>0</v>
      </c>
      <c r="M101" s="157">
        <f>SUMIFS('Future Orders'!$I101, 'Future Orders'!$D101, "1", 'Future Orders'!$C101, "B", 'Future Orders'!$B101, "1")</f>
        <v>0</v>
      </c>
      <c r="N101" s="159">
        <f>SUMIFS('Future Orders'!$F101, 'Future Orders'!$D101, "1", 'Future Orders'!$C101, "A", 'Future Orders'!$B101, "2")</f>
        <v>0</v>
      </c>
      <c r="O101" s="157">
        <f>SUMIFS('Future Orders'!$I101, 'Future Orders'!$D101, "1", 'Future Orders'!$C101, "A", 'Future Orders'!$B101, "2")</f>
        <v>0</v>
      </c>
      <c r="P101" s="157">
        <f>SUMIFS('Future Orders'!$E101, 'Future Orders'!$D101, "1", 'Future Orders'!$C101, "B", 'Future Orders'!$B101, "2")</f>
        <v>0</v>
      </c>
      <c r="Q101" s="157">
        <f>SUMIFS('Future Orders'!$I101, 'Future Orders'!$D101, "1", 'Future Orders'!$C101, "B", 'Future Orders'!$B101, "2")</f>
        <v>0</v>
      </c>
      <c r="R101" s="159">
        <f>SUMIFS('Future Orders'!$F101, 'Future Orders'!$D101, "2", 'Future Orders'!$C101, "A", 'Future Orders'!$B101, "1")</f>
        <v>0</v>
      </c>
      <c r="S101" s="157">
        <f>SUMIFS('Future Orders'!$I101, 'Future Orders'!$D101, "2", 'Future Orders'!$C101, "A", 'Future Orders'!$B101, "1")</f>
        <v>0</v>
      </c>
      <c r="T101" s="159">
        <f>SUMIFS('Future Orders'!$F101, 'Future Orders'!$D101, "2", 'Future Orders'!$C101, "B", 'Future Orders'!$B101, "1")</f>
        <v>0</v>
      </c>
      <c r="U101" s="157">
        <f>SUMIFS('Future Orders'!$I101, 'Future Orders'!$D101, "2", 'Future Orders'!$C101, "B", 'Future Orders'!$B101, "1")</f>
        <v>0</v>
      </c>
      <c r="V101" s="159">
        <f>SUMIFS('Future Orders'!$F101, 'Future Orders'!$D101, "2", 'Future Orders'!$C101, "A", 'Future Orders'!$B101, "2")</f>
        <v>4797.1</v>
      </c>
      <c r="W101" s="157">
        <f>SUMIFS('Future Orders'!$I101, 'Future Orders'!$D101, "2", 'Future Orders'!$C101, "A", 'Future Orders'!$B101, "2")</f>
        <v>5756.52</v>
      </c>
      <c r="X101" s="159">
        <f>SUMIFS('Future Orders'!$F101, 'Future Orders'!$D101, "2", 'Future Orders'!$C101, "B", 'Future Orders'!$B101, "2")</f>
        <v>0</v>
      </c>
      <c r="Y101" s="159">
        <f>SUMIFS('Future Orders'!$I101, 'Future Orders'!$D101, "2", 'Future Orders'!$C101, "B", 'Future Orders'!$B101, "2")</f>
        <v>0</v>
      </c>
      <c r="Z101" s="159">
        <f>SUMIFS('Future Orders'!$F101, 'Future Orders'!$D101, "3", 'Future Orders'!$C101, "A", 'Future Orders'!$B101, "1")</f>
        <v>0</v>
      </c>
      <c r="AA101" s="159">
        <f>SUMIFS('Future Orders'!$I101, 'Future Orders'!$D101, "3", 'Future Orders'!$C101, "A", 'Future Orders'!$B101, "1")</f>
        <v>0</v>
      </c>
      <c r="AB101" s="159">
        <f>SUMIFS('Future Orders'!$F101, 'Future Orders'!$D101, "3", 'Future Orders'!$C101, "B", 'Future Orders'!$B101, "1")</f>
        <v>0</v>
      </c>
      <c r="AC101" s="159">
        <f>SUMIFS('Future Orders'!$I101, 'Future Orders'!$D101, "3", 'Future Orders'!$C101, "B", 'Future Orders'!$B101, "1")</f>
        <v>0</v>
      </c>
      <c r="AD101" s="159">
        <f>SUMIFS('Future Orders'!$F101, 'Future Orders'!$D101, "3", 'Future Orders'!$C101, "A", 'Future Orders'!$B101, "2")</f>
        <v>0</v>
      </c>
      <c r="AE101" s="159">
        <f>SUMIFS('Future Orders'!$I101, 'Future Orders'!$D101, "3", 'Future Orders'!$C101, "A", 'Future Orders'!$B101, "2")</f>
        <v>0</v>
      </c>
      <c r="AF101" s="159">
        <f>SUMIFS('Future Orders'!$F101, 'Future Orders'!$D101, "3", 'Future Orders'!$C101, "B", 'Future Orders'!$B101, "2")</f>
        <v>0</v>
      </c>
      <c r="AG101" s="157">
        <f>SUMIFS('Future Orders'!$I101, 'Future Orders'!$D101, "3", 'Future Orders'!$C101, "B", 'Future Orders'!$B101, "2")</f>
        <v>0</v>
      </c>
      <c r="AH101" s="157">
        <f>SUMIFS('Future Orders'!$F101, 'Future Orders'!$D101, "4", 'Future Orders'!$C101, "A", 'Future Orders'!$B101, "1")</f>
        <v>0</v>
      </c>
      <c r="AI101" s="157">
        <f>SUMIFS('Future Orders'!$I101, 'Future Orders'!$D101, "4", 'Future Orders'!$C101, "A", 'Future Orders'!$B101, "1")</f>
        <v>0</v>
      </c>
      <c r="AJ101" s="157">
        <f>SUMIFS('Future Orders'!$F101, 'Future Orders'!$D101, "4", 'Future Orders'!$C101, "B", 'Future Orders'!$B101, "1")</f>
        <v>0</v>
      </c>
      <c r="AK101" s="157">
        <f>SUMIFS('Future Orders'!$I101, 'Future Orders'!$D101, "4", 'Future Orders'!$C101, "B", 'Future Orders'!$B101, "1")</f>
        <v>0</v>
      </c>
      <c r="AL101" s="157">
        <f>SUMIFS('Future Orders'!$F101, 'Future Orders'!$D101, "4", 'Future Orders'!$C101, "A", 'Future Orders'!$B101, "2")</f>
        <v>0</v>
      </c>
      <c r="AM101" s="157">
        <f>SUMIFS('Future Orders'!$I101, 'Future Orders'!$D101, "4", 'Future Orders'!$C101, "A", 'Future Orders'!$B101, "2")</f>
        <v>0</v>
      </c>
      <c r="AN101" s="171">
        <f>SUMIFS('Future Orders'!$F101, 'Future Orders'!$D101, "4", 'Future Orders'!$C101, "B", 'Future Orders'!$B101, "2")</f>
        <v>0</v>
      </c>
      <c r="AO101" s="171">
        <f>SUMIFS('Future Orders'!$I101, 'Future Orders'!$D101, "4", 'Future Orders'!$C101, "B", 'Future Orders'!$B101, "2")</f>
        <v>0</v>
      </c>
      <c r="AP101" s="171">
        <f>SUMIFS('Future Orders'!$H101, 'Future Orders'!$C101, "A", 'Future Orders'!$B101, "1")</f>
        <v>0</v>
      </c>
      <c r="AQ101" s="171">
        <f>SUMIFS('Future Orders'!$I101, 'Future Orders'!$C101, "B", 'Future Orders'!$B101, "1")</f>
        <v>0</v>
      </c>
      <c r="AR101" s="171">
        <f>SUMIFS('Future Orders'!$H101, 'Future Orders'!$C101, "A", 'Future Orders'!$B101, "2")</f>
        <v>5233.2</v>
      </c>
      <c r="AS101" s="171">
        <f>SUMIFS('Future Orders'!$I101, 'Future Orders'!$C101, "B", 'Future Orders'!$B101, "2")</f>
        <v>0</v>
      </c>
      <c r="AT101" s="145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2"/>
      <c r="BZ101" s="172"/>
      <c r="CA101" s="179"/>
      <c r="CB101" s="179"/>
      <c r="CC101" s="179"/>
      <c r="CD101" s="179"/>
      <c r="CE101" s="179"/>
      <c r="CF101" s="179"/>
      <c r="CG101" s="179"/>
      <c r="CH101" s="179"/>
      <c r="CI101" s="179"/>
      <c r="CJ101" s="179"/>
      <c r="CK101" s="179"/>
      <c r="CL101" s="179"/>
      <c r="CM101" s="179"/>
      <c r="CN101" s="179"/>
      <c r="CO101" s="179"/>
      <c r="CP101" s="179"/>
    </row>
    <row r="102" ht="15.75" customHeight="1">
      <c r="A102" s="151">
        <v>41967.0</v>
      </c>
      <c r="B102" s="152">
        <v>1.0</v>
      </c>
      <c r="C102" s="152" t="s">
        <v>46</v>
      </c>
      <c r="D102" s="152">
        <v>3.0</v>
      </c>
      <c r="E102" s="153">
        <v>1927.0</v>
      </c>
      <c r="F102" s="153">
        <f>SUM(('Future Orders'!$E102) * (1.1))</f>
        <v>2119.7</v>
      </c>
      <c r="G102" s="154">
        <v>8.3</v>
      </c>
      <c r="H102" s="155">
        <v>15994.100000000002</v>
      </c>
      <c r="I102" s="155">
        <f>SUM(('Future Orders'!$H102) * (1.1))</f>
        <v>17593.51</v>
      </c>
      <c r="J102" s="159">
        <f>SUMIFS('Future Orders'!$F102, 'Future Orders'!$D102, "1", 'Future Orders'!$C102, "A", 'Future Orders'!$B102, "1")</f>
        <v>0</v>
      </c>
      <c r="K102" s="157">
        <f>SUMIFS('Future Orders'!$I102, 'Future Orders'!$D102, "1", 'Future Orders'!$C102, "A", 'Future Orders'!$B102, "1")</f>
        <v>0</v>
      </c>
      <c r="L102" s="157">
        <f>SUMIFS('Future Orders'!$F102, 'Future Orders'!$D102, "1", 'Future Orders'!$C102, "B", 'Future Orders'!$B102, "1")</f>
        <v>0</v>
      </c>
      <c r="M102" s="157">
        <f>SUMIFS('Future Orders'!$I102, 'Future Orders'!$D102, "1", 'Future Orders'!$C102, "B", 'Future Orders'!$B102, "1")</f>
        <v>0</v>
      </c>
      <c r="N102" s="159">
        <f>SUMIFS('Future Orders'!$F102, 'Future Orders'!$D102, "1", 'Future Orders'!$C102, "A", 'Future Orders'!$B102, "2")</f>
        <v>0</v>
      </c>
      <c r="O102" s="157">
        <f>SUMIFS('Future Orders'!$I102, 'Future Orders'!$D102, "1", 'Future Orders'!$C102, "A", 'Future Orders'!$B102, "2")</f>
        <v>0</v>
      </c>
      <c r="P102" s="157">
        <f>SUMIFS('Future Orders'!$E102, 'Future Orders'!$D102, "1", 'Future Orders'!$C102, "B", 'Future Orders'!$B102, "2")</f>
        <v>0</v>
      </c>
      <c r="Q102" s="157">
        <f>SUMIFS('Future Orders'!$I102, 'Future Orders'!$D102, "1", 'Future Orders'!$C102, "B", 'Future Orders'!$B102, "2")</f>
        <v>0</v>
      </c>
      <c r="R102" s="159">
        <f>SUMIFS('Future Orders'!$F102, 'Future Orders'!$D102, "2", 'Future Orders'!$C102, "A", 'Future Orders'!$B102, "1")</f>
        <v>0</v>
      </c>
      <c r="S102" s="157">
        <f>SUMIFS('Future Orders'!$I102, 'Future Orders'!$D102, "2", 'Future Orders'!$C102, "A", 'Future Orders'!$B102, "1")</f>
        <v>0</v>
      </c>
      <c r="T102" s="159">
        <f>SUMIFS('Future Orders'!$F102, 'Future Orders'!$D102, "2", 'Future Orders'!$C102, "B", 'Future Orders'!$B102, "1")</f>
        <v>0</v>
      </c>
      <c r="U102" s="157">
        <f>SUMIFS('Future Orders'!$I102, 'Future Orders'!$D102, "2", 'Future Orders'!$C102, "B", 'Future Orders'!$B102, "1")</f>
        <v>0</v>
      </c>
      <c r="V102" s="159">
        <f>SUMIFS('Future Orders'!$F102, 'Future Orders'!$D102, "2", 'Future Orders'!$C102, "A", 'Future Orders'!$B102, "2")</f>
        <v>0</v>
      </c>
      <c r="W102" s="157">
        <f>SUMIFS('Future Orders'!$I102, 'Future Orders'!$D102, "2", 'Future Orders'!$C102, "A", 'Future Orders'!$B102, "2")</f>
        <v>0</v>
      </c>
      <c r="X102" s="159">
        <f>SUMIFS('Future Orders'!$F102, 'Future Orders'!$D102, "2", 'Future Orders'!$C102, "B", 'Future Orders'!$B102, "2")</f>
        <v>0</v>
      </c>
      <c r="Y102" s="159">
        <f>SUMIFS('Future Orders'!$I102, 'Future Orders'!$D102, "2", 'Future Orders'!$C102, "B", 'Future Orders'!$B102, "2")</f>
        <v>0</v>
      </c>
      <c r="Z102" s="159">
        <f>SUMIFS('Future Orders'!$F102, 'Future Orders'!$D102, "3", 'Future Orders'!$C102, "A", 'Future Orders'!$B102, "1")</f>
        <v>0</v>
      </c>
      <c r="AA102" s="159">
        <f>SUMIFS('Future Orders'!$I102, 'Future Orders'!$D102, "3", 'Future Orders'!$C102, "A", 'Future Orders'!$B102, "1")</f>
        <v>0</v>
      </c>
      <c r="AB102" s="159">
        <f>SUMIFS('Future Orders'!$F102, 'Future Orders'!$D102, "3", 'Future Orders'!$C102, "B", 'Future Orders'!$B102, "1")</f>
        <v>2119.7</v>
      </c>
      <c r="AC102" s="159">
        <f>SUMIFS('Future Orders'!$I102, 'Future Orders'!$D102, "3", 'Future Orders'!$C102, "B", 'Future Orders'!$B102, "1")</f>
        <v>17593.51</v>
      </c>
      <c r="AD102" s="159">
        <f>SUMIFS('Future Orders'!$F102, 'Future Orders'!$D102, "3", 'Future Orders'!$C102, "A", 'Future Orders'!$B102, "2")</f>
        <v>0</v>
      </c>
      <c r="AE102" s="159">
        <f>SUMIFS('Future Orders'!$I102, 'Future Orders'!$D102, "3", 'Future Orders'!$C102, "A", 'Future Orders'!$B102, "2")</f>
        <v>0</v>
      </c>
      <c r="AF102" s="159">
        <f>SUMIFS('Future Orders'!$F102, 'Future Orders'!$D102, "3", 'Future Orders'!$C102, "B", 'Future Orders'!$B102, "2")</f>
        <v>0</v>
      </c>
      <c r="AG102" s="157">
        <f>SUMIFS('Future Orders'!$I102, 'Future Orders'!$D102, "3", 'Future Orders'!$C102, "B", 'Future Orders'!$B102, "2")</f>
        <v>0</v>
      </c>
      <c r="AH102" s="157">
        <f>SUMIFS('Future Orders'!$F102, 'Future Orders'!$D102, "4", 'Future Orders'!$C102, "A", 'Future Orders'!$B102, "1")</f>
        <v>0</v>
      </c>
      <c r="AI102" s="157">
        <f>SUMIFS('Future Orders'!$I102, 'Future Orders'!$D102, "4", 'Future Orders'!$C102, "A", 'Future Orders'!$B102, "1")</f>
        <v>0</v>
      </c>
      <c r="AJ102" s="157">
        <f>SUMIFS('Future Orders'!$F102, 'Future Orders'!$D102, "4", 'Future Orders'!$C102, "B", 'Future Orders'!$B102, "1")</f>
        <v>0</v>
      </c>
      <c r="AK102" s="157">
        <f>SUMIFS('Future Orders'!$I102, 'Future Orders'!$D102, "4", 'Future Orders'!$C102, "B", 'Future Orders'!$B102, "1")</f>
        <v>0</v>
      </c>
      <c r="AL102" s="157">
        <f>SUMIFS('Future Orders'!$F102, 'Future Orders'!$D102, "4", 'Future Orders'!$C102, "A", 'Future Orders'!$B102, "2")</f>
        <v>0</v>
      </c>
      <c r="AM102" s="157">
        <f>SUMIFS('Future Orders'!$I102, 'Future Orders'!$D102, "4", 'Future Orders'!$C102, "A", 'Future Orders'!$B102, "2")</f>
        <v>0</v>
      </c>
      <c r="AN102" s="171">
        <f>SUMIFS('Future Orders'!$F102, 'Future Orders'!$D102, "4", 'Future Orders'!$C102, "B", 'Future Orders'!$B102, "2")</f>
        <v>0</v>
      </c>
      <c r="AO102" s="171">
        <f>SUMIFS('Future Orders'!$I102, 'Future Orders'!$D102, "4", 'Future Orders'!$C102, "B", 'Future Orders'!$B102, "2")</f>
        <v>0</v>
      </c>
      <c r="AP102" s="171">
        <f>SUMIFS('Future Orders'!$H102, 'Future Orders'!$C102, "A", 'Future Orders'!$B102, "1")</f>
        <v>0</v>
      </c>
      <c r="AQ102" s="171">
        <f>SUMIFS('Future Orders'!$I102, 'Future Orders'!$C102, "B", 'Future Orders'!$B102, "1")</f>
        <v>17593.51</v>
      </c>
      <c r="AR102" s="171">
        <f>SUMIFS('Future Orders'!$H102, 'Future Orders'!$C102, "A", 'Future Orders'!$B102, "2")</f>
        <v>0</v>
      </c>
      <c r="AS102" s="171">
        <f>SUMIFS('Future Orders'!$I102, 'Future Orders'!$C102, "B", 'Future Orders'!$B102, "2")</f>
        <v>0</v>
      </c>
      <c r="AT102" s="145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2"/>
      <c r="BZ102" s="172"/>
      <c r="CA102" s="179"/>
      <c r="CB102" s="179"/>
      <c r="CC102" s="179"/>
      <c r="CD102" s="179"/>
      <c r="CE102" s="179"/>
      <c r="CF102" s="179"/>
      <c r="CG102" s="179"/>
      <c r="CH102" s="179"/>
      <c r="CI102" s="179"/>
      <c r="CJ102" s="179"/>
      <c r="CK102" s="179"/>
      <c r="CL102" s="179"/>
      <c r="CM102" s="179"/>
      <c r="CN102" s="179"/>
      <c r="CO102" s="179"/>
      <c r="CP102" s="179"/>
    </row>
    <row r="103" ht="15.75" customHeight="1">
      <c r="A103" s="151">
        <v>41967.0</v>
      </c>
      <c r="B103" s="152">
        <v>2.0</v>
      </c>
      <c r="C103" s="152" t="s">
        <v>46</v>
      </c>
      <c r="D103" s="152">
        <v>3.0</v>
      </c>
      <c r="E103" s="153">
        <v>2000.0</v>
      </c>
      <c r="F103" s="153">
        <f>SUM(('Future Orders'!$E103) * (1.1))</f>
        <v>2200</v>
      </c>
      <c r="G103" s="154">
        <v>8.3</v>
      </c>
      <c r="H103" s="155">
        <v>16600.0</v>
      </c>
      <c r="I103" s="155">
        <f>SUM(('Future Orders'!$H103) * (1.1))</f>
        <v>18260</v>
      </c>
      <c r="J103" s="159">
        <f>SUMIFS('Future Orders'!$F103, 'Future Orders'!$D103, "1", 'Future Orders'!$C103, "A", 'Future Orders'!$B103, "1")</f>
        <v>0</v>
      </c>
      <c r="K103" s="157">
        <f>SUMIFS('Future Orders'!$I103, 'Future Orders'!$D103, "1", 'Future Orders'!$C103, "A", 'Future Orders'!$B103, "1")</f>
        <v>0</v>
      </c>
      <c r="L103" s="157">
        <f>SUMIFS('Future Orders'!$F103, 'Future Orders'!$D103, "1", 'Future Orders'!$C103, "B", 'Future Orders'!$B103, "1")</f>
        <v>0</v>
      </c>
      <c r="M103" s="157">
        <f>SUMIFS('Future Orders'!$I103, 'Future Orders'!$D103, "1", 'Future Orders'!$C103, "B", 'Future Orders'!$B103, "1")</f>
        <v>0</v>
      </c>
      <c r="N103" s="159">
        <f>SUMIFS('Future Orders'!$F103, 'Future Orders'!$D103, "1", 'Future Orders'!$C103, "A", 'Future Orders'!$B103, "2")</f>
        <v>0</v>
      </c>
      <c r="O103" s="157">
        <f>SUMIFS('Future Orders'!$I103, 'Future Orders'!$D103, "1", 'Future Orders'!$C103, "A", 'Future Orders'!$B103, "2")</f>
        <v>0</v>
      </c>
      <c r="P103" s="157">
        <f>SUMIFS('Future Orders'!$E103, 'Future Orders'!$D103, "1", 'Future Orders'!$C103, "B", 'Future Orders'!$B103, "2")</f>
        <v>0</v>
      </c>
      <c r="Q103" s="157">
        <f>SUMIFS('Future Orders'!$I103, 'Future Orders'!$D103, "1", 'Future Orders'!$C103, "B", 'Future Orders'!$B103, "2")</f>
        <v>0</v>
      </c>
      <c r="R103" s="159">
        <f>SUMIFS('Future Orders'!$F103, 'Future Orders'!$D103, "2", 'Future Orders'!$C103, "A", 'Future Orders'!$B103, "1")</f>
        <v>0</v>
      </c>
      <c r="S103" s="157">
        <f>SUMIFS('Future Orders'!$I103, 'Future Orders'!$D103, "2", 'Future Orders'!$C103, "A", 'Future Orders'!$B103, "1")</f>
        <v>0</v>
      </c>
      <c r="T103" s="159">
        <f>SUMIFS('Future Orders'!$F103, 'Future Orders'!$D103, "2", 'Future Orders'!$C103, "B", 'Future Orders'!$B103, "1")</f>
        <v>0</v>
      </c>
      <c r="U103" s="157">
        <f>SUMIFS('Future Orders'!$I103, 'Future Orders'!$D103, "2", 'Future Orders'!$C103, "B", 'Future Orders'!$B103, "1")</f>
        <v>0</v>
      </c>
      <c r="V103" s="159">
        <f>SUMIFS('Future Orders'!$F103, 'Future Orders'!$D103, "2", 'Future Orders'!$C103, "A", 'Future Orders'!$B103, "2")</f>
        <v>0</v>
      </c>
      <c r="W103" s="157">
        <f>SUMIFS('Future Orders'!$I103, 'Future Orders'!$D103, "2", 'Future Orders'!$C103, "A", 'Future Orders'!$B103, "2")</f>
        <v>0</v>
      </c>
      <c r="X103" s="159">
        <f>SUMIFS('Future Orders'!$F103, 'Future Orders'!$D103, "2", 'Future Orders'!$C103, "B", 'Future Orders'!$B103, "2")</f>
        <v>0</v>
      </c>
      <c r="Y103" s="159">
        <f>SUMIFS('Future Orders'!$I103, 'Future Orders'!$D103, "2", 'Future Orders'!$C103, "B", 'Future Orders'!$B103, "2")</f>
        <v>0</v>
      </c>
      <c r="Z103" s="159">
        <f>SUMIFS('Future Orders'!$F103, 'Future Orders'!$D103, "3", 'Future Orders'!$C103, "A", 'Future Orders'!$B103, "1")</f>
        <v>0</v>
      </c>
      <c r="AA103" s="159">
        <f>SUMIFS('Future Orders'!$I103, 'Future Orders'!$D103, "3", 'Future Orders'!$C103, "A", 'Future Orders'!$B103, "1")</f>
        <v>0</v>
      </c>
      <c r="AB103" s="159">
        <f>SUMIFS('Future Orders'!$F103, 'Future Orders'!$D103, "3", 'Future Orders'!$C103, "B", 'Future Orders'!$B103, "1")</f>
        <v>0</v>
      </c>
      <c r="AC103" s="159">
        <f>SUMIFS('Future Orders'!$I103, 'Future Orders'!$D103, "3", 'Future Orders'!$C103, "B", 'Future Orders'!$B103, "1")</f>
        <v>0</v>
      </c>
      <c r="AD103" s="159">
        <f>SUMIFS('Future Orders'!$F103, 'Future Orders'!$D103, "3", 'Future Orders'!$C103, "A", 'Future Orders'!$B103, "2")</f>
        <v>0</v>
      </c>
      <c r="AE103" s="159">
        <f>SUMIFS('Future Orders'!$I103, 'Future Orders'!$D103, "3", 'Future Orders'!$C103, "A", 'Future Orders'!$B103, "2")</f>
        <v>0</v>
      </c>
      <c r="AF103" s="159">
        <f>SUMIFS('Future Orders'!$F103, 'Future Orders'!$D103, "3", 'Future Orders'!$C103, "B", 'Future Orders'!$B103, "2")</f>
        <v>2200</v>
      </c>
      <c r="AG103" s="157">
        <f>SUMIFS('Future Orders'!$I103, 'Future Orders'!$D103, "3", 'Future Orders'!$C103, "B", 'Future Orders'!$B103, "2")</f>
        <v>18260</v>
      </c>
      <c r="AH103" s="157">
        <f>SUMIFS('Future Orders'!$F103, 'Future Orders'!$D103, "4", 'Future Orders'!$C103, "A", 'Future Orders'!$B103, "1")</f>
        <v>0</v>
      </c>
      <c r="AI103" s="157">
        <f>SUMIFS('Future Orders'!$I103, 'Future Orders'!$D103, "4", 'Future Orders'!$C103, "A", 'Future Orders'!$B103, "1")</f>
        <v>0</v>
      </c>
      <c r="AJ103" s="157">
        <f>SUMIFS('Future Orders'!$F103, 'Future Orders'!$D103, "4", 'Future Orders'!$C103, "B", 'Future Orders'!$B103, "1")</f>
        <v>0</v>
      </c>
      <c r="AK103" s="157">
        <f>SUMIFS('Future Orders'!$I103, 'Future Orders'!$D103, "4", 'Future Orders'!$C103, "B", 'Future Orders'!$B103, "1")</f>
        <v>0</v>
      </c>
      <c r="AL103" s="157">
        <f>SUMIFS('Future Orders'!$F103, 'Future Orders'!$D103, "4", 'Future Orders'!$C103, "A", 'Future Orders'!$B103, "2")</f>
        <v>0</v>
      </c>
      <c r="AM103" s="157">
        <f>SUMIFS('Future Orders'!$I103, 'Future Orders'!$D103, "4", 'Future Orders'!$C103, "A", 'Future Orders'!$B103, "2")</f>
        <v>0</v>
      </c>
      <c r="AN103" s="171">
        <f>SUMIFS('Future Orders'!$F103, 'Future Orders'!$D103, "4", 'Future Orders'!$C103, "B", 'Future Orders'!$B103, "2")</f>
        <v>0</v>
      </c>
      <c r="AO103" s="171">
        <f>SUMIFS('Future Orders'!$I103, 'Future Orders'!$D103, "4", 'Future Orders'!$C103, "B", 'Future Orders'!$B103, "2")</f>
        <v>0</v>
      </c>
      <c r="AP103" s="171">
        <f>SUMIFS('Future Orders'!$H103, 'Future Orders'!$C103, "A", 'Future Orders'!$B103, "1")</f>
        <v>0</v>
      </c>
      <c r="AQ103" s="171">
        <f>SUMIFS('Future Orders'!$I103, 'Future Orders'!$C103, "B", 'Future Orders'!$B103, "1")</f>
        <v>0</v>
      </c>
      <c r="AR103" s="171">
        <f>SUMIFS('Future Orders'!$H103, 'Future Orders'!$C103, "A", 'Future Orders'!$B103, "2")</f>
        <v>0</v>
      </c>
      <c r="AS103" s="171">
        <f>SUMIFS('Future Orders'!$I103, 'Future Orders'!$C103, "B", 'Future Orders'!$B103, "2")</f>
        <v>18260</v>
      </c>
      <c r="AT103" s="145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2"/>
      <c r="BZ103" s="172"/>
      <c r="CA103" s="179"/>
      <c r="CB103" s="179"/>
      <c r="CC103" s="179"/>
      <c r="CD103" s="179"/>
      <c r="CE103" s="179"/>
      <c r="CF103" s="179"/>
      <c r="CG103" s="179"/>
      <c r="CH103" s="179"/>
      <c r="CI103" s="179"/>
      <c r="CJ103" s="179"/>
      <c r="CK103" s="179"/>
      <c r="CL103" s="179"/>
      <c r="CM103" s="179"/>
      <c r="CN103" s="179"/>
      <c r="CO103" s="179"/>
      <c r="CP103" s="179"/>
    </row>
    <row r="104" ht="15.75" customHeight="1">
      <c r="A104" s="151">
        <v>41974.0</v>
      </c>
      <c r="B104" s="152">
        <v>1.0</v>
      </c>
      <c r="C104" s="152" t="s">
        <v>45</v>
      </c>
      <c r="D104" s="152">
        <v>1.0</v>
      </c>
      <c r="E104" s="153">
        <v>4937.0</v>
      </c>
      <c r="F104" s="153">
        <f>SUM(('Future Orders'!$E104) * (1.1))</f>
        <v>5430.7</v>
      </c>
      <c r="G104" s="154">
        <v>2.2</v>
      </c>
      <c r="H104" s="155">
        <v>10861.400000000001</v>
      </c>
      <c r="I104" s="155">
        <f>SUM(('Future Orders'!$H104) * (1.1))</f>
        <v>11947.54</v>
      </c>
      <c r="J104" s="159">
        <f>SUMIFS('Future Orders'!$F104, 'Future Orders'!$D104, "1", 'Future Orders'!$C104, "A", 'Future Orders'!$B104, "1")</f>
        <v>5430.7</v>
      </c>
      <c r="K104" s="157">
        <f>SUMIFS('Future Orders'!$I104, 'Future Orders'!$D104, "1", 'Future Orders'!$C104, "A", 'Future Orders'!$B104, "1")</f>
        <v>11947.54</v>
      </c>
      <c r="L104" s="157">
        <f>SUMIFS('Future Orders'!$F104, 'Future Orders'!$D104, "1", 'Future Orders'!$C104, "B", 'Future Orders'!$B104, "1")</f>
        <v>0</v>
      </c>
      <c r="M104" s="157">
        <f>SUMIFS('Future Orders'!$I104, 'Future Orders'!$D104, "1", 'Future Orders'!$C104, "B", 'Future Orders'!$B104, "1")</f>
        <v>0</v>
      </c>
      <c r="N104" s="159">
        <f>SUMIFS('Future Orders'!$F104, 'Future Orders'!$D104, "1", 'Future Orders'!$C104, "A", 'Future Orders'!$B104, "2")</f>
        <v>0</v>
      </c>
      <c r="O104" s="157">
        <f>SUMIFS('Future Orders'!$I104, 'Future Orders'!$D104, "1", 'Future Orders'!$C104, "A", 'Future Orders'!$B104, "2")</f>
        <v>0</v>
      </c>
      <c r="P104" s="157">
        <f>SUMIFS('Future Orders'!$E104, 'Future Orders'!$D104, "1", 'Future Orders'!$C104, "B", 'Future Orders'!$B104, "2")</f>
        <v>0</v>
      </c>
      <c r="Q104" s="157">
        <f>SUMIFS('Future Orders'!$I104, 'Future Orders'!$D104, "1", 'Future Orders'!$C104, "B", 'Future Orders'!$B104, "2")</f>
        <v>0</v>
      </c>
      <c r="R104" s="159">
        <f>SUMIFS('Future Orders'!$F104, 'Future Orders'!$D104, "2", 'Future Orders'!$C104, "A", 'Future Orders'!$B104, "1")</f>
        <v>0</v>
      </c>
      <c r="S104" s="157">
        <f>SUMIFS('Future Orders'!$I104, 'Future Orders'!$D104, "2", 'Future Orders'!$C104, "A", 'Future Orders'!$B104, "1")</f>
        <v>0</v>
      </c>
      <c r="T104" s="159">
        <f>SUMIFS('Future Orders'!$F104, 'Future Orders'!$D104, "2", 'Future Orders'!$C104, "B", 'Future Orders'!$B104, "1")</f>
        <v>0</v>
      </c>
      <c r="U104" s="157">
        <f>SUMIFS('Future Orders'!$I104, 'Future Orders'!$D104, "2", 'Future Orders'!$C104, "B", 'Future Orders'!$B104, "1")</f>
        <v>0</v>
      </c>
      <c r="V104" s="159">
        <f>SUMIFS('Future Orders'!$F104, 'Future Orders'!$D104, "2", 'Future Orders'!$C104, "A", 'Future Orders'!$B104, "2")</f>
        <v>0</v>
      </c>
      <c r="W104" s="157">
        <f>SUMIFS('Future Orders'!$I104, 'Future Orders'!$D104, "2", 'Future Orders'!$C104, "A", 'Future Orders'!$B104, "2")</f>
        <v>0</v>
      </c>
      <c r="X104" s="159">
        <f>SUMIFS('Future Orders'!$F104, 'Future Orders'!$D104, "2", 'Future Orders'!$C104, "B", 'Future Orders'!$B104, "2")</f>
        <v>0</v>
      </c>
      <c r="Y104" s="159">
        <f>SUMIFS('Future Orders'!$I104, 'Future Orders'!$D104, "2", 'Future Orders'!$C104, "B", 'Future Orders'!$B104, "2")</f>
        <v>0</v>
      </c>
      <c r="Z104" s="159">
        <f>SUMIFS('Future Orders'!$F104, 'Future Orders'!$D104, "3", 'Future Orders'!$C104, "A", 'Future Orders'!$B104, "1")</f>
        <v>0</v>
      </c>
      <c r="AA104" s="159">
        <f>SUMIFS('Future Orders'!$I104, 'Future Orders'!$D104, "3", 'Future Orders'!$C104, "A", 'Future Orders'!$B104, "1")</f>
        <v>0</v>
      </c>
      <c r="AB104" s="159">
        <f>SUMIFS('Future Orders'!$F104, 'Future Orders'!$D104, "3", 'Future Orders'!$C104, "B", 'Future Orders'!$B104, "1")</f>
        <v>0</v>
      </c>
      <c r="AC104" s="159">
        <f>SUMIFS('Future Orders'!$I104, 'Future Orders'!$D104, "3", 'Future Orders'!$C104, "B", 'Future Orders'!$B104, "1")</f>
        <v>0</v>
      </c>
      <c r="AD104" s="159">
        <f>SUMIFS('Future Orders'!$F104, 'Future Orders'!$D104, "3", 'Future Orders'!$C104, "A", 'Future Orders'!$B104, "2")</f>
        <v>0</v>
      </c>
      <c r="AE104" s="159">
        <f>SUMIFS('Future Orders'!$I104, 'Future Orders'!$D104, "3", 'Future Orders'!$C104, "A", 'Future Orders'!$B104, "2")</f>
        <v>0</v>
      </c>
      <c r="AF104" s="159">
        <f>SUMIFS('Future Orders'!$F104, 'Future Orders'!$D104, "3", 'Future Orders'!$C104, "B", 'Future Orders'!$B104, "2")</f>
        <v>0</v>
      </c>
      <c r="AG104" s="157">
        <f>SUMIFS('Future Orders'!$I104, 'Future Orders'!$D104, "3", 'Future Orders'!$C104, "B", 'Future Orders'!$B104, "2")</f>
        <v>0</v>
      </c>
      <c r="AH104" s="157">
        <f>SUMIFS('Future Orders'!$F104, 'Future Orders'!$D104, "4", 'Future Orders'!$C104, "A", 'Future Orders'!$B104, "1")</f>
        <v>0</v>
      </c>
      <c r="AI104" s="157">
        <f>SUMIFS('Future Orders'!$I104, 'Future Orders'!$D104, "4", 'Future Orders'!$C104, "A", 'Future Orders'!$B104, "1")</f>
        <v>0</v>
      </c>
      <c r="AJ104" s="157">
        <f>SUMIFS('Future Orders'!$F104, 'Future Orders'!$D104, "4", 'Future Orders'!$C104, "B", 'Future Orders'!$B104, "1")</f>
        <v>0</v>
      </c>
      <c r="AK104" s="157">
        <f>SUMIFS('Future Orders'!$I104, 'Future Orders'!$D104, "4", 'Future Orders'!$C104, "B", 'Future Orders'!$B104, "1")</f>
        <v>0</v>
      </c>
      <c r="AL104" s="157">
        <f>SUMIFS('Future Orders'!$F104, 'Future Orders'!$D104, "4", 'Future Orders'!$C104, "A", 'Future Orders'!$B104, "2")</f>
        <v>0</v>
      </c>
      <c r="AM104" s="157">
        <f>SUMIFS('Future Orders'!$I104, 'Future Orders'!$D104, "4", 'Future Orders'!$C104, "A", 'Future Orders'!$B104, "2")</f>
        <v>0</v>
      </c>
      <c r="AN104" s="171">
        <f>SUMIFS('Future Orders'!$F104, 'Future Orders'!$D104, "4", 'Future Orders'!$C104, "B", 'Future Orders'!$B104, "2")</f>
        <v>0</v>
      </c>
      <c r="AO104" s="171">
        <f>SUMIFS('Future Orders'!$I104, 'Future Orders'!$D104, "4", 'Future Orders'!$C104, "B", 'Future Orders'!$B104, "2")</f>
        <v>0</v>
      </c>
      <c r="AP104" s="171">
        <f>SUMIFS('Future Orders'!$H104, 'Future Orders'!$C104, "A", 'Future Orders'!$B104, "1")</f>
        <v>10861.4</v>
      </c>
      <c r="AQ104" s="171">
        <f>SUMIFS('Future Orders'!$I104, 'Future Orders'!$C104, "B", 'Future Orders'!$B104, "1")</f>
        <v>0</v>
      </c>
      <c r="AR104" s="171">
        <f>SUMIFS('Future Orders'!$H104, 'Future Orders'!$C104, "A", 'Future Orders'!$B104, "2")</f>
        <v>0</v>
      </c>
      <c r="AS104" s="171">
        <f>SUMIFS('Future Orders'!$I104, 'Future Orders'!$C104, "B", 'Future Orders'!$B104, "2")</f>
        <v>0</v>
      </c>
      <c r="AT104" s="145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2"/>
      <c r="BZ104" s="172"/>
      <c r="CA104" s="179"/>
      <c r="CB104" s="179"/>
      <c r="CC104" s="179"/>
      <c r="CD104" s="179"/>
      <c r="CE104" s="179"/>
      <c r="CF104" s="179"/>
      <c r="CG104" s="179"/>
      <c r="CH104" s="179"/>
      <c r="CI104" s="179"/>
      <c r="CJ104" s="179"/>
      <c r="CK104" s="179"/>
      <c r="CL104" s="179"/>
      <c r="CM104" s="179"/>
      <c r="CN104" s="179"/>
      <c r="CO104" s="179"/>
      <c r="CP104" s="179"/>
    </row>
    <row r="105" ht="15.75" customHeight="1">
      <c r="A105" s="151">
        <v>41974.0</v>
      </c>
      <c r="B105" s="152">
        <v>1.0</v>
      </c>
      <c r="C105" s="152" t="s">
        <v>45</v>
      </c>
      <c r="D105" s="152">
        <v>2.0</v>
      </c>
      <c r="E105" s="153">
        <v>5084.0</v>
      </c>
      <c r="F105" s="153">
        <f>SUM(('Future Orders'!$E105) * (1.1))</f>
        <v>5592.4</v>
      </c>
      <c r="G105" s="154">
        <v>1.2</v>
      </c>
      <c r="H105" s="155">
        <v>6100.8</v>
      </c>
      <c r="I105" s="155">
        <f>SUM(('Future Orders'!$H105) * (1.1))</f>
        <v>6710.88</v>
      </c>
      <c r="J105" s="159">
        <f>SUMIFS('Future Orders'!$F105, 'Future Orders'!$D105, "1", 'Future Orders'!$C105, "A", 'Future Orders'!$B105, "1")</f>
        <v>0</v>
      </c>
      <c r="K105" s="157">
        <f>SUMIFS('Future Orders'!$I105, 'Future Orders'!$D105, "1", 'Future Orders'!$C105, "A", 'Future Orders'!$B105, "1")</f>
        <v>0</v>
      </c>
      <c r="L105" s="157">
        <f>SUMIFS('Future Orders'!$F105, 'Future Orders'!$D105, "1", 'Future Orders'!$C105, "B", 'Future Orders'!$B105, "1")</f>
        <v>0</v>
      </c>
      <c r="M105" s="157">
        <f>SUMIFS('Future Orders'!$I105, 'Future Orders'!$D105, "1", 'Future Orders'!$C105, "B", 'Future Orders'!$B105, "1")</f>
        <v>0</v>
      </c>
      <c r="N105" s="159">
        <f>SUMIFS('Future Orders'!$F105, 'Future Orders'!$D105, "1", 'Future Orders'!$C105, "A", 'Future Orders'!$B105, "2")</f>
        <v>0</v>
      </c>
      <c r="O105" s="157">
        <f>SUMIFS('Future Orders'!$I105, 'Future Orders'!$D105, "1", 'Future Orders'!$C105, "A", 'Future Orders'!$B105, "2")</f>
        <v>0</v>
      </c>
      <c r="P105" s="157">
        <f>SUMIFS('Future Orders'!$E105, 'Future Orders'!$D105, "1", 'Future Orders'!$C105, "B", 'Future Orders'!$B105, "2")</f>
        <v>0</v>
      </c>
      <c r="Q105" s="157">
        <f>SUMIFS('Future Orders'!$I105, 'Future Orders'!$D105, "1", 'Future Orders'!$C105, "B", 'Future Orders'!$B105, "2")</f>
        <v>0</v>
      </c>
      <c r="R105" s="159">
        <f>SUMIFS('Future Orders'!$F105, 'Future Orders'!$D105, "2", 'Future Orders'!$C105, "A", 'Future Orders'!$B105, "1")</f>
        <v>5592.4</v>
      </c>
      <c r="S105" s="157">
        <f>SUMIFS('Future Orders'!$I105, 'Future Orders'!$D105, "2", 'Future Orders'!$C105, "A", 'Future Orders'!$B105, "1")</f>
        <v>6710.88</v>
      </c>
      <c r="T105" s="159">
        <f>SUMIFS('Future Orders'!$F105, 'Future Orders'!$D105, "2", 'Future Orders'!$C105, "B", 'Future Orders'!$B105, "1")</f>
        <v>0</v>
      </c>
      <c r="U105" s="157">
        <f>SUMIFS('Future Orders'!$I105, 'Future Orders'!$D105, "2", 'Future Orders'!$C105, "B", 'Future Orders'!$B105, "1")</f>
        <v>0</v>
      </c>
      <c r="V105" s="159">
        <f>SUMIFS('Future Orders'!$F105, 'Future Orders'!$D105, "2", 'Future Orders'!$C105, "A", 'Future Orders'!$B105, "2")</f>
        <v>0</v>
      </c>
      <c r="W105" s="157">
        <f>SUMIFS('Future Orders'!$I105, 'Future Orders'!$D105, "2", 'Future Orders'!$C105, "A", 'Future Orders'!$B105, "2")</f>
        <v>0</v>
      </c>
      <c r="X105" s="159">
        <f>SUMIFS('Future Orders'!$F105, 'Future Orders'!$D105, "2", 'Future Orders'!$C105, "B", 'Future Orders'!$B105, "2")</f>
        <v>0</v>
      </c>
      <c r="Y105" s="159">
        <f>SUMIFS('Future Orders'!$I105, 'Future Orders'!$D105, "2", 'Future Orders'!$C105, "B", 'Future Orders'!$B105, "2")</f>
        <v>0</v>
      </c>
      <c r="Z105" s="159">
        <f>SUMIFS('Future Orders'!$F105, 'Future Orders'!$D105, "3", 'Future Orders'!$C105, "A", 'Future Orders'!$B105, "1")</f>
        <v>0</v>
      </c>
      <c r="AA105" s="159">
        <f>SUMIFS('Future Orders'!$I105, 'Future Orders'!$D105, "3", 'Future Orders'!$C105, "A", 'Future Orders'!$B105, "1")</f>
        <v>0</v>
      </c>
      <c r="AB105" s="159">
        <f>SUMIFS('Future Orders'!$F105, 'Future Orders'!$D105, "3", 'Future Orders'!$C105, "B", 'Future Orders'!$B105, "1")</f>
        <v>0</v>
      </c>
      <c r="AC105" s="159">
        <f>SUMIFS('Future Orders'!$I105, 'Future Orders'!$D105, "3", 'Future Orders'!$C105, "B", 'Future Orders'!$B105, "1")</f>
        <v>0</v>
      </c>
      <c r="AD105" s="159">
        <f>SUMIFS('Future Orders'!$F105, 'Future Orders'!$D105, "3", 'Future Orders'!$C105, "A", 'Future Orders'!$B105, "2")</f>
        <v>0</v>
      </c>
      <c r="AE105" s="159">
        <f>SUMIFS('Future Orders'!$I105, 'Future Orders'!$D105, "3", 'Future Orders'!$C105, "A", 'Future Orders'!$B105, "2")</f>
        <v>0</v>
      </c>
      <c r="AF105" s="159">
        <f>SUMIFS('Future Orders'!$F105, 'Future Orders'!$D105, "3", 'Future Orders'!$C105, "B", 'Future Orders'!$B105, "2")</f>
        <v>0</v>
      </c>
      <c r="AG105" s="157">
        <f>SUMIFS('Future Orders'!$I105, 'Future Orders'!$D105, "3", 'Future Orders'!$C105, "B", 'Future Orders'!$B105, "2")</f>
        <v>0</v>
      </c>
      <c r="AH105" s="157">
        <f>SUMIFS('Future Orders'!$F105, 'Future Orders'!$D105, "4", 'Future Orders'!$C105, "A", 'Future Orders'!$B105, "1")</f>
        <v>0</v>
      </c>
      <c r="AI105" s="157">
        <f>SUMIFS('Future Orders'!$I105, 'Future Orders'!$D105, "4", 'Future Orders'!$C105, "A", 'Future Orders'!$B105, "1")</f>
        <v>0</v>
      </c>
      <c r="AJ105" s="157">
        <f>SUMIFS('Future Orders'!$F105, 'Future Orders'!$D105, "4", 'Future Orders'!$C105, "B", 'Future Orders'!$B105, "1")</f>
        <v>0</v>
      </c>
      <c r="AK105" s="157">
        <f>SUMIFS('Future Orders'!$I105, 'Future Orders'!$D105, "4", 'Future Orders'!$C105, "B", 'Future Orders'!$B105, "1")</f>
        <v>0</v>
      </c>
      <c r="AL105" s="157">
        <f>SUMIFS('Future Orders'!$F105, 'Future Orders'!$D105, "4", 'Future Orders'!$C105, "A", 'Future Orders'!$B105, "2")</f>
        <v>0</v>
      </c>
      <c r="AM105" s="157">
        <f>SUMIFS('Future Orders'!$I105, 'Future Orders'!$D105, "4", 'Future Orders'!$C105, "A", 'Future Orders'!$B105, "2")</f>
        <v>0</v>
      </c>
      <c r="AN105" s="171">
        <f>SUMIFS('Future Orders'!$F105, 'Future Orders'!$D105, "4", 'Future Orders'!$C105, "B", 'Future Orders'!$B105, "2")</f>
        <v>0</v>
      </c>
      <c r="AO105" s="171">
        <f>SUMIFS('Future Orders'!$I105, 'Future Orders'!$D105, "4", 'Future Orders'!$C105, "B", 'Future Orders'!$B105, "2")</f>
        <v>0</v>
      </c>
      <c r="AP105" s="171">
        <f>SUMIFS('Future Orders'!$H105, 'Future Orders'!$C105, "A", 'Future Orders'!$B105, "1")</f>
        <v>6100.8</v>
      </c>
      <c r="AQ105" s="171">
        <f>SUMIFS('Future Orders'!$I105, 'Future Orders'!$C105, "B", 'Future Orders'!$B105, "1")</f>
        <v>0</v>
      </c>
      <c r="AR105" s="171">
        <f>SUMIFS('Future Orders'!$H105, 'Future Orders'!$C105, "A", 'Future Orders'!$B105, "2")</f>
        <v>0</v>
      </c>
      <c r="AS105" s="171">
        <f>SUMIFS('Future Orders'!$I105, 'Future Orders'!$C105, "B", 'Future Orders'!$B105, "2")</f>
        <v>0</v>
      </c>
      <c r="AT105" s="145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9"/>
      <c r="CB105" s="179"/>
      <c r="CC105" s="179"/>
      <c r="CD105" s="179"/>
      <c r="CE105" s="179"/>
      <c r="CF105" s="179"/>
      <c r="CG105" s="179"/>
      <c r="CH105" s="179"/>
      <c r="CI105" s="179"/>
      <c r="CJ105" s="179"/>
      <c r="CK105" s="179"/>
      <c r="CL105" s="179"/>
      <c r="CM105" s="179"/>
      <c r="CN105" s="179"/>
      <c r="CO105" s="179"/>
      <c r="CP105" s="179"/>
    </row>
    <row r="106" ht="15.75" customHeight="1">
      <c r="A106" s="151">
        <v>41974.0</v>
      </c>
      <c r="B106" s="152">
        <v>2.0</v>
      </c>
      <c r="C106" s="152" t="s">
        <v>45</v>
      </c>
      <c r="D106" s="152">
        <v>1.0</v>
      </c>
      <c r="E106" s="153">
        <v>4132.0</v>
      </c>
      <c r="F106" s="153">
        <f>SUM(('Future Orders'!$E106) * (1.1))</f>
        <v>4545.2</v>
      </c>
      <c r="G106" s="154">
        <v>2.2</v>
      </c>
      <c r="H106" s="155">
        <v>9090.400000000001</v>
      </c>
      <c r="I106" s="155">
        <f>SUM(('Future Orders'!$H106) * (1.1))</f>
        <v>9999.44</v>
      </c>
      <c r="J106" s="159">
        <f>SUMIFS('Future Orders'!$F106, 'Future Orders'!$D106, "1", 'Future Orders'!$C106, "A", 'Future Orders'!$B106, "1")</f>
        <v>0</v>
      </c>
      <c r="K106" s="157">
        <f>SUMIFS('Future Orders'!$I106, 'Future Orders'!$D106, "1", 'Future Orders'!$C106, "A", 'Future Orders'!$B106, "1")</f>
        <v>0</v>
      </c>
      <c r="L106" s="157">
        <f>SUMIFS('Future Orders'!$F106, 'Future Orders'!$D106, "1", 'Future Orders'!$C106, "B", 'Future Orders'!$B106, "1")</f>
        <v>0</v>
      </c>
      <c r="M106" s="157">
        <f>SUMIFS('Future Orders'!$I106, 'Future Orders'!$D106, "1", 'Future Orders'!$C106, "B", 'Future Orders'!$B106, "1")</f>
        <v>0</v>
      </c>
      <c r="N106" s="159">
        <f>SUMIFS('Future Orders'!$F106, 'Future Orders'!$D106, "1", 'Future Orders'!$C106, "A", 'Future Orders'!$B106, "2")</f>
        <v>4545.2</v>
      </c>
      <c r="O106" s="157">
        <f>SUMIFS('Future Orders'!$I106, 'Future Orders'!$D106, "1", 'Future Orders'!$C106, "A", 'Future Orders'!$B106, "2")</f>
        <v>9999.44</v>
      </c>
      <c r="P106" s="157">
        <f>SUMIFS('Future Orders'!$E106, 'Future Orders'!$D106, "1", 'Future Orders'!$C106, "B", 'Future Orders'!$B106, "2")</f>
        <v>0</v>
      </c>
      <c r="Q106" s="157">
        <f>SUMIFS('Future Orders'!$I106, 'Future Orders'!$D106, "1", 'Future Orders'!$C106, "B", 'Future Orders'!$B106, "2")</f>
        <v>0</v>
      </c>
      <c r="R106" s="159">
        <f>SUMIFS('Future Orders'!$F106, 'Future Orders'!$D106, "2", 'Future Orders'!$C106, "A", 'Future Orders'!$B106, "1")</f>
        <v>0</v>
      </c>
      <c r="S106" s="157">
        <f>SUMIFS('Future Orders'!$I106, 'Future Orders'!$D106, "2", 'Future Orders'!$C106, "A", 'Future Orders'!$B106, "1")</f>
        <v>0</v>
      </c>
      <c r="T106" s="159">
        <f>SUMIFS('Future Orders'!$F106, 'Future Orders'!$D106, "2", 'Future Orders'!$C106, "B", 'Future Orders'!$B106, "1")</f>
        <v>0</v>
      </c>
      <c r="U106" s="157">
        <f>SUMIFS('Future Orders'!$I106, 'Future Orders'!$D106, "2", 'Future Orders'!$C106, "B", 'Future Orders'!$B106, "1")</f>
        <v>0</v>
      </c>
      <c r="V106" s="159">
        <f>SUMIFS('Future Orders'!$F106, 'Future Orders'!$D106, "2", 'Future Orders'!$C106, "A", 'Future Orders'!$B106, "2")</f>
        <v>0</v>
      </c>
      <c r="W106" s="157">
        <f>SUMIFS('Future Orders'!$I106, 'Future Orders'!$D106, "2", 'Future Orders'!$C106, "A", 'Future Orders'!$B106, "2")</f>
        <v>0</v>
      </c>
      <c r="X106" s="159">
        <f>SUMIFS('Future Orders'!$F106, 'Future Orders'!$D106, "2", 'Future Orders'!$C106, "B", 'Future Orders'!$B106, "2")</f>
        <v>0</v>
      </c>
      <c r="Y106" s="159">
        <f>SUMIFS('Future Orders'!$I106, 'Future Orders'!$D106, "2", 'Future Orders'!$C106, "B", 'Future Orders'!$B106, "2")</f>
        <v>0</v>
      </c>
      <c r="Z106" s="159">
        <f>SUMIFS('Future Orders'!$F106, 'Future Orders'!$D106, "3", 'Future Orders'!$C106, "A", 'Future Orders'!$B106, "1")</f>
        <v>0</v>
      </c>
      <c r="AA106" s="159">
        <f>SUMIFS('Future Orders'!$I106, 'Future Orders'!$D106, "3", 'Future Orders'!$C106, "A", 'Future Orders'!$B106, "1")</f>
        <v>0</v>
      </c>
      <c r="AB106" s="159">
        <f>SUMIFS('Future Orders'!$F106, 'Future Orders'!$D106, "3", 'Future Orders'!$C106, "B", 'Future Orders'!$B106, "1")</f>
        <v>0</v>
      </c>
      <c r="AC106" s="159">
        <f>SUMIFS('Future Orders'!$I106, 'Future Orders'!$D106, "3", 'Future Orders'!$C106, "B", 'Future Orders'!$B106, "1")</f>
        <v>0</v>
      </c>
      <c r="AD106" s="159">
        <f>SUMIFS('Future Orders'!$F106, 'Future Orders'!$D106, "3", 'Future Orders'!$C106, "A", 'Future Orders'!$B106, "2")</f>
        <v>0</v>
      </c>
      <c r="AE106" s="159">
        <f>SUMIFS('Future Orders'!$I106, 'Future Orders'!$D106, "3", 'Future Orders'!$C106, "A", 'Future Orders'!$B106, "2")</f>
        <v>0</v>
      </c>
      <c r="AF106" s="159">
        <f>SUMIFS('Future Orders'!$F106, 'Future Orders'!$D106, "3", 'Future Orders'!$C106, "B", 'Future Orders'!$B106, "2")</f>
        <v>0</v>
      </c>
      <c r="AG106" s="157">
        <f>SUMIFS('Future Orders'!$I106, 'Future Orders'!$D106, "3", 'Future Orders'!$C106, "B", 'Future Orders'!$B106, "2")</f>
        <v>0</v>
      </c>
      <c r="AH106" s="157">
        <f>SUMIFS('Future Orders'!$F106, 'Future Orders'!$D106, "4", 'Future Orders'!$C106, "A", 'Future Orders'!$B106, "1")</f>
        <v>0</v>
      </c>
      <c r="AI106" s="157">
        <f>SUMIFS('Future Orders'!$I106, 'Future Orders'!$D106, "4", 'Future Orders'!$C106, "A", 'Future Orders'!$B106, "1")</f>
        <v>0</v>
      </c>
      <c r="AJ106" s="157">
        <f>SUMIFS('Future Orders'!$F106, 'Future Orders'!$D106, "4", 'Future Orders'!$C106, "B", 'Future Orders'!$B106, "1")</f>
        <v>0</v>
      </c>
      <c r="AK106" s="157">
        <f>SUMIFS('Future Orders'!$I106, 'Future Orders'!$D106, "4", 'Future Orders'!$C106, "B", 'Future Orders'!$B106, "1")</f>
        <v>0</v>
      </c>
      <c r="AL106" s="157">
        <f>SUMIFS('Future Orders'!$F106, 'Future Orders'!$D106, "4", 'Future Orders'!$C106, "A", 'Future Orders'!$B106, "2")</f>
        <v>0</v>
      </c>
      <c r="AM106" s="157">
        <f>SUMIFS('Future Orders'!$I106, 'Future Orders'!$D106, "4", 'Future Orders'!$C106, "A", 'Future Orders'!$B106, "2")</f>
        <v>0</v>
      </c>
      <c r="AN106" s="171">
        <f>SUMIFS('Future Orders'!$F106, 'Future Orders'!$D106, "4", 'Future Orders'!$C106, "B", 'Future Orders'!$B106, "2")</f>
        <v>0</v>
      </c>
      <c r="AO106" s="171">
        <f>SUMIFS('Future Orders'!$I106, 'Future Orders'!$D106, "4", 'Future Orders'!$C106, "B", 'Future Orders'!$B106, "2")</f>
        <v>0</v>
      </c>
      <c r="AP106" s="171">
        <f>SUMIFS('Future Orders'!$H106, 'Future Orders'!$C106, "A", 'Future Orders'!$B106, "1")</f>
        <v>0</v>
      </c>
      <c r="AQ106" s="171">
        <f>SUMIFS('Future Orders'!$I106, 'Future Orders'!$C106, "B", 'Future Orders'!$B106, "1")</f>
        <v>0</v>
      </c>
      <c r="AR106" s="171">
        <f>SUMIFS('Future Orders'!$H106, 'Future Orders'!$C106, "A", 'Future Orders'!$B106, "2")</f>
        <v>9090.4</v>
      </c>
      <c r="AS106" s="171">
        <f>SUMIFS('Future Orders'!$I106, 'Future Orders'!$C106, "B", 'Future Orders'!$B106, "2")</f>
        <v>0</v>
      </c>
      <c r="AT106" s="145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2"/>
      <c r="BZ106" s="172"/>
      <c r="CA106" s="179"/>
      <c r="CB106" s="179"/>
      <c r="CC106" s="179"/>
      <c r="CD106" s="179"/>
      <c r="CE106" s="179"/>
      <c r="CF106" s="179"/>
      <c r="CG106" s="179"/>
      <c r="CH106" s="179"/>
      <c r="CI106" s="179"/>
      <c r="CJ106" s="179"/>
      <c r="CK106" s="179"/>
      <c r="CL106" s="179"/>
      <c r="CM106" s="179"/>
      <c r="CN106" s="179"/>
      <c r="CO106" s="179"/>
      <c r="CP106" s="179"/>
    </row>
    <row r="107" ht="15.75" customHeight="1">
      <c r="A107" s="151">
        <v>41974.0</v>
      </c>
      <c r="B107" s="152">
        <v>2.0</v>
      </c>
      <c r="C107" s="152" t="s">
        <v>45</v>
      </c>
      <c r="D107" s="152">
        <v>2.0</v>
      </c>
      <c r="E107" s="153">
        <v>5987.0</v>
      </c>
      <c r="F107" s="153">
        <f>SUM(('Future Orders'!$E107) * (1.1))</f>
        <v>6585.7</v>
      </c>
      <c r="G107" s="154">
        <v>1.2</v>
      </c>
      <c r="H107" s="155">
        <v>7184.4</v>
      </c>
      <c r="I107" s="155">
        <f>SUM(('Future Orders'!$H107) * (1.1))</f>
        <v>7902.84</v>
      </c>
      <c r="J107" s="159">
        <f>SUMIFS('Future Orders'!$F107, 'Future Orders'!$D107, "1", 'Future Orders'!$C107, "A", 'Future Orders'!$B107, "1")</f>
        <v>0</v>
      </c>
      <c r="K107" s="157">
        <f>SUMIFS('Future Orders'!$I107, 'Future Orders'!$D107, "1", 'Future Orders'!$C107, "A", 'Future Orders'!$B107, "1")</f>
        <v>0</v>
      </c>
      <c r="L107" s="157">
        <f>SUMIFS('Future Orders'!$F107, 'Future Orders'!$D107, "1", 'Future Orders'!$C107, "B", 'Future Orders'!$B107, "1")</f>
        <v>0</v>
      </c>
      <c r="M107" s="157">
        <f>SUMIFS('Future Orders'!$I107, 'Future Orders'!$D107, "1", 'Future Orders'!$C107, "B", 'Future Orders'!$B107, "1")</f>
        <v>0</v>
      </c>
      <c r="N107" s="159">
        <f>SUMIFS('Future Orders'!$F107, 'Future Orders'!$D107, "1", 'Future Orders'!$C107, "A", 'Future Orders'!$B107, "2")</f>
        <v>0</v>
      </c>
      <c r="O107" s="157">
        <f>SUMIFS('Future Orders'!$I107, 'Future Orders'!$D107, "1", 'Future Orders'!$C107, "A", 'Future Orders'!$B107, "2")</f>
        <v>0</v>
      </c>
      <c r="P107" s="157">
        <f>SUMIFS('Future Orders'!$E107, 'Future Orders'!$D107, "1", 'Future Orders'!$C107, "B", 'Future Orders'!$B107, "2")</f>
        <v>0</v>
      </c>
      <c r="Q107" s="157">
        <f>SUMIFS('Future Orders'!$I107, 'Future Orders'!$D107, "1", 'Future Orders'!$C107, "B", 'Future Orders'!$B107, "2")</f>
        <v>0</v>
      </c>
      <c r="R107" s="159">
        <f>SUMIFS('Future Orders'!$F107, 'Future Orders'!$D107, "2", 'Future Orders'!$C107, "A", 'Future Orders'!$B107, "1")</f>
        <v>0</v>
      </c>
      <c r="S107" s="157">
        <f>SUMIFS('Future Orders'!$I107, 'Future Orders'!$D107, "2", 'Future Orders'!$C107, "A", 'Future Orders'!$B107, "1")</f>
        <v>0</v>
      </c>
      <c r="T107" s="159">
        <f>SUMIFS('Future Orders'!$F107, 'Future Orders'!$D107, "2", 'Future Orders'!$C107, "B", 'Future Orders'!$B107, "1")</f>
        <v>0</v>
      </c>
      <c r="U107" s="157">
        <f>SUMIFS('Future Orders'!$I107, 'Future Orders'!$D107, "2", 'Future Orders'!$C107, "B", 'Future Orders'!$B107, "1")</f>
        <v>0</v>
      </c>
      <c r="V107" s="159">
        <f>SUMIFS('Future Orders'!$F107, 'Future Orders'!$D107, "2", 'Future Orders'!$C107, "A", 'Future Orders'!$B107, "2")</f>
        <v>6585.7</v>
      </c>
      <c r="W107" s="157">
        <f>SUMIFS('Future Orders'!$I107, 'Future Orders'!$D107, "2", 'Future Orders'!$C107, "A", 'Future Orders'!$B107, "2")</f>
        <v>7902.84</v>
      </c>
      <c r="X107" s="159">
        <f>SUMIFS('Future Orders'!$F107, 'Future Orders'!$D107, "2", 'Future Orders'!$C107, "B", 'Future Orders'!$B107, "2")</f>
        <v>0</v>
      </c>
      <c r="Y107" s="159">
        <f>SUMIFS('Future Orders'!$I107, 'Future Orders'!$D107, "2", 'Future Orders'!$C107, "B", 'Future Orders'!$B107, "2")</f>
        <v>0</v>
      </c>
      <c r="Z107" s="159">
        <f>SUMIFS('Future Orders'!$F107, 'Future Orders'!$D107, "3", 'Future Orders'!$C107, "A", 'Future Orders'!$B107, "1")</f>
        <v>0</v>
      </c>
      <c r="AA107" s="159">
        <f>SUMIFS('Future Orders'!$I107, 'Future Orders'!$D107, "3", 'Future Orders'!$C107, "A", 'Future Orders'!$B107, "1")</f>
        <v>0</v>
      </c>
      <c r="AB107" s="159">
        <f>SUMIFS('Future Orders'!$F107, 'Future Orders'!$D107, "3", 'Future Orders'!$C107, "B", 'Future Orders'!$B107, "1")</f>
        <v>0</v>
      </c>
      <c r="AC107" s="159">
        <f>SUMIFS('Future Orders'!$I107, 'Future Orders'!$D107, "3", 'Future Orders'!$C107, "B", 'Future Orders'!$B107, "1")</f>
        <v>0</v>
      </c>
      <c r="AD107" s="159">
        <f>SUMIFS('Future Orders'!$F107, 'Future Orders'!$D107, "3", 'Future Orders'!$C107, "A", 'Future Orders'!$B107, "2")</f>
        <v>0</v>
      </c>
      <c r="AE107" s="159">
        <f>SUMIFS('Future Orders'!$I107, 'Future Orders'!$D107, "3", 'Future Orders'!$C107, "A", 'Future Orders'!$B107, "2")</f>
        <v>0</v>
      </c>
      <c r="AF107" s="159">
        <f>SUMIFS('Future Orders'!$F107, 'Future Orders'!$D107, "3", 'Future Orders'!$C107, "B", 'Future Orders'!$B107, "2")</f>
        <v>0</v>
      </c>
      <c r="AG107" s="157">
        <f>SUMIFS('Future Orders'!$I107, 'Future Orders'!$D107, "3", 'Future Orders'!$C107, "B", 'Future Orders'!$B107, "2")</f>
        <v>0</v>
      </c>
      <c r="AH107" s="157">
        <f>SUMIFS('Future Orders'!$F107, 'Future Orders'!$D107, "4", 'Future Orders'!$C107, "A", 'Future Orders'!$B107, "1")</f>
        <v>0</v>
      </c>
      <c r="AI107" s="157">
        <f>SUMIFS('Future Orders'!$I107, 'Future Orders'!$D107, "4", 'Future Orders'!$C107, "A", 'Future Orders'!$B107, "1")</f>
        <v>0</v>
      </c>
      <c r="AJ107" s="157">
        <f>SUMIFS('Future Orders'!$F107, 'Future Orders'!$D107, "4", 'Future Orders'!$C107, "B", 'Future Orders'!$B107, "1")</f>
        <v>0</v>
      </c>
      <c r="AK107" s="157">
        <f>SUMIFS('Future Orders'!$I107, 'Future Orders'!$D107, "4", 'Future Orders'!$C107, "B", 'Future Orders'!$B107, "1")</f>
        <v>0</v>
      </c>
      <c r="AL107" s="157">
        <f>SUMIFS('Future Orders'!$F107, 'Future Orders'!$D107, "4", 'Future Orders'!$C107, "A", 'Future Orders'!$B107, "2")</f>
        <v>0</v>
      </c>
      <c r="AM107" s="157">
        <f>SUMIFS('Future Orders'!$I107, 'Future Orders'!$D107, "4", 'Future Orders'!$C107, "A", 'Future Orders'!$B107, "2")</f>
        <v>0</v>
      </c>
      <c r="AN107" s="171">
        <f>SUMIFS('Future Orders'!$F107, 'Future Orders'!$D107, "4", 'Future Orders'!$C107, "B", 'Future Orders'!$B107, "2")</f>
        <v>0</v>
      </c>
      <c r="AO107" s="171">
        <f>SUMIFS('Future Orders'!$I107, 'Future Orders'!$D107, "4", 'Future Orders'!$C107, "B", 'Future Orders'!$B107, "2")</f>
        <v>0</v>
      </c>
      <c r="AP107" s="171">
        <f>SUMIFS('Future Orders'!$H107, 'Future Orders'!$C107, "A", 'Future Orders'!$B107, "1")</f>
        <v>0</v>
      </c>
      <c r="AQ107" s="171">
        <f>SUMIFS('Future Orders'!$I107, 'Future Orders'!$C107, "B", 'Future Orders'!$B107, "1")</f>
        <v>0</v>
      </c>
      <c r="AR107" s="171">
        <f>SUMIFS('Future Orders'!$H107, 'Future Orders'!$C107, "A", 'Future Orders'!$B107, "2")</f>
        <v>7184.4</v>
      </c>
      <c r="AS107" s="171">
        <f>SUMIFS('Future Orders'!$I107, 'Future Orders'!$C107, "B", 'Future Orders'!$B107, "2")</f>
        <v>0</v>
      </c>
      <c r="AT107" s="145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2"/>
      <c r="BZ107" s="172"/>
      <c r="CA107" s="179"/>
      <c r="CB107" s="179"/>
      <c r="CC107" s="179"/>
      <c r="CD107" s="179"/>
      <c r="CE107" s="179"/>
      <c r="CF107" s="179"/>
      <c r="CG107" s="179"/>
      <c r="CH107" s="179"/>
      <c r="CI107" s="179"/>
      <c r="CJ107" s="179"/>
      <c r="CK107" s="179"/>
      <c r="CL107" s="179"/>
      <c r="CM107" s="179"/>
      <c r="CN107" s="179"/>
      <c r="CO107" s="179"/>
      <c r="CP107" s="179"/>
    </row>
    <row r="108" ht="15.75" customHeight="1">
      <c r="A108" s="151">
        <v>41974.0</v>
      </c>
      <c r="B108" s="152">
        <v>1.0</v>
      </c>
      <c r="C108" s="152" t="s">
        <v>46</v>
      </c>
      <c r="D108" s="152">
        <v>3.0</v>
      </c>
      <c r="E108" s="153">
        <v>1914.0</v>
      </c>
      <c r="F108" s="153">
        <f>SUM(('Future Orders'!$E108) * (1.1))</f>
        <v>2105.4</v>
      </c>
      <c r="G108" s="154">
        <v>8.3</v>
      </c>
      <c r="H108" s="155">
        <v>15886.2</v>
      </c>
      <c r="I108" s="155">
        <f>SUM(('Future Orders'!$H108) * (1.1))</f>
        <v>17474.82</v>
      </c>
      <c r="J108" s="159">
        <f>SUMIFS('Future Orders'!$F108, 'Future Orders'!$D108, "1", 'Future Orders'!$C108, "A", 'Future Orders'!$B108, "1")</f>
        <v>0</v>
      </c>
      <c r="K108" s="157">
        <f>SUMIFS('Future Orders'!$I108, 'Future Orders'!$D108, "1", 'Future Orders'!$C108, "A", 'Future Orders'!$B108, "1")</f>
        <v>0</v>
      </c>
      <c r="L108" s="157">
        <f>SUMIFS('Future Orders'!$F108, 'Future Orders'!$D108, "1", 'Future Orders'!$C108, "B", 'Future Orders'!$B108, "1")</f>
        <v>0</v>
      </c>
      <c r="M108" s="157">
        <f>SUMIFS('Future Orders'!$I108, 'Future Orders'!$D108, "1", 'Future Orders'!$C108, "B", 'Future Orders'!$B108, "1")</f>
        <v>0</v>
      </c>
      <c r="N108" s="159">
        <f>SUMIFS('Future Orders'!$F108, 'Future Orders'!$D108, "1", 'Future Orders'!$C108, "A", 'Future Orders'!$B108, "2")</f>
        <v>0</v>
      </c>
      <c r="O108" s="157">
        <f>SUMIFS('Future Orders'!$I108, 'Future Orders'!$D108, "1", 'Future Orders'!$C108, "A", 'Future Orders'!$B108, "2")</f>
        <v>0</v>
      </c>
      <c r="P108" s="157">
        <f>SUMIFS('Future Orders'!$E108, 'Future Orders'!$D108, "1", 'Future Orders'!$C108, "B", 'Future Orders'!$B108, "2")</f>
        <v>0</v>
      </c>
      <c r="Q108" s="157">
        <f>SUMIFS('Future Orders'!$I108, 'Future Orders'!$D108, "1", 'Future Orders'!$C108, "B", 'Future Orders'!$B108, "2")</f>
        <v>0</v>
      </c>
      <c r="R108" s="159">
        <f>SUMIFS('Future Orders'!$F108, 'Future Orders'!$D108, "2", 'Future Orders'!$C108, "A", 'Future Orders'!$B108, "1")</f>
        <v>0</v>
      </c>
      <c r="S108" s="157">
        <f>SUMIFS('Future Orders'!$I108, 'Future Orders'!$D108, "2", 'Future Orders'!$C108, "A", 'Future Orders'!$B108, "1")</f>
        <v>0</v>
      </c>
      <c r="T108" s="159">
        <f>SUMIFS('Future Orders'!$F108, 'Future Orders'!$D108, "2", 'Future Orders'!$C108, "B", 'Future Orders'!$B108, "1")</f>
        <v>0</v>
      </c>
      <c r="U108" s="157">
        <f>SUMIFS('Future Orders'!$I108, 'Future Orders'!$D108, "2", 'Future Orders'!$C108, "B", 'Future Orders'!$B108, "1")</f>
        <v>0</v>
      </c>
      <c r="V108" s="159">
        <f>SUMIFS('Future Orders'!$F108, 'Future Orders'!$D108, "2", 'Future Orders'!$C108, "A", 'Future Orders'!$B108, "2")</f>
        <v>0</v>
      </c>
      <c r="W108" s="157">
        <f>SUMIFS('Future Orders'!$I108, 'Future Orders'!$D108, "2", 'Future Orders'!$C108, "A", 'Future Orders'!$B108, "2")</f>
        <v>0</v>
      </c>
      <c r="X108" s="159">
        <f>SUMIFS('Future Orders'!$F108, 'Future Orders'!$D108, "2", 'Future Orders'!$C108, "B", 'Future Orders'!$B108, "2")</f>
        <v>0</v>
      </c>
      <c r="Y108" s="159">
        <f>SUMIFS('Future Orders'!$I108, 'Future Orders'!$D108, "2", 'Future Orders'!$C108, "B", 'Future Orders'!$B108, "2")</f>
        <v>0</v>
      </c>
      <c r="Z108" s="159">
        <f>SUMIFS('Future Orders'!$F108, 'Future Orders'!$D108, "3", 'Future Orders'!$C108, "A", 'Future Orders'!$B108, "1")</f>
        <v>0</v>
      </c>
      <c r="AA108" s="159">
        <f>SUMIFS('Future Orders'!$I108, 'Future Orders'!$D108, "3", 'Future Orders'!$C108, "A", 'Future Orders'!$B108, "1")</f>
        <v>0</v>
      </c>
      <c r="AB108" s="159">
        <f>SUMIFS('Future Orders'!$F108, 'Future Orders'!$D108, "3", 'Future Orders'!$C108, "B", 'Future Orders'!$B108, "1")</f>
        <v>2105.4</v>
      </c>
      <c r="AC108" s="159">
        <f>SUMIFS('Future Orders'!$I108, 'Future Orders'!$D108, "3", 'Future Orders'!$C108, "B", 'Future Orders'!$B108, "1")</f>
        <v>17474.82</v>
      </c>
      <c r="AD108" s="159">
        <f>SUMIFS('Future Orders'!$F108, 'Future Orders'!$D108, "3", 'Future Orders'!$C108, "A", 'Future Orders'!$B108, "2")</f>
        <v>0</v>
      </c>
      <c r="AE108" s="159">
        <f>SUMIFS('Future Orders'!$I108, 'Future Orders'!$D108, "3", 'Future Orders'!$C108, "A", 'Future Orders'!$B108, "2")</f>
        <v>0</v>
      </c>
      <c r="AF108" s="159">
        <f>SUMIFS('Future Orders'!$F108, 'Future Orders'!$D108, "3", 'Future Orders'!$C108, "B", 'Future Orders'!$B108, "2")</f>
        <v>0</v>
      </c>
      <c r="AG108" s="157">
        <f>SUMIFS('Future Orders'!$I108, 'Future Orders'!$D108, "3", 'Future Orders'!$C108, "B", 'Future Orders'!$B108, "2")</f>
        <v>0</v>
      </c>
      <c r="AH108" s="157">
        <f>SUMIFS('Future Orders'!$F108, 'Future Orders'!$D108, "4", 'Future Orders'!$C108, "A", 'Future Orders'!$B108, "1")</f>
        <v>0</v>
      </c>
      <c r="AI108" s="157">
        <f>SUMIFS('Future Orders'!$I108, 'Future Orders'!$D108, "4", 'Future Orders'!$C108, "A", 'Future Orders'!$B108, "1")</f>
        <v>0</v>
      </c>
      <c r="AJ108" s="157">
        <f>SUMIFS('Future Orders'!$F108, 'Future Orders'!$D108, "4", 'Future Orders'!$C108, "B", 'Future Orders'!$B108, "1")</f>
        <v>0</v>
      </c>
      <c r="AK108" s="157">
        <f>SUMIFS('Future Orders'!$I108, 'Future Orders'!$D108, "4", 'Future Orders'!$C108, "B", 'Future Orders'!$B108, "1")</f>
        <v>0</v>
      </c>
      <c r="AL108" s="157">
        <f>SUMIFS('Future Orders'!$F108, 'Future Orders'!$D108, "4", 'Future Orders'!$C108, "A", 'Future Orders'!$B108, "2")</f>
        <v>0</v>
      </c>
      <c r="AM108" s="157">
        <f>SUMIFS('Future Orders'!$I108, 'Future Orders'!$D108, "4", 'Future Orders'!$C108, "A", 'Future Orders'!$B108, "2")</f>
        <v>0</v>
      </c>
      <c r="AN108" s="171">
        <f>SUMIFS('Future Orders'!$F108, 'Future Orders'!$D108, "4", 'Future Orders'!$C108, "B", 'Future Orders'!$B108, "2")</f>
        <v>0</v>
      </c>
      <c r="AO108" s="171">
        <f>SUMIFS('Future Orders'!$I108, 'Future Orders'!$D108, "4", 'Future Orders'!$C108, "B", 'Future Orders'!$B108, "2")</f>
        <v>0</v>
      </c>
      <c r="AP108" s="171">
        <f>SUMIFS('Future Orders'!$H108, 'Future Orders'!$C108, "A", 'Future Orders'!$B108, "1")</f>
        <v>0</v>
      </c>
      <c r="AQ108" s="171">
        <f>SUMIFS('Future Orders'!$I108, 'Future Orders'!$C108, "B", 'Future Orders'!$B108, "1")</f>
        <v>17474.82</v>
      </c>
      <c r="AR108" s="171">
        <f>SUMIFS('Future Orders'!$H108, 'Future Orders'!$C108, "A", 'Future Orders'!$B108, "2")</f>
        <v>0</v>
      </c>
      <c r="AS108" s="171">
        <f>SUMIFS('Future Orders'!$I108, 'Future Orders'!$C108, "B", 'Future Orders'!$B108, "2")</f>
        <v>0</v>
      </c>
      <c r="AT108" s="145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  <c r="BT108" s="172"/>
      <c r="BU108" s="172"/>
      <c r="BV108" s="172"/>
      <c r="BW108" s="172"/>
      <c r="BX108" s="172"/>
      <c r="BY108" s="172"/>
      <c r="BZ108" s="172"/>
      <c r="CA108" s="179"/>
      <c r="CB108" s="179"/>
      <c r="CC108" s="179"/>
      <c r="CD108" s="179"/>
      <c r="CE108" s="179"/>
      <c r="CF108" s="179"/>
      <c r="CG108" s="179"/>
      <c r="CH108" s="179"/>
      <c r="CI108" s="179"/>
      <c r="CJ108" s="179"/>
      <c r="CK108" s="179"/>
      <c r="CL108" s="179"/>
      <c r="CM108" s="179"/>
      <c r="CN108" s="179"/>
      <c r="CO108" s="179"/>
      <c r="CP108" s="179"/>
    </row>
    <row r="109" ht="15.75" customHeight="1">
      <c r="A109" s="151">
        <v>41974.0</v>
      </c>
      <c r="B109" s="152">
        <v>2.0</v>
      </c>
      <c r="C109" s="152" t="s">
        <v>46</v>
      </c>
      <c r="D109" s="152">
        <v>3.0</v>
      </c>
      <c r="E109" s="153">
        <v>2278.0</v>
      </c>
      <c r="F109" s="153">
        <f>SUM(('Future Orders'!$E109) * (1.1))</f>
        <v>2505.8</v>
      </c>
      <c r="G109" s="154">
        <v>8.3</v>
      </c>
      <c r="H109" s="155">
        <v>18907.4</v>
      </c>
      <c r="I109" s="155">
        <f>SUM(('Future Orders'!$H109) * (1.1))</f>
        <v>20798.14</v>
      </c>
      <c r="J109" s="159">
        <f>SUMIFS('Future Orders'!$F109, 'Future Orders'!$D109, "1", 'Future Orders'!$C109, "A", 'Future Orders'!$B109, "1")</f>
        <v>0</v>
      </c>
      <c r="K109" s="157">
        <f>SUMIFS('Future Orders'!$I109, 'Future Orders'!$D109, "1", 'Future Orders'!$C109, "A", 'Future Orders'!$B109, "1")</f>
        <v>0</v>
      </c>
      <c r="L109" s="157">
        <f>SUMIFS('Future Orders'!$F109, 'Future Orders'!$D109, "1", 'Future Orders'!$C109, "B", 'Future Orders'!$B109, "1")</f>
        <v>0</v>
      </c>
      <c r="M109" s="157">
        <f>SUMIFS('Future Orders'!$I109, 'Future Orders'!$D109, "1", 'Future Orders'!$C109, "B", 'Future Orders'!$B109, "1")</f>
        <v>0</v>
      </c>
      <c r="N109" s="159">
        <f>SUMIFS('Future Orders'!$F109, 'Future Orders'!$D109, "1", 'Future Orders'!$C109, "A", 'Future Orders'!$B109, "2")</f>
        <v>0</v>
      </c>
      <c r="O109" s="157">
        <f>SUMIFS('Future Orders'!$I109, 'Future Orders'!$D109, "1", 'Future Orders'!$C109, "A", 'Future Orders'!$B109, "2")</f>
        <v>0</v>
      </c>
      <c r="P109" s="157">
        <f>SUMIFS('Future Orders'!$E109, 'Future Orders'!$D109, "1", 'Future Orders'!$C109, "B", 'Future Orders'!$B109, "2")</f>
        <v>0</v>
      </c>
      <c r="Q109" s="157">
        <f>SUMIFS('Future Orders'!$I109, 'Future Orders'!$D109, "1", 'Future Orders'!$C109, "B", 'Future Orders'!$B109, "2")</f>
        <v>0</v>
      </c>
      <c r="R109" s="159">
        <f>SUMIFS('Future Orders'!$F109, 'Future Orders'!$D109, "2", 'Future Orders'!$C109, "A", 'Future Orders'!$B109, "1")</f>
        <v>0</v>
      </c>
      <c r="S109" s="157">
        <f>SUMIFS('Future Orders'!$I109, 'Future Orders'!$D109, "2", 'Future Orders'!$C109, "A", 'Future Orders'!$B109, "1")</f>
        <v>0</v>
      </c>
      <c r="T109" s="159">
        <f>SUMIFS('Future Orders'!$F109, 'Future Orders'!$D109, "2", 'Future Orders'!$C109, "B", 'Future Orders'!$B109, "1")</f>
        <v>0</v>
      </c>
      <c r="U109" s="157">
        <f>SUMIFS('Future Orders'!$I109, 'Future Orders'!$D109, "2", 'Future Orders'!$C109, "B", 'Future Orders'!$B109, "1")</f>
        <v>0</v>
      </c>
      <c r="V109" s="159">
        <f>SUMIFS('Future Orders'!$F109, 'Future Orders'!$D109, "2", 'Future Orders'!$C109, "A", 'Future Orders'!$B109, "2")</f>
        <v>0</v>
      </c>
      <c r="W109" s="157">
        <f>SUMIFS('Future Orders'!$I109, 'Future Orders'!$D109, "2", 'Future Orders'!$C109, "A", 'Future Orders'!$B109, "2")</f>
        <v>0</v>
      </c>
      <c r="X109" s="159">
        <f>SUMIFS('Future Orders'!$F109, 'Future Orders'!$D109, "2", 'Future Orders'!$C109, "B", 'Future Orders'!$B109, "2")</f>
        <v>0</v>
      </c>
      <c r="Y109" s="159">
        <f>SUMIFS('Future Orders'!$I109, 'Future Orders'!$D109, "2", 'Future Orders'!$C109, "B", 'Future Orders'!$B109, "2")</f>
        <v>0</v>
      </c>
      <c r="Z109" s="159">
        <f>SUMIFS('Future Orders'!$F109, 'Future Orders'!$D109, "3", 'Future Orders'!$C109, "A", 'Future Orders'!$B109, "1")</f>
        <v>0</v>
      </c>
      <c r="AA109" s="159">
        <f>SUMIFS('Future Orders'!$I109, 'Future Orders'!$D109, "3", 'Future Orders'!$C109, "A", 'Future Orders'!$B109, "1")</f>
        <v>0</v>
      </c>
      <c r="AB109" s="159">
        <f>SUMIFS('Future Orders'!$F109, 'Future Orders'!$D109, "3", 'Future Orders'!$C109, "B", 'Future Orders'!$B109, "1")</f>
        <v>0</v>
      </c>
      <c r="AC109" s="159">
        <f>SUMIFS('Future Orders'!$I109, 'Future Orders'!$D109, "3", 'Future Orders'!$C109, "B", 'Future Orders'!$B109, "1")</f>
        <v>0</v>
      </c>
      <c r="AD109" s="159">
        <f>SUMIFS('Future Orders'!$F109, 'Future Orders'!$D109, "3", 'Future Orders'!$C109, "A", 'Future Orders'!$B109, "2")</f>
        <v>0</v>
      </c>
      <c r="AE109" s="159">
        <f>SUMIFS('Future Orders'!$I109, 'Future Orders'!$D109, "3", 'Future Orders'!$C109, "A", 'Future Orders'!$B109, "2")</f>
        <v>0</v>
      </c>
      <c r="AF109" s="159">
        <f>SUMIFS('Future Orders'!$F109, 'Future Orders'!$D109, "3", 'Future Orders'!$C109, "B", 'Future Orders'!$B109, "2")</f>
        <v>2505.8</v>
      </c>
      <c r="AG109" s="157">
        <f>SUMIFS('Future Orders'!$I109, 'Future Orders'!$D109, "3", 'Future Orders'!$C109, "B", 'Future Orders'!$B109, "2")</f>
        <v>20798.14</v>
      </c>
      <c r="AH109" s="157">
        <f>SUMIFS('Future Orders'!$F109, 'Future Orders'!$D109, "4", 'Future Orders'!$C109, "A", 'Future Orders'!$B109, "1")</f>
        <v>0</v>
      </c>
      <c r="AI109" s="157">
        <f>SUMIFS('Future Orders'!$I109, 'Future Orders'!$D109, "4", 'Future Orders'!$C109, "A", 'Future Orders'!$B109, "1")</f>
        <v>0</v>
      </c>
      <c r="AJ109" s="157">
        <f>SUMIFS('Future Orders'!$F109, 'Future Orders'!$D109, "4", 'Future Orders'!$C109, "B", 'Future Orders'!$B109, "1")</f>
        <v>0</v>
      </c>
      <c r="AK109" s="157">
        <f>SUMIFS('Future Orders'!$I109, 'Future Orders'!$D109, "4", 'Future Orders'!$C109, "B", 'Future Orders'!$B109, "1")</f>
        <v>0</v>
      </c>
      <c r="AL109" s="157">
        <f>SUMIFS('Future Orders'!$F109, 'Future Orders'!$D109, "4", 'Future Orders'!$C109, "A", 'Future Orders'!$B109, "2")</f>
        <v>0</v>
      </c>
      <c r="AM109" s="157">
        <f>SUMIFS('Future Orders'!$I109, 'Future Orders'!$D109, "4", 'Future Orders'!$C109, "A", 'Future Orders'!$B109, "2")</f>
        <v>0</v>
      </c>
      <c r="AN109" s="171">
        <f>SUMIFS('Future Orders'!$F109, 'Future Orders'!$D109, "4", 'Future Orders'!$C109, "B", 'Future Orders'!$B109, "2")</f>
        <v>0</v>
      </c>
      <c r="AO109" s="171">
        <f>SUMIFS('Future Orders'!$I109, 'Future Orders'!$D109, "4", 'Future Orders'!$C109, "B", 'Future Orders'!$B109, "2")</f>
        <v>0</v>
      </c>
      <c r="AP109" s="171">
        <f>SUMIFS('Future Orders'!$H109, 'Future Orders'!$C109, "A", 'Future Orders'!$B109, "1")</f>
        <v>0</v>
      </c>
      <c r="AQ109" s="171">
        <f>SUMIFS('Future Orders'!$I109, 'Future Orders'!$C109, "B", 'Future Orders'!$B109, "1")</f>
        <v>0</v>
      </c>
      <c r="AR109" s="171">
        <f>SUMIFS('Future Orders'!$H109, 'Future Orders'!$C109, "A", 'Future Orders'!$B109, "2")</f>
        <v>0</v>
      </c>
      <c r="AS109" s="171">
        <f>SUMIFS('Future Orders'!$I109, 'Future Orders'!$C109, "B", 'Future Orders'!$B109, "2")</f>
        <v>20798.14</v>
      </c>
      <c r="AT109" s="145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2"/>
      <c r="BW109" s="172"/>
      <c r="BX109" s="172"/>
      <c r="BY109" s="172"/>
      <c r="BZ109" s="172"/>
      <c r="CA109" s="179"/>
      <c r="CB109" s="179"/>
      <c r="CC109" s="179"/>
      <c r="CD109" s="179"/>
      <c r="CE109" s="179"/>
      <c r="CF109" s="179"/>
      <c r="CG109" s="179"/>
      <c r="CH109" s="179"/>
      <c r="CI109" s="179"/>
      <c r="CJ109" s="179"/>
      <c r="CK109" s="179"/>
      <c r="CL109" s="179"/>
      <c r="CM109" s="179"/>
      <c r="CN109" s="179"/>
      <c r="CO109" s="179"/>
      <c r="CP109" s="179"/>
    </row>
    <row r="110" ht="15.75" customHeight="1">
      <c r="A110" s="151">
        <v>41981.0</v>
      </c>
      <c r="B110" s="152">
        <v>1.0</v>
      </c>
      <c r="C110" s="152" t="s">
        <v>45</v>
      </c>
      <c r="D110" s="152">
        <v>1.0</v>
      </c>
      <c r="E110" s="153">
        <v>4361.0</v>
      </c>
      <c r="F110" s="153">
        <f>SUM(('Future Orders'!$E110) * (1.1))</f>
        <v>4797.1</v>
      </c>
      <c r="G110" s="154">
        <v>2.2</v>
      </c>
      <c r="H110" s="155">
        <v>9594.2</v>
      </c>
      <c r="I110" s="155">
        <f>SUM(('Future Orders'!$H110) * (1.1))</f>
        <v>10553.62</v>
      </c>
      <c r="J110" s="159">
        <f>SUMIFS('Future Orders'!$F110, 'Future Orders'!$D110, "1", 'Future Orders'!$C110, "A", 'Future Orders'!$B110, "1")</f>
        <v>4797.1</v>
      </c>
      <c r="K110" s="157">
        <f>SUMIFS('Future Orders'!$I110, 'Future Orders'!$D110, "1", 'Future Orders'!$C110, "A", 'Future Orders'!$B110, "1")</f>
        <v>10553.62</v>
      </c>
      <c r="L110" s="157">
        <f>SUMIFS('Future Orders'!$F110, 'Future Orders'!$D110, "1", 'Future Orders'!$C110, "B", 'Future Orders'!$B110, "1")</f>
        <v>0</v>
      </c>
      <c r="M110" s="157">
        <f>SUMIFS('Future Orders'!$I110, 'Future Orders'!$D110, "1", 'Future Orders'!$C110, "B", 'Future Orders'!$B110, "1")</f>
        <v>0</v>
      </c>
      <c r="N110" s="159">
        <f>SUMIFS('Future Orders'!$F110, 'Future Orders'!$D110, "1", 'Future Orders'!$C110, "A", 'Future Orders'!$B110, "2")</f>
        <v>0</v>
      </c>
      <c r="O110" s="157">
        <f>SUMIFS('Future Orders'!$I110, 'Future Orders'!$D110, "1", 'Future Orders'!$C110, "A", 'Future Orders'!$B110, "2")</f>
        <v>0</v>
      </c>
      <c r="P110" s="157">
        <f>SUMIFS('Future Orders'!$E110, 'Future Orders'!$D110, "1", 'Future Orders'!$C110, "B", 'Future Orders'!$B110, "2")</f>
        <v>0</v>
      </c>
      <c r="Q110" s="157">
        <f>SUMIFS('Future Orders'!$I110, 'Future Orders'!$D110, "1", 'Future Orders'!$C110, "B", 'Future Orders'!$B110, "2")</f>
        <v>0</v>
      </c>
      <c r="R110" s="159">
        <f>SUMIFS('Future Orders'!$F110, 'Future Orders'!$D110, "2", 'Future Orders'!$C110, "A", 'Future Orders'!$B110, "1")</f>
        <v>0</v>
      </c>
      <c r="S110" s="157">
        <f>SUMIFS('Future Orders'!$I110, 'Future Orders'!$D110, "2", 'Future Orders'!$C110, "A", 'Future Orders'!$B110, "1")</f>
        <v>0</v>
      </c>
      <c r="T110" s="159">
        <f>SUMIFS('Future Orders'!$F110, 'Future Orders'!$D110, "2", 'Future Orders'!$C110, "B", 'Future Orders'!$B110, "1")</f>
        <v>0</v>
      </c>
      <c r="U110" s="157">
        <f>SUMIFS('Future Orders'!$I110, 'Future Orders'!$D110, "2", 'Future Orders'!$C110, "B", 'Future Orders'!$B110, "1")</f>
        <v>0</v>
      </c>
      <c r="V110" s="159">
        <f>SUMIFS('Future Orders'!$F110, 'Future Orders'!$D110, "2", 'Future Orders'!$C110, "A", 'Future Orders'!$B110, "2")</f>
        <v>0</v>
      </c>
      <c r="W110" s="157">
        <f>SUMIFS('Future Orders'!$I110, 'Future Orders'!$D110, "2", 'Future Orders'!$C110, "A", 'Future Orders'!$B110, "2")</f>
        <v>0</v>
      </c>
      <c r="X110" s="159">
        <f>SUMIFS('Future Orders'!$F110, 'Future Orders'!$D110, "2", 'Future Orders'!$C110, "B", 'Future Orders'!$B110, "2")</f>
        <v>0</v>
      </c>
      <c r="Y110" s="159">
        <f>SUMIFS('Future Orders'!$I110, 'Future Orders'!$D110, "2", 'Future Orders'!$C110, "B", 'Future Orders'!$B110, "2")</f>
        <v>0</v>
      </c>
      <c r="Z110" s="159">
        <f>SUMIFS('Future Orders'!$F110, 'Future Orders'!$D110, "3", 'Future Orders'!$C110, "A", 'Future Orders'!$B110, "1")</f>
        <v>0</v>
      </c>
      <c r="AA110" s="159">
        <f>SUMIFS('Future Orders'!$I110, 'Future Orders'!$D110, "3", 'Future Orders'!$C110, "A", 'Future Orders'!$B110, "1")</f>
        <v>0</v>
      </c>
      <c r="AB110" s="159">
        <f>SUMIFS('Future Orders'!$F110, 'Future Orders'!$D110, "3", 'Future Orders'!$C110, "B", 'Future Orders'!$B110, "1")</f>
        <v>0</v>
      </c>
      <c r="AC110" s="159">
        <f>SUMIFS('Future Orders'!$I110, 'Future Orders'!$D110, "3", 'Future Orders'!$C110, "B", 'Future Orders'!$B110, "1")</f>
        <v>0</v>
      </c>
      <c r="AD110" s="159">
        <f>SUMIFS('Future Orders'!$F110, 'Future Orders'!$D110, "3", 'Future Orders'!$C110, "A", 'Future Orders'!$B110, "2")</f>
        <v>0</v>
      </c>
      <c r="AE110" s="159">
        <f>SUMIFS('Future Orders'!$I110, 'Future Orders'!$D110, "3", 'Future Orders'!$C110, "A", 'Future Orders'!$B110, "2")</f>
        <v>0</v>
      </c>
      <c r="AF110" s="159">
        <f>SUMIFS('Future Orders'!$F110, 'Future Orders'!$D110, "3", 'Future Orders'!$C110, "B", 'Future Orders'!$B110, "2")</f>
        <v>0</v>
      </c>
      <c r="AG110" s="157">
        <f>SUMIFS('Future Orders'!$I110, 'Future Orders'!$D110, "3", 'Future Orders'!$C110, "B", 'Future Orders'!$B110, "2")</f>
        <v>0</v>
      </c>
      <c r="AH110" s="157">
        <f>SUMIFS('Future Orders'!$F110, 'Future Orders'!$D110, "4", 'Future Orders'!$C110, "A", 'Future Orders'!$B110, "1")</f>
        <v>0</v>
      </c>
      <c r="AI110" s="157">
        <f>SUMIFS('Future Orders'!$I110, 'Future Orders'!$D110, "4", 'Future Orders'!$C110, "A", 'Future Orders'!$B110, "1")</f>
        <v>0</v>
      </c>
      <c r="AJ110" s="157">
        <f>SUMIFS('Future Orders'!$F110, 'Future Orders'!$D110, "4", 'Future Orders'!$C110, "B", 'Future Orders'!$B110, "1")</f>
        <v>0</v>
      </c>
      <c r="AK110" s="157">
        <f>SUMIFS('Future Orders'!$I110, 'Future Orders'!$D110, "4", 'Future Orders'!$C110, "B", 'Future Orders'!$B110, "1")</f>
        <v>0</v>
      </c>
      <c r="AL110" s="157">
        <f>SUMIFS('Future Orders'!$F110, 'Future Orders'!$D110, "4", 'Future Orders'!$C110, "A", 'Future Orders'!$B110, "2")</f>
        <v>0</v>
      </c>
      <c r="AM110" s="157">
        <f>SUMIFS('Future Orders'!$I110, 'Future Orders'!$D110, "4", 'Future Orders'!$C110, "A", 'Future Orders'!$B110, "2")</f>
        <v>0</v>
      </c>
      <c r="AN110" s="171">
        <f>SUMIFS('Future Orders'!$F110, 'Future Orders'!$D110, "4", 'Future Orders'!$C110, "B", 'Future Orders'!$B110, "2")</f>
        <v>0</v>
      </c>
      <c r="AO110" s="171">
        <f>SUMIFS('Future Orders'!$I110, 'Future Orders'!$D110, "4", 'Future Orders'!$C110, "B", 'Future Orders'!$B110, "2")</f>
        <v>0</v>
      </c>
      <c r="AP110" s="171">
        <f>SUMIFS('Future Orders'!$H110, 'Future Orders'!$C110, "A", 'Future Orders'!$B110, "1")</f>
        <v>9594.2</v>
      </c>
      <c r="AQ110" s="171">
        <f>SUMIFS('Future Orders'!$I110, 'Future Orders'!$C110, "B", 'Future Orders'!$B110, "1")</f>
        <v>0</v>
      </c>
      <c r="AR110" s="171">
        <f>SUMIFS('Future Orders'!$H110, 'Future Orders'!$C110, "A", 'Future Orders'!$B110, "2")</f>
        <v>0</v>
      </c>
      <c r="AS110" s="171">
        <f>SUMIFS('Future Orders'!$I110, 'Future Orders'!$C110, "B", 'Future Orders'!$B110, "2")</f>
        <v>0</v>
      </c>
      <c r="AT110" s="145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  <c r="BT110" s="172"/>
      <c r="BU110" s="172"/>
      <c r="BV110" s="172"/>
      <c r="BW110" s="172"/>
      <c r="BX110" s="172"/>
      <c r="BY110" s="172"/>
      <c r="BZ110" s="172"/>
      <c r="CA110" s="179"/>
      <c r="CB110" s="179"/>
      <c r="CC110" s="179"/>
      <c r="CD110" s="179"/>
      <c r="CE110" s="179"/>
      <c r="CF110" s="179"/>
      <c r="CG110" s="179"/>
      <c r="CH110" s="179"/>
      <c r="CI110" s="179"/>
      <c r="CJ110" s="179"/>
      <c r="CK110" s="179"/>
      <c r="CL110" s="179"/>
      <c r="CM110" s="179"/>
      <c r="CN110" s="179"/>
      <c r="CO110" s="179"/>
      <c r="CP110" s="179"/>
    </row>
    <row r="111" ht="15.75" customHeight="1">
      <c r="A111" s="151">
        <v>41981.0</v>
      </c>
      <c r="B111" s="152">
        <v>1.0</v>
      </c>
      <c r="C111" s="152" t="s">
        <v>45</v>
      </c>
      <c r="D111" s="152">
        <v>2.0</v>
      </c>
      <c r="E111" s="153">
        <v>4650.0</v>
      </c>
      <c r="F111" s="153">
        <f>SUM(('Future Orders'!$E111) * (1.1))</f>
        <v>5115</v>
      </c>
      <c r="G111" s="154">
        <v>1.2</v>
      </c>
      <c r="H111" s="155">
        <v>5580.0</v>
      </c>
      <c r="I111" s="155">
        <f>SUM(('Future Orders'!$H111) * (1.1))</f>
        <v>6138</v>
      </c>
      <c r="J111" s="159">
        <f>SUMIFS('Future Orders'!$F111, 'Future Orders'!$D111, "1", 'Future Orders'!$C111, "A", 'Future Orders'!$B111, "1")</f>
        <v>0</v>
      </c>
      <c r="K111" s="157">
        <f>SUMIFS('Future Orders'!$I111, 'Future Orders'!$D111, "1", 'Future Orders'!$C111, "A", 'Future Orders'!$B111, "1")</f>
        <v>0</v>
      </c>
      <c r="L111" s="157">
        <f>SUMIFS('Future Orders'!$F111, 'Future Orders'!$D111, "1", 'Future Orders'!$C111, "B", 'Future Orders'!$B111, "1")</f>
        <v>0</v>
      </c>
      <c r="M111" s="157">
        <f>SUMIFS('Future Orders'!$I111, 'Future Orders'!$D111, "1", 'Future Orders'!$C111, "B", 'Future Orders'!$B111, "1")</f>
        <v>0</v>
      </c>
      <c r="N111" s="159">
        <f>SUMIFS('Future Orders'!$F111, 'Future Orders'!$D111, "1", 'Future Orders'!$C111, "A", 'Future Orders'!$B111, "2")</f>
        <v>0</v>
      </c>
      <c r="O111" s="157">
        <f>SUMIFS('Future Orders'!$I111, 'Future Orders'!$D111, "1", 'Future Orders'!$C111, "A", 'Future Orders'!$B111, "2")</f>
        <v>0</v>
      </c>
      <c r="P111" s="157">
        <f>SUMIFS('Future Orders'!$E111, 'Future Orders'!$D111, "1", 'Future Orders'!$C111, "B", 'Future Orders'!$B111, "2")</f>
        <v>0</v>
      </c>
      <c r="Q111" s="157">
        <f>SUMIFS('Future Orders'!$I111, 'Future Orders'!$D111, "1", 'Future Orders'!$C111, "B", 'Future Orders'!$B111, "2")</f>
        <v>0</v>
      </c>
      <c r="R111" s="159">
        <f>SUMIFS('Future Orders'!$F111, 'Future Orders'!$D111, "2", 'Future Orders'!$C111, "A", 'Future Orders'!$B111, "1")</f>
        <v>5115</v>
      </c>
      <c r="S111" s="157">
        <f>SUMIFS('Future Orders'!$I111, 'Future Orders'!$D111, "2", 'Future Orders'!$C111, "A", 'Future Orders'!$B111, "1")</f>
        <v>6138</v>
      </c>
      <c r="T111" s="159">
        <f>SUMIFS('Future Orders'!$F111, 'Future Orders'!$D111, "2", 'Future Orders'!$C111, "B", 'Future Orders'!$B111, "1")</f>
        <v>0</v>
      </c>
      <c r="U111" s="157">
        <f>SUMIFS('Future Orders'!$I111, 'Future Orders'!$D111, "2", 'Future Orders'!$C111, "B", 'Future Orders'!$B111, "1")</f>
        <v>0</v>
      </c>
      <c r="V111" s="159">
        <f>SUMIFS('Future Orders'!$F111, 'Future Orders'!$D111, "2", 'Future Orders'!$C111, "A", 'Future Orders'!$B111, "2")</f>
        <v>0</v>
      </c>
      <c r="W111" s="157">
        <f>SUMIFS('Future Orders'!$I111, 'Future Orders'!$D111, "2", 'Future Orders'!$C111, "A", 'Future Orders'!$B111, "2")</f>
        <v>0</v>
      </c>
      <c r="X111" s="159">
        <f>SUMIFS('Future Orders'!$F111, 'Future Orders'!$D111, "2", 'Future Orders'!$C111, "B", 'Future Orders'!$B111, "2")</f>
        <v>0</v>
      </c>
      <c r="Y111" s="159">
        <f>SUMIFS('Future Orders'!$I111, 'Future Orders'!$D111, "2", 'Future Orders'!$C111, "B", 'Future Orders'!$B111, "2")</f>
        <v>0</v>
      </c>
      <c r="Z111" s="159">
        <f>SUMIFS('Future Orders'!$F111, 'Future Orders'!$D111, "3", 'Future Orders'!$C111, "A", 'Future Orders'!$B111, "1")</f>
        <v>0</v>
      </c>
      <c r="AA111" s="159">
        <f>SUMIFS('Future Orders'!$I111, 'Future Orders'!$D111, "3", 'Future Orders'!$C111, "A", 'Future Orders'!$B111, "1")</f>
        <v>0</v>
      </c>
      <c r="AB111" s="159">
        <f>SUMIFS('Future Orders'!$F111, 'Future Orders'!$D111, "3", 'Future Orders'!$C111, "B", 'Future Orders'!$B111, "1")</f>
        <v>0</v>
      </c>
      <c r="AC111" s="159">
        <f>SUMIFS('Future Orders'!$I111, 'Future Orders'!$D111, "3", 'Future Orders'!$C111, "B", 'Future Orders'!$B111, "1")</f>
        <v>0</v>
      </c>
      <c r="AD111" s="159">
        <f>SUMIFS('Future Orders'!$F111, 'Future Orders'!$D111, "3", 'Future Orders'!$C111, "A", 'Future Orders'!$B111, "2")</f>
        <v>0</v>
      </c>
      <c r="AE111" s="159">
        <f>SUMIFS('Future Orders'!$I111, 'Future Orders'!$D111, "3", 'Future Orders'!$C111, "A", 'Future Orders'!$B111, "2")</f>
        <v>0</v>
      </c>
      <c r="AF111" s="159">
        <f>SUMIFS('Future Orders'!$F111, 'Future Orders'!$D111, "3", 'Future Orders'!$C111, "B", 'Future Orders'!$B111, "2")</f>
        <v>0</v>
      </c>
      <c r="AG111" s="157">
        <f>SUMIFS('Future Orders'!$I111, 'Future Orders'!$D111, "3", 'Future Orders'!$C111, "B", 'Future Orders'!$B111, "2")</f>
        <v>0</v>
      </c>
      <c r="AH111" s="157">
        <f>SUMIFS('Future Orders'!$F111, 'Future Orders'!$D111, "4", 'Future Orders'!$C111, "A", 'Future Orders'!$B111, "1")</f>
        <v>0</v>
      </c>
      <c r="AI111" s="157">
        <f>SUMIFS('Future Orders'!$I111, 'Future Orders'!$D111, "4", 'Future Orders'!$C111, "A", 'Future Orders'!$B111, "1")</f>
        <v>0</v>
      </c>
      <c r="AJ111" s="157">
        <f>SUMIFS('Future Orders'!$F111, 'Future Orders'!$D111, "4", 'Future Orders'!$C111, "B", 'Future Orders'!$B111, "1")</f>
        <v>0</v>
      </c>
      <c r="AK111" s="157">
        <f>SUMIFS('Future Orders'!$I111, 'Future Orders'!$D111, "4", 'Future Orders'!$C111, "B", 'Future Orders'!$B111, "1")</f>
        <v>0</v>
      </c>
      <c r="AL111" s="157">
        <f>SUMIFS('Future Orders'!$F111, 'Future Orders'!$D111, "4", 'Future Orders'!$C111, "A", 'Future Orders'!$B111, "2")</f>
        <v>0</v>
      </c>
      <c r="AM111" s="157">
        <f>SUMIFS('Future Orders'!$I111, 'Future Orders'!$D111, "4", 'Future Orders'!$C111, "A", 'Future Orders'!$B111, "2")</f>
        <v>0</v>
      </c>
      <c r="AN111" s="171">
        <f>SUMIFS('Future Orders'!$F111, 'Future Orders'!$D111, "4", 'Future Orders'!$C111, "B", 'Future Orders'!$B111, "2")</f>
        <v>0</v>
      </c>
      <c r="AO111" s="171">
        <f>SUMIFS('Future Orders'!$I111, 'Future Orders'!$D111, "4", 'Future Orders'!$C111, "B", 'Future Orders'!$B111, "2")</f>
        <v>0</v>
      </c>
      <c r="AP111" s="171">
        <f>SUMIFS('Future Orders'!$H111, 'Future Orders'!$C111, "A", 'Future Orders'!$B111, "1")</f>
        <v>5580</v>
      </c>
      <c r="AQ111" s="171">
        <f>SUMIFS('Future Orders'!$I111, 'Future Orders'!$C111, "B", 'Future Orders'!$B111, "1")</f>
        <v>0</v>
      </c>
      <c r="AR111" s="171">
        <f>SUMIFS('Future Orders'!$H111, 'Future Orders'!$C111, "A", 'Future Orders'!$B111, "2")</f>
        <v>0</v>
      </c>
      <c r="AS111" s="171">
        <f>SUMIFS('Future Orders'!$I111, 'Future Orders'!$C111, "B", 'Future Orders'!$B111, "2")</f>
        <v>0</v>
      </c>
      <c r="AT111" s="145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  <c r="BT111" s="172"/>
      <c r="BU111" s="172"/>
      <c r="BV111" s="172"/>
      <c r="BW111" s="172"/>
      <c r="BX111" s="172"/>
      <c r="BY111" s="172"/>
      <c r="BZ111" s="172"/>
      <c r="CA111" s="179"/>
      <c r="CB111" s="179"/>
      <c r="CC111" s="179"/>
      <c r="CD111" s="179"/>
      <c r="CE111" s="179"/>
      <c r="CF111" s="179"/>
      <c r="CG111" s="179"/>
      <c r="CH111" s="179"/>
      <c r="CI111" s="179"/>
      <c r="CJ111" s="179"/>
      <c r="CK111" s="179"/>
      <c r="CL111" s="179"/>
      <c r="CM111" s="179"/>
      <c r="CN111" s="179"/>
      <c r="CO111" s="179"/>
      <c r="CP111" s="179"/>
    </row>
    <row r="112" ht="15.75" customHeight="1">
      <c r="A112" s="151">
        <v>41981.0</v>
      </c>
      <c r="B112" s="152">
        <v>2.0</v>
      </c>
      <c r="C112" s="152" t="s">
        <v>45</v>
      </c>
      <c r="D112" s="152">
        <v>1.0</v>
      </c>
      <c r="E112" s="153">
        <v>3325.0</v>
      </c>
      <c r="F112" s="153">
        <f>SUM(('Future Orders'!$E112) * (1.1))</f>
        <v>3657.5</v>
      </c>
      <c r="G112" s="154">
        <v>2.2</v>
      </c>
      <c r="H112" s="155">
        <v>7315.000000000001</v>
      </c>
      <c r="I112" s="155">
        <f>SUM(('Future Orders'!$H112) * (1.1))</f>
        <v>8046.5</v>
      </c>
      <c r="J112" s="159">
        <f>SUMIFS('Future Orders'!$F112, 'Future Orders'!$D112, "1", 'Future Orders'!$C112, "A", 'Future Orders'!$B112, "1")</f>
        <v>0</v>
      </c>
      <c r="K112" s="157">
        <f>SUMIFS('Future Orders'!$I112, 'Future Orders'!$D112, "1", 'Future Orders'!$C112, "A", 'Future Orders'!$B112, "1")</f>
        <v>0</v>
      </c>
      <c r="L112" s="157">
        <f>SUMIFS('Future Orders'!$F112, 'Future Orders'!$D112, "1", 'Future Orders'!$C112, "B", 'Future Orders'!$B112, "1")</f>
        <v>0</v>
      </c>
      <c r="M112" s="157">
        <f>SUMIFS('Future Orders'!$I112, 'Future Orders'!$D112, "1", 'Future Orders'!$C112, "B", 'Future Orders'!$B112, "1")</f>
        <v>0</v>
      </c>
      <c r="N112" s="159">
        <f>SUMIFS('Future Orders'!$F112, 'Future Orders'!$D112, "1", 'Future Orders'!$C112, "A", 'Future Orders'!$B112, "2")</f>
        <v>3657.5</v>
      </c>
      <c r="O112" s="157">
        <f>SUMIFS('Future Orders'!$I112, 'Future Orders'!$D112, "1", 'Future Orders'!$C112, "A", 'Future Orders'!$B112, "2")</f>
        <v>8046.5</v>
      </c>
      <c r="P112" s="157">
        <f>SUMIFS('Future Orders'!$E112, 'Future Orders'!$D112, "1", 'Future Orders'!$C112, "B", 'Future Orders'!$B112, "2")</f>
        <v>0</v>
      </c>
      <c r="Q112" s="157">
        <f>SUMIFS('Future Orders'!$I112, 'Future Orders'!$D112, "1", 'Future Orders'!$C112, "B", 'Future Orders'!$B112, "2")</f>
        <v>0</v>
      </c>
      <c r="R112" s="159">
        <f>SUMIFS('Future Orders'!$F112, 'Future Orders'!$D112, "2", 'Future Orders'!$C112, "A", 'Future Orders'!$B112, "1")</f>
        <v>0</v>
      </c>
      <c r="S112" s="157">
        <f>SUMIFS('Future Orders'!$I112, 'Future Orders'!$D112, "2", 'Future Orders'!$C112, "A", 'Future Orders'!$B112, "1")</f>
        <v>0</v>
      </c>
      <c r="T112" s="159">
        <f>SUMIFS('Future Orders'!$F112, 'Future Orders'!$D112, "2", 'Future Orders'!$C112, "B", 'Future Orders'!$B112, "1")</f>
        <v>0</v>
      </c>
      <c r="U112" s="157">
        <f>SUMIFS('Future Orders'!$I112, 'Future Orders'!$D112, "2", 'Future Orders'!$C112, "B", 'Future Orders'!$B112, "1")</f>
        <v>0</v>
      </c>
      <c r="V112" s="159">
        <f>SUMIFS('Future Orders'!$F112, 'Future Orders'!$D112, "2", 'Future Orders'!$C112, "A", 'Future Orders'!$B112, "2")</f>
        <v>0</v>
      </c>
      <c r="W112" s="157">
        <f>SUMIFS('Future Orders'!$I112, 'Future Orders'!$D112, "2", 'Future Orders'!$C112, "A", 'Future Orders'!$B112, "2")</f>
        <v>0</v>
      </c>
      <c r="X112" s="159">
        <f>SUMIFS('Future Orders'!$F112, 'Future Orders'!$D112, "2", 'Future Orders'!$C112, "B", 'Future Orders'!$B112, "2")</f>
        <v>0</v>
      </c>
      <c r="Y112" s="159">
        <f>SUMIFS('Future Orders'!$I112, 'Future Orders'!$D112, "2", 'Future Orders'!$C112, "B", 'Future Orders'!$B112, "2")</f>
        <v>0</v>
      </c>
      <c r="Z112" s="159">
        <f>SUMIFS('Future Orders'!$F112, 'Future Orders'!$D112, "3", 'Future Orders'!$C112, "A", 'Future Orders'!$B112, "1")</f>
        <v>0</v>
      </c>
      <c r="AA112" s="159">
        <f>SUMIFS('Future Orders'!$I112, 'Future Orders'!$D112, "3", 'Future Orders'!$C112, "A", 'Future Orders'!$B112, "1")</f>
        <v>0</v>
      </c>
      <c r="AB112" s="159">
        <f>SUMIFS('Future Orders'!$F112, 'Future Orders'!$D112, "3", 'Future Orders'!$C112, "B", 'Future Orders'!$B112, "1")</f>
        <v>0</v>
      </c>
      <c r="AC112" s="159">
        <f>SUMIFS('Future Orders'!$I112, 'Future Orders'!$D112, "3", 'Future Orders'!$C112, "B", 'Future Orders'!$B112, "1")</f>
        <v>0</v>
      </c>
      <c r="AD112" s="159">
        <f>SUMIFS('Future Orders'!$F112, 'Future Orders'!$D112, "3", 'Future Orders'!$C112, "A", 'Future Orders'!$B112, "2")</f>
        <v>0</v>
      </c>
      <c r="AE112" s="159">
        <f>SUMIFS('Future Orders'!$I112, 'Future Orders'!$D112, "3", 'Future Orders'!$C112, "A", 'Future Orders'!$B112, "2")</f>
        <v>0</v>
      </c>
      <c r="AF112" s="159">
        <f>SUMIFS('Future Orders'!$F112, 'Future Orders'!$D112, "3", 'Future Orders'!$C112, "B", 'Future Orders'!$B112, "2")</f>
        <v>0</v>
      </c>
      <c r="AG112" s="157">
        <f>SUMIFS('Future Orders'!$I112, 'Future Orders'!$D112, "3", 'Future Orders'!$C112, "B", 'Future Orders'!$B112, "2")</f>
        <v>0</v>
      </c>
      <c r="AH112" s="157">
        <f>SUMIFS('Future Orders'!$F112, 'Future Orders'!$D112, "4", 'Future Orders'!$C112, "A", 'Future Orders'!$B112, "1")</f>
        <v>0</v>
      </c>
      <c r="AI112" s="157">
        <f>SUMIFS('Future Orders'!$I112, 'Future Orders'!$D112, "4", 'Future Orders'!$C112, "A", 'Future Orders'!$B112, "1")</f>
        <v>0</v>
      </c>
      <c r="AJ112" s="157">
        <f>SUMIFS('Future Orders'!$F112, 'Future Orders'!$D112, "4", 'Future Orders'!$C112, "B", 'Future Orders'!$B112, "1")</f>
        <v>0</v>
      </c>
      <c r="AK112" s="157">
        <f>SUMIFS('Future Orders'!$I112, 'Future Orders'!$D112, "4", 'Future Orders'!$C112, "B", 'Future Orders'!$B112, "1")</f>
        <v>0</v>
      </c>
      <c r="AL112" s="157">
        <f>SUMIFS('Future Orders'!$F112, 'Future Orders'!$D112, "4", 'Future Orders'!$C112, "A", 'Future Orders'!$B112, "2")</f>
        <v>0</v>
      </c>
      <c r="AM112" s="157">
        <f>SUMIFS('Future Orders'!$I112, 'Future Orders'!$D112, "4", 'Future Orders'!$C112, "A", 'Future Orders'!$B112, "2")</f>
        <v>0</v>
      </c>
      <c r="AN112" s="171">
        <f>SUMIFS('Future Orders'!$F112, 'Future Orders'!$D112, "4", 'Future Orders'!$C112, "B", 'Future Orders'!$B112, "2")</f>
        <v>0</v>
      </c>
      <c r="AO112" s="171">
        <f>SUMIFS('Future Orders'!$I112, 'Future Orders'!$D112, "4", 'Future Orders'!$C112, "B", 'Future Orders'!$B112, "2")</f>
        <v>0</v>
      </c>
      <c r="AP112" s="171">
        <f>SUMIFS('Future Orders'!$H112, 'Future Orders'!$C112, "A", 'Future Orders'!$B112, "1")</f>
        <v>0</v>
      </c>
      <c r="AQ112" s="171">
        <f>SUMIFS('Future Orders'!$I112, 'Future Orders'!$C112, "B", 'Future Orders'!$B112, "1")</f>
        <v>0</v>
      </c>
      <c r="AR112" s="171">
        <f>SUMIFS('Future Orders'!$H112, 'Future Orders'!$C112, "A", 'Future Orders'!$B112, "2")</f>
        <v>7315</v>
      </c>
      <c r="AS112" s="171">
        <f>SUMIFS('Future Orders'!$I112, 'Future Orders'!$C112, "B", 'Future Orders'!$B112, "2")</f>
        <v>0</v>
      </c>
      <c r="AT112" s="145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2"/>
      <c r="BV112" s="172"/>
      <c r="BW112" s="172"/>
      <c r="BX112" s="172"/>
      <c r="BY112" s="172"/>
      <c r="BZ112" s="172"/>
      <c r="CA112" s="179"/>
      <c r="CB112" s="179"/>
      <c r="CC112" s="179"/>
      <c r="CD112" s="179"/>
      <c r="CE112" s="179"/>
      <c r="CF112" s="179"/>
      <c r="CG112" s="179"/>
      <c r="CH112" s="179"/>
      <c r="CI112" s="179"/>
      <c r="CJ112" s="179"/>
      <c r="CK112" s="179"/>
      <c r="CL112" s="179"/>
      <c r="CM112" s="179"/>
      <c r="CN112" s="179"/>
      <c r="CO112" s="179"/>
      <c r="CP112" s="179"/>
    </row>
    <row r="113" ht="15.75" customHeight="1">
      <c r="A113" s="151">
        <v>41981.0</v>
      </c>
      <c r="B113" s="152">
        <v>2.0</v>
      </c>
      <c r="C113" s="152" t="s">
        <v>45</v>
      </c>
      <c r="D113" s="152">
        <v>2.0</v>
      </c>
      <c r="E113" s="153">
        <v>3986.0</v>
      </c>
      <c r="F113" s="153">
        <f>SUM(('Future Orders'!$E113) * (1.1))</f>
        <v>4384.6</v>
      </c>
      <c r="G113" s="154">
        <v>1.2</v>
      </c>
      <c r="H113" s="155">
        <v>4783.2</v>
      </c>
      <c r="I113" s="155">
        <f>SUM(('Future Orders'!$H113) * (1.1))</f>
        <v>5261.52</v>
      </c>
      <c r="J113" s="159">
        <f>SUMIFS('Future Orders'!$F113, 'Future Orders'!$D113, "1", 'Future Orders'!$C113, "A", 'Future Orders'!$B113, "1")</f>
        <v>0</v>
      </c>
      <c r="K113" s="157">
        <f>SUMIFS('Future Orders'!$I113, 'Future Orders'!$D113, "1", 'Future Orders'!$C113, "A", 'Future Orders'!$B113, "1")</f>
        <v>0</v>
      </c>
      <c r="L113" s="157">
        <f>SUMIFS('Future Orders'!$F113, 'Future Orders'!$D113, "1", 'Future Orders'!$C113, "B", 'Future Orders'!$B113, "1")</f>
        <v>0</v>
      </c>
      <c r="M113" s="157">
        <f>SUMIFS('Future Orders'!$I113, 'Future Orders'!$D113, "1", 'Future Orders'!$C113, "B", 'Future Orders'!$B113, "1")</f>
        <v>0</v>
      </c>
      <c r="N113" s="159">
        <f>SUMIFS('Future Orders'!$F113, 'Future Orders'!$D113, "1", 'Future Orders'!$C113, "A", 'Future Orders'!$B113, "2")</f>
        <v>0</v>
      </c>
      <c r="O113" s="157">
        <f>SUMIFS('Future Orders'!$I113, 'Future Orders'!$D113, "1", 'Future Orders'!$C113, "A", 'Future Orders'!$B113, "2")</f>
        <v>0</v>
      </c>
      <c r="P113" s="157">
        <f>SUMIFS('Future Orders'!$E113, 'Future Orders'!$D113, "1", 'Future Orders'!$C113, "B", 'Future Orders'!$B113, "2")</f>
        <v>0</v>
      </c>
      <c r="Q113" s="157">
        <f>SUMIFS('Future Orders'!$I113, 'Future Orders'!$D113, "1", 'Future Orders'!$C113, "B", 'Future Orders'!$B113, "2")</f>
        <v>0</v>
      </c>
      <c r="R113" s="159">
        <f>SUMIFS('Future Orders'!$F113, 'Future Orders'!$D113, "2", 'Future Orders'!$C113, "A", 'Future Orders'!$B113, "1")</f>
        <v>0</v>
      </c>
      <c r="S113" s="157">
        <f>SUMIFS('Future Orders'!$I113, 'Future Orders'!$D113, "2", 'Future Orders'!$C113, "A", 'Future Orders'!$B113, "1")</f>
        <v>0</v>
      </c>
      <c r="T113" s="159">
        <f>SUMIFS('Future Orders'!$F113, 'Future Orders'!$D113, "2", 'Future Orders'!$C113, "B", 'Future Orders'!$B113, "1")</f>
        <v>0</v>
      </c>
      <c r="U113" s="157">
        <f>SUMIFS('Future Orders'!$I113, 'Future Orders'!$D113, "2", 'Future Orders'!$C113, "B", 'Future Orders'!$B113, "1")</f>
        <v>0</v>
      </c>
      <c r="V113" s="159">
        <f>SUMIFS('Future Orders'!$F113, 'Future Orders'!$D113, "2", 'Future Orders'!$C113, "A", 'Future Orders'!$B113, "2")</f>
        <v>4384.6</v>
      </c>
      <c r="W113" s="157">
        <f>SUMIFS('Future Orders'!$I113, 'Future Orders'!$D113, "2", 'Future Orders'!$C113, "A", 'Future Orders'!$B113, "2")</f>
        <v>5261.52</v>
      </c>
      <c r="X113" s="159">
        <f>SUMIFS('Future Orders'!$F113, 'Future Orders'!$D113, "2", 'Future Orders'!$C113, "B", 'Future Orders'!$B113, "2")</f>
        <v>0</v>
      </c>
      <c r="Y113" s="159">
        <f>SUMIFS('Future Orders'!$I113, 'Future Orders'!$D113, "2", 'Future Orders'!$C113, "B", 'Future Orders'!$B113, "2")</f>
        <v>0</v>
      </c>
      <c r="Z113" s="159">
        <f>SUMIFS('Future Orders'!$F113, 'Future Orders'!$D113, "3", 'Future Orders'!$C113, "A", 'Future Orders'!$B113, "1")</f>
        <v>0</v>
      </c>
      <c r="AA113" s="159">
        <f>SUMIFS('Future Orders'!$I113, 'Future Orders'!$D113, "3", 'Future Orders'!$C113, "A", 'Future Orders'!$B113, "1")</f>
        <v>0</v>
      </c>
      <c r="AB113" s="159">
        <f>SUMIFS('Future Orders'!$F113, 'Future Orders'!$D113, "3", 'Future Orders'!$C113, "B", 'Future Orders'!$B113, "1")</f>
        <v>0</v>
      </c>
      <c r="AC113" s="159">
        <f>SUMIFS('Future Orders'!$I113, 'Future Orders'!$D113, "3", 'Future Orders'!$C113, "B", 'Future Orders'!$B113, "1")</f>
        <v>0</v>
      </c>
      <c r="AD113" s="159">
        <f>SUMIFS('Future Orders'!$F113, 'Future Orders'!$D113, "3", 'Future Orders'!$C113, "A", 'Future Orders'!$B113, "2")</f>
        <v>0</v>
      </c>
      <c r="AE113" s="159">
        <f>SUMIFS('Future Orders'!$I113, 'Future Orders'!$D113, "3", 'Future Orders'!$C113, "A", 'Future Orders'!$B113, "2")</f>
        <v>0</v>
      </c>
      <c r="AF113" s="159">
        <f>SUMIFS('Future Orders'!$F113, 'Future Orders'!$D113, "3", 'Future Orders'!$C113, "B", 'Future Orders'!$B113, "2")</f>
        <v>0</v>
      </c>
      <c r="AG113" s="157">
        <f>SUMIFS('Future Orders'!$I113, 'Future Orders'!$D113, "3", 'Future Orders'!$C113, "B", 'Future Orders'!$B113, "2")</f>
        <v>0</v>
      </c>
      <c r="AH113" s="157">
        <f>SUMIFS('Future Orders'!$F113, 'Future Orders'!$D113, "4", 'Future Orders'!$C113, "A", 'Future Orders'!$B113, "1")</f>
        <v>0</v>
      </c>
      <c r="AI113" s="157">
        <f>SUMIFS('Future Orders'!$I113, 'Future Orders'!$D113, "4", 'Future Orders'!$C113, "A", 'Future Orders'!$B113, "1")</f>
        <v>0</v>
      </c>
      <c r="AJ113" s="157">
        <f>SUMIFS('Future Orders'!$F113, 'Future Orders'!$D113, "4", 'Future Orders'!$C113, "B", 'Future Orders'!$B113, "1")</f>
        <v>0</v>
      </c>
      <c r="AK113" s="157">
        <f>SUMIFS('Future Orders'!$I113, 'Future Orders'!$D113, "4", 'Future Orders'!$C113, "B", 'Future Orders'!$B113, "1")</f>
        <v>0</v>
      </c>
      <c r="AL113" s="157">
        <f>SUMIFS('Future Orders'!$F113, 'Future Orders'!$D113, "4", 'Future Orders'!$C113, "A", 'Future Orders'!$B113, "2")</f>
        <v>0</v>
      </c>
      <c r="AM113" s="157">
        <f>SUMIFS('Future Orders'!$I113, 'Future Orders'!$D113, "4", 'Future Orders'!$C113, "A", 'Future Orders'!$B113, "2")</f>
        <v>0</v>
      </c>
      <c r="AN113" s="171">
        <f>SUMIFS('Future Orders'!$F113, 'Future Orders'!$D113, "4", 'Future Orders'!$C113, "B", 'Future Orders'!$B113, "2")</f>
        <v>0</v>
      </c>
      <c r="AO113" s="171">
        <f>SUMIFS('Future Orders'!$I113, 'Future Orders'!$D113, "4", 'Future Orders'!$C113, "B", 'Future Orders'!$B113, "2")</f>
        <v>0</v>
      </c>
      <c r="AP113" s="171">
        <f>SUMIFS('Future Orders'!$H113, 'Future Orders'!$C113, "A", 'Future Orders'!$B113, "1")</f>
        <v>0</v>
      </c>
      <c r="AQ113" s="171">
        <f>SUMIFS('Future Orders'!$I113, 'Future Orders'!$C113, "B", 'Future Orders'!$B113, "1")</f>
        <v>0</v>
      </c>
      <c r="AR113" s="171">
        <f>SUMIFS('Future Orders'!$H113, 'Future Orders'!$C113, "A", 'Future Orders'!$B113, "2")</f>
        <v>4783.2</v>
      </c>
      <c r="AS113" s="171">
        <f>SUMIFS('Future Orders'!$I113, 'Future Orders'!$C113, "B", 'Future Orders'!$B113, "2")</f>
        <v>0</v>
      </c>
      <c r="AT113" s="145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2"/>
      <c r="BW113" s="172"/>
      <c r="BX113" s="172"/>
      <c r="BY113" s="172"/>
      <c r="BZ113" s="172"/>
      <c r="CA113" s="179"/>
      <c r="CB113" s="179"/>
      <c r="CC113" s="179"/>
      <c r="CD113" s="179"/>
      <c r="CE113" s="179"/>
      <c r="CF113" s="179"/>
      <c r="CG113" s="179"/>
      <c r="CH113" s="179"/>
      <c r="CI113" s="179"/>
      <c r="CJ113" s="179"/>
      <c r="CK113" s="179"/>
      <c r="CL113" s="179"/>
      <c r="CM113" s="179"/>
      <c r="CN113" s="179"/>
      <c r="CO113" s="179"/>
      <c r="CP113" s="179"/>
    </row>
    <row r="114" ht="15.75" customHeight="1">
      <c r="A114" s="151">
        <v>41981.0</v>
      </c>
      <c r="B114" s="152">
        <v>1.0</v>
      </c>
      <c r="C114" s="152" t="s">
        <v>46</v>
      </c>
      <c r="D114" s="152">
        <v>3.0</v>
      </c>
      <c r="E114" s="153">
        <v>1786.0</v>
      </c>
      <c r="F114" s="153">
        <f>SUM(('Future Orders'!$E114) * (1.1))</f>
        <v>1964.6</v>
      </c>
      <c r="G114" s="154">
        <v>8.3</v>
      </c>
      <c r="H114" s="155">
        <v>14823.800000000001</v>
      </c>
      <c r="I114" s="155">
        <f>SUM(('Future Orders'!$H114) * (1.1))</f>
        <v>16306.18</v>
      </c>
      <c r="J114" s="159">
        <f>SUMIFS('Future Orders'!$F114, 'Future Orders'!$D114, "1", 'Future Orders'!$C114, "A", 'Future Orders'!$B114, "1")</f>
        <v>0</v>
      </c>
      <c r="K114" s="157">
        <f>SUMIFS('Future Orders'!$I114, 'Future Orders'!$D114, "1", 'Future Orders'!$C114, "A", 'Future Orders'!$B114, "1")</f>
        <v>0</v>
      </c>
      <c r="L114" s="157">
        <f>SUMIFS('Future Orders'!$F114, 'Future Orders'!$D114, "1", 'Future Orders'!$C114, "B", 'Future Orders'!$B114, "1")</f>
        <v>0</v>
      </c>
      <c r="M114" s="157">
        <f>SUMIFS('Future Orders'!$I114, 'Future Orders'!$D114, "1", 'Future Orders'!$C114, "B", 'Future Orders'!$B114, "1")</f>
        <v>0</v>
      </c>
      <c r="N114" s="159">
        <f>SUMIFS('Future Orders'!$F114, 'Future Orders'!$D114, "1", 'Future Orders'!$C114, "A", 'Future Orders'!$B114, "2")</f>
        <v>0</v>
      </c>
      <c r="O114" s="157">
        <f>SUMIFS('Future Orders'!$I114, 'Future Orders'!$D114, "1", 'Future Orders'!$C114, "A", 'Future Orders'!$B114, "2")</f>
        <v>0</v>
      </c>
      <c r="P114" s="157">
        <f>SUMIFS('Future Orders'!$E114, 'Future Orders'!$D114, "1", 'Future Orders'!$C114, "B", 'Future Orders'!$B114, "2")</f>
        <v>0</v>
      </c>
      <c r="Q114" s="157">
        <f>SUMIFS('Future Orders'!$I114, 'Future Orders'!$D114, "1", 'Future Orders'!$C114, "B", 'Future Orders'!$B114, "2")</f>
        <v>0</v>
      </c>
      <c r="R114" s="159">
        <f>SUMIFS('Future Orders'!$F114, 'Future Orders'!$D114, "2", 'Future Orders'!$C114, "A", 'Future Orders'!$B114, "1")</f>
        <v>0</v>
      </c>
      <c r="S114" s="157">
        <f>SUMIFS('Future Orders'!$I114, 'Future Orders'!$D114, "2", 'Future Orders'!$C114, "A", 'Future Orders'!$B114, "1")</f>
        <v>0</v>
      </c>
      <c r="T114" s="159">
        <f>SUMIFS('Future Orders'!$F114, 'Future Orders'!$D114, "2", 'Future Orders'!$C114, "B", 'Future Orders'!$B114, "1")</f>
        <v>0</v>
      </c>
      <c r="U114" s="157">
        <f>SUMIFS('Future Orders'!$I114, 'Future Orders'!$D114, "2", 'Future Orders'!$C114, "B", 'Future Orders'!$B114, "1")</f>
        <v>0</v>
      </c>
      <c r="V114" s="159">
        <f>SUMIFS('Future Orders'!$F114, 'Future Orders'!$D114, "2", 'Future Orders'!$C114, "A", 'Future Orders'!$B114, "2")</f>
        <v>0</v>
      </c>
      <c r="W114" s="157">
        <f>SUMIFS('Future Orders'!$I114, 'Future Orders'!$D114, "2", 'Future Orders'!$C114, "A", 'Future Orders'!$B114, "2")</f>
        <v>0</v>
      </c>
      <c r="X114" s="159">
        <f>SUMIFS('Future Orders'!$F114, 'Future Orders'!$D114, "2", 'Future Orders'!$C114, "B", 'Future Orders'!$B114, "2")</f>
        <v>0</v>
      </c>
      <c r="Y114" s="159">
        <f>SUMIFS('Future Orders'!$I114, 'Future Orders'!$D114, "2", 'Future Orders'!$C114, "B", 'Future Orders'!$B114, "2")</f>
        <v>0</v>
      </c>
      <c r="Z114" s="159">
        <f>SUMIFS('Future Orders'!$F114, 'Future Orders'!$D114, "3", 'Future Orders'!$C114, "A", 'Future Orders'!$B114, "1")</f>
        <v>0</v>
      </c>
      <c r="AA114" s="159">
        <f>SUMIFS('Future Orders'!$I114, 'Future Orders'!$D114, "3", 'Future Orders'!$C114, "A", 'Future Orders'!$B114, "1")</f>
        <v>0</v>
      </c>
      <c r="AB114" s="159">
        <f>SUMIFS('Future Orders'!$F114, 'Future Orders'!$D114, "3", 'Future Orders'!$C114, "B", 'Future Orders'!$B114, "1")</f>
        <v>1964.6</v>
      </c>
      <c r="AC114" s="159">
        <f>SUMIFS('Future Orders'!$I114, 'Future Orders'!$D114, "3", 'Future Orders'!$C114, "B", 'Future Orders'!$B114, "1")</f>
        <v>16306.18</v>
      </c>
      <c r="AD114" s="159">
        <f>SUMIFS('Future Orders'!$F114, 'Future Orders'!$D114, "3", 'Future Orders'!$C114, "A", 'Future Orders'!$B114, "2")</f>
        <v>0</v>
      </c>
      <c r="AE114" s="159">
        <f>SUMIFS('Future Orders'!$I114, 'Future Orders'!$D114, "3", 'Future Orders'!$C114, "A", 'Future Orders'!$B114, "2")</f>
        <v>0</v>
      </c>
      <c r="AF114" s="159">
        <f>SUMIFS('Future Orders'!$F114, 'Future Orders'!$D114, "3", 'Future Orders'!$C114, "B", 'Future Orders'!$B114, "2")</f>
        <v>0</v>
      </c>
      <c r="AG114" s="157">
        <f>SUMIFS('Future Orders'!$I114, 'Future Orders'!$D114, "3", 'Future Orders'!$C114, "B", 'Future Orders'!$B114, "2")</f>
        <v>0</v>
      </c>
      <c r="AH114" s="157">
        <f>SUMIFS('Future Orders'!$F114, 'Future Orders'!$D114, "4", 'Future Orders'!$C114, "A", 'Future Orders'!$B114, "1")</f>
        <v>0</v>
      </c>
      <c r="AI114" s="157">
        <f>SUMIFS('Future Orders'!$I114, 'Future Orders'!$D114, "4", 'Future Orders'!$C114, "A", 'Future Orders'!$B114, "1")</f>
        <v>0</v>
      </c>
      <c r="AJ114" s="157">
        <f>SUMIFS('Future Orders'!$F114, 'Future Orders'!$D114, "4", 'Future Orders'!$C114, "B", 'Future Orders'!$B114, "1")</f>
        <v>0</v>
      </c>
      <c r="AK114" s="157">
        <f>SUMIFS('Future Orders'!$I114, 'Future Orders'!$D114, "4", 'Future Orders'!$C114, "B", 'Future Orders'!$B114, "1")</f>
        <v>0</v>
      </c>
      <c r="AL114" s="157">
        <f>SUMIFS('Future Orders'!$F114, 'Future Orders'!$D114, "4", 'Future Orders'!$C114, "A", 'Future Orders'!$B114, "2")</f>
        <v>0</v>
      </c>
      <c r="AM114" s="157">
        <f>SUMIFS('Future Orders'!$I114, 'Future Orders'!$D114, "4", 'Future Orders'!$C114, "A", 'Future Orders'!$B114, "2")</f>
        <v>0</v>
      </c>
      <c r="AN114" s="171">
        <f>SUMIFS('Future Orders'!$F114, 'Future Orders'!$D114, "4", 'Future Orders'!$C114, "B", 'Future Orders'!$B114, "2")</f>
        <v>0</v>
      </c>
      <c r="AO114" s="171">
        <f>SUMIFS('Future Orders'!$I114, 'Future Orders'!$D114, "4", 'Future Orders'!$C114, "B", 'Future Orders'!$B114, "2")</f>
        <v>0</v>
      </c>
      <c r="AP114" s="171">
        <f>SUMIFS('Future Orders'!$H114, 'Future Orders'!$C114, "A", 'Future Orders'!$B114, "1")</f>
        <v>0</v>
      </c>
      <c r="AQ114" s="171">
        <f>SUMIFS('Future Orders'!$I114, 'Future Orders'!$C114, "B", 'Future Orders'!$B114, "1")</f>
        <v>16306.18</v>
      </c>
      <c r="AR114" s="171">
        <f>SUMIFS('Future Orders'!$H114, 'Future Orders'!$C114, "A", 'Future Orders'!$B114, "2")</f>
        <v>0</v>
      </c>
      <c r="AS114" s="171">
        <f>SUMIFS('Future Orders'!$I114, 'Future Orders'!$C114, "B", 'Future Orders'!$B114, "2")</f>
        <v>0</v>
      </c>
      <c r="AT114" s="145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2"/>
      <c r="BW114" s="172"/>
      <c r="BX114" s="172"/>
      <c r="BY114" s="172"/>
      <c r="BZ114" s="172"/>
      <c r="CA114" s="179"/>
      <c r="CB114" s="179"/>
      <c r="CC114" s="179"/>
      <c r="CD114" s="179"/>
      <c r="CE114" s="179"/>
      <c r="CF114" s="179"/>
      <c r="CG114" s="179"/>
      <c r="CH114" s="179"/>
      <c r="CI114" s="179"/>
      <c r="CJ114" s="179"/>
      <c r="CK114" s="179"/>
      <c r="CL114" s="179"/>
      <c r="CM114" s="179"/>
      <c r="CN114" s="179"/>
      <c r="CO114" s="179"/>
      <c r="CP114" s="179"/>
    </row>
    <row r="115" ht="15.75" customHeight="1">
      <c r="A115" s="151">
        <v>41981.0</v>
      </c>
      <c r="B115" s="152">
        <v>2.0</v>
      </c>
      <c r="C115" s="152" t="s">
        <v>46</v>
      </c>
      <c r="D115" s="152">
        <v>3.0</v>
      </c>
      <c r="E115" s="153">
        <v>2386.0</v>
      </c>
      <c r="F115" s="153">
        <f>SUM(('Future Orders'!$E115) * (1.1))</f>
        <v>2624.6</v>
      </c>
      <c r="G115" s="154">
        <v>8.3</v>
      </c>
      <c r="H115" s="155">
        <v>19803.800000000003</v>
      </c>
      <c r="I115" s="155">
        <f>SUM(('Future Orders'!$H115) * (1.1))</f>
        <v>21784.18</v>
      </c>
      <c r="J115" s="159">
        <f>SUMIFS('Future Orders'!$F115, 'Future Orders'!$D115, "1", 'Future Orders'!$C115, "A", 'Future Orders'!$B115, "1")</f>
        <v>0</v>
      </c>
      <c r="K115" s="157">
        <f>SUMIFS('Future Orders'!$I115, 'Future Orders'!$D115, "1", 'Future Orders'!$C115, "A", 'Future Orders'!$B115, "1")</f>
        <v>0</v>
      </c>
      <c r="L115" s="157">
        <f>SUMIFS('Future Orders'!$F115, 'Future Orders'!$D115, "1", 'Future Orders'!$C115, "B", 'Future Orders'!$B115, "1")</f>
        <v>0</v>
      </c>
      <c r="M115" s="157">
        <f>SUMIFS('Future Orders'!$I115, 'Future Orders'!$D115, "1", 'Future Orders'!$C115, "B", 'Future Orders'!$B115, "1")</f>
        <v>0</v>
      </c>
      <c r="N115" s="159">
        <f>SUMIFS('Future Orders'!$F115, 'Future Orders'!$D115, "1", 'Future Orders'!$C115, "A", 'Future Orders'!$B115, "2")</f>
        <v>0</v>
      </c>
      <c r="O115" s="157">
        <f>SUMIFS('Future Orders'!$I115, 'Future Orders'!$D115, "1", 'Future Orders'!$C115, "A", 'Future Orders'!$B115, "2")</f>
        <v>0</v>
      </c>
      <c r="P115" s="157">
        <f>SUMIFS('Future Orders'!$E115, 'Future Orders'!$D115, "1", 'Future Orders'!$C115, "B", 'Future Orders'!$B115, "2")</f>
        <v>0</v>
      </c>
      <c r="Q115" s="157">
        <f>SUMIFS('Future Orders'!$I115, 'Future Orders'!$D115, "1", 'Future Orders'!$C115, "B", 'Future Orders'!$B115, "2")</f>
        <v>0</v>
      </c>
      <c r="R115" s="159">
        <f>SUMIFS('Future Orders'!$F115, 'Future Orders'!$D115, "2", 'Future Orders'!$C115, "A", 'Future Orders'!$B115, "1")</f>
        <v>0</v>
      </c>
      <c r="S115" s="157">
        <f>SUMIFS('Future Orders'!$I115, 'Future Orders'!$D115, "2", 'Future Orders'!$C115, "A", 'Future Orders'!$B115, "1")</f>
        <v>0</v>
      </c>
      <c r="T115" s="159">
        <f>SUMIFS('Future Orders'!$F115, 'Future Orders'!$D115, "2", 'Future Orders'!$C115, "B", 'Future Orders'!$B115, "1")</f>
        <v>0</v>
      </c>
      <c r="U115" s="157">
        <f>SUMIFS('Future Orders'!$I115, 'Future Orders'!$D115, "2", 'Future Orders'!$C115, "B", 'Future Orders'!$B115, "1")</f>
        <v>0</v>
      </c>
      <c r="V115" s="159">
        <f>SUMIFS('Future Orders'!$F115, 'Future Orders'!$D115, "2", 'Future Orders'!$C115, "A", 'Future Orders'!$B115, "2")</f>
        <v>0</v>
      </c>
      <c r="W115" s="157">
        <f>SUMIFS('Future Orders'!$I115, 'Future Orders'!$D115, "2", 'Future Orders'!$C115, "A", 'Future Orders'!$B115, "2")</f>
        <v>0</v>
      </c>
      <c r="X115" s="159">
        <f>SUMIFS('Future Orders'!$F115, 'Future Orders'!$D115, "2", 'Future Orders'!$C115, "B", 'Future Orders'!$B115, "2")</f>
        <v>0</v>
      </c>
      <c r="Y115" s="159">
        <f>SUMIFS('Future Orders'!$I115, 'Future Orders'!$D115, "2", 'Future Orders'!$C115, "B", 'Future Orders'!$B115, "2")</f>
        <v>0</v>
      </c>
      <c r="Z115" s="159">
        <f>SUMIFS('Future Orders'!$F115, 'Future Orders'!$D115, "3", 'Future Orders'!$C115, "A", 'Future Orders'!$B115, "1")</f>
        <v>0</v>
      </c>
      <c r="AA115" s="159">
        <f>SUMIFS('Future Orders'!$I115, 'Future Orders'!$D115, "3", 'Future Orders'!$C115, "A", 'Future Orders'!$B115, "1")</f>
        <v>0</v>
      </c>
      <c r="AB115" s="159">
        <f>SUMIFS('Future Orders'!$F115, 'Future Orders'!$D115, "3", 'Future Orders'!$C115, "B", 'Future Orders'!$B115, "1")</f>
        <v>0</v>
      </c>
      <c r="AC115" s="159">
        <f>SUMIFS('Future Orders'!$I115, 'Future Orders'!$D115, "3", 'Future Orders'!$C115, "B", 'Future Orders'!$B115, "1")</f>
        <v>0</v>
      </c>
      <c r="AD115" s="159">
        <f>SUMIFS('Future Orders'!$F115, 'Future Orders'!$D115, "3", 'Future Orders'!$C115, "A", 'Future Orders'!$B115, "2")</f>
        <v>0</v>
      </c>
      <c r="AE115" s="159">
        <f>SUMIFS('Future Orders'!$I115, 'Future Orders'!$D115, "3", 'Future Orders'!$C115, "A", 'Future Orders'!$B115, "2")</f>
        <v>0</v>
      </c>
      <c r="AF115" s="159">
        <f>SUMIFS('Future Orders'!$F115, 'Future Orders'!$D115, "3", 'Future Orders'!$C115, "B", 'Future Orders'!$B115, "2")</f>
        <v>2624.6</v>
      </c>
      <c r="AG115" s="157">
        <f>SUMIFS('Future Orders'!$I115, 'Future Orders'!$D115, "3", 'Future Orders'!$C115, "B", 'Future Orders'!$B115, "2")</f>
        <v>21784.18</v>
      </c>
      <c r="AH115" s="157">
        <f>SUMIFS('Future Orders'!$F115, 'Future Orders'!$D115, "4", 'Future Orders'!$C115, "A", 'Future Orders'!$B115, "1")</f>
        <v>0</v>
      </c>
      <c r="AI115" s="157">
        <f>SUMIFS('Future Orders'!$I115, 'Future Orders'!$D115, "4", 'Future Orders'!$C115, "A", 'Future Orders'!$B115, "1")</f>
        <v>0</v>
      </c>
      <c r="AJ115" s="157">
        <f>SUMIFS('Future Orders'!$F115, 'Future Orders'!$D115, "4", 'Future Orders'!$C115, "B", 'Future Orders'!$B115, "1")</f>
        <v>0</v>
      </c>
      <c r="AK115" s="157">
        <f>SUMIFS('Future Orders'!$I115, 'Future Orders'!$D115, "4", 'Future Orders'!$C115, "B", 'Future Orders'!$B115, "1")</f>
        <v>0</v>
      </c>
      <c r="AL115" s="157">
        <f>SUMIFS('Future Orders'!$F115, 'Future Orders'!$D115, "4", 'Future Orders'!$C115, "A", 'Future Orders'!$B115, "2")</f>
        <v>0</v>
      </c>
      <c r="AM115" s="157">
        <f>SUMIFS('Future Orders'!$I115, 'Future Orders'!$D115, "4", 'Future Orders'!$C115, "A", 'Future Orders'!$B115, "2")</f>
        <v>0</v>
      </c>
      <c r="AN115" s="171">
        <f>SUMIFS('Future Orders'!$F115, 'Future Orders'!$D115, "4", 'Future Orders'!$C115, "B", 'Future Orders'!$B115, "2")</f>
        <v>0</v>
      </c>
      <c r="AO115" s="171">
        <f>SUMIFS('Future Orders'!$I115, 'Future Orders'!$D115, "4", 'Future Orders'!$C115, "B", 'Future Orders'!$B115, "2")</f>
        <v>0</v>
      </c>
      <c r="AP115" s="171">
        <f>SUMIFS('Future Orders'!$H115, 'Future Orders'!$C115, "A", 'Future Orders'!$B115, "1")</f>
        <v>0</v>
      </c>
      <c r="AQ115" s="171">
        <f>SUMIFS('Future Orders'!$I115, 'Future Orders'!$C115, "B", 'Future Orders'!$B115, "1")</f>
        <v>0</v>
      </c>
      <c r="AR115" s="171">
        <f>SUMIFS('Future Orders'!$H115, 'Future Orders'!$C115, "A", 'Future Orders'!$B115, "2")</f>
        <v>0</v>
      </c>
      <c r="AS115" s="171">
        <f>SUMIFS('Future Orders'!$I115, 'Future Orders'!$C115, "B", 'Future Orders'!$B115, "2")</f>
        <v>21784.18</v>
      </c>
      <c r="AT115" s="145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2"/>
      <c r="BZ115" s="172"/>
      <c r="CA115" s="179"/>
      <c r="CB115" s="179"/>
      <c r="CC115" s="179"/>
      <c r="CD115" s="179"/>
      <c r="CE115" s="179"/>
      <c r="CF115" s="179"/>
      <c r="CG115" s="179"/>
      <c r="CH115" s="179"/>
      <c r="CI115" s="179"/>
      <c r="CJ115" s="179"/>
      <c r="CK115" s="179"/>
      <c r="CL115" s="179"/>
      <c r="CM115" s="179"/>
      <c r="CN115" s="179"/>
      <c r="CO115" s="179"/>
      <c r="CP115" s="179"/>
    </row>
    <row r="116" ht="15.75" customHeight="1">
      <c r="A116" s="151">
        <v>41988.0</v>
      </c>
      <c r="B116" s="152">
        <v>1.0</v>
      </c>
      <c r="C116" s="152" t="s">
        <v>45</v>
      </c>
      <c r="D116" s="152">
        <v>1.0</v>
      </c>
      <c r="E116" s="153">
        <v>4569.0</v>
      </c>
      <c r="F116" s="153">
        <f>SUM(('Future Orders'!$E116) * (1.1))</f>
        <v>5025.9</v>
      </c>
      <c r="G116" s="154">
        <v>2.2</v>
      </c>
      <c r="H116" s="155">
        <v>10051.800000000001</v>
      </c>
      <c r="I116" s="155">
        <f>SUM(('Future Orders'!$H116) * (1.1))</f>
        <v>11056.98</v>
      </c>
      <c r="J116" s="159">
        <f>SUMIFS('Future Orders'!$F116, 'Future Orders'!$D116, "1", 'Future Orders'!$C116, "A", 'Future Orders'!$B116, "1")</f>
        <v>5025.9</v>
      </c>
      <c r="K116" s="157">
        <f>SUMIFS('Future Orders'!$I116, 'Future Orders'!$D116, "1", 'Future Orders'!$C116, "A", 'Future Orders'!$B116, "1")</f>
        <v>11056.98</v>
      </c>
      <c r="L116" s="157">
        <f>SUMIFS('Future Orders'!$F116, 'Future Orders'!$D116, "1", 'Future Orders'!$C116, "B", 'Future Orders'!$B116, "1")</f>
        <v>0</v>
      </c>
      <c r="M116" s="157">
        <f>SUMIFS('Future Orders'!$I116, 'Future Orders'!$D116, "1", 'Future Orders'!$C116, "B", 'Future Orders'!$B116, "1")</f>
        <v>0</v>
      </c>
      <c r="N116" s="159">
        <f>SUMIFS('Future Orders'!$F116, 'Future Orders'!$D116, "1", 'Future Orders'!$C116, "A", 'Future Orders'!$B116, "2")</f>
        <v>0</v>
      </c>
      <c r="O116" s="157">
        <f>SUMIFS('Future Orders'!$I116, 'Future Orders'!$D116, "1", 'Future Orders'!$C116, "A", 'Future Orders'!$B116, "2")</f>
        <v>0</v>
      </c>
      <c r="P116" s="157">
        <f>SUMIFS('Future Orders'!$E116, 'Future Orders'!$D116, "1", 'Future Orders'!$C116, "B", 'Future Orders'!$B116, "2")</f>
        <v>0</v>
      </c>
      <c r="Q116" s="157">
        <f>SUMIFS('Future Orders'!$I116, 'Future Orders'!$D116, "1", 'Future Orders'!$C116, "B", 'Future Orders'!$B116, "2")</f>
        <v>0</v>
      </c>
      <c r="R116" s="159">
        <f>SUMIFS('Future Orders'!$F116, 'Future Orders'!$D116, "2", 'Future Orders'!$C116, "A", 'Future Orders'!$B116, "1")</f>
        <v>0</v>
      </c>
      <c r="S116" s="157">
        <f>SUMIFS('Future Orders'!$I116, 'Future Orders'!$D116, "2", 'Future Orders'!$C116, "A", 'Future Orders'!$B116, "1")</f>
        <v>0</v>
      </c>
      <c r="T116" s="159">
        <f>SUMIFS('Future Orders'!$F116, 'Future Orders'!$D116, "2", 'Future Orders'!$C116, "B", 'Future Orders'!$B116, "1")</f>
        <v>0</v>
      </c>
      <c r="U116" s="157">
        <f>SUMIFS('Future Orders'!$I116, 'Future Orders'!$D116, "2", 'Future Orders'!$C116, "B", 'Future Orders'!$B116, "1")</f>
        <v>0</v>
      </c>
      <c r="V116" s="159">
        <f>SUMIFS('Future Orders'!$F116, 'Future Orders'!$D116, "2", 'Future Orders'!$C116, "A", 'Future Orders'!$B116, "2")</f>
        <v>0</v>
      </c>
      <c r="W116" s="157">
        <f>SUMIFS('Future Orders'!$I116, 'Future Orders'!$D116, "2", 'Future Orders'!$C116, "A", 'Future Orders'!$B116, "2")</f>
        <v>0</v>
      </c>
      <c r="X116" s="159">
        <f>SUMIFS('Future Orders'!$F116, 'Future Orders'!$D116, "2", 'Future Orders'!$C116, "B", 'Future Orders'!$B116, "2")</f>
        <v>0</v>
      </c>
      <c r="Y116" s="159">
        <f>SUMIFS('Future Orders'!$I116, 'Future Orders'!$D116, "2", 'Future Orders'!$C116, "B", 'Future Orders'!$B116, "2")</f>
        <v>0</v>
      </c>
      <c r="Z116" s="159">
        <f>SUMIFS('Future Orders'!$F116, 'Future Orders'!$D116, "3", 'Future Orders'!$C116, "A", 'Future Orders'!$B116, "1")</f>
        <v>0</v>
      </c>
      <c r="AA116" s="159">
        <f>SUMIFS('Future Orders'!$I116, 'Future Orders'!$D116, "3", 'Future Orders'!$C116, "A", 'Future Orders'!$B116, "1")</f>
        <v>0</v>
      </c>
      <c r="AB116" s="159">
        <f>SUMIFS('Future Orders'!$F116, 'Future Orders'!$D116, "3", 'Future Orders'!$C116, "B", 'Future Orders'!$B116, "1")</f>
        <v>0</v>
      </c>
      <c r="AC116" s="159">
        <f>SUMIFS('Future Orders'!$I116, 'Future Orders'!$D116, "3", 'Future Orders'!$C116, "B", 'Future Orders'!$B116, "1")</f>
        <v>0</v>
      </c>
      <c r="AD116" s="159">
        <f>SUMIFS('Future Orders'!$F116, 'Future Orders'!$D116, "3", 'Future Orders'!$C116, "A", 'Future Orders'!$B116, "2")</f>
        <v>0</v>
      </c>
      <c r="AE116" s="159">
        <f>SUMIFS('Future Orders'!$I116, 'Future Orders'!$D116, "3", 'Future Orders'!$C116, "A", 'Future Orders'!$B116, "2")</f>
        <v>0</v>
      </c>
      <c r="AF116" s="159">
        <f>SUMIFS('Future Orders'!$F116, 'Future Orders'!$D116, "3", 'Future Orders'!$C116, "B", 'Future Orders'!$B116, "2")</f>
        <v>0</v>
      </c>
      <c r="AG116" s="157">
        <f>SUMIFS('Future Orders'!$I116, 'Future Orders'!$D116, "3", 'Future Orders'!$C116, "B", 'Future Orders'!$B116, "2")</f>
        <v>0</v>
      </c>
      <c r="AH116" s="157">
        <f>SUMIFS('Future Orders'!$F116, 'Future Orders'!$D116, "4", 'Future Orders'!$C116, "A", 'Future Orders'!$B116, "1")</f>
        <v>0</v>
      </c>
      <c r="AI116" s="157">
        <f>SUMIFS('Future Orders'!$I116, 'Future Orders'!$D116, "4", 'Future Orders'!$C116, "A", 'Future Orders'!$B116, "1")</f>
        <v>0</v>
      </c>
      <c r="AJ116" s="157">
        <f>SUMIFS('Future Orders'!$F116, 'Future Orders'!$D116, "4", 'Future Orders'!$C116, "B", 'Future Orders'!$B116, "1")</f>
        <v>0</v>
      </c>
      <c r="AK116" s="157">
        <f>SUMIFS('Future Orders'!$I116, 'Future Orders'!$D116, "4", 'Future Orders'!$C116, "B", 'Future Orders'!$B116, "1")</f>
        <v>0</v>
      </c>
      <c r="AL116" s="157">
        <f>SUMIFS('Future Orders'!$F116, 'Future Orders'!$D116, "4", 'Future Orders'!$C116, "A", 'Future Orders'!$B116, "2")</f>
        <v>0</v>
      </c>
      <c r="AM116" s="157">
        <f>SUMIFS('Future Orders'!$I116, 'Future Orders'!$D116, "4", 'Future Orders'!$C116, "A", 'Future Orders'!$B116, "2")</f>
        <v>0</v>
      </c>
      <c r="AN116" s="171">
        <f>SUMIFS('Future Orders'!$F116, 'Future Orders'!$D116, "4", 'Future Orders'!$C116, "B", 'Future Orders'!$B116, "2")</f>
        <v>0</v>
      </c>
      <c r="AO116" s="171">
        <f>SUMIFS('Future Orders'!$I116, 'Future Orders'!$D116, "4", 'Future Orders'!$C116, "B", 'Future Orders'!$B116, "2")</f>
        <v>0</v>
      </c>
      <c r="AP116" s="171">
        <f>SUMIFS('Future Orders'!$H116, 'Future Orders'!$C116, "A", 'Future Orders'!$B116, "1")</f>
        <v>10051.8</v>
      </c>
      <c r="AQ116" s="171">
        <f>SUMIFS('Future Orders'!$I116, 'Future Orders'!$C116, "B", 'Future Orders'!$B116, "1")</f>
        <v>0</v>
      </c>
      <c r="AR116" s="171">
        <f>SUMIFS('Future Orders'!$H116, 'Future Orders'!$C116, "A", 'Future Orders'!$B116, "2")</f>
        <v>0</v>
      </c>
      <c r="AS116" s="171">
        <f>SUMIFS('Future Orders'!$I116, 'Future Orders'!$C116, "B", 'Future Orders'!$B116, "2")</f>
        <v>0</v>
      </c>
      <c r="AT116" s="145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2"/>
      <c r="BZ116" s="172"/>
      <c r="CA116" s="179"/>
      <c r="CB116" s="179"/>
      <c r="CC116" s="179"/>
      <c r="CD116" s="179"/>
      <c r="CE116" s="179"/>
      <c r="CF116" s="179"/>
      <c r="CG116" s="179"/>
      <c r="CH116" s="179"/>
      <c r="CI116" s="179"/>
      <c r="CJ116" s="179"/>
      <c r="CK116" s="179"/>
      <c r="CL116" s="179"/>
      <c r="CM116" s="179"/>
      <c r="CN116" s="179"/>
      <c r="CO116" s="179"/>
      <c r="CP116" s="179"/>
    </row>
    <row r="117" ht="15.75" customHeight="1">
      <c r="A117" s="151">
        <v>41988.0</v>
      </c>
      <c r="B117" s="152">
        <v>1.0</v>
      </c>
      <c r="C117" s="152" t="s">
        <v>45</v>
      </c>
      <c r="D117" s="152">
        <v>2.0</v>
      </c>
      <c r="E117" s="153">
        <v>5874.0</v>
      </c>
      <c r="F117" s="153">
        <f>SUM(('Future Orders'!$E117) * (1.1))</f>
        <v>6461.4</v>
      </c>
      <c r="G117" s="154">
        <v>1.2</v>
      </c>
      <c r="H117" s="155">
        <v>7048.8</v>
      </c>
      <c r="I117" s="155">
        <f>SUM(('Future Orders'!$H117) * (1.1))</f>
        <v>7753.68</v>
      </c>
      <c r="J117" s="159">
        <f>SUMIFS('Future Orders'!$F117, 'Future Orders'!$D117, "1", 'Future Orders'!$C117, "A", 'Future Orders'!$B117, "1")</f>
        <v>0</v>
      </c>
      <c r="K117" s="157">
        <f>SUMIFS('Future Orders'!$I117, 'Future Orders'!$D117, "1", 'Future Orders'!$C117, "A", 'Future Orders'!$B117, "1")</f>
        <v>0</v>
      </c>
      <c r="L117" s="157">
        <f>SUMIFS('Future Orders'!$F117, 'Future Orders'!$D117, "1", 'Future Orders'!$C117, "B", 'Future Orders'!$B117, "1")</f>
        <v>0</v>
      </c>
      <c r="M117" s="157">
        <f>SUMIFS('Future Orders'!$I117, 'Future Orders'!$D117, "1", 'Future Orders'!$C117, "B", 'Future Orders'!$B117, "1")</f>
        <v>0</v>
      </c>
      <c r="N117" s="159">
        <f>SUMIFS('Future Orders'!$F117, 'Future Orders'!$D117, "1", 'Future Orders'!$C117, "A", 'Future Orders'!$B117, "2")</f>
        <v>0</v>
      </c>
      <c r="O117" s="157">
        <f>SUMIFS('Future Orders'!$I117, 'Future Orders'!$D117, "1", 'Future Orders'!$C117, "A", 'Future Orders'!$B117, "2")</f>
        <v>0</v>
      </c>
      <c r="P117" s="157">
        <f>SUMIFS('Future Orders'!$E117, 'Future Orders'!$D117, "1", 'Future Orders'!$C117, "B", 'Future Orders'!$B117, "2")</f>
        <v>0</v>
      </c>
      <c r="Q117" s="157">
        <f>SUMIFS('Future Orders'!$I117, 'Future Orders'!$D117, "1", 'Future Orders'!$C117, "B", 'Future Orders'!$B117, "2")</f>
        <v>0</v>
      </c>
      <c r="R117" s="159">
        <f>SUMIFS('Future Orders'!$F117, 'Future Orders'!$D117, "2", 'Future Orders'!$C117, "A", 'Future Orders'!$B117, "1")</f>
        <v>6461.4</v>
      </c>
      <c r="S117" s="157">
        <f>SUMIFS('Future Orders'!$I117, 'Future Orders'!$D117, "2", 'Future Orders'!$C117, "A", 'Future Orders'!$B117, "1")</f>
        <v>7753.68</v>
      </c>
      <c r="T117" s="159">
        <f>SUMIFS('Future Orders'!$F117, 'Future Orders'!$D117, "2", 'Future Orders'!$C117, "B", 'Future Orders'!$B117, "1")</f>
        <v>0</v>
      </c>
      <c r="U117" s="157">
        <f>SUMIFS('Future Orders'!$I117, 'Future Orders'!$D117, "2", 'Future Orders'!$C117, "B", 'Future Orders'!$B117, "1")</f>
        <v>0</v>
      </c>
      <c r="V117" s="159">
        <f>SUMIFS('Future Orders'!$F117, 'Future Orders'!$D117, "2", 'Future Orders'!$C117, "A", 'Future Orders'!$B117, "2")</f>
        <v>0</v>
      </c>
      <c r="W117" s="157">
        <f>SUMIFS('Future Orders'!$I117, 'Future Orders'!$D117, "2", 'Future Orders'!$C117, "A", 'Future Orders'!$B117, "2")</f>
        <v>0</v>
      </c>
      <c r="X117" s="159">
        <f>SUMIFS('Future Orders'!$F117, 'Future Orders'!$D117, "2", 'Future Orders'!$C117, "B", 'Future Orders'!$B117, "2")</f>
        <v>0</v>
      </c>
      <c r="Y117" s="159">
        <f>SUMIFS('Future Orders'!$I117, 'Future Orders'!$D117, "2", 'Future Orders'!$C117, "B", 'Future Orders'!$B117, "2")</f>
        <v>0</v>
      </c>
      <c r="Z117" s="159">
        <f>SUMIFS('Future Orders'!$F117, 'Future Orders'!$D117, "3", 'Future Orders'!$C117, "A", 'Future Orders'!$B117, "1")</f>
        <v>0</v>
      </c>
      <c r="AA117" s="159">
        <f>SUMIFS('Future Orders'!$I117, 'Future Orders'!$D117, "3", 'Future Orders'!$C117, "A", 'Future Orders'!$B117, "1")</f>
        <v>0</v>
      </c>
      <c r="AB117" s="159">
        <f>SUMIFS('Future Orders'!$F117, 'Future Orders'!$D117, "3", 'Future Orders'!$C117, "B", 'Future Orders'!$B117, "1")</f>
        <v>0</v>
      </c>
      <c r="AC117" s="159">
        <f>SUMIFS('Future Orders'!$I117, 'Future Orders'!$D117, "3", 'Future Orders'!$C117, "B", 'Future Orders'!$B117, "1")</f>
        <v>0</v>
      </c>
      <c r="AD117" s="159">
        <f>SUMIFS('Future Orders'!$F117, 'Future Orders'!$D117, "3", 'Future Orders'!$C117, "A", 'Future Orders'!$B117, "2")</f>
        <v>0</v>
      </c>
      <c r="AE117" s="159">
        <f>SUMIFS('Future Orders'!$I117, 'Future Orders'!$D117, "3", 'Future Orders'!$C117, "A", 'Future Orders'!$B117, "2")</f>
        <v>0</v>
      </c>
      <c r="AF117" s="159">
        <f>SUMIFS('Future Orders'!$F117, 'Future Orders'!$D117, "3", 'Future Orders'!$C117, "B", 'Future Orders'!$B117, "2")</f>
        <v>0</v>
      </c>
      <c r="AG117" s="157">
        <f>SUMIFS('Future Orders'!$I117, 'Future Orders'!$D117, "3", 'Future Orders'!$C117, "B", 'Future Orders'!$B117, "2")</f>
        <v>0</v>
      </c>
      <c r="AH117" s="157">
        <f>SUMIFS('Future Orders'!$F117, 'Future Orders'!$D117, "4", 'Future Orders'!$C117, "A", 'Future Orders'!$B117, "1")</f>
        <v>0</v>
      </c>
      <c r="AI117" s="157">
        <f>SUMIFS('Future Orders'!$I117, 'Future Orders'!$D117, "4", 'Future Orders'!$C117, "A", 'Future Orders'!$B117, "1")</f>
        <v>0</v>
      </c>
      <c r="AJ117" s="157">
        <f>SUMIFS('Future Orders'!$F117, 'Future Orders'!$D117, "4", 'Future Orders'!$C117, "B", 'Future Orders'!$B117, "1")</f>
        <v>0</v>
      </c>
      <c r="AK117" s="157">
        <f>SUMIFS('Future Orders'!$I117, 'Future Orders'!$D117, "4", 'Future Orders'!$C117, "B", 'Future Orders'!$B117, "1")</f>
        <v>0</v>
      </c>
      <c r="AL117" s="157">
        <f>SUMIFS('Future Orders'!$F117, 'Future Orders'!$D117, "4", 'Future Orders'!$C117, "A", 'Future Orders'!$B117, "2")</f>
        <v>0</v>
      </c>
      <c r="AM117" s="157">
        <f>SUMIFS('Future Orders'!$I117, 'Future Orders'!$D117, "4", 'Future Orders'!$C117, "A", 'Future Orders'!$B117, "2")</f>
        <v>0</v>
      </c>
      <c r="AN117" s="171">
        <f>SUMIFS('Future Orders'!$F117, 'Future Orders'!$D117, "4", 'Future Orders'!$C117, "B", 'Future Orders'!$B117, "2")</f>
        <v>0</v>
      </c>
      <c r="AO117" s="171">
        <f>SUMIFS('Future Orders'!$I117, 'Future Orders'!$D117, "4", 'Future Orders'!$C117, "B", 'Future Orders'!$B117, "2")</f>
        <v>0</v>
      </c>
      <c r="AP117" s="171">
        <f>SUMIFS('Future Orders'!$H117, 'Future Orders'!$C117, "A", 'Future Orders'!$B117, "1")</f>
        <v>7048.8</v>
      </c>
      <c r="AQ117" s="171">
        <f>SUMIFS('Future Orders'!$I117, 'Future Orders'!$C117, "B", 'Future Orders'!$B117, "1")</f>
        <v>0</v>
      </c>
      <c r="AR117" s="171">
        <f>SUMIFS('Future Orders'!$H117, 'Future Orders'!$C117, "A", 'Future Orders'!$B117, "2")</f>
        <v>0</v>
      </c>
      <c r="AS117" s="171">
        <f>SUMIFS('Future Orders'!$I117, 'Future Orders'!$C117, "B", 'Future Orders'!$B117, "2")</f>
        <v>0</v>
      </c>
      <c r="AT117" s="145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2"/>
      <c r="BZ117" s="172"/>
      <c r="CA117" s="179"/>
      <c r="CB117" s="179"/>
      <c r="CC117" s="179"/>
      <c r="CD117" s="179"/>
      <c r="CE117" s="179"/>
      <c r="CF117" s="179"/>
      <c r="CG117" s="179"/>
      <c r="CH117" s="179"/>
      <c r="CI117" s="179"/>
      <c r="CJ117" s="179"/>
      <c r="CK117" s="179"/>
      <c r="CL117" s="179"/>
      <c r="CM117" s="179"/>
      <c r="CN117" s="179"/>
      <c r="CO117" s="179"/>
      <c r="CP117" s="179"/>
    </row>
    <row r="118" ht="15.75" customHeight="1">
      <c r="A118" s="151">
        <v>41988.0</v>
      </c>
      <c r="B118" s="152">
        <v>2.0</v>
      </c>
      <c r="C118" s="152" t="s">
        <v>45</v>
      </c>
      <c r="D118" s="152">
        <v>1.0</v>
      </c>
      <c r="E118" s="153">
        <v>3508.0</v>
      </c>
      <c r="F118" s="153">
        <f>SUM(('Future Orders'!$E118) * (1.1))</f>
        <v>3858.8</v>
      </c>
      <c r="G118" s="154">
        <v>2.2</v>
      </c>
      <c r="H118" s="155">
        <v>7717.6</v>
      </c>
      <c r="I118" s="155">
        <f>SUM(('Future Orders'!$H118) * (1.1))</f>
        <v>8489.36</v>
      </c>
      <c r="J118" s="159">
        <f>SUMIFS('Future Orders'!$F118, 'Future Orders'!$D118, "1", 'Future Orders'!$C118, "A", 'Future Orders'!$B118, "1")</f>
        <v>0</v>
      </c>
      <c r="K118" s="157">
        <f>SUMIFS('Future Orders'!$I118, 'Future Orders'!$D118, "1", 'Future Orders'!$C118, "A", 'Future Orders'!$B118, "1")</f>
        <v>0</v>
      </c>
      <c r="L118" s="157">
        <f>SUMIFS('Future Orders'!$F118, 'Future Orders'!$D118, "1", 'Future Orders'!$C118, "B", 'Future Orders'!$B118, "1")</f>
        <v>0</v>
      </c>
      <c r="M118" s="157">
        <f>SUMIFS('Future Orders'!$I118, 'Future Orders'!$D118, "1", 'Future Orders'!$C118, "B", 'Future Orders'!$B118, "1")</f>
        <v>0</v>
      </c>
      <c r="N118" s="159">
        <f>SUMIFS('Future Orders'!$F118, 'Future Orders'!$D118, "1", 'Future Orders'!$C118, "A", 'Future Orders'!$B118, "2")</f>
        <v>3858.8</v>
      </c>
      <c r="O118" s="157">
        <f>SUMIFS('Future Orders'!$I118, 'Future Orders'!$D118, "1", 'Future Orders'!$C118, "A", 'Future Orders'!$B118, "2")</f>
        <v>8489.36</v>
      </c>
      <c r="P118" s="157">
        <f>SUMIFS('Future Orders'!$E118, 'Future Orders'!$D118, "1", 'Future Orders'!$C118, "B", 'Future Orders'!$B118, "2")</f>
        <v>0</v>
      </c>
      <c r="Q118" s="157">
        <f>SUMIFS('Future Orders'!$I118, 'Future Orders'!$D118, "1", 'Future Orders'!$C118, "B", 'Future Orders'!$B118, "2")</f>
        <v>0</v>
      </c>
      <c r="R118" s="159">
        <f>SUMIFS('Future Orders'!$F118, 'Future Orders'!$D118, "2", 'Future Orders'!$C118, "A", 'Future Orders'!$B118, "1")</f>
        <v>0</v>
      </c>
      <c r="S118" s="157">
        <f>SUMIFS('Future Orders'!$I118, 'Future Orders'!$D118, "2", 'Future Orders'!$C118, "A", 'Future Orders'!$B118, "1")</f>
        <v>0</v>
      </c>
      <c r="T118" s="159">
        <f>SUMIFS('Future Orders'!$F118, 'Future Orders'!$D118, "2", 'Future Orders'!$C118, "B", 'Future Orders'!$B118, "1")</f>
        <v>0</v>
      </c>
      <c r="U118" s="157">
        <f>SUMIFS('Future Orders'!$I118, 'Future Orders'!$D118, "2", 'Future Orders'!$C118, "B", 'Future Orders'!$B118, "1")</f>
        <v>0</v>
      </c>
      <c r="V118" s="159">
        <f>SUMIFS('Future Orders'!$F118, 'Future Orders'!$D118, "2", 'Future Orders'!$C118, "A", 'Future Orders'!$B118, "2")</f>
        <v>0</v>
      </c>
      <c r="W118" s="157">
        <f>SUMIFS('Future Orders'!$I118, 'Future Orders'!$D118, "2", 'Future Orders'!$C118, "A", 'Future Orders'!$B118, "2")</f>
        <v>0</v>
      </c>
      <c r="X118" s="159">
        <f>SUMIFS('Future Orders'!$F118, 'Future Orders'!$D118, "2", 'Future Orders'!$C118, "B", 'Future Orders'!$B118, "2")</f>
        <v>0</v>
      </c>
      <c r="Y118" s="159">
        <f>SUMIFS('Future Orders'!$I118, 'Future Orders'!$D118, "2", 'Future Orders'!$C118, "B", 'Future Orders'!$B118, "2")</f>
        <v>0</v>
      </c>
      <c r="Z118" s="159">
        <f>SUMIFS('Future Orders'!$F118, 'Future Orders'!$D118, "3", 'Future Orders'!$C118, "A", 'Future Orders'!$B118, "1")</f>
        <v>0</v>
      </c>
      <c r="AA118" s="159">
        <f>SUMIFS('Future Orders'!$I118, 'Future Orders'!$D118, "3", 'Future Orders'!$C118, "A", 'Future Orders'!$B118, "1")</f>
        <v>0</v>
      </c>
      <c r="AB118" s="159">
        <f>SUMIFS('Future Orders'!$F118, 'Future Orders'!$D118, "3", 'Future Orders'!$C118, "B", 'Future Orders'!$B118, "1")</f>
        <v>0</v>
      </c>
      <c r="AC118" s="159">
        <f>SUMIFS('Future Orders'!$I118, 'Future Orders'!$D118, "3", 'Future Orders'!$C118, "B", 'Future Orders'!$B118, "1")</f>
        <v>0</v>
      </c>
      <c r="AD118" s="159">
        <f>SUMIFS('Future Orders'!$F118, 'Future Orders'!$D118, "3", 'Future Orders'!$C118, "A", 'Future Orders'!$B118, "2")</f>
        <v>0</v>
      </c>
      <c r="AE118" s="159">
        <f>SUMIFS('Future Orders'!$I118, 'Future Orders'!$D118, "3", 'Future Orders'!$C118, "A", 'Future Orders'!$B118, "2")</f>
        <v>0</v>
      </c>
      <c r="AF118" s="159">
        <f>SUMIFS('Future Orders'!$F118, 'Future Orders'!$D118, "3", 'Future Orders'!$C118, "B", 'Future Orders'!$B118, "2")</f>
        <v>0</v>
      </c>
      <c r="AG118" s="157">
        <f>SUMIFS('Future Orders'!$I118, 'Future Orders'!$D118, "3", 'Future Orders'!$C118, "B", 'Future Orders'!$B118, "2")</f>
        <v>0</v>
      </c>
      <c r="AH118" s="157">
        <f>SUMIFS('Future Orders'!$F118, 'Future Orders'!$D118, "4", 'Future Orders'!$C118, "A", 'Future Orders'!$B118, "1")</f>
        <v>0</v>
      </c>
      <c r="AI118" s="157">
        <f>SUMIFS('Future Orders'!$I118, 'Future Orders'!$D118, "4", 'Future Orders'!$C118, "A", 'Future Orders'!$B118, "1")</f>
        <v>0</v>
      </c>
      <c r="AJ118" s="157">
        <f>SUMIFS('Future Orders'!$F118, 'Future Orders'!$D118, "4", 'Future Orders'!$C118, "B", 'Future Orders'!$B118, "1")</f>
        <v>0</v>
      </c>
      <c r="AK118" s="157">
        <f>SUMIFS('Future Orders'!$I118, 'Future Orders'!$D118, "4", 'Future Orders'!$C118, "B", 'Future Orders'!$B118, "1")</f>
        <v>0</v>
      </c>
      <c r="AL118" s="157">
        <f>SUMIFS('Future Orders'!$F118, 'Future Orders'!$D118, "4", 'Future Orders'!$C118, "A", 'Future Orders'!$B118, "2")</f>
        <v>0</v>
      </c>
      <c r="AM118" s="157">
        <f>SUMIFS('Future Orders'!$I118, 'Future Orders'!$D118, "4", 'Future Orders'!$C118, "A", 'Future Orders'!$B118, "2")</f>
        <v>0</v>
      </c>
      <c r="AN118" s="171">
        <f>SUMIFS('Future Orders'!$F118, 'Future Orders'!$D118, "4", 'Future Orders'!$C118, "B", 'Future Orders'!$B118, "2")</f>
        <v>0</v>
      </c>
      <c r="AO118" s="171">
        <f>SUMIFS('Future Orders'!$I118, 'Future Orders'!$D118, "4", 'Future Orders'!$C118, "B", 'Future Orders'!$B118, "2")</f>
        <v>0</v>
      </c>
      <c r="AP118" s="171">
        <f>SUMIFS('Future Orders'!$H118, 'Future Orders'!$C118, "A", 'Future Orders'!$B118, "1")</f>
        <v>0</v>
      </c>
      <c r="AQ118" s="171">
        <f>SUMIFS('Future Orders'!$I118, 'Future Orders'!$C118, "B", 'Future Orders'!$B118, "1")</f>
        <v>0</v>
      </c>
      <c r="AR118" s="171">
        <f>SUMIFS('Future Orders'!$H118, 'Future Orders'!$C118, "A", 'Future Orders'!$B118, "2")</f>
        <v>7717.6</v>
      </c>
      <c r="AS118" s="171">
        <f>SUMIFS('Future Orders'!$I118, 'Future Orders'!$C118, "B", 'Future Orders'!$B118, "2")</f>
        <v>0</v>
      </c>
      <c r="AT118" s="145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2"/>
      <c r="BZ118" s="172"/>
      <c r="CA118" s="179"/>
      <c r="CB118" s="179"/>
      <c r="CC118" s="179"/>
      <c r="CD118" s="179"/>
      <c r="CE118" s="179"/>
      <c r="CF118" s="179"/>
      <c r="CG118" s="179"/>
      <c r="CH118" s="179"/>
      <c r="CI118" s="179"/>
      <c r="CJ118" s="179"/>
      <c r="CK118" s="179"/>
      <c r="CL118" s="179"/>
      <c r="CM118" s="179"/>
      <c r="CN118" s="179"/>
      <c r="CO118" s="179"/>
      <c r="CP118" s="179"/>
    </row>
    <row r="119" ht="15.75" customHeight="1">
      <c r="A119" s="151">
        <v>41988.0</v>
      </c>
      <c r="B119" s="152">
        <v>2.0</v>
      </c>
      <c r="C119" s="152" t="s">
        <v>45</v>
      </c>
      <c r="D119" s="152">
        <v>2.0</v>
      </c>
      <c r="E119" s="153">
        <v>5610.0</v>
      </c>
      <c r="F119" s="153">
        <f>SUM(('Future Orders'!$E119) * (1.1))</f>
        <v>6171</v>
      </c>
      <c r="G119" s="154">
        <v>1.2</v>
      </c>
      <c r="H119" s="155">
        <v>6732.0</v>
      </c>
      <c r="I119" s="155">
        <f>SUM(('Future Orders'!$H119) * (1.1))</f>
        <v>7405.2</v>
      </c>
      <c r="J119" s="159">
        <f>SUMIFS('Future Orders'!$F119, 'Future Orders'!$D119, "1", 'Future Orders'!$C119, "A", 'Future Orders'!$B119, "1")</f>
        <v>0</v>
      </c>
      <c r="K119" s="157">
        <f>SUMIFS('Future Orders'!$I119, 'Future Orders'!$D119, "1", 'Future Orders'!$C119, "A", 'Future Orders'!$B119, "1")</f>
        <v>0</v>
      </c>
      <c r="L119" s="157">
        <f>SUMIFS('Future Orders'!$F119, 'Future Orders'!$D119, "1", 'Future Orders'!$C119, "B", 'Future Orders'!$B119, "1")</f>
        <v>0</v>
      </c>
      <c r="M119" s="157">
        <f>SUMIFS('Future Orders'!$I119, 'Future Orders'!$D119, "1", 'Future Orders'!$C119, "B", 'Future Orders'!$B119, "1")</f>
        <v>0</v>
      </c>
      <c r="N119" s="159">
        <f>SUMIFS('Future Orders'!$F119, 'Future Orders'!$D119, "1", 'Future Orders'!$C119, "A", 'Future Orders'!$B119, "2")</f>
        <v>0</v>
      </c>
      <c r="O119" s="157">
        <f>SUMIFS('Future Orders'!$I119, 'Future Orders'!$D119, "1", 'Future Orders'!$C119, "A", 'Future Orders'!$B119, "2")</f>
        <v>0</v>
      </c>
      <c r="P119" s="157">
        <f>SUMIFS('Future Orders'!$E119, 'Future Orders'!$D119, "1", 'Future Orders'!$C119, "B", 'Future Orders'!$B119, "2")</f>
        <v>0</v>
      </c>
      <c r="Q119" s="157">
        <f>SUMIFS('Future Orders'!$I119, 'Future Orders'!$D119, "1", 'Future Orders'!$C119, "B", 'Future Orders'!$B119, "2")</f>
        <v>0</v>
      </c>
      <c r="R119" s="159">
        <f>SUMIFS('Future Orders'!$F119, 'Future Orders'!$D119, "2", 'Future Orders'!$C119, "A", 'Future Orders'!$B119, "1")</f>
        <v>0</v>
      </c>
      <c r="S119" s="157">
        <f>SUMIFS('Future Orders'!$I119, 'Future Orders'!$D119, "2", 'Future Orders'!$C119, "A", 'Future Orders'!$B119, "1")</f>
        <v>0</v>
      </c>
      <c r="T119" s="159">
        <f>SUMIFS('Future Orders'!$F119, 'Future Orders'!$D119, "2", 'Future Orders'!$C119, "B", 'Future Orders'!$B119, "1")</f>
        <v>0</v>
      </c>
      <c r="U119" s="157">
        <f>SUMIFS('Future Orders'!$I119, 'Future Orders'!$D119, "2", 'Future Orders'!$C119, "B", 'Future Orders'!$B119, "1")</f>
        <v>0</v>
      </c>
      <c r="V119" s="159">
        <f>SUMIFS('Future Orders'!$F119, 'Future Orders'!$D119, "2", 'Future Orders'!$C119, "A", 'Future Orders'!$B119, "2")</f>
        <v>6171</v>
      </c>
      <c r="W119" s="157">
        <f>SUMIFS('Future Orders'!$I119, 'Future Orders'!$D119, "2", 'Future Orders'!$C119, "A", 'Future Orders'!$B119, "2")</f>
        <v>7405.2</v>
      </c>
      <c r="X119" s="159">
        <f>SUMIFS('Future Orders'!$F119, 'Future Orders'!$D119, "2", 'Future Orders'!$C119, "B", 'Future Orders'!$B119, "2")</f>
        <v>0</v>
      </c>
      <c r="Y119" s="159">
        <f>SUMIFS('Future Orders'!$I119, 'Future Orders'!$D119, "2", 'Future Orders'!$C119, "B", 'Future Orders'!$B119, "2")</f>
        <v>0</v>
      </c>
      <c r="Z119" s="159">
        <f>SUMIFS('Future Orders'!$F119, 'Future Orders'!$D119, "3", 'Future Orders'!$C119, "A", 'Future Orders'!$B119, "1")</f>
        <v>0</v>
      </c>
      <c r="AA119" s="159">
        <f>SUMIFS('Future Orders'!$I119, 'Future Orders'!$D119, "3", 'Future Orders'!$C119, "A", 'Future Orders'!$B119, "1")</f>
        <v>0</v>
      </c>
      <c r="AB119" s="159">
        <f>SUMIFS('Future Orders'!$F119, 'Future Orders'!$D119, "3", 'Future Orders'!$C119, "B", 'Future Orders'!$B119, "1")</f>
        <v>0</v>
      </c>
      <c r="AC119" s="159">
        <f>SUMIFS('Future Orders'!$I119, 'Future Orders'!$D119, "3", 'Future Orders'!$C119, "B", 'Future Orders'!$B119, "1")</f>
        <v>0</v>
      </c>
      <c r="AD119" s="159">
        <f>SUMIFS('Future Orders'!$F119, 'Future Orders'!$D119, "3", 'Future Orders'!$C119, "A", 'Future Orders'!$B119, "2")</f>
        <v>0</v>
      </c>
      <c r="AE119" s="159">
        <f>SUMIFS('Future Orders'!$I119, 'Future Orders'!$D119, "3", 'Future Orders'!$C119, "A", 'Future Orders'!$B119, "2")</f>
        <v>0</v>
      </c>
      <c r="AF119" s="159">
        <f>SUMIFS('Future Orders'!$F119, 'Future Orders'!$D119, "3", 'Future Orders'!$C119, "B", 'Future Orders'!$B119, "2")</f>
        <v>0</v>
      </c>
      <c r="AG119" s="157">
        <f>SUMIFS('Future Orders'!$I119, 'Future Orders'!$D119, "3", 'Future Orders'!$C119, "B", 'Future Orders'!$B119, "2")</f>
        <v>0</v>
      </c>
      <c r="AH119" s="157">
        <f>SUMIFS('Future Orders'!$F119, 'Future Orders'!$D119, "4", 'Future Orders'!$C119, "A", 'Future Orders'!$B119, "1")</f>
        <v>0</v>
      </c>
      <c r="AI119" s="157">
        <f>SUMIFS('Future Orders'!$I119, 'Future Orders'!$D119, "4", 'Future Orders'!$C119, "A", 'Future Orders'!$B119, "1")</f>
        <v>0</v>
      </c>
      <c r="AJ119" s="157">
        <f>SUMIFS('Future Orders'!$F119, 'Future Orders'!$D119, "4", 'Future Orders'!$C119, "B", 'Future Orders'!$B119, "1")</f>
        <v>0</v>
      </c>
      <c r="AK119" s="157">
        <f>SUMIFS('Future Orders'!$I119, 'Future Orders'!$D119, "4", 'Future Orders'!$C119, "B", 'Future Orders'!$B119, "1")</f>
        <v>0</v>
      </c>
      <c r="AL119" s="157">
        <f>SUMIFS('Future Orders'!$F119, 'Future Orders'!$D119, "4", 'Future Orders'!$C119, "A", 'Future Orders'!$B119, "2")</f>
        <v>0</v>
      </c>
      <c r="AM119" s="157">
        <f>SUMIFS('Future Orders'!$I119, 'Future Orders'!$D119, "4", 'Future Orders'!$C119, "A", 'Future Orders'!$B119, "2")</f>
        <v>0</v>
      </c>
      <c r="AN119" s="171">
        <f>SUMIFS('Future Orders'!$F119, 'Future Orders'!$D119, "4", 'Future Orders'!$C119, "B", 'Future Orders'!$B119, "2")</f>
        <v>0</v>
      </c>
      <c r="AO119" s="171">
        <f>SUMIFS('Future Orders'!$I119, 'Future Orders'!$D119, "4", 'Future Orders'!$C119, "B", 'Future Orders'!$B119, "2")</f>
        <v>0</v>
      </c>
      <c r="AP119" s="171">
        <f>SUMIFS('Future Orders'!$H119, 'Future Orders'!$C119, "A", 'Future Orders'!$B119, "1")</f>
        <v>0</v>
      </c>
      <c r="AQ119" s="171">
        <f>SUMIFS('Future Orders'!$I119, 'Future Orders'!$C119, "B", 'Future Orders'!$B119, "1")</f>
        <v>0</v>
      </c>
      <c r="AR119" s="171">
        <f>SUMIFS('Future Orders'!$H119, 'Future Orders'!$C119, "A", 'Future Orders'!$B119, "2")</f>
        <v>6732</v>
      </c>
      <c r="AS119" s="171">
        <f>SUMIFS('Future Orders'!$I119, 'Future Orders'!$C119, "B", 'Future Orders'!$B119, "2")</f>
        <v>0</v>
      </c>
      <c r="AT119" s="145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2"/>
      <c r="BZ119" s="172"/>
      <c r="CA119" s="179"/>
      <c r="CB119" s="179"/>
      <c r="CC119" s="179"/>
      <c r="CD119" s="179"/>
      <c r="CE119" s="179"/>
      <c r="CF119" s="179"/>
      <c r="CG119" s="179"/>
      <c r="CH119" s="179"/>
      <c r="CI119" s="179"/>
      <c r="CJ119" s="179"/>
      <c r="CK119" s="179"/>
      <c r="CL119" s="179"/>
      <c r="CM119" s="179"/>
      <c r="CN119" s="179"/>
      <c r="CO119" s="179"/>
      <c r="CP119" s="179"/>
    </row>
    <row r="120" ht="15.75" customHeight="1">
      <c r="A120" s="151">
        <v>41988.0</v>
      </c>
      <c r="B120" s="152">
        <v>1.0</v>
      </c>
      <c r="C120" s="152" t="s">
        <v>46</v>
      </c>
      <c r="D120" s="152">
        <v>3.0</v>
      </c>
      <c r="E120" s="153">
        <v>2056.0</v>
      </c>
      <c r="F120" s="153">
        <f>SUM(('Future Orders'!$E120) * (1.1))</f>
        <v>2261.6</v>
      </c>
      <c r="G120" s="154">
        <v>8.3</v>
      </c>
      <c r="H120" s="155">
        <v>17064.800000000003</v>
      </c>
      <c r="I120" s="155">
        <f>SUM(('Future Orders'!$H120) * (1.1))</f>
        <v>18771.28</v>
      </c>
      <c r="J120" s="159">
        <f>SUMIFS('Future Orders'!$F120, 'Future Orders'!$D120, "1", 'Future Orders'!$C120, "A", 'Future Orders'!$B120, "1")</f>
        <v>0</v>
      </c>
      <c r="K120" s="157">
        <f>SUMIFS('Future Orders'!$I120, 'Future Orders'!$D120, "1", 'Future Orders'!$C120, "A", 'Future Orders'!$B120, "1")</f>
        <v>0</v>
      </c>
      <c r="L120" s="157">
        <f>SUMIFS('Future Orders'!$F120, 'Future Orders'!$D120, "1", 'Future Orders'!$C120, "B", 'Future Orders'!$B120, "1")</f>
        <v>0</v>
      </c>
      <c r="M120" s="157">
        <f>SUMIFS('Future Orders'!$I120, 'Future Orders'!$D120, "1", 'Future Orders'!$C120, "B", 'Future Orders'!$B120, "1")</f>
        <v>0</v>
      </c>
      <c r="N120" s="159">
        <f>SUMIFS('Future Orders'!$F120, 'Future Orders'!$D120, "1", 'Future Orders'!$C120, "A", 'Future Orders'!$B120, "2")</f>
        <v>0</v>
      </c>
      <c r="O120" s="157">
        <f>SUMIFS('Future Orders'!$I120, 'Future Orders'!$D120, "1", 'Future Orders'!$C120, "A", 'Future Orders'!$B120, "2")</f>
        <v>0</v>
      </c>
      <c r="P120" s="157">
        <f>SUMIFS('Future Orders'!$E120, 'Future Orders'!$D120, "1", 'Future Orders'!$C120, "B", 'Future Orders'!$B120, "2")</f>
        <v>0</v>
      </c>
      <c r="Q120" s="157">
        <f>SUMIFS('Future Orders'!$I120, 'Future Orders'!$D120, "1", 'Future Orders'!$C120, "B", 'Future Orders'!$B120, "2")</f>
        <v>0</v>
      </c>
      <c r="R120" s="159">
        <f>SUMIFS('Future Orders'!$F120, 'Future Orders'!$D120, "2", 'Future Orders'!$C120, "A", 'Future Orders'!$B120, "1")</f>
        <v>0</v>
      </c>
      <c r="S120" s="157">
        <f>SUMIFS('Future Orders'!$I120, 'Future Orders'!$D120, "2", 'Future Orders'!$C120, "A", 'Future Orders'!$B120, "1")</f>
        <v>0</v>
      </c>
      <c r="T120" s="159">
        <f>SUMIFS('Future Orders'!$F120, 'Future Orders'!$D120, "2", 'Future Orders'!$C120, "B", 'Future Orders'!$B120, "1")</f>
        <v>0</v>
      </c>
      <c r="U120" s="157">
        <f>SUMIFS('Future Orders'!$I120, 'Future Orders'!$D120, "2", 'Future Orders'!$C120, "B", 'Future Orders'!$B120, "1")</f>
        <v>0</v>
      </c>
      <c r="V120" s="159">
        <f>SUMIFS('Future Orders'!$F120, 'Future Orders'!$D120, "2", 'Future Orders'!$C120, "A", 'Future Orders'!$B120, "2")</f>
        <v>0</v>
      </c>
      <c r="W120" s="157">
        <f>SUMIFS('Future Orders'!$I120, 'Future Orders'!$D120, "2", 'Future Orders'!$C120, "A", 'Future Orders'!$B120, "2")</f>
        <v>0</v>
      </c>
      <c r="X120" s="159">
        <f>SUMIFS('Future Orders'!$F120, 'Future Orders'!$D120, "2", 'Future Orders'!$C120, "B", 'Future Orders'!$B120, "2")</f>
        <v>0</v>
      </c>
      <c r="Y120" s="159">
        <f>SUMIFS('Future Orders'!$I120, 'Future Orders'!$D120, "2", 'Future Orders'!$C120, "B", 'Future Orders'!$B120, "2")</f>
        <v>0</v>
      </c>
      <c r="Z120" s="159">
        <f>SUMIFS('Future Orders'!$F120, 'Future Orders'!$D120, "3", 'Future Orders'!$C120, "A", 'Future Orders'!$B120, "1")</f>
        <v>0</v>
      </c>
      <c r="AA120" s="159">
        <f>SUMIFS('Future Orders'!$I120, 'Future Orders'!$D120, "3", 'Future Orders'!$C120, "A", 'Future Orders'!$B120, "1")</f>
        <v>0</v>
      </c>
      <c r="AB120" s="159">
        <f>SUMIFS('Future Orders'!$F120, 'Future Orders'!$D120, "3", 'Future Orders'!$C120, "B", 'Future Orders'!$B120, "1")</f>
        <v>2261.6</v>
      </c>
      <c r="AC120" s="159">
        <f>SUMIFS('Future Orders'!$I120, 'Future Orders'!$D120, "3", 'Future Orders'!$C120, "B", 'Future Orders'!$B120, "1")</f>
        <v>18771.28</v>
      </c>
      <c r="AD120" s="159">
        <f>SUMIFS('Future Orders'!$F120, 'Future Orders'!$D120, "3", 'Future Orders'!$C120, "A", 'Future Orders'!$B120, "2")</f>
        <v>0</v>
      </c>
      <c r="AE120" s="159">
        <f>SUMIFS('Future Orders'!$I120, 'Future Orders'!$D120, "3", 'Future Orders'!$C120, "A", 'Future Orders'!$B120, "2")</f>
        <v>0</v>
      </c>
      <c r="AF120" s="159">
        <f>SUMIFS('Future Orders'!$F120, 'Future Orders'!$D120, "3", 'Future Orders'!$C120, "B", 'Future Orders'!$B120, "2")</f>
        <v>0</v>
      </c>
      <c r="AG120" s="157">
        <f>SUMIFS('Future Orders'!$I120, 'Future Orders'!$D120, "3", 'Future Orders'!$C120, "B", 'Future Orders'!$B120, "2")</f>
        <v>0</v>
      </c>
      <c r="AH120" s="157">
        <f>SUMIFS('Future Orders'!$F120, 'Future Orders'!$D120, "4", 'Future Orders'!$C120, "A", 'Future Orders'!$B120, "1")</f>
        <v>0</v>
      </c>
      <c r="AI120" s="157">
        <f>SUMIFS('Future Orders'!$I120, 'Future Orders'!$D120, "4", 'Future Orders'!$C120, "A", 'Future Orders'!$B120, "1")</f>
        <v>0</v>
      </c>
      <c r="AJ120" s="157">
        <f>SUMIFS('Future Orders'!$F120, 'Future Orders'!$D120, "4", 'Future Orders'!$C120, "B", 'Future Orders'!$B120, "1")</f>
        <v>0</v>
      </c>
      <c r="AK120" s="157">
        <f>SUMIFS('Future Orders'!$I120, 'Future Orders'!$D120, "4", 'Future Orders'!$C120, "B", 'Future Orders'!$B120, "1")</f>
        <v>0</v>
      </c>
      <c r="AL120" s="157">
        <f>SUMIFS('Future Orders'!$F120, 'Future Orders'!$D120, "4", 'Future Orders'!$C120, "A", 'Future Orders'!$B120, "2")</f>
        <v>0</v>
      </c>
      <c r="AM120" s="157">
        <f>SUMIFS('Future Orders'!$I120, 'Future Orders'!$D120, "4", 'Future Orders'!$C120, "A", 'Future Orders'!$B120, "2")</f>
        <v>0</v>
      </c>
      <c r="AN120" s="171">
        <f>SUMIFS('Future Orders'!$F120, 'Future Orders'!$D120, "4", 'Future Orders'!$C120, "B", 'Future Orders'!$B120, "2")</f>
        <v>0</v>
      </c>
      <c r="AO120" s="171">
        <f>SUMIFS('Future Orders'!$I120, 'Future Orders'!$D120, "4", 'Future Orders'!$C120, "B", 'Future Orders'!$B120, "2")</f>
        <v>0</v>
      </c>
      <c r="AP120" s="171">
        <f>SUMIFS('Future Orders'!$H120, 'Future Orders'!$C120, "A", 'Future Orders'!$B120, "1")</f>
        <v>0</v>
      </c>
      <c r="AQ120" s="171">
        <f>SUMIFS('Future Orders'!$I120, 'Future Orders'!$C120, "B", 'Future Orders'!$B120, "1")</f>
        <v>18771.28</v>
      </c>
      <c r="AR120" s="171">
        <f>SUMIFS('Future Orders'!$H120, 'Future Orders'!$C120, "A", 'Future Orders'!$B120, "2")</f>
        <v>0</v>
      </c>
      <c r="AS120" s="171">
        <f>SUMIFS('Future Orders'!$I120, 'Future Orders'!$C120, "B", 'Future Orders'!$B120, "2")</f>
        <v>0</v>
      </c>
      <c r="AT120" s="145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2"/>
      <c r="BZ120" s="172"/>
      <c r="CA120" s="179"/>
      <c r="CB120" s="179"/>
      <c r="CC120" s="179"/>
      <c r="CD120" s="179"/>
      <c r="CE120" s="179"/>
      <c r="CF120" s="179"/>
      <c r="CG120" s="179"/>
      <c r="CH120" s="179"/>
      <c r="CI120" s="179"/>
      <c r="CJ120" s="179"/>
      <c r="CK120" s="179"/>
      <c r="CL120" s="179"/>
      <c r="CM120" s="179"/>
      <c r="CN120" s="179"/>
      <c r="CO120" s="179"/>
      <c r="CP120" s="179"/>
    </row>
    <row r="121" ht="15.75" customHeight="1">
      <c r="A121" s="151">
        <v>41988.0</v>
      </c>
      <c r="B121" s="152">
        <v>2.0</v>
      </c>
      <c r="C121" s="152" t="s">
        <v>46</v>
      </c>
      <c r="D121" s="152">
        <v>3.0</v>
      </c>
      <c r="E121" s="153">
        <v>2191.0</v>
      </c>
      <c r="F121" s="153">
        <f>SUM(('Future Orders'!$E121) * (1.1))</f>
        <v>2410.1</v>
      </c>
      <c r="G121" s="154">
        <v>8.3</v>
      </c>
      <c r="H121" s="155">
        <v>18185.300000000003</v>
      </c>
      <c r="I121" s="155">
        <f>SUM(('Future Orders'!$H121) * (1.1))</f>
        <v>20003.83</v>
      </c>
      <c r="J121" s="159">
        <f>SUMIFS('Future Orders'!$F121, 'Future Orders'!$D121, "1", 'Future Orders'!$C121, "A", 'Future Orders'!$B121, "1")</f>
        <v>0</v>
      </c>
      <c r="K121" s="157">
        <f>SUMIFS('Future Orders'!$I121, 'Future Orders'!$D121, "1", 'Future Orders'!$C121, "A", 'Future Orders'!$B121, "1")</f>
        <v>0</v>
      </c>
      <c r="L121" s="157">
        <f>SUMIFS('Future Orders'!$F121, 'Future Orders'!$D121, "1", 'Future Orders'!$C121, "B", 'Future Orders'!$B121, "1")</f>
        <v>0</v>
      </c>
      <c r="M121" s="157">
        <f>SUMIFS('Future Orders'!$I121, 'Future Orders'!$D121, "1", 'Future Orders'!$C121, "B", 'Future Orders'!$B121, "1")</f>
        <v>0</v>
      </c>
      <c r="N121" s="159">
        <f>SUMIFS('Future Orders'!$F121, 'Future Orders'!$D121, "1", 'Future Orders'!$C121, "A", 'Future Orders'!$B121, "2")</f>
        <v>0</v>
      </c>
      <c r="O121" s="157">
        <f>SUMIFS('Future Orders'!$I121, 'Future Orders'!$D121, "1", 'Future Orders'!$C121, "A", 'Future Orders'!$B121, "2")</f>
        <v>0</v>
      </c>
      <c r="P121" s="157">
        <f>SUMIFS('Future Orders'!$E121, 'Future Orders'!$D121, "1", 'Future Orders'!$C121, "B", 'Future Orders'!$B121, "2")</f>
        <v>0</v>
      </c>
      <c r="Q121" s="157">
        <f>SUMIFS('Future Orders'!$I121, 'Future Orders'!$D121, "1", 'Future Orders'!$C121, "B", 'Future Orders'!$B121, "2")</f>
        <v>0</v>
      </c>
      <c r="R121" s="159">
        <f>SUMIFS('Future Orders'!$F121, 'Future Orders'!$D121, "2", 'Future Orders'!$C121, "A", 'Future Orders'!$B121, "1")</f>
        <v>0</v>
      </c>
      <c r="S121" s="157">
        <f>SUMIFS('Future Orders'!$I121, 'Future Orders'!$D121, "2", 'Future Orders'!$C121, "A", 'Future Orders'!$B121, "1")</f>
        <v>0</v>
      </c>
      <c r="T121" s="159">
        <f>SUMIFS('Future Orders'!$F121, 'Future Orders'!$D121, "2", 'Future Orders'!$C121, "B", 'Future Orders'!$B121, "1")</f>
        <v>0</v>
      </c>
      <c r="U121" s="157">
        <f>SUMIFS('Future Orders'!$I121, 'Future Orders'!$D121, "2", 'Future Orders'!$C121, "B", 'Future Orders'!$B121, "1")</f>
        <v>0</v>
      </c>
      <c r="V121" s="159">
        <f>SUMIFS('Future Orders'!$F121, 'Future Orders'!$D121, "2", 'Future Orders'!$C121, "A", 'Future Orders'!$B121, "2")</f>
        <v>0</v>
      </c>
      <c r="W121" s="157">
        <f>SUMIFS('Future Orders'!$I121, 'Future Orders'!$D121, "2", 'Future Orders'!$C121, "A", 'Future Orders'!$B121, "2")</f>
        <v>0</v>
      </c>
      <c r="X121" s="159">
        <f>SUMIFS('Future Orders'!$F121, 'Future Orders'!$D121, "2", 'Future Orders'!$C121, "B", 'Future Orders'!$B121, "2")</f>
        <v>0</v>
      </c>
      <c r="Y121" s="159">
        <f>SUMIFS('Future Orders'!$I121, 'Future Orders'!$D121, "2", 'Future Orders'!$C121, "B", 'Future Orders'!$B121, "2")</f>
        <v>0</v>
      </c>
      <c r="Z121" s="159">
        <f>SUMIFS('Future Orders'!$F121, 'Future Orders'!$D121, "3", 'Future Orders'!$C121, "A", 'Future Orders'!$B121, "1")</f>
        <v>0</v>
      </c>
      <c r="AA121" s="159">
        <f>SUMIFS('Future Orders'!$I121, 'Future Orders'!$D121, "3", 'Future Orders'!$C121, "A", 'Future Orders'!$B121, "1")</f>
        <v>0</v>
      </c>
      <c r="AB121" s="159">
        <f>SUMIFS('Future Orders'!$F121, 'Future Orders'!$D121, "3", 'Future Orders'!$C121, "B", 'Future Orders'!$B121, "1")</f>
        <v>0</v>
      </c>
      <c r="AC121" s="159">
        <f>SUMIFS('Future Orders'!$I121, 'Future Orders'!$D121, "3", 'Future Orders'!$C121, "B", 'Future Orders'!$B121, "1")</f>
        <v>0</v>
      </c>
      <c r="AD121" s="159">
        <f>SUMIFS('Future Orders'!$F121, 'Future Orders'!$D121, "3", 'Future Orders'!$C121, "A", 'Future Orders'!$B121, "2")</f>
        <v>0</v>
      </c>
      <c r="AE121" s="159">
        <f>SUMIFS('Future Orders'!$I121, 'Future Orders'!$D121, "3", 'Future Orders'!$C121, "A", 'Future Orders'!$B121, "2")</f>
        <v>0</v>
      </c>
      <c r="AF121" s="159">
        <f>SUMIFS('Future Orders'!$F121, 'Future Orders'!$D121, "3", 'Future Orders'!$C121, "B", 'Future Orders'!$B121, "2")</f>
        <v>2410.1</v>
      </c>
      <c r="AG121" s="157">
        <f>SUMIFS('Future Orders'!$I121, 'Future Orders'!$D121, "3", 'Future Orders'!$C121, "B", 'Future Orders'!$B121, "2")</f>
        <v>20003.83</v>
      </c>
      <c r="AH121" s="157">
        <f>SUMIFS('Future Orders'!$F121, 'Future Orders'!$D121, "4", 'Future Orders'!$C121, "A", 'Future Orders'!$B121, "1")</f>
        <v>0</v>
      </c>
      <c r="AI121" s="157">
        <f>SUMIFS('Future Orders'!$I121, 'Future Orders'!$D121, "4", 'Future Orders'!$C121, "A", 'Future Orders'!$B121, "1")</f>
        <v>0</v>
      </c>
      <c r="AJ121" s="157">
        <f>SUMIFS('Future Orders'!$F121, 'Future Orders'!$D121, "4", 'Future Orders'!$C121, "B", 'Future Orders'!$B121, "1")</f>
        <v>0</v>
      </c>
      <c r="AK121" s="157">
        <f>SUMIFS('Future Orders'!$I121, 'Future Orders'!$D121, "4", 'Future Orders'!$C121, "B", 'Future Orders'!$B121, "1")</f>
        <v>0</v>
      </c>
      <c r="AL121" s="157">
        <f>SUMIFS('Future Orders'!$F121, 'Future Orders'!$D121, "4", 'Future Orders'!$C121, "A", 'Future Orders'!$B121, "2")</f>
        <v>0</v>
      </c>
      <c r="AM121" s="157">
        <f>SUMIFS('Future Orders'!$I121, 'Future Orders'!$D121, "4", 'Future Orders'!$C121, "A", 'Future Orders'!$B121, "2")</f>
        <v>0</v>
      </c>
      <c r="AN121" s="171">
        <f>SUMIFS('Future Orders'!$F121, 'Future Orders'!$D121, "4", 'Future Orders'!$C121, "B", 'Future Orders'!$B121, "2")</f>
        <v>0</v>
      </c>
      <c r="AO121" s="171">
        <f>SUMIFS('Future Orders'!$I121, 'Future Orders'!$D121, "4", 'Future Orders'!$C121, "B", 'Future Orders'!$B121, "2")</f>
        <v>0</v>
      </c>
      <c r="AP121" s="171">
        <f>SUMIFS('Future Orders'!$H121, 'Future Orders'!$C121, "A", 'Future Orders'!$B121, "1")</f>
        <v>0</v>
      </c>
      <c r="AQ121" s="171">
        <f>SUMIFS('Future Orders'!$I121, 'Future Orders'!$C121, "B", 'Future Orders'!$B121, "1")</f>
        <v>0</v>
      </c>
      <c r="AR121" s="171">
        <f>SUMIFS('Future Orders'!$H121, 'Future Orders'!$C121, "A", 'Future Orders'!$B121, "2")</f>
        <v>0</v>
      </c>
      <c r="AS121" s="171">
        <f>SUMIFS('Future Orders'!$I121, 'Future Orders'!$C121, "B", 'Future Orders'!$B121, "2")</f>
        <v>20003.83</v>
      </c>
      <c r="AT121" s="145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2"/>
      <c r="BZ121" s="172"/>
      <c r="CA121" s="179"/>
      <c r="CB121" s="179"/>
      <c r="CC121" s="179"/>
      <c r="CD121" s="179"/>
      <c r="CE121" s="179"/>
      <c r="CF121" s="179"/>
      <c r="CG121" s="179"/>
      <c r="CH121" s="179"/>
      <c r="CI121" s="179"/>
      <c r="CJ121" s="179"/>
      <c r="CK121" s="179"/>
      <c r="CL121" s="179"/>
      <c r="CM121" s="179"/>
      <c r="CN121" s="179"/>
      <c r="CO121" s="179"/>
      <c r="CP121" s="179"/>
    </row>
    <row r="122" ht="15.75" customHeight="1">
      <c r="A122" s="151">
        <v>41995.0</v>
      </c>
      <c r="B122" s="152">
        <v>1.0</v>
      </c>
      <c r="C122" s="152" t="s">
        <v>45</v>
      </c>
      <c r="D122" s="152">
        <v>1.0</v>
      </c>
      <c r="E122" s="153">
        <v>4301.0</v>
      </c>
      <c r="F122" s="153">
        <f>SUM(('Future Orders'!$E122) * (1.1))</f>
        <v>4731.1</v>
      </c>
      <c r="G122" s="154">
        <v>2.2</v>
      </c>
      <c r="H122" s="155">
        <v>9462.2</v>
      </c>
      <c r="I122" s="155">
        <f>SUM(('Future Orders'!$H122) * (1.1))</f>
        <v>10408.42</v>
      </c>
      <c r="J122" s="159">
        <f>SUMIFS('Future Orders'!$F122, 'Future Orders'!$D122, "1", 'Future Orders'!$C122, "A", 'Future Orders'!$B122, "1")</f>
        <v>4731.1</v>
      </c>
      <c r="K122" s="157">
        <f>SUMIFS('Future Orders'!$I122, 'Future Orders'!$D122, "1", 'Future Orders'!$C122, "A", 'Future Orders'!$B122, "1")</f>
        <v>10408.42</v>
      </c>
      <c r="L122" s="157">
        <f>SUMIFS('Future Orders'!$F122, 'Future Orders'!$D122, "1", 'Future Orders'!$C122, "B", 'Future Orders'!$B122, "1")</f>
        <v>0</v>
      </c>
      <c r="M122" s="157">
        <f>SUMIFS('Future Orders'!$I122, 'Future Orders'!$D122, "1", 'Future Orders'!$C122, "B", 'Future Orders'!$B122, "1")</f>
        <v>0</v>
      </c>
      <c r="N122" s="159">
        <f>SUMIFS('Future Orders'!$F122, 'Future Orders'!$D122, "1", 'Future Orders'!$C122, "A", 'Future Orders'!$B122, "2")</f>
        <v>0</v>
      </c>
      <c r="O122" s="157">
        <f>SUMIFS('Future Orders'!$I122, 'Future Orders'!$D122, "1", 'Future Orders'!$C122, "A", 'Future Orders'!$B122, "2")</f>
        <v>0</v>
      </c>
      <c r="P122" s="157">
        <f>SUMIFS('Future Orders'!$E122, 'Future Orders'!$D122, "1", 'Future Orders'!$C122, "B", 'Future Orders'!$B122, "2")</f>
        <v>0</v>
      </c>
      <c r="Q122" s="157">
        <f>SUMIFS('Future Orders'!$I122, 'Future Orders'!$D122, "1", 'Future Orders'!$C122, "B", 'Future Orders'!$B122, "2")</f>
        <v>0</v>
      </c>
      <c r="R122" s="159">
        <f>SUMIFS('Future Orders'!$F122, 'Future Orders'!$D122, "2", 'Future Orders'!$C122, "A", 'Future Orders'!$B122, "1")</f>
        <v>0</v>
      </c>
      <c r="S122" s="157">
        <f>SUMIFS('Future Orders'!$I122, 'Future Orders'!$D122, "2", 'Future Orders'!$C122, "A", 'Future Orders'!$B122, "1")</f>
        <v>0</v>
      </c>
      <c r="T122" s="159">
        <f>SUMIFS('Future Orders'!$F122, 'Future Orders'!$D122, "2", 'Future Orders'!$C122, "B", 'Future Orders'!$B122, "1")</f>
        <v>0</v>
      </c>
      <c r="U122" s="157">
        <f>SUMIFS('Future Orders'!$I122, 'Future Orders'!$D122, "2", 'Future Orders'!$C122, "B", 'Future Orders'!$B122, "1")</f>
        <v>0</v>
      </c>
      <c r="V122" s="159">
        <f>SUMIFS('Future Orders'!$F122, 'Future Orders'!$D122, "2", 'Future Orders'!$C122, "A", 'Future Orders'!$B122, "2")</f>
        <v>0</v>
      </c>
      <c r="W122" s="157">
        <f>SUMIFS('Future Orders'!$I122, 'Future Orders'!$D122, "2", 'Future Orders'!$C122, "A", 'Future Orders'!$B122, "2")</f>
        <v>0</v>
      </c>
      <c r="X122" s="159">
        <f>SUMIFS('Future Orders'!$F122, 'Future Orders'!$D122, "2", 'Future Orders'!$C122, "B", 'Future Orders'!$B122, "2")</f>
        <v>0</v>
      </c>
      <c r="Y122" s="159">
        <f>SUMIFS('Future Orders'!$I122, 'Future Orders'!$D122, "2", 'Future Orders'!$C122, "B", 'Future Orders'!$B122, "2")</f>
        <v>0</v>
      </c>
      <c r="Z122" s="159">
        <f>SUMIFS('Future Orders'!$F122, 'Future Orders'!$D122, "3", 'Future Orders'!$C122, "A", 'Future Orders'!$B122, "1")</f>
        <v>0</v>
      </c>
      <c r="AA122" s="159">
        <f>SUMIFS('Future Orders'!$I122, 'Future Orders'!$D122, "3", 'Future Orders'!$C122, "A", 'Future Orders'!$B122, "1")</f>
        <v>0</v>
      </c>
      <c r="AB122" s="159">
        <f>SUMIFS('Future Orders'!$F122, 'Future Orders'!$D122, "3", 'Future Orders'!$C122, "B", 'Future Orders'!$B122, "1")</f>
        <v>0</v>
      </c>
      <c r="AC122" s="159">
        <f>SUMIFS('Future Orders'!$I122, 'Future Orders'!$D122, "3", 'Future Orders'!$C122, "B", 'Future Orders'!$B122, "1")</f>
        <v>0</v>
      </c>
      <c r="AD122" s="159">
        <f>SUMIFS('Future Orders'!$F122, 'Future Orders'!$D122, "3", 'Future Orders'!$C122, "A", 'Future Orders'!$B122, "2")</f>
        <v>0</v>
      </c>
      <c r="AE122" s="159">
        <f>SUMIFS('Future Orders'!$I122, 'Future Orders'!$D122, "3", 'Future Orders'!$C122, "A", 'Future Orders'!$B122, "2")</f>
        <v>0</v>
      </c>
      <c r="AF122" s="159">
        <f>SUMIFS('Future Orders'!$F122, 'Future Orders'!$D122, "3", 'Future Orders'!$C122, "B", 'Future Orders'!$B122, "2")</f>
        <v>0</v>
      </c>
      <c r="AG122" s="157">
        <f>SUMIFS('Future Orders'!$I122, 'Future Orders'!$D122, "3", 'Future Orders'!$C122, "B", 'Future Orders'!$B122, "2")</f>
        <v>0</v>
      </c>
      <c r="AH122" s="157">
        <f>SUMIFS('Future Orders'!$F122, 'Future Orders'!$D122, "4", 'Future Orders'!$C122, "A", 'Future Orders'!$B122, "1")</f>
        <v>0</v>
      </c>
      <c r="AI122" s="157">
        <f>SUMIFS('Future Orders'!$I122, 'Future Orders'!$D122, "4", 'Future Orders'!$C122, "A", 'Future Orders'!$B122, "1")</f>
        <v>0</v>
      </c>
      <c r="AJ122" s="157">
        <f>SUMIFS('Future Orders'!$F122, 'Future Orders'!$D122, "4", 'Future Orders'!$C122, "B", 'Future Orders'!$B122, "1")</f>
        <v>0</v>
      </c>
      <c r="AK122" s="157">
        <f>SUMIFS('Future Orders'!$I122, 'Future Orders'!$D122, "4", 'Future Orders'!$C122, "B", 'Future Orders'!$B122, "1")</f>
        <v>0</v>
      </c>
      <c r="AL122" s="157">
        <f>SUMIFS('Future Orders'!$F122, 'Future Orders'!$D122, "4", 'Future Orders'!$C122, "A", 'Future Orders'!$B122, "2")</f>
        <v>0</v>
      </c>
      <c r="AM122" s="157">
        <f>SUMIFS('Future Orders'!$I122, 'Future Orders'!$D122, "4", 'Future Orders'!$C122, "A", 'Future Orders'!$B122, "2")</f>
        <v>0</v>
      </c>
      <c r="AN122" s="171">
        <f>SUMIFS('Future Orders'!$F122, 'Future Orders'!$D122, "4", 'Future Orders'!$C122, "B", 'Future Orders'!$B122, "2")</f>
        <v>0</v>
      </c>
      <c r="AO122" s="171">
        <f>SUMIFS('Future Orders'!$I122, 'Future Orders'!$D122, "4", 'Future Orders'!$C122, "B", 'Future Orders'!$B122, "2")</f>
        <v>0</v>
      </c>
      <c r="AP122" s="171">
        <f>SUMIFS('Future Orders'!$H122, 'Future Orders'!$C122, "A", 'Future Orders'!$B122, "1")</f>
        <v>9462.2</v>
      </c>
      <c r="AQ122" s="171">
        <f>SUMIFS('Future Orders'!$I122, 'Future Orders'!$C122, "B", 'Future Orders'!$B122, "1")</f>
        <v>0</v>
      </c>
      <c r="AR122" s="171">
        <f>SUMIFS('Future Orders'!$H122, 'Future Orders'!$C122, "A", 'Future Orders'!$B122, "2")</f>
        <v>0</v>
      </c>
      <c r="AS122" s="171">
        <f>SUMIFS('Future Orders'!$I122, 'Future Orders'!$C122, "B", 'Future Orders'!$B122, "2")</f>
        <v>0</v>
      </c>
      <c r="AT122" s="145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2"/>
      <c r="BZ122" s="172"/>
      <c r="CA122" s="179"/>
      <c r="CB122" s="179"/>
      <c r="CC122" s="179"/>
      <c r="CD122" s="179"/>
      <c r="CE122" s="179"/>
      <c r="CF122" s="179"/>
      <c r="CG122" s="179"/>
      <c r="CH122" s="179"/>
      <c r="CI122" s="179"/>
      <c r="CJ122" s="179"/>
      <c r="CK122" s="179"/>
      <c r="CL122" s="179"/>
      <c r="CM122" s="179"/>
      <c r="CN122" s="179"/>
      <c r="CO122" s="179"/>
      <c r="CP122" s="179"/>
    </row>
    <row r="123" ht="15.75" customHeight="1">
      <c r="A123" s="151">
        <v>41995.0</v>
      </c>
      <c r="B123" s="152">
        <v>1.0</v>
      </c>
      <c r="C123" s="152" t="s">
        <v>45</v>
      </c>
      <c r="D123" s="152">
        <v>2.0</v>
      </c>
      <c r="E123" s="153">
        <v>5962.0</v>
      </c>
      <c r="F123" s="153">
        <f>SUM(('Future Orders'!$E123) * (1.1))</f>
        <v>6558.2</v>
      </c>
      <c r="G123" s="154">
        <v>1.2</v>
      </c>
      <c r="H123" s="155">
        <v>7154.4</v>
      </c>
      <c r="I123" s="155">
        <f>SUM(('Future Orders'!$H123) * (1.1))</f>
        <v>7869.84</v>
      </c>
      <c r="J123" s="159">
        <f>SUMIFS('Future Orders'!$F123, 'Future Orders'!$D123, "1", 'Future Orders'!$C123, "A", 'Future Orders'!$B123, "1")</f>
        <v>0</v>
      </c>
      <c r="K123" s="157">
        <f>SUMIFS('Future Orders'!$I123, 'Future Orders'!$D123, "1", 'Future Orders'!$C123, "A", 'Future Orders'!$B123, "1")</f>
        <v>0</v>
      </c>
      <c r="L123" s="157">
        <f>SUMIFS('Future Orders'!$F123, 'Future Orders'!$D123, "1", 'Future Orders'!$C123, "B", 'Future Orders'!$B123, "1")</f>
        <v>0</v>
      </c>
      <c r="M123" s="157">
        <f>SUMIFS('Future Orders'!$I123, 'Future Orders'!$D123, "1", 'Future Orders'!$C123, "B", 'Future Orders'!$B123, "1")</f>
        <v>0</v>
      </c>
      <c r="N123" s="159">
        <f>SUMIFS('Future Orders'!$F123, 'Future Orders'!$D123, "1", 'Future Orders'!$C123, "A", 'Future Orders'!$B123, "2")</f>
        <v>0</v>
      </c>
      <c r="O123" s="157">
        <f>SUMIFS('Future Orders'!$I123, 'Future Orders'!$D123, "1", 'Future Orders'!$C123, "A", 'Future Orders'!$B123, "2")</f>
        <v>0</v>
      </c>
      <c r="P123" s="157">
        <f>SUMIFS('Future Orders'!$E123, 'Future Orders'!$D123, "1", 'Future Orders'!$C123, "B", 'Future Orders'!$B123, "2")</f>
        <v>0</v>
      </c>
      <c r="Q123" s="157">
        <f>SUMIFS('Future Orders'!$I123, 'Future Orders'!$D123, "1", 'Future Orders'!$C123, "B", 'Future Orders'!$B123, "2")</f>
        <v>0</v>
      </c>
      <c r="R123" s="159">
        <f>SUMIFS('Future Orders'!$F123, 'Future Orders'!$D123, "2", 'Future Orders'!$C123, "A", 'Future Orders'!$B123, "1")</f>
        <v>6558.2</v>
      </c>
      <c r="S123" s="157">
        <f>SUMIFS('Future Orders'!$I123, 'Future Orders'!$D123, "2", 'Future Orders'!$C123, "A", 'Future Orders'!$B123, "1")</f>
        <v>7869.84</v>
      </c>
      <c r="T123" s="159">
        <f>SUMIFS('Future Orders'!$F123, 'Future Orders'!$D123, "2", 'Future Orders'!$C123, "B", 'Future Orders'!$B123, "1")</f>
        <v>0</v>
      </c>
      <c r="U123" s="157">
        <f>SUMIFS('Future Orders'!$I123, 'Future Orders'!$D123, "2", 'Future Orders'!$C123, "B", 'Future Orders'!$B123, "1")</f>
        <v>0</v>
      </c>
      <c r="V123" s="159">
        <f>SUMIFS('Future Orders'!$F123, 'Future Orders'!$D123, "2", 'Future Orders'!$C123, "A", 'Future Orders'!$B123, "2")</f>
        <v>0</v>
      </c>
      <c r="W123" s="157">
        <f>SUMIFS('Future Orders'!$I123, 'Future Orders'!$D123, "2", 'Future Orders'!$C123, "A", 'Future Orders'!$B123, "2")</f>
        <v>0</v>
      </c>
      <c r="X123" s="159">
        <f>SUMIFS('Future Orders'!$F123, 'Future Orders'!$D123, "2", 'Future Orders'!$C123, "B", 'Future Orders'!$B123, "2")</f>
        <v>0</v>
      </c>
      <c r="Y123" s="159">
        <f>SUMIFS('Future Orders'!$I123, 'Future Orders'!$D123, "2", 'Future Orders'!$C123, "B", 'Future Orders'!$B123, "2")</f>
        <v>0</v>
      </c>
      <c r="Z123" s="159">
        <f>SUMIFS('Future Orders'!$F123, 'Future Orders'!$D123, "3", 'Future Orders'!$C123, "A", 'Future Orders'!$B123, "1")</f>
        <v>0</v>
      </c>
      <c r="AA123" s="159">
        <f>SUMIFS('Future Orders'!$I123, 'Future Orders'!$D123, "3", 'Future Orders'!$C123, "A", 'Future Orders'!$B123, "1")</f>
        <v>0</v>
      </c>
      <c r="AB123" s="159">
        <f>SUMIFS('Future Orders'!$F123, 'Future Orders'!$D123, "3", 'Future Orders'!$C123, "B", 'Future Orders'!$B123, "1")</f>
        <v>0</v>
      </c>
      <c r="AC123" s="159">
        <f>SUMIFS('Future Orders'!$I123, 'Future Orders'!$D123, "3", 'Future Orders'!$C123, "B", 'Future Orders'!$B123, "1")</f>
        <v>0</v>
      </c>
      <c r="AD123" s="159">
        <f>SUMIFS('Future Orders'!$F123, 'Future Orders'!$D123, "3", 'Future Orders'!$C123, "A", 'Future Orders'!$B123, "2")</f>
        <v>0</v>
      </c>
      <c r="AE123" s="159">
        <f>SUMIFS('Future Orders'!$I123, 'Future Orders'!$D123, "3", 'Future Orders'!$C123, "A", 'Future Orders'!$B123, "2")</f>
        <v>0</v>
      </c>
      <c r="AF123" s="159">
        <f>SUMIFS('Future Orders'!$F123, 'Future Orders'!$D123, "3", 'Future Orders'!$C123, "B", 'Future Orders'!$B123, "2")</f>
        <v>0</v>
      </c>
      <c r="AG123" s="157">
        <f>SUMIFS('Future Orders'!$I123, 'Future Orders'!$D123, "3", 'Future Orders'!$C123, "B", 'Future Orders'!$B123, "2")</f>
        <v>0</v>
      </c>
      <c r="AH123" s="157">
        <f>SUMIFS('Future Orders'!$F123, 'Future Orders'!$D123, "4", 'Future Orders'!$C123, "A", 'Future Orders'!$B123, "1")</f>
        <v>0</v>
      </c>
      <c r="AI123" s="157">
        <f>SUMIFS('Future Orders'!$I123, 'Future Orders'!$D123, "4", 'Future Orders'!$C123, "A", 'Future Orders'!$B123, "1")</f>
        <v>0</v>
      </c>
      <c r="AJ123" s="157">
        <f>SUMIFS('Future Orders'!$F123, 'Future Orders'!$D123, "4", 'Future Orders'!$C123, "B", 'Future Orders'!$B123, "1")</f>
        <v>0</v>
      </c>
      <c r="AK123" s="157">
        <f>SUMIFS('Future Orders'!$I123, 'Future Orders'!$D123, "4", 'Future Orders'!$C123, "B", 'Future Orders'!$B123, "1")</f>
        <v>0</v>
      </c>
      <c r="AL123" s="157">
        <f>SUMIFS('Future Orders'!$F123, 'Future Orders'!$D123, "4", 'Future Orders'!$C123, "A", 'Future Orders'!$B123, "2")</f>
        <v>0</v>
      </c>
      <c r="AM123" s="157">
        <f>SUMIFS('Future Orders'!$I123, 'Future Orders'!$D123, "4", 'Future Orders'!$C123, "A", 'Future Orders'!$B123, "2")</f>
        <v>0</v>
      </c>
      <c r="AN123" s="171">
        <f>SUMIFS('Future Orders'!$F123, 'Future Orders'!$D123, "4", 'Future Orders'!$C123, "B", 'Future Orders'!$B123, "2")</f>
        <v>0</v>
      </c>
      <c r="AO123" s="171">
        <f>SUMIFS('Future Orders'!$I123, 'Future Orders'!$D123, "4", 'Future Orders'!$C123, "B", 'Future Orders'!$B123, "2")</f>
        <v>0</v>
      </c>
      <c r="AP123" s="171">
        <f>SUMIFS('Future Orders'!$H123, 'Future Orders'!$C123, "A", 'Future Orders'!$B123, "1")</f>
        <v>7154.4</v>
      </c>
      <c r="AQ123" s="171">
        <f>SUMIFS('Future Orders'!$I123, 'Future Orders'!$C123, "B", 'Future Orders'!$B123, "1")</f>
        <v>0</v>
      </c>
      <c r="AR123" s="171">
        <f>SUMIFS('Future Orders'!$H123, 'Future Orders'!$C123, "A", 'Future Orders'!$B123, "2")</f>
        <v>0</v>
      </c>
      <c r="AS123" s="171">
        <f>SUMIFS('Future Orders'!$I123, 'Future Orders'!$C123, "B", 'Future Orders'!$B123, "2")</f>
        <v>0</v>
      </c>
      <c r="AT123" s="145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  <c r="BT123" s="172"/>
      <c r="BU123" s="172"/>
      <c r="BV123" s="172"/>
      <c r="BW123" s="172"/>
      <c r="BX123" s="172"/>
      <c r="BY123" s="172"/>
      <c r="BZ123" s="172"/>
      <c r="CA123" s="179"/>
      <c r="CB123" s="179"/>
      <c r="CC123" s="179"/>
      <c r="CD123" s="179"/>
      <c r="CE123" s="179"/>
      <c r="CF123" s="179"/>
      <c r="CG123" s="179"/>
      <c r="CH123" s="179"/>
      <c r="CI123" s="179"/>
      <c r="CJ123" s="179"/>
      <c r="CK123" s="179"/>
      <c r="CL123" s="179"/>
      <c r="CM123" s="179"/>
      <c r="CN123" s="179"/>
      <c r="CO123" s="179"/>
      <c r="CP123" s="179"/>
    </row>
    <row r="124" ht="15.75" customHeight="1">
      <c r="A124" s="151">
        <v>41995.0</v>
      </c>
      <c r="B124" s="152">
        <v>2.0</v>
      </c>
      <c r="C124" s="152" t="s">
        <v>45</v>
      </c>
      <c r="D124" s="152">
        <v>1.0</v>
      </c>
      <c r="E124" s="153">
        <v>3558.0</v>
      </c>
      <c r="F124" s="153">
        <f>SUM(('Future Orders'!$E124) * (1.1))</f>
        <v>3913.8</v>
      </c>
      <c r="G124" s="154">
        <v>2.2</v>
      </c>
      <c r="H124" s="155">
        <v>7827.6</v>
      </c>
      <c r="I124" s="155">
        <f>SUM(('Future Orders'!$H124) * (1.1))</f>
        <v>8610.36</v>
      </c>
      <c r="J124" s="159">
        <f>SUMIFS('Future Orders'!$F124, 'Future Orders'!$D124, "1", 'Future Orders'!$C124, "A", 'Future Orders'!$B124, "1")</f>
        <v>0</v>
      </c>
      <c r="K124" s="157">
        <f>SUMIFS('Future Orders'!$I124, 'Future Orders'!$D124, "1", 'Future Orders'!$C124, "A", 'Future Orders'!$B124, "1")</f>
        <v>0</v>
      </c>
      <c r="L124" s="157">
        <f>SUMIFS('Future Orders'!$F124, 'Future Orders'!$D124, "1", 'Future Orders'!$C124, "B", 'Future Orders'!$B124, "1")</f>
        <v>0</v>
      </c>
      <c r="M124" s="157">
        <f>SUMIFS('Future Orders'!$I124, 'Future Orders'!$D124, "1", 'Future Orders'!$C124, "B", 'Future Orders'!$B124, "1")</f>
        <v>0</v>
      </c>
      <c r="N124" s="159">
        <f>SUMIFS('Future Orders'!$F124, 'Future Orders'!$D124, "1", 'Future Orders'!$C124, "A", 'Future Orders'!$B124, "2")</f>
        <v>3913.8</v>
      </c>
      <c r="O124" s="157">
        <f>SUMIFS('Future Orders'!$I124, 'Future Orders'!$D124, "1", 'Future Orders'!$C124, "A", 'Future Orders'!$B124, "2")</f>
        <v>8610.36</v>
      </c>
      <c r="P124" s="157">
        <f>SUMIFS('Future Orders'!$E124, 'Future Orders'!$D124, "1", 'Future Orders'!$C124, "B", 'Future Orders'!$B124, "2")</f>
        <v>0</v>
      </c>
      <c r="Q124" s="157">
        <f>SUMIFS('Future Orders'!$I124, 'Future Orders'!$D124, "1", 'Future Orders'!$C124, "B", 'Future Orders'!$B124, "2")</f>
        <v>0</v>
      </c>
      <c r="R124" s="159">
        <f>SUMIFS('Future Orders'!$F124, 'Future Orders'!$D124, "2", 'Future Orders'!$C124, "A", 'Future Orders'!$B124, "1")</f>
        <v>0</v>
      </c>
      <c r="S124" s="157">
        <f>SUMIFS('Future Orders'!$I124, 'Future Orders'!$D124, "2", 'Future Orders'!$C124, "A", 'Future Orders'!$B124, "1")</f>
        <v>0</v>
      </c>
      <c r="T124" s="159">
        <f>SUMIFS('Future Orders'!$F124, 'Future Orders'!$D124, "2", 'Future Orders'!$C124, "B", 'Future Orders'!$B124, "1")</f>
        <v>0</v>
      </c>
      <c r="U124" s="157">
        <f>SUMIFS('Future Orders'!$I124, 'Future Orders'!$D124, "2", 'Future Orders'!$C124, "B", 'Future Orders'!$B124, "1")</f>
        <v>0</v>
      </c>
      <c r="V124" s="159">
        <f>SUMIFS('Future Orders'!$F124, 'Future Orders'!$D124, "2", 'Future Orders'!$C124, "A", 'Future Orders'!$B124, "2")</f>
        <v>0</v>
      </c>
      <c r="W124" s="157">
        <f>SUMIFS('Future Orders'!$I124, 'Future Orders'!$D124, "2", 'Future Orders'!$C124, "A", 'Future Orders'!$B124, "2")</f>
        <v>0</v>
      </c>
      <c r="X124" s="159">
        <f>SUMIFS('Future Orders'!$F124, 'Future Orders'!$D124, "2", 'Future Orders'!$C124, "B", 'Future Orders'!$B124, "2")</f>
        <v>0</v>
      </c>
      <c r="Y124" s="159">
        <f>SUMIFS('Future Orders'!$I124, 'Future Orders'!$D124, "2", 'Future Orders'!$C124, "B", 'Future Orders'!$B124, "2")</f>
        <v>0</v>
      </c>
      <c r="Z124" s="159">
        <f>SUMIFS('Future Orders'!$F124, 'Future Orders'!$D124, "3", 'Future Orders'!$C124, "A", 'Future Orders'!$B124, "1")</f>
        <v>0</v>
      </c>
      <c r="AA124" s="159">
        <f>SUMIFS('Future Orders'!$I124, 'Future Orders'!$D124, "3", 'Future Orders'!$C124, "A", 'Future Orders'!$B124, "1")</f>
        <v>0</v>
      </c>
      <c r="AB124" s="159">
        <f>SUMIFS('Future Orders'!$F124, 'Future Orders'!$D124, "3", 'Future Orders'!$C124, "B", 'Future Orders'!$B124, "1")</f>
        <v>0</v>
      </c>
      <c r="AC124" s="159">
        <f>SUMIFS('Future Orders'!$I124, 'Future Orders'!$D124, "3", 'Future Orders'!$C124, "B", 'Future Orders'!$B124, "1")</f>
        <v>0</v>
      </c>
      <c r="AD124" s="159">
        <f>SUMIFS('Future Orders'!$F124, 'Future Orders'!$D124, "3", 'Future Orders'!$C124, "A", 'Future Orders'!$B124, "2")</f>
        <v>0</v>
      </c>
      <c r="AE124" s="159">
        <f>SUMIFS('Future Orders'!$I124, 'Future Orders'!$D124, "3", 'Future Orders'!$C124, "A", 'Future Orders'!$B124, "2")</f>
        <v>0</v>
      </c>
      <c r="AF124" s="159">
        <f>SUMIFS('Future Orders'!$F124, 'Future Orders'!$D124, "3", 'Future Orders'!$C124, "B", 'Future Orders'!$B124, "2")</f>
        <v>0</v>
      </c>
      <c r="AG124" s="157">
        <f>SUMIFS('Future Orders'!$I124, 'Future Orders'!$D124, "3", 'Future Orders'!$C124, "B", 'Future Orders'!$B124, "2")</f>
        <v>0</v>
      </c>
      <c r="AH124" s="157">
        <f>SUMIFS('Future Orders'!$F124, 'Future Orders'!$D124, "4", 'Future Orders'!$C124, "A", 'Future Orders'!$B124, "1")</f>
        <v>0</v>
      </c>
      <c r="AI124" s="157">
        <f>SUMIFS('Future Orders'!$I124, 'Future Orders'!$D124, "4", 'Future Orders'!$C124, "A", 'Future Orders'!$B124, "1")</f>
        <v>0</v>
      </c>
      <c r="AJ124" s="157">
        <f>SUMIFS('Future Orders'!$F124, 'Future Orders'!$D124, "4", 'Future Orders'!$C124, "B", 'Future Orders'!$B124, "1")</f>
        <v>0</v>
      </c>
      <c r="AK124" s="157">
        <f>SUMIFS('Future Orders'!$I124, 'Future Orders'!$D124, "4", 'Future Orders'!$C124, "B", 'Future Orders'!$B124, "1")</f>
        <v>0</v>
      </c>
      <c r="AL124" s="157">
        <f>SUMIFS('Future Orders'!$F124, 'Future Orders'!$D124, "4", 'Future Orders'!$C124, "A", 'Future Orders'!$B124, "2")</f>
        <v>0</v>
      </c>
      <c r="AM124" s="157">
        <f>SUMIFS('Future Orders'!$I124, 'Future Orders'!$D124, "4", 'Future Orders'!$C124, "A", 'Future Orders'!$B124, "2")</f>
        <v>0</v>
      </c>
      <c r="AN124" s="171">
        <f>SUMIFS('Future Orders'!$F124, 'Future Orders'!$D124, "4", 'Future Orders'!$C124, "B", 'Future Orders'!$B124, "2")</f>
        <v>0</v>
      </c>
      <c r="AO124" s="171">
        <f>SUMIFS('Future Orders'!$I124, 'Future Orders'!$D124, "4", 'Future Orders'!$C124, "B", 'Future Orders'!$B124, "2")</f>
        <v>0</v>
      </c>
      <c r="AP124" s="171">
        <f>SUMIFS('Future Orders'!$H124, 'Future Orders'!$C124, "A", 'Future Orders'!$B124, "1")</f>
        <v>0</v>
      </c>
      <c r="AQ124" s="171">
        <f>SUMIFS('Future Orders'!$I124, 'Future Orders'!$C124, "B", 'Future Orders'!$B124, "1")</f>
        <v>0</v>
      </c>
      <c r="AR124" s="171">
        <f>SUMIFS('Future Orders'!$H124, 'Future Orders'!$C124, "A", 'Future Orders'!$B124, "2")</f>
        <v>7827.6</v>
      </c>
      <c r="AS124" s="171">
        <f>SUMIFS('Future Orders'!$I124, 'Future Orders'!$C124, "B", 'Future Orders'!$B124, "2")</f>
        <v>0</v>
      </c>
      <c r="AT124" s="145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  <c r="BT124" s="172"/>
      <c r="BU124" s="172"/>
      <c r="BV124" s="172"/>
      <c r="BW124" s="172"/>
      <c r="BX124" s="172"/>
      <c r="BY124" s="172"/>
      <c r="BZ124" s="172"/>
      <c r="CA124" s="179"/>
      <c r="CB124" s="179"/>
      <c r="CC124" s="179"/>
      <c r="CD124" s="179"/>
      <c r="CE124" s="179"/>
      <c r="CF124" s="179"/>
      <c r="CG124" s="179"/>
      <c r="CH124" s="179"/>
      <c r="CI124" s="179"/>
      <c r="CJ124" s="179"/>
      <c r="CK124" s="179"/>
      <c r="CL124" s="179"/>
      <c r="CM124" s="179"/>
      <c r="CN124" s="179"/>
      <c r="CO124" s="179"/>
      <c r="CP124" s="179"/>
    </row>
    <row r="125" ht="15.75" customHeight="1">
      <c r="A125" s="151">
        <v>41995.0</v>
      </c>
      <c r="B125" s="152">
        <v>2.0</v>
      </c>
      <c r="C125" s="152" t="s">
        <v>45</v>
      </c>
      <c r="D125" s="152">
        <v>2.0</v>
      </c>
      <c r="E125" s="153">
        <v>7093.0</v>
      </c>
      <c r="F125" s="153">
        <f>SUM(('Future Orders'!$E125) * (1.1))</f>
        <v>7802.3</v>
      </c>
      <c r="G125" s="154">
        <v>1.2</v>
      </c>
      <c r="H125" s="155">
        <v>8511.6</v>
      </c>
      <c r="I125" s="155">
        <f>SUM(('Future Orders'!$H125) * (1.1))</f>
        <v>9362.76</v>
      </c>
      <c r="J125" s="159">
        <f>SUMIFS('Future Orders'!$F125, 'Future Orders'!$D125, "1", 'Future Orders'!$C125, "A", 'Future Orders'!$B125, "1")</f>
        <v>0</v>
      </c>
      <c r="K125" s="157">
        <f>SUMIFS('Future Orders'!$I125, 'Future Orders'!$D125, "1", 'Future Orders'!$C125, "A", 'Future Orders'!$B125, "1")</f>
        <v>0</v>
      </c>
      <c r="L125" s="157">
        <f>SUMIFS('Future Orders'!$F125, 'Future Orders'!$D125, "1", 'Future Orders'!$C125, "B", 'Future Orders'!$B125, "1")</f>
        <v>0</v>
      </c>
      <c r="M125" s="157">
        <f>SUMIFS('Future Orders'!$I125, 'Future Orders'!$D125, "1", 'Future Orders'!$C125, "B", 'Future Orders'!$B125, "1")</f>
        <v>0</v>
      </c>
      <c r="N125" s="159">
        <f>SUMIFS('Future Orders'!$F125, 'Future Orders'!$D125, "1", 'Future Orders'!$C125, "A", 'Future Orders'!$B125, "2")</f>
        <v>0</v>
      </c>
      <c r="O125" s="157">
        <f>SUMIFS('Future Orders'!$I125, 'Future Orders'!$D125, "1", 'Future Orders'!$C125, "A", 'Future Orders'!$B125, "2")</f>
        <v>0</v>
      </c>
      <c r="P125" s="157">
        <f>SUMIFS('Future Orders'!$E125, 'Future Orders'!$D125, "1", 'Future Orders'!$C125, "B", 'Future Orders'!$B125, "2")</f>
        <v>0</v>
      </c>
      <c r="Q125" s="157">
        <f>SUMIFS('Future Orders'!$I125, 'Future Orders'!$D125, "1", 'Future Orders'!$C125, "B", 'Future Orders'!$B125, "2")</f>
        <v>0</v>
      </c>
      <c r="R125" s="159">
        <f>SUMIFS('Future Orders'!$F125, 'Future Orders'!$D125, "2", 'Future Orders'!$C125, "A", 'Future Orders'!$B125, "1")</f>
        <v>0</v>
      </c>
      <c r="S125" s="157">
        <f>SUMIFS('Future Orders'!$I125, 'Future Orders'!$D125, "2", 'Future Orders'!$C125, "A", 'Future Orders'!$B125, "1")</f>
        <v>0</v>
      </c>
      <c r="T125" s="159">
        <f>SUMIFS('Future Orders'!$F125, 'Future Orders'!$D125, "2", 'Future Orders'!$C125, "B", 'Future Orders'!$B125, "1")</f>
        <v>0</v>
      </c>
      <c r="U125" s="157">
        <f>SUMIFS('Future Orders'!$I125, 'Future Orders'!$D125, "2", 'Future Orders'!$C125, "B", 'Future Orders'!$B125, "1")</f>
        <v>0</v>
      </c>
      <c r="V125" s="159">
        <f>SUMIFS('Future Orders'!$F125, 'Future Orders'!$D125, "2", 'Future Orders'!$C125, "A", 'Future Orders'!$B125, "2")</f>
        <v>7802.3</v>
      </c>
      <c r="W125" s="157">
        <f>SUMIFS('Future Orders'!$I125, 'Future Orders'!$D125, "2", 'Future Orders'!$C125, "A", 'Future Orders'!$B125, "2")</f>
        <v>9362.76</v>
      </c>
      <c r="X125" s="159">
        <f>SUMIFS('Future Orders'!$F125, 'Future Orders'!$D125, "2", 'Future Orders'!$C125, "B", 'Future Orders'!$B125, "2")</f>
        <v>0</v>
      </c>
      <c r="Y125" s="159">
        <f>SUMIFS('Future Orders'!$I125, 'Future Orders'!$D125, "2", 'Future Orders'!$C125, "B", 'Future Orders'!$B125, "2")</f>
        <v>0</v>
      </c>
      <c r="Z125" s="159">
        <f>SUMIFS('Future Orders'!$F125, 'Future Orders'!$D125, "3", 'Future Orders'!$C125, "A", 'Future Orders'!$B125, "1")</f>
        <v>0</v>
      </c>
      <c r="AA125" s="159">
        <f>SUMIFS('Future Orders'!$I125, 'Future Orders'!$D125, "3", 'Future Orders'!$C125, "A", 'Future Orders'!$B125, "1")</f>
        <v>0</v>
      </c>
      <c r="AB125" s="159">
        <f>SUMIFS('Future Orders'!$F125, 'Future Orders'!$D125, "3", 'Future Orders'!$C125, "B", 'Future Orders'!$B125, "1")</f>
        <v>0</v>
      </c>
      <c r="AC125" s="159">
        <f>SUMIFS('Future Orders'!$I125, 'Future Orders'!$D125, "3", 'Future Orders'!$C125, "B", 'Future Orders'!$B125, "1")</f>
        <v>0</v>
      </c>
      <c r="AD125" s="159">
        <f>SUMIFS('Future Orders'!$F125, 'Future Orders'!$D125, "3", 'Future Orders'!$C125, "A", 'Future Orders'!$B125, "2")</f>
        <v>0</v>
      </c>
      <c r="AE125" s="159">
        <f>SUMIFS('Future Orders'!$I125, 'Future Orders'!$D125, "3", 'Future Orders'!$C125, "A", 'Future Orders'!$B125, "2")</f>
        <v>0</v>
      </c>
      <c r="AF125" s="159">
        <f>SUMIFS('Future Orders'!$F125, 'Future Orders'!$D125, "3", 'Future Orders'!$C125, "B", 'Future Orders'!$B125, "2")</f>
        <v>0</v>
      </c>
      <c r="AG125" s="157">
        <f>SUMIFS('Future Orders'!$I125, 'Future Orders'!$D125, "3", 'Future Orders'!$C125, "B", 'Future Orders'!$B125, "2")</f>
        <v>0</v>
      </c>
      <c r="AH125" s="157">
        <f>SUMIFS('Future Orders'!$F125, 'Future Orders'!$D125, "4", 'Future Orders'!$C125, "A", 'Future Orders'!$B125, "1")</f>
        <v>0</v>
      </c>
      <c r="AI125" s="157">
        <f>SUMIFS('Future Orders'!$I125, 'Future Orders'!$D125, "4", 'Future Orders'!$C125, "A", 'Future Orders'!$B125, "1")</f>
        <v>0</v>
      </c>
      <c r="AJ125" s="157">
        <f>SUMIFS('Future Orders'!$F125, 'Future Orders'!$D125, "4", 'Future Orders'!$C125, "B", 'Future Orders'!$B125, "1")</f>
        <v>0</v>
      </c>
      <c r="AK125" s="157">
        <f>SUMIFS('Future Orders'!$I125, 'Future Orders'!$D125, "4", 'Future Orders'!$C125, "B", 'Future Orders'!$B125, "1")</f>
        <v>0</v>
      </c>
      <c r="AL125" s="157">
        <f>SUMIFS('Future Orders'!$F125, 'Future Orders'!$D125, "4", 'Future Orders'!$C125, "A", 'Future Orders'!$B125, "2")</f>
        <v>0</v>
      </c>
      <c r="AM125" s="157">
        <f>SUMIFS('Future Orders'!$I125, 'Future Orders'!$D125, "4", 'Future Orders'!$C125, "A", 'Future Orders'!$B125, "2")</f>
        <v>0</v>
      </c>
      <c r="AN125" s="171">
        <f>SUMIFS('Future Orders'!$F125, 'Future Orders'!$D125, "4", 'Future Orders'!$C125, "B", 'Future Orders'!$B125, "2")</f>
        <v>0</v>
      </c>
      <c r="AO125" s="171">
        <f>SUMIFS('Future Orders'!$I125, 'Future Orders'!$D125, "4", 'Future Orders'!$C125, "B", 'Future Orders'!$B125, "2")</f>
        <v>0</v>
      </c>
      <c r="AP125" s="171">
        <f>SUMIFS('Future Orders'!$H125, 'Future Orders'!$C125, "A", 'Future Orders'!$B125, "1")</f>
        <v>0</v>
      </c>
      <c r="AQ125" s="171">
        <f>SUMIFS('Future Orders'!$I125, 'Future Orders'!$C125, "B", 'Future Orders'!$B125, "1")</f>
        <v>0</v>
      </c>
      <c r="AR125" s="171">
        <f>SUMIFS('Future Orders'!$H125, 'Future Orders'!$C125, "A", 'Future Orders'!$B125, "2")</f>
        <v>8511.6</v>
      </c>
      <c r="AS125" s="171">
        <f>SUMIFS('Future Orders'!$I125, 'Future Orders'!$C125, "B", 'Future Orders'!$B125, "2")</f>
        <v>0</v>
      </c>
      <c r="AT125" s="145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  <c r="BT125" s="172"/>
      <c r="BU125" s="172"/>
      <c r="BV125" s="172"/>
      <c r="BW125" s="172"/>
      <c r="BX125" s="172"/>
      <c r="BY125" s="172"/>
      <c r="BZ125" s="172"/>
      <c r="CA125" s="179"/>
      <c r="CB125" s="179"/>
      <c r="CC125" s="179"/>
      <c r="CD125" s="179"/>
      <c r="CE125" s="179"/>
      <c r="CF125" s="179"/>
      <c r="CG125" s="179"/>
      <c r="CH125" s="179"/>
      <c r="CI125" s="179"/>
      <c r="CJ125" s="179"/>
      <c r="CK125" s="179"/>
      <c r="CL125" s="179"/>
      <c r="CM125" s="179"/>
      <c r="CN125" s="179"/>
      <c r="CO125" s="179"/>
      <c r="CP125" s="179"/>
    </row>
    <row r="126" ht="15.75" customHeight="1">
      <c r="A126" s="151">
        <v>41995.0</v>
      </c>
      <c r="B126" s="152">
        <v>1.0</v>
      </c>
      <c r="C126" s="152" t="s">
        <v>46</v>
      </c>
      <c r="D126" s="152">
        <v>3.0</v>
      </c>
      <c r="E126" s="153">
        <v>2118.0</v>
      </c>
      <c r="F126" s="153">
        <f>SUM(('Future Orders'!$E126) * (1.1))</f>
        <v>2329.8</v>
      </c>
      <c r="G126" s="154">
        <v>8.3</v>
      </c>
      <c r="H126" s="155">
        <v>17579.4</v>
      </c>
      <c r="I126" s="155">
        <f>SUM(('Future Orders'!$H126) * (1.1))</f>
        <v>19337.34</v>
      </c>
      <c r="J126" s="159">
        <f>SUMIFS('Future Orders'!$F126, 'Future Orders'!$D126, "1", 'Future Orders'!$C126, "A", 'Future Orders'!$B126, "1")</f>
        <v>0</v>
      </c>
      <c r="K126" s="157">
        <f>SUMIFS('Future Orders'!$I126, 'Future Orders'!$D126, "1", 'Future Orders'!$C126, "A", 'Future Orders'!$B126, "1")</f>
        <v>0</v>
      </c>
      <c r="L126" s="157">
        <f>SUMIFS('Future Orders'!$F126, 'Future Orders'!$D126, "1", 'Future Orders'!$C126, "B", 'Future Orders'!$B126, "1")</f>
        <v>0</v>
      </c>
      <c r="M126" s="157">
        <f>SUMIFS('Future Orders'!$I126, 'Future Orders'!$D126, "1", 'Future Orders'!$C126, "B", 'Future Orders'!$B126, "1")</f>
        <v>0</v>
      </c>
      <c r="N126" s="159">
        <f>SUMIFS('Future Orders'!$F126, 'Future Orders'!$D126, "1", 'Future Orders'!$C126, "A", 'Future Orders'!$B126, "2")</f>
        <v>0</v>
      </c>
      <c r="O126" s="157">
        <f>SUMIFS('Future Orders'!$I126, 'Future Orders'!$D126, "1", 'Future Orders'!$C126, "A", 'Future Orders'!$B126, "2")</f>
        <v>0</v>
      </c>
      <c r="P126" s="157">
        <f>SUMIFS('Future Orders'!$E126, 'Future Orders'!$D126, "1", 'Future Orders'!$C126, "B", 'Future Orders'!$B126, "2")</f>
        <v>0</v>
      </c>
      <c r="Q126" s="157">
        <f>SUMIFS('Future Orders'!$I126, 'Future Orders'!$D126, "1", 'Future Orders'!$C126, "B", 'Future Orders'!$B126, "2")</f>
        <v>0</v>
      </c>
      <c r="R126" s="159">
        <f>SUMIFS('Future Orders'!$F126, 'Future Orders'!$D126, "2", 'Future Orders'!$C126, "A", 'Future Orders'!$B126, "1")</f>
        <v>0</v>
      </c>
      <c r="S126" s="157">
        <f>SUMIFS('Future Orders'!$I126, 'Future Orders'!$D126, "2", 'Future Orders'!$C126, "A", 'Future Orders'!$B126, "1")</f>
        <v>0</v>
      </c>
      <c r="T126" s="159">
        <f>SUMIFS('Future Orders'!$F126, 'Future Orders'!$D126, "2", 'Future Orders'!$C126, "B", 'Future Orders'!$B126, "1")</f>
        <v>0</v>
      </c>
      <c r="U126" s="157">
        <f>SUMIFS('Future Orders'!$I126, 'Future Orders'!$D126, "2", 'Future Orders'!$C126, "B", 'Future Orders'!$B126, "1")</f>
        <v>0</v>
      </c>
      <c r="V126" s="159">
        <f>SUMIFS('Future Orders'!$F126, 'Future Orders'!$D126, "2", 'Future Orders'!$C126, "A", 'Future Orders'!$B126, "2")</f>
        <v>0</v>
      </c>
      <c r="W126" s="157">
        <f>SUMIFS('Future Orders'!$I126, 'Future Orders'!$D126, "2", 'Future Orders'!$C126, "A", 'Future Orders'!$B126, "2")</f>
        <v>0</v>
      </c>
      <c r="X126" s="159">
        <f>SUMIFS('Future Orders'!$F126, 'Future Orders'!$D126, "2", 'Future Orders'!$C126, "B", 'Future Orders'!$B126, "2")</f>
        <v>0</v>
      </c>
      <c r="Y126" s="159">
        <f>SUMIFS('Future Orders'!$I126, 'Future Orders'!$D126, "2", 'Future Orders'!$C126, "B", 'Future Orders'!$B126, "2")</f>
        <v>0</v>
      </c>
      <c r="Z126" s="159">
        <f>SUMIFS('Future Orders'!$F126, 'Future Orders'!$D126, "3", 'Future Orders'!$C126, "A", 'Future Orders'!$B126, "1")</f>
        <v>0</v>
      </c>
      <c r="AA126" s="159">
        <f>SUMIFS('Future Orders'!$I126, 'Future Orders'!$D126, "3", 'Future Orders'!$C126, "A", 'Future Orders'!$B126, "1")</f>
        <v>0</v>
      </c>
      <c r="AB126" s="159">
        <f>SUMIFS('Future Orders'!$F126, 'Future Orders'!$D126, "3", 'Future Orders'!$C126, "B", 'Future Orders'!$B126, "1")</f>
        <v>2329.8</v>
      </c>
      <c r="AC126" s="159">
        <f>SUMIFS('Future Orders'!$I126, 'Future Orders'!$D126, "3", 'Future Orders'!$C126, "B", 'Future Orders'!$B126, "1")</f>
        <v>19337.34</v>
      </c>
      <c r="AD126" s="159">
        <f>SUMIFS('Future Orders'!$F126, 'Future Orders'!$D126, "3", 'Future Orders'!$C126, "A", 'Future Orders'!$B126, "2")</f>
        <v>0</v>
      </c>
      <c r="AE126" s="159">
        <f>SUMIFS('Future Orders'!$I126, 'Future Orders'!$D126, "3", 'Future Orders'!$C126, "A", 'Future Orders'!$B126, "2")</f>
        <v>0</v>
      </c>
      <c r="AF126" s="159">
        <f>SUMIFS('Future Orders'!$F126, 'Future Orders'!$D126, "3", 'Future Orders'!$C126, "B", 'Future Orders'!$B126, "2")</f>
        <v>0</v>
      </c>
      <c r="AG126" s="157">
        <f>SUMIFS('Future Orders'!$I126, 'Future Orders'!$D126, "3", 'Future Orders'!$C126, "B", 'Future Orders'!$B126, "2")</f>
        <v>0</v>
      </c>
      <c r="AH126" s="157">
        <f>SUMIFS('Future Orders'!$F126, 'Future Orders'!$D126, "4", 'Future Orders'!$C126, "A", 'Future Orders'!$B126, "1")</f>
        <v>0</v>
      </c>
      <c r="AI126" s="157">
        <f>SUMIFS('Future Orders'!$I126, 'Future Orders'!$D126, "4", 'Future Orders'!$C126, "A", 'Future Orders'!$B126, "1")</f>
        <v>0</v>
      </c>
      <c r="AJ126" s="157">
        <f>SUMIFS('Future Orders'!$F126, 'Future Orders'!$D126, "4", 'Future Orders'!$C126, "B", 'Future Orders'!$B126, "1")</f>
        <v>0</v>
      </c>
      <c r="AK126" s="157">
        <f>SUMIFS('Future Orders'!$I126, 'Future Orders'!$D126, "4", 'Future Orders'!$C126, "B", 'Future Orders'!$B126, "1")</f>
        <v>0</v>
      </c>
      <c r="AL126" s="157">
        <f>SUMIFS('Future Orders'!$F126, 'Future Orders'!$D126, "4", 'Future Orders'!$C126, "A", 'Future Orders'!$B126, "2")</f>
        <v>0</v>
      </c>
      <c r="AM126" s="157">
        <f>SUMIFS('Future Orders'!$I126, 'Future Orders'!$D126, "4", 'Future Orders'!$C126, "A", 'Future Orders'!$B126, "2")</f>
        <v>0</v>
      </c>
      <c r="AN126" s="171">
        <f>SUMIFS('Future Orders'!$F126, 'Future Orders'!$D126, "4", 'Future Orders'!$C126, "B", 'Future Orders'!$B126, "2")</f>
        <v>0</v>
      </c>
      <c r="AO126" s="171">
        <f>SUMIFS('Future Orders'!$I126, 'Future Orders'!$D126, "4", 'Future Orders'!$C126, "B", 'Future Orders'!$B126, "2")</f>
        <v>0</v>
      </c>
      <c r="AP126" s="171">
        <f>SUMIFS('Future Orders'!$H126, 'Future Orders'!$C126, "A", 'Future Orders'!$B126, "1")</f>
        <v>0</v>
      </c>
      <c r="AQ126" s="171">
        <f>SUMIFS('Future Orders'!$I126, 'Future Orders'!$C126, "B", 'Future Orders'!$B126, "1")</f>
        <v>19337.34</v>
      </c>
      <c r="AR126" s="171">
        <f>SUMIFS('Future Orders'!$H126, 'Future Orders'!$C126, "A", 'Future Orders'!$B126, "2")</f>
        <v>0</v>
      </c>
      <c r="AS126" s="171">
        <f>SUMIFS('Future Orders'!$I126, 'Future Orders'!$C126, "B", 'Future Orders'!$B126, "2")</f>
        <v>0</v>
      </c>
      <c r="AT126" s="145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  <c r="BT126" s="172"/>
      <c r="BU126" s="172"/>
      <c r="BV126" s="172"/>
      <c r="BW126" s="172"/>
      <c r="BX126" s="172"/>
      <c r="BY126" s="172"/>
      <c r="BZ126" s="172"/>
      <c r="CA126" s="179"/>
      <c r="CB126" s="179"/>
      <c r="CC126" s="179"/>
      <c r="CD126" s="179"/>
      <c r="CE126" s="179"/>
      <c r="CF126" s="179"/>
      <c r="CG126" s="179"/>
      <c r="CH126" s="179"/>
      <c r="CI126" s="179"/>
      <c r="CJ126" s="179"/>
      <c r="CK126" s="179"/>
      <c r="CL126" s="179"/>
      <c r="CM126" s="179"/>
      <c r="CN126" s="179"/>
      <c r="CO126" s="179"/>
      <c r="CP126" s="179"/>
    </row>
    <row r="127" ht="15.75" customHeight="1">
      <c r="A127" s="151">
        <v>41995.0</v>
      </c>
      <c r="B127" s="152">
        <v>2.0</v>
      </c>
      <c r="C127" s="152" t="s">
        <v>46</v>
      </c>
      <c r="D127" s="152">
        <v>3.0</v>
      </c>
      <c r="E127" s="153">
        <v>2582.0</v>
      </c>
      <c r="F127" s="153">
        <f>SUM(('Future Orders'!$E127) * (1.1))</f>
        <v>2840.2</v>
      </c>
      <c r="G127" s="154">
        <v>8.3</v>
      </c>
      <c r="H127" s="155">
        <v>21430.600000000002</v>
      </c>
      <c r="I127" s="155">
        <f>SUM(('Future Orders'!$H127) * (1.1))</f>
        <v>23573.66</v>
      </c>
      <c r="J127" s="159">
        <f>SUMIFS('Future Orders'!$F127, 'Future Orders'!$D127, "1", 'Future Orders'!$C127, "A", 'Future Orders'!$B127, "1")</f>
        <v>0</v>
      </c>
      <c r="K127" s="157">
        <f>SUMIFS('Future Orders'!$I127, 'Future Orders'!$D127, "1", 'Future Orders'!$C127, "A", 'Future Orders'!$B127, "1")</f>
        <v>0</v>
      </c>
      <c r="L127" s="157">
        <f>SUMIFS('Future Orders'!$F127, 'Future Orders'!$D127, "1", 'Future Orders'!$C127, "B", 'Future Orders'!$B127, "1")</f>
        <v>0</v>
      </c>
      <c r="M127" s="157">
        <f>SUMIFS('Future Orders'!$I127, 'Future Orders'!$D127, "1", 'Future Orders'!$C127, "B", 'Future Orders'!$B127, "1")</f>
        <v>0</v>
      </c>
      <c r="N127" s="159">
        <f>SUMIFS('Future Orders'!$F127, 'Future Orders'!$D127, "1", 'Future Orders'!$C127, "A", 'Future Orders'!$B127, "2")</f>
        <v>0</v>
      </c>
      <c r="O127" s="157">
        <f>SUMIFS('Future Orders'!$I127, 'Future Orders'!$D127, "1", 'Future Orders'!$C127, "A", 'Future Orders'!$B127, "2")</f>
        <v>0</v>
      </c>
      <c r="P127" s="157">
        <f>SUMIFS('Future Orders'!$E127, 'Future Orders'!$D127, "1", 'Future Orders'!$C127, "B", 'Future Orders'!$B127, "2")</f>
        <v>0</v>
      </c>
      <c r="Q127" s="157">
        <f>SUMIFS('Future Orders'!$I127, 'Future Orders'!$D127, "1", 'Future Orders'!$C127, "B", 'Future Orders'!$B127, "2")</f>
        <v>0</v>
      </c>
      <c r="R127" s="159">
        <f>SUMIFS('Future Orders'!$F127, 'Future Orders'!$D127, "2", 'Future Orders'!$C127, "A", 'Future Orders'!$B127, "1")</f>
        <v>0</v>
      </c>
      <c r="S127" s="157">
        <f>SUMIFS('Future Orders'!$I127, 'Future Orders'!$D127, "2", 'Future Orders'!$C127, "A", 'Future Orders'!$B127, "1")</f>
        <v>0</v>
      </c>
      <c r="T127" s="159">
        <f>SUMIFS('Future Orders'!$F127, 'Future Orders'!$D127, "2", 'Future Orders'!$C127, "B", 'Future Orders'!$B127, "1")</f>
        <v>0</v>
      </c>
      <c r="U127" s="157">
        <f>SUMIFS('Future Orders'!$I127, 'Future Orders'!$D127, "2", 'Future Orders'!$C127, "B", 'Future Orders'!$B127, "1")</f>
        <v>0</v>
      </c>
      <c r="V127" s="159">
        <f>SUMIFS('Future Orders'!$F127, 'Future Orders'!$D127, "2", 'Future Orders'!$C127, "A", 'Future Orders'!$B127, "2")</f>
        <v>0</v>
      </c>
      <c r="W127" s="157">
        <f>SUMIFS('Future Orders'!$I127, 'Future Orders'!$D127, "2", 'Future Orders'!$C127, "A", 'Future Orders'!$B127, "2")</f>
        <v>0</v>
      </c>
      <c r="X127" s="159">
        <f>SUMIFS('Future Orders'!$F127, 'Future Orders'!$D127, "2", 'Future Orders'!$C127, "B", 'Future Orders'!$B127, "2")</f>
        <v>0</v>
      </c>
      <c r="Y127" s="159">
        <f>SUMIFS('Future Orders'!$I127, 'Future Orders'!$D127, "2", 'Future Orders'!$C127, "B", 'Future Orders'!$B127, "2")</f>
        <v>0</v>
      </c>
      <c r="Z127" s="159">
        <f>SUMIFS('Future Orders'!$F127, 'Future Orders'!$D127, "3", 'Future Orders'!$C127, "A", 'Future Orders'!$B127, "1")</f>
        <v>0</v>
      </c>
      <c r="AA127" s="159">
        <f>SUMIFS('Future Orders'!$I127, 'Future Orders'!$D127, "3", 'Future Orders'!$C127, "A", 'Future Orders'!$B127, "1")</f>
        <v>0</v>
      </c>
      <c r="AB127" s="159">
        <f>SUMIFS('Future Orders'!$F127, 'Future Orders'!$D127, "3", 'Future Orders'!$C127, "B", 'Future Orders'!$B127, "1")</f>
        <v>0</v>
      </c>
      <c r="AC127" s="159">
        <f>SUMIFS('Future Orders'!$I127, 'Future Orders'!$D127, "3", 'Future Orders'!$C127, "B", 'Future Orders'!$B127, "1")</f>
        <v>0</v>
      </c>
      <c r="AD127" s="159">
        <f>SUMIFS('Future Orders'!$F127, 'Future Orders'!$D127, "3", 'Future Orders'!$C127, "A", 'Future Orders'!$B127, "2")</f>
        <v>0</v>
      </c>
      <c r="AE127" s="159">
        <f>SUMIFS('Future Orders'!$I127, 'Future Orders'!$D127, "3", 'Future Orders'!$C127, "A", 'Future Orders'!$B127, "2")</f>
        <v>0</v>
      </c>
      <c r="AF127" s="159">
        <f>SUMIFS('Future Orders'!$F127, 'Future Orders'!$D127, "3", 'Future Orders'!$C127, "B", 'Future Orders'!$B127, "2")</f>
        <v>2840.2</v>
      </c>
      <c r="AG127" s="157">
        <f>SUMIFS('Future Orders'!$I127, 'Future Orders'!$D127, "3", 'Future Orders'!$C127, "B", 'Future Orders'!$B127, "2")</f>
        <v>23573.66</v>
      </c>
      <c r="AH127" s="157">
        <f>SUMIFS('Future Orders'!$F127, 'Future Orders'!$D127, "4", 'Future Orders'!$C127, "A", 'Future Orders'!$B127, "1")</f>
        <v>0</v>
      </c>
      <c r="AI127" s="157">
        <f>SUMIFS('Future Orders'!$I127, 'Future Orders'!$D127, "4", 'Future Orders'!$C127, "A", 'Future Orders'!$B127, "1")</f>
        <v>0</v>
      </c>
      <c r="AJ127" s="157">
        <f>SUMIFS('Future Orders'!$F127, 'Future Orders'!$D127, "4", 'Future Orders'!$C127, "B", 'Future Orders'!$B127, "1")</f>
        <v>0</v>
      </c>
      <c r="AK127" s="157">
        <f>SUMIFS('Future Orders'!$I127, 'Future Orders'!$D127, "4", 'Future Orders'!$C127, "B", 'Future Orders'!$B127, "1")</f>
        <v>0</v>
      </c>
      <c r="AL127" s="157">
        <f>SUMIFS('Future Orders'!$F127, 'Future Orders'!$D127, "4", 'Future Orders'!$C127, "A", 'Future Orders'!$B127, "2")</f>
        <v>0</v>
      </c>
      <c r="AM127" s="157">
        <f>SUMIFS('Future Orders'!$I127, 'Future Orders'!$D127, "4", 'Future Orders'!$C127, "A", 'Future Orders'!$B127, "2")</f>
        <v>0</v>
      </c>
      <c r="AN127" s="171">
        <f>SUMIFS('Future Orders'!$F127, 'Future Orders'!$D127, "4", 'Future Orders'!$C127, "B", 'Future Orders'!$B127, "2")</f>
        <v>0</v>
      </c>
      <c r="AO127" s="171">
        <f>SUMIFS('Future Orders'!$I127, 'Future Orders'!$D127, "4", 'Future Orders'!$C127, "B", 'Future Orders'!$B127, "2")</f>
        <v>0</v>
      </c>
      <c r="AP127" s="171">
        <f>SUMIFS('Future Orders'!$H127, 'Future Orders'!$C127, "A", 'Future Orders'!$B127, "1")</f>
        <v>0</v>
      </c>
      <c r="AQ127" s="171">
        <f>SUMIFS('Future Orders'!$I127, 'Future Orders'!$C127, "B", 'Future Orders'!$B127, "1")</f>
        <v>0</v>
      </c>
      <c r="AR127" s="171">
        <f>SUMIFS('Future Orders'!$H127, 'Future Orders'!$C127, "A", 'Future Orders'!$B127, "2")</f>
        <v>0</v>
      </c>
      <c r="AS127" s="171">
        <f>SUMIFS('Future Orders'!$I127, 'Future Orders'!$C127, "B", 'Future Orders'!$B127, "2")</f>
        <v>23573.66</v>
      </c>
      <c r="AT127" s="145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  <c r="BT127" s="172"/>
      <c r="BU127" s="172"/>
      <c r="BV127" s="172"/>
      <c r="BW127" s="172"/>
      <c r="BX127" s="172"/>
      <c r="BY127" s="172"/>
      <c r="BZ127" s="172"/>
      <c r="CA127" s="179"/>
      <c r="CB127" s="179"/>
      <c r="CC127" s="179"/>
      <c r="CD127" s="179"/>
      <c r="CE127" s="179"/>
      <c r="CF127" s="179"/>
      <c r="CG127" s="179"/>
      <c r="CH127" s="179"/>
      <c r="CI127" s="179"/>
      <c r="CJ127" s="179"/>
      <c r="CK127" s="179"/>
      <c r="CL127" s="179"/>
      <c r="CM127" s="179"/>
      <c r="CN127" s="179"/>
      <c r="CO127" s="179"/>
      <c r="CP127" s="179"/>
    </row>
    <row r="128" ht="15.75" customHeight="1">
      <c r="A128" s="151">
        <v>42002.0</v>
      </c>
      <c r="B128" s="152">
        <v>1.0</v>
      </c>
      <c r="C128" s="152" t="s">
        <v>45</v>
      </c>
      <c r="D128" s="152">
        <v>1.0</v>
      </c>
      <c r="E128" s="153">
        <v>5106.0</v>
      </c>
      <c r="F128" s="153">
        <f>SUM(('Future Orders'!$E128) * (1.1))</f>
        <v>5616.6</v>
      </c>
      <c r="G128" s="154">
        <v>2.2</v>
      </c>
      <c r="H128" s="155">
        <v>11233.2</v>
      </c>
      <c r="I128" s="155">
        <f>SUM(('Future Orders'!$H128) * (1.1))</f>
        <v>12356.52</v>
      </c>
      <c r="J128" s="159">
        <f>SUMIFS('Future Orders'!$F128, 'Future Orders'!$D128, "1", 'Future Orders'!$C128, "A", 'Future Orders'!$B128, "1")</f>
        <v>5616.6</v>
      </c>
      <c r="K128" s="157">
        <f>SUMIFS('Future Orders'!$I128, 'Future Orders'!$D128, "1", 'Future Orders'!$C128, "A", 'Future Orders'!$B128, "1")</f>
        <v>12356.52</v>
      </c>
      <c r="L128" s="157">
        <f>SUMIFS('Future Orders'!$F128, 'Future Orders'!$D128, "1", 'Future Orders'!$C128, "B", 'Future Orders'!$B128, "1")</f>
        <v>0</v>
      </c>
      <c r="M128" s="157">
        <f>SUMIFS('Future Orders'!$I128, 'Future Orders'!$D128, "1", 'Future Orders'!$C128, "B", 'Future Orders'!$B128, "1")</f>
        <v>0</v>
      </c>
      <c r="N128" s="159">
        <f>SUMIFS('Future Orders'!$F128, 'Future Orders'!$D128, "1", 'Future Orders'!$C128, "A", 'Future Orders'!$B128, "2")</f>
        <v>0</v>
      </c>
      <c r="O128" s="157">
        <f>SUMIFS('Future Orders'!$I128, 'Future Orders'!$D128, "1", 'Future Orders'!$C128, "A", 'Future Orders'!$B128, "2")</f>
        <v>0</v>
      </c>
      <c r="P128" s="157">
        <f>SUMIFS('Future Orders'!$E128, 'Future Orders'!$D128, "1", 'Future Orders'!$C128, "B", 'Future Orders'!$B128, "2")</f>
        <v>0</v>
      </c>
      <c r="Q128" s="157">
        <f>SUMIFS('Future Orders'!$I128, 'Future Orders'!$D128, "1", 'Future Orders'!$C128, "B", 'Future Orders'!$B128, "2")</f>
        <v>0</v>
      </c>
      <c r="R128" s="159">
        <f>SUMIFS('Future Orders'!$F128, 'Future Orders'!$D128, "2", 'Future Orders'!$C128, "A", 'Future Orders'!$B128, "1")</f>
        <v>0</v>
      </c>
      <c r="S128" s="157">
        <f>SUMIFS('Future Orders'!$I128, 'Future Orders'!$D128, "2", 'Future Orders'!$C128, "A", 'Future Orders'!$B128, "1")</f>
        <v>0</v>
      </c>
      <c r="T128" s="159">
        <f>SUMIFS('Future Orders'!$F128, 'Future Orders'!$D128, "2", 'Future Orders'!$C128, "B", 'Future Orders'!$B128, "1")</f>
        <v>0</v>
      </c>
      <c r="U128" s="157">
        <f>SUMIFS('Future Orders'!$I128, 'Future Orders'!$D128, "2", 'Future Orders'!$C128, "B", 'Future Orders'!$B128, "1")</f>
        <v>0</v>
      </c>
      <c r="V128" s="159">
        <f>SUMIFS('Future Orders'!$F128, 'Future Orders'!$D128, "2", 'Future Orders'!$C128, "A", 'Future Orders'!$B128, "2")</f>
        <v>0</v>
      </c>
      <c r="W128" s="157">
        <f>SUMIFS('Future Orders'!$I128, 'Future Orders'!$D128, "2", 'Future Orders'!$C128, "A", 'Future Orders'!$B128, "2")</f>
        <v>0</v>
      </c>
      <c r="X128" s="159">
        <f>SUMIFS('Future Orders'!$F128, 'Future Orders'!$D128, "2", 'Future Orders'!$C128, "B", 'Future Orders'!$B128, "2")</f>
        <v>0</v>
      </c>
      <c r="Y128" s="159">
        <f>SUMIFS('Future Orders'!$I128, 'Future Orders'!$D128, "2", 'Future Orders'!$C128, "B", 'Future Orders'!$B128, "2")</f>
        <v>0</v>
      </c>
      <c r="Z128" s="159">
        <f>SUMIFS('Future Orders'!$F128, 'Future Orders'!$D128, "3", 'Future Orders'!$C128, "A", 'Future Orders'!$B128, "1")</f>
        <v>0</v>
      </c>
      <c r="AA128" s="159">
        <f>SUMIFS('Future Orders'!$I128, 'Future Orders'!$D128, "3", 'Future Orders'!$C128, "A", 'Future Orders'!$B128, "1")</f>
        <v>0</v>
      </c>
      <c r="AB128" s="159">
        <f>SUMIFS('Future Orders'!$F128, 'Future Orders'!$D128, "3", 'Future Orders'!$C128, "B", 'Future Orders'!$B128, "1")</f>
        <v>0</v>
      </c>
      <c r="AC128" s="159">
        <f>SUMIFS('Future Orders'!$I128, 'Future Orders'!$D128, "3", 'Future Orders'!$C128, "B", 'Future Orders'!$B128, "1")</f>
        <v>0</v>
      </c>
      <c r="AD128" s="159">
        <f>SUMIFS('Future Orders'!$F128, 'Future Orders'!$D128, "3", 'Future Orders'!$C128, "A", 'Future Orders'!$B128, "2")</f>
        <v>0</v>
      </c>
      <c r="AE128" s="159">
        <f>SUMIFS('Future Orders'!$I128, 'Future Orders'!$D128, "3", 'Future Orders'!$C128, "A", 'Future Orders'!$B128, "2")</f>
        <v>0</v>
      </c>
      <c r="AF128" s="159">
        <f>SUMIFS('Future Orders'!$F128, 'Future Orders'!$D128, "3", 'Future Orders'!$C128, "B", 'Future Orders'!$B128, "2")</f>
        <v>0</v>
      </c>
      <c r="AG128" s="157">
        <f>SUMIFS('Future Orders'!$I128, 'Future Orders'!$D128, "3", 'Future Orders'!$C128, "B", 'Future Orders'!$B128, "2")</f>
        <v>0</v>
      </c>
      <c r="AH128" s="157">
        <f>SUMIFS('Future Orders'!$F128, 'Future Orders'!$D128, "4", 'Future Orders'!$C128, "A", 'Future Orders'!$B128, "1")</f>
        <v>0</v>
      </c>
      <c r="AI128" s="157">
        <f>SUMIFS('Future Orders'!$I128, 'Future Orders'!$D128, "4", 'Future Orders'!$C128, "A", 'Future Orders'!$B128, "1")</f>
        <v>0</v>
      </c>
      <c r="AJ128" s="157">
        <f>SUMIFS('Future Orders'!$F128, 'Future Orders'!$D128, "4", 'Future Orders'!$C128, "B", 'Future Orders'!$B128, "1")</f>
        <v>0</v>
      </c>
      <c r="AK128" s="157">
        <f>SUMIFS('Future Orders'!$I128, 'Future Orders'!$D128, "4", 'Future Orders'!$C128, "B", 'Future Orders'!$B128, "1")</f>
        <v>0</v>
      </c>
      <c r="AL128" s="157">
        <f>SUMIFS('Future Orders'!$F128, 'Future Orders'!$D128, "4", 'Future Orders'!$C128, "A", 'Future Orders'!$B128, "2")</f>
        <v>0</v>
      </c>
      <c r="AM128" s="157">
        <f>SUMIFS('Future Orders'!$I128, 'Future Orders'!$D128, "4", 'Future Orders'!$C128, "A", 'Future Orders'!$B128, "2")</f>
        <v>0</v>
      </c>
      <c r="AN128" s="171">
        <f>SUMIFS('Future Orders'!$F128, 'Future Orders'!$D128, "4", 'Future Orders'!$C128, "B", 'Future Orders'!$B128, "2")</f>
        <v>0</v>
      </c>
      <c r="AO128" s="171">
        <f>SUMIFS('Future Orders'!$I128, 'Future Orders'!$D128, "4", 'Future Orders'!$C128, "B", 'Future Orders'!$B128, "2")</f>
        <v>0</v>
      </c>
      <c r="AP128" s="171">
        <f>SUMIFS('Future Orders'!$H128, 'Future Orders'!$C128, "A", 'Future Orders'!$B128, "1")</f>
        <v>11233.2</v>
      </c>
      <c r="AQ128" s="171">
        <f>SUMIFS('Future Orders'!$I128, 'Future Orders'!$C128, "B", 'Future Orders'!$B128, "1")</f>
        <v>0</v>
      </c>
      <c r="AR128" s="171">
        <f>SUMIFS('Future Orders'!$H128, 'Future Orders'!$C128, "A", 'Future Orders'!$B128, "2")</f>
        <v>0</v>
      </c>
      <c r="AS128" s="171">
        <f>SUMIFS('Future Orders'!$I128, 'Future Orders'!$C128, "B", 'Future Orders'!$B128, "2")</f>
        <v>0</v>
      </c>
      <c r="AT128" s="145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  <c r="BT128" s="172"/>
      <c r="BU128" s="172"/>
      <c r="BV128" s="172"/>
      <c r="BW128" s="172"/>
      <c r="BX128" s="172"/>
      <c r="BY128" s="172"/>
      <c r="BZ128" s="172"/>
      <c r="CA128" s="179"/>
      <c r="CB128" s="179"/>
      <c r="CC128" s="179"/>
      <c r="CD128" s="179"/>
      <c r="CE128" s="179"/>
      <c r="CF128" s="179"/>
      <c r="CG128" s="179"/>
      <c r="CH128" s="179"/>
      <c r="CI128" s="179"/>
      <c r="CJ128" s="179"/>
      <c r="CK128" s="179"/>
      <c r="CL128" s="179"/>
      <c r="CM128" s="179"/>
      <c r="CN128" s="179"/>
      <c r="CO128" s="179"/>
      <c r="CP128" s="179"/>
    </row>
    <row r="129" ht="15.75" customHeight="1">
      <c r="A129" s="151">
        <v>42002.0</v>
      </c>
      <c r="B129" s="152">
        <v>1.0</v>
      </c>
      <c r="C129" s="152" t="s">
        <v>45</v>
      </c>
      <c r="D129" s="152">
        <v>2.0</v>
      </c>
      <c r="E129" s="153">
        <v>6522.0</v>
      </c>
      <c r="F129" s="153">
        <f>SUM(('Future Orders'!$E129) * (1.1))</f>
        <v>7174.2</v>
      </c>
      <c r="G129" s="154">
        <v>1.2</v>
      </c>
      <c r="H129" s="155">
        <v>7826.4</v>
      </c>
      <c r="I129" s="155">
        <f>SUM(('Future Orders'!$H129) * (1.1))</f>
        <v>8609.04</v>
      </c>
      <c r="J129" s="159">
        <f>SUMIFS('Future Orders'!$F129, 'Future Orders'!$D129, "1", 'Future Orders'!$C129, "A", 'Future Orders'!$B129, "1")</f>
        <v>0</v>
      </c>
      <c r="K129" s="157">
        <f>SUMIFS('Future Orders'!$I129, 'Future Orders'!$D129, "1", 'Future Orders'!$C129, "A", 'Future Orders'!$B129, "1")</f>
        <v>0</v>
      </c>
      <c r="L129" s="157">
        <f>SUMIFS('Future Orders'!$F129, 'Future Orders'!$D129, "1", 'Future Orders'!$C129, "B", 'Future Orders'!$B129, "1")</f>
        <v>0</v>
      </c>
      <c r="M129" s="157">
        <f>SUMIFS('Future Orders'!$I129, 'Future Orders'!$D129, "1", 'Future Orders'!$C129, "B", 'Future Orders'!$B129, "1")</f>
        <v>0</v>
      </c>
      <c r="N129" s="159">
        <f>SUMIFS('Future Orders'!$F129, 'Future Orders'!$D129, "1", 'Future Orders'!$C129, "A", 'Future Orders'!$B129, "2")</f>
        <v>0</v>
      </c>
      <c r="O129" s="157">
        <f>SUMIFS('Future Orders'!$I129, 'Future Orders'!$D129, "1", 'Future Orders'!$C129, "A", 'Future Orders'!$B129, "2")</f>
        <v>0</v>
      </c>
      <c r="P129" s="157">
        <f>SUMIFS('Future Orders'!$E129, 'Future Orders'!$D129, "1", 'Future Orders'!$C129, "B", 'Future Orders'!$B129, "2")</f>
        <v>0</v>
      </c>
      <c r="Q129" s="157">
        <f>SUMIFS('Future Orders'!$I129, 'Future Orders'!$D129, "1", 'Future Orders'!$C129, "B", 'Future Orders'!$B129, "2")</f>
        <v>0</v>
      </c>
      <c r="R129" s="159">
        <f>SUMIFS('Future Orders'!$F129, 'Future Orders'!$D129, "2", 'Future Orders'!$C129, "A", 'Future Orders'!$B129, "1")</f>
        <v>7174.2</v>
      </c>
      <c r="S129" s="157">
        <f>SUMIFS('Future Orders'!$I129, 'Future Orders'!$D129, "2", 'Future Orders'!$C129, "A", 'Future Orders'!$B129, "1")</f>
        <v>8609.04</v>
      </c>
      <c r="T129" s="159">
        <f>SUMIFS('Future Orders'!$F129, 'Future Orders'!$D129, "2", 'Future Orders'!$C129, "B", 'Future Orders'!$B129, "1")</f>
        <v>0</v>
      </c>
      <c r="U129" s="157">
        <f>SUMIFS('Future Orders'!$I129, 'Future Orders'!$D129, "2", 'Future Orders'!$C129, "B", 'Future Orders'!$B129, "1")</f>
        <v>0</v>
      </c>
      <c r="V129" s="159">
        <f>SUMIFS('Future Orders'!$F129, 'Future Orders'!$D129, "2", 'Future Orders'!$C129, "A", 'Future Orders'!$B129, "2")</f>
        <v>0</v>
      </c>
      <c r="W129" s="157">
        <f>SUMIFS('Future Orders'!$I129, 'Future Orders'!$D129, "2", 'Future Orders'!$C129, "A", 'Future Orders'!$B129, "2")</f>
        <v>0</v>
      </c>
      <c r="X129" s="159">
        <f>SUMIFS('Future Orders'!$F129, 'Future Orders'!$D129, "2", 'Future Orders'!$C129, "B", 'Future Orders'!$B129, "2")</f>
        <v>0</v>
      </c>
      <c r="Y129" s="159">
        <f>SUMIFS('Future Orders'!$I129, 'Future Orders'!$D129, "2", 'Future Orders'!$C129, "B", 'Future Orders'!$B129, "2")</f>
        <v>0</v>
      </c>
      <c r="Z129" s="159">
        <f>SUMIFS('Future Orders'!$F129, 'Future Orders'!$D129, "3", 'Future Orders'!$C129, "A", 'Future Orders'!$B129, "1")</f>
        <v>0</v>
      </c>
      <c r="AA129" s="159">
        <f>SUMIFS('Future Orders'!$I129, 'Future Orders'!$D129, "3", 'Future Orders'!$C129, "A", 'Future Orders'!$B129, "1")</f>
        <v>0</v>
      </c>
      <c r="AB129" s="159">
        <f>SUMIFS('Future Orders'!$F129, 'Future Orders'!$D129, "3", 'Future Orders'!$C129, "B", 'Future Orders'!$B129, "1")</f>
        <v>0</v>
      </c>
      <c r="AC129" s="159">
        <f>SUMIFS('Future Orders'!$I129, 'Future Orders'!$D129, "3", 'Future Orders'!$C129, "B", 'Future Orders'!$B129, "1")</f>
        <v>0</v>
      </c>
      <c r="AD129" s="159">
        <f>SUMIFS('Future Orders'!$F129, 'Future Orders'!$D129, "3", 'Future Orders'!$C129, "A", 'Future Orders'!$B129, "2")</f>
        <v>0</v>
      </c>
      <c r="AE129" s="159">
        <f>SUMIFS('Future Orders'!$I129, 'Future Orders'!$D129, "3", 'Future Orders'!$C129, "A", 'Future Orders'!$B129, "2")</f>
        <v>0</v>
      </c>
      <c r="AF129" s="159">
        <f>SUMIFS('Future Orders'!$F129, 'Future Orders'!$D129, "3", 'Future Orders'!$C129, "B", 'Future Orders'!$B129, "2")</f>
        <v>0</v>
      </c>
      <c r="AG129" s="157">
        <f>SUMIFS('Future Orders'!$I129, 'Future Orders'!$D129, "3", 'Future Orders'!$C129, "B", 'Future Orders'!$B129, "2")</f>
        <v>0</v>
      </c>
      <c r="AH129" s="157">
        <f>SUMIFS('Future Orders'!$F129, 'Future Orders'!$D129, "4", 'Future Orders'!$C129, "A", 'Future Orders'!$B129, "1")</f>
        <v>0</v>
      </c>
      <c r="AI129" s="157">
        <f>SUMIFS('Future Orders'!$I129, 'Future Orders'!$D129, "4", 'Future Orders'!$C129, "A", 'Future Orders'!$B129, "1")</f>
        <v>0</v>
      </c>
      <c r="AJ129" s="157">
        <f>SUMIFS('Future Orders'!$F129, 'Future Orders'!$D129, "4", 'Future Orders'!$C129, "B", 'Future Orders'!$B129, "1")</f>
        <v>0</v>
      </c>
      <c r="AK129" s="157">
        <f>SUMIFS('Future Orders'!$I129, 'Future Orders'!$D129, "4", 'Future Orders'!$C129, "B", 'Future Orders'!$B129, "1")</f>
        <v>0</v>
      </c>
      <c r="AL129" s="157">
        <f>SUMIFS('Future Orders'!$F129, 'Future Orders'!$D129, "4", 'Future Orders'!$C129, "A", 'Future Orders'!$B129, "2")</f>
        <v>0</v>
      </c>
      <c r="AM129" s="157">
        <f>SUMIFS('Future Orders'!$I129, 'Future Orders'!$D129, "4", 'Future Orders'!$C129, "A", 'Future Orders'!$B129, "2")</f>
        <v>0</v>
      </c>
      <c r="AN129" s="171">
        <f>SUMIFS('Future Orders'!$F129, 'Future Orders'!$D129, "4", 'Future Orders'!$C129, "B", 'Future Orders'!$B129, "2")</f>
        <v>0</v>
      </c>
      <c r="AO129" s="171">
        <f>SUMIFS('Future Orders'!$I129, 'Future Orders'!$D129, "4", 'Future Orders'!$C129, "B", 'Future Orders'!$B129, "2")</f>
        <v>0</v>
      </c>
      <c r="AP129" s="171">
        <f>SUMIFS('Future Orders'!$H129, 'Future Orders'!$C129, "A", 'Future Orders'!$B129, "1")</f>
        <v>7826.4</v>
      </c>
      <c r="AQ129" s="171">
        <f>SUMIFS('Future Orders'!$I129, 'Future Orders'!$C129, "B", 'Future Orders'!$B129, "1")</f>
        <v>0</v>
      </c>
      <c r="AR129" s="171">
        <f>SUMIFS('Future Orders'!$H129, 'Future Orders'!$C129, "A", 'Future Orders'!$B129, "2")</f>
        <v>0</v>
      </c>
      <c r="AS129" s="171">
        <f>SUMIFS('Future Orders'!$I129, 'Future Orders'!$C129, "B", 'Future Orders'!$B129, "2")</f>
        <v>0</v>
      </c>
      <c r="AT129" s="145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  <c r="BT129" s="172"/>
      <c r="BU129" s="172"/>
      <c r="BV129" s="172"/>
      <c r="BW129" s="172"/>
      <c r="BX129" s="172"/>
      <c r="BY129" s="172"/>
      <c r="BZ129" s="172"/>
      <c r="CA129" s="179"/>
      <c r="CB129" s="179"/>
      <c r="CC129" s="179"/>
      <c r="CD129" s="179"/>
      <c r="CE129" s="179"/>
      <c r="CF129" s="179"/>
      <c r="CG129" s="179"/>
      <c r="CH129" s="179"/>
      <c r="CI129" s="179"/>
      <c r="CJ129" s="179"/>
      <c r="CK129" s="179"/>
      <c r="CL129" s="179"/>
      <c r="CM129" s="179"/>
      <c r="CN129" s="179"/>
      <c r="CO129" s="179"/>
      <c r="CP129" s="179"/>
    </row>
    <row r="130" ht="15.75" customHeight="1">
      <c r="A130" s="151">
        <v>42002.0</v>
      </c>
      <c r="B130" s="152">
        <v>2.0</v>
      </c>
      <c r="C130" s="152" t="s">
        <v>45</v>
      </c>
      <c r="D130" s="152">
        <v>1.0</v>
      </c>
      <c r="E130" s="153">
        <v>4294.0</v>
      </c>
      <c r="F130" s="153">
        <f>SUM(('Future Orders'!$E130) * (1.1))</f>
        <v>4723.4</v>
      </c>
      <c r="G130" s="154">
        <v>2.2</v>
      </c>
      <c r="H130" s="155">
        <v>9446.800000000001</v>
      </c>
      <c r="I130" s="155">
        <f>SUM(('Future Orders'!$H130) * (1.1))</f>
        <v>10391.48</v>
      </c>
      <c r="J130" s="159">
        <f>SUMIFS('Future Orders'!$F130, 'Future Orders'!$D130, "1", 'Future Orders'!$C130, "A", 'Future Orders'!$B130, "1")</f>
        <v>0</v>
      </c>
      <c r="K130" s="157">
        <f>SUMIFS('Future Orders'!$I130, 'Future Orders'!$D130, "1", 'Future Orders'!$C130, "A", 'Future Orders'!$B130, "1")</f>
        <v>0</v>
      </c>
      <c r="L130" s="157">
        <f>SUMIFS('Future Orders'!$F130, 'Future Orders'!$D130, "1", 'Future Orders'!$C130, "B", 'Future Orders'!$B130, "1")</f>
        <v>0</v>
      </c>
      <c r="M130" s="157">
        <f>SUMIFS('Future Orders'!$I130, 'Future Orders'!$D130, "1", 'Future Orders'!$C130, "B", 'Future Orders'!$B130, "1")</f>
        <v>0</v>
      </c>
      <c r="N130" s="159">
        <f>SUMIFS('Future Orders'!$F130, 'Future Orders'!$D130, "1", 'Future Orders'!$C130, "A", 'Future Orders'!$B130, "2")</f>
        <v>4723.4</v>
      </c>
      <c r="O130" s="157">
        <f>SUMIFS('Future Orders'!$I130, 'Future Orders'!$D130, "1", 'Future Orders'!$C130, "A", 'Future Orders'!$B130, "2")</f>
        <v>10391.48</v>
      </c>
      <c r="P130" s="157">
        <f>SUMIFS('Future Orders'!$E130, 'Future Orders'!$D130, "1", 'Future Orders'!$C130, "B", 'Future Orders'!$B130, "2")</f>
        <v>0</v>
      </c>
      <c r="Q130" s="157">
        <f>SUMIFS('Future Orders'!$I130, 'Future Orders'!$D130, "1", 'Future Orders'!$C130, "B", 'Future Orders'!$B130, "2")</f>
        <v>0</v>
      </c>
      <c r="R130" s="159">
        <f>SUMIFS('Future Orders'!$F130, 'Future Orders'!$D130, "2", 'Future Orders'!$C130, "A", 'Future Orders'!$B130, "1")</f>
        <v>0</v>
      </c>
      <c r="S130" s="157">
        <f>SUMIFS('Future Orders'!$I130, 'Future Orders'!$D130, "2", 'Future Orders'!$C130, "A", 'Future Orders'!$B130, "1")</f>
        <v>0</v>
      </c>
      <c r="T130" s="159">
        <f>SUMIFS('Future Orders'!$F130, 'Future Orders'!$D130, "2", 'Future Orders'!$C130, "B", 'Future Orders'!$B130, "1")</f>
        <v>0</v>
      </c>
      <c r="U130" s="157">
        <f>SUMIFS('Future Orders'!$I130, 'Future Orders'!$D130, "2", 'Future Orders'!$C130, "B", 'Future Orders'!$B130, "1")</f>
        <v>0</v>
      </c>
      <c r="V130" s="159">
        <f>SUMIFS('Future Orders'!$F130, 'Future Orders'!$D130, "2", 'Future Orders'!$C130, "A", 'Future Orders'!$B130, "2")</f>
        <v>0</v>
      </c>
      <c r="W130" s="157">
        <f>SUMIFS('Future Orders'!$I130, 'Future Orders'!$D130, "2", 'Future Orders'!$C130, "A", 'Future Orders'!$B130, "2")</f>
        <v>0</v>
      </c>
      <c r="X130" s="159">
        <f>SUMIFS('Future Orders'!$F130, 'Future Orders'!$D130, "2", 'Future Orders'!$C130, "B", 'Future Orders'!$B130, "2")</f>
        <v>0</v>
      </c>
      <c r="Y130" s="159">
        <f>SUMIFS('Future Orders'!$I130, 'Future Orders'!$D130, "2", 'Future Orders'!$C130, "B", 'Future Orders'!$B130, "2")</f>
        <v>0</v>
      </c>
      <c r="Z130" s="159">
        <f>SUMIFS('Future Orders'!$F130, 'Future Orders'!$D130, "3", 'Future Orders'!$C130, "A", 'Future Orders'!$B130, "1")</f>
        <v>0</v>
      </c>
      <c r="AA130" s="159">
        <f>SUMIFS('Future Orders'!$I130, 'Future Orders'!$D130, "3", 'Future Orders'!$C130, "A", 'Future Orders'!$B130, "1")</f>
        <v>0</v>
      </c>
      <c r="AB130" s="159">
        <f>SUMIFS('Future Orders'!$F130, 'Future Orders'!$D130, "3", 'Future Orders'!$C130, "B", 'Future Orders'!$B130, "1")</f>
        <v>0</v>
      </c>
      <c r="AC130" s="159">
        <f>SUMIFS('Future Orders'!$I130, 'Future Orders'!$D130, "3", 'Future Orders'!$C130, "B", 'Future Orders'!$B130, "1")</f>
        <v>0</v>
      </c>
      <c r="AD130" s="159">
        <f>SUMIFS('Future Orders'!$F130, 'Future Orders'!$D130, "3", 'Future Orders'!$C130, "A", 'Future Orders'!$B130, "2")</f>
        <v>0</v>
      </c>
      <c r="AE130" s="159">
        <f>SUMIFS('Future Orders'!$I130, 'Future Orders'!$D130, "3", 'Future Orders'!$C130, "A", 'Future Orders'!$B130, "2")</f>
        <v>0</v>
      </c>
      <c r="AF130" s="159">
        <f>SUMIFS('Future Orders'!$F130, 'Future Orders'!$D130, "3", 'Future Orders'!$C130, "B", 'Future Orders'!$B130, "2")</f>
        <v>0</v>
      </c>
      <c r="AG130" s="157">
        <f>SUMIFS('Future Orders'!$I130, 'Future Orders'!$D130, "3", 'Future Orders'!$C130, "B", 'Future Orders'!$B130, "2")</f>
        <v>0</v>
      </c>
      <c r="AH130" s="157">
        <f>SUMIFS('Future Orders'!$F130, 'Future Orders'!$D130, "4", 'Future Orders'!$C130, "A", 'Future Orders'!$B130, "1")</f>
        <v>0</v>
      </c>
      <c r="AI130" s="157">
        <f>SUMIFS('Future Orders'!$I130, 'Future Orders'!$D130, "4", 'Future Orders'!$C130, "A", 'Future Orders'!$B130, "1")</f>
        <v>0</v>
      </c>
      <c r="AJ130" s="157">
        <f>SUMIFS('Future Orders'!$F130, 'Future Orders'!$D130, "4", 'Future Orders'!$C130, "B", 'Future Orders'!$B130, "1")</f>
        <v>0</v>
      </c>
      <c r="AK130" s="157">
        <f>SUMIFS('Future Orders'!$I130, 'Future Orders'!$D130, "4", 'Future Orders'!$C130, "B", 'Future Orders'!$B130, "1")</f>
        <v>0</v>
      </c>
      <c r="AL130" s="157">
        <f>SUMIFS('Future Orders'!$F130, 'Future Orders'!$D130, "4", 'Future Orders'!$C130, "A", 'Future Orders'!$B130, "2")</f>
        <v>0</v>
      </c>
      <c r="AM130" s="157">
        <f>SUMIFS('Future Orders'!$I130, 'Future Orders'!$D130, "4", 'Future Orders'!$C130, "A", 'Future Orders'!$B130, "2")</f>
        <v>0</v>
      </c>
      <c r="AN130" s="171">
        <f>SUMIFS('Future Orders'!$F130, 'Future Orders'!$D130, "4", 'Future Orders'!$C130, "B", 'Future Orders'!$B130, "2")</f>
        <v>0</v>
      </c>
      <c r="AO130" s="171">
        <f>SUMIFS('Future Orders'!$I130, 'Future Orders'!$D130, "4", 'Future Orders'!$C130, "B", 'Future Orders'!$B130, "2")</f>
        <v>0</v>
      </c>
      <c r="AP130" s="171">
        <f>SUMIFS('Future Orders'!$H130, 'Future Orders'!$C130, "A", 'Future Orders'!$B130, "1")</f>
        <v>0</v>
      </c>
      <c r="AQ130" s="171">
        <f>SUMIFS('Future Orders'!$I130, 'Future Orders'!$C130, "B", 'Future Orders'!$B130, "1")</f>
        <v>0</v>
      </c>
      <c r="AR130" s="171">
        <f>SUMIFS('Future Orders'!$H130, 'Future Orders'!$C130, "A", 'Future Orders'!$B130, "2")</f>
        <v>9446.8</v>
      </c>
      <c r="AS130" s="171">
        <f>SUMIFS('Future Orders'!$I130, 'Future Orders'!$C130, "B", 'Future Orders'!$B130, "2")</f>
        <v>0</v>
      </c>
      <c r="AT130" s="145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  <c r="BT130" s="172"/>
      <c r="BU130" s="172"/>
      <c r="BV130" s="172"/>
      <c r="BW130" s="172"/>
      <c r="BX130" s="172"/>
      <c r="BY130" s="172"/>
      <c r="BZ130" s="172"/>
      <c r="CA130" s="179"/>
      <c r="CB130" s="179"/>
      <c r="CC130" s="179"/>
      <c r="CD130" s="179"/>
      <c r="CE130" s="179"/>
      <c r="CF130" s="179"/>
      <c r="CG130" s="179"/>
      <c r="CH130" s="179"/>
      <c r="CI130" s="179"/>
      <c r="CJ130" s="179"/>
      <c r="CK130" s="179"/>
      <c r="CL130" s="179"/>
      <c r="CM130" s="179"/>
      <c r="CN130" s="179"/>
      <c r="CO130" s="179"/>
      <c r="CP130" s="179"/>
    </row>
    <row r="131" ht="15.75" customHeight="1">
      <c r="A131" s="151">
        <v>42002.0</v>
      </c>
      <c r="B131" s="152">
        <v>2.0</v>
      </c>
      <c r="C131" s="152" t="s">
        <v>45</v>
      </c>
      <c r="D131" s="152">
        <v>2.0</v>
      </c>
      <c r="E131" s="153">
        <v>7873.0</v>
      </c>
      <c r="F131" s="153">
        <f>SUM(('Future Orders'!$E131) * (1.1))</f>
        <v>8660.3</v>
      </c>
      <c r="G131" s="154">
        <v>1.2</v>
      </c>
      <c r="H131" s="155">
        <v>9447.6</v>
      </c>
      <c r="I131" s="155">
        <f>SUM(('Future Orders'!$H131) * (1.1))</f>
        <v>10392.36</v>
      </c>
      <c r="J131" s="159">
        <f>SUMIFS('Future Orders'!$F131, 'Future Orders'!$D131, "1", 'Future Orders'!$C131, "A", 'Future Orders'!$B131, "1")</f>
        <v>0</v>
      </c>
      <c r="K131" s="157">
        <f>SUMIFS('Future Orders'!$I131, 'Future Orders'!$D131, "1", 'Future Orders'!$C131, "A", 'Future Orders'!$B131, "1")</f>
        <v>0</v>
      </c>
      <c r="L131" s="157">
        <f>SUMIFS('Future Orders'!$F131, 'Future Orders'!$D131, "1", 'Future Orders'!$C131, "B", 'Future Orders'!$B131, "1")</f>
        <v>0</v>
      </c>
      <c r="M131" s="157">
        <f>SUMIFS('Future Orders'!$I131, 'Future Orders'!$D131, "1", 'Future Orders'!$C131, "B", 'Future Orders'!$B131, "1")</f>
        <v>0</v>
      </c>
      <c r="N131" s="159">
        <f>SUMIFS('Future Orders'!$F131, 'Future Orders'!$D131, "1", 'Future Orders'!$C131, "A", 'Future Orders'!$B131, "2")</f>
        <v>0</v>
      </c>
      <c r="O131" s="157">
        <f>SUMIFS('Future Orders'!$I131, 'Future Orders'!$D131, "1", 'Future Orders'!$C131, "A", 'Future Orders'!$B131, "2")</f>
        <v>0</v>
      </c>
      <c r="P131" s="157">
        <f>SUMIFS('Future Orders'!$E131, 'Future Orders'!$D131, "1", 'Future Orders'!$C131, "B", 'Future Orders'!$B131, "2")</f>
        <v>0</v>
      </c>
      <c r="Q131" s="157">
        <f>SUMIFS('Future Orders'!$I131, 'Future Orders'!$D131, "1", 'Future Orders'!$C131, "B", 'Future Orders'!$B131, "2")</f>
        <v>0</v>
      </c>
      <c r="R131" s="159">
        <f>SUMIFS('Future Orders'!$F131, 'Future Orders'!$D131, "2", 'Future Orders'!$C131, "A", 'Future Orders'!$B131, "1")</f>
        <v>0</v>
      </c>
      <c r="S131" s="157">
        <f>SUMIFS('Future Orders'!$I131, 'Future Orders'!$D131, "2", 'Future Orders'!$C131, "A", 'Future Orders'!$B131, "1")</f>
        <v>0</v>
      </c>
      <c r="T131" s="159">
        <f>SUMIFS('Future Orders'!$F131, 'Future Orders'!$D131, "2", 'Future Orders'!$C131, "B", 'Future Orders'!$B131, "1")</f>
        <v>0</v>
      </c>
      <c r="U131" s="157">
        <f>SUMIFS('Future Orders'!$I131, 'Future Orders'!$D131, "2", 'Future Orders'!$C131, "B", 'Future Orders'!$B131, "1")</f>
        <v>0</v>
      </c>
      <c r="V131" s="159">
        <f>SUMIFS('Future Orders'!$F131, 'Future Orders'!$D131, "2", 'Future Orders'!$C131, "A", 'Future Orders'!$B131, "2")</f>
        <v>8660.3</v>
      </c>
      <c r="W131" s="157">
        <f>SUMIFS('Future Orders'!$I131, 'Future Orders'!$D131, "2", 'Future Orders'!$C131, "A", 'Future Orders'!$B131, "2")</f>
        <v>10392.36</v>
      </c>
      <c r="X131" s="159">
        <f>SUMIFS('Future Orders'!$F131, 'Future Orders'!$D131, "2", 'Future Orders'!$C131, "B", 'Future Orders'!$B131, "2")</f>
        <v>0</v>
      </c>
      <c r="Y131" s="159">
        <f>SUMIFS('Future Orders'!$I131, 'Future Orders'!$D131, "2", 'Future Orders'!$C131, "B", 'Future Orders'!$B131, "2")</f>
        <v>0</v>
      </c>
      <c r="Z131" s="159">
        <f>SUMIFS('Future Orders'!$F131, 'Future Orders'!$D131, "3", 'Future Orders'!$C131, "A", 'Future Orders'!$B131, "1")</f>
        <v>0</v>
      </c>
      <c r="AA131" s="159">
        <f>SUMIFS('Future Orders'!$I131, 'Future Orders'!$D131, "3", 'Future Orders'!$C131, "A", 'Future Orders'!$B131, "1")</f>
        <v>0</v>
      </c>
      <c r="AB131" s="159">
        <f>SUMIFS('Future Orders'!$F131, 'Future Orders'!$D131, "3", 'Future Orders'!$C131, "B", 'Future Orders'!$B131, "1")</f>
        <v>0</v>
      </c>
      <c r="AC131" s="159">
        <f>SUMIFS('Future Orders'!$I131, 'Future Orders'!$D131, "3", 'Future Orders'!$C131, "B", 'Future Orders'!$B131, "1")</f>
        <v>0</v>
      </c>
      <c r="AD131" s="159">
        <f>SUMIFS('Future Orders'!$F131, 'Future Orders'!$D131, "3", 'Future Orders'!$C131, "A", 'Future Orders'!$B131, "2")</f>
        <v>0</v>
      </c>
      <c r="AE131" s="159">
        <f>SUMIFS('Future Orders'!$I131, 'Future Orders'!$D131, "3", 'Future Orders'!$C131, "A", 'Future Orders'!$B131, "2")</f>
        <v>0</v>
      </c>
      <c r="AF131" s="159">
        <f>SUMIFS('Future Orders'!$F131, 'Future Orders'!$D131, "3", 'Future Orders'!$C131, "B", 'Future Orders'!$B131, "2")</f>
        <v>0</v>
      </c>
      <c r="AG131" s="157">
        <f>SUMIFS('Future Orders'!$I131, 'Future Orders'!$D131, "3", 'Future Orders'!$C131, "B", 'Future Orders'!$B131, "2")</f>
        <v>0</v>
      </c>
      <c r="AH131" s="157">
        <f>SUMIFS('Future Orders'!$F131, 'Future Orders'!$D131, "4", 'Future Orders'!$C131, "A", 'Future Orders'!$B131, "1")</f>
        <v>0</v>
      </c>
      <c r="AI131" s="157">
        <f>SUMIFS('Future Orders'!$I131, 'Future Orders'!$D131, "4", 'Future Orders'!$C131, "A", 'Future Orders'!$B131, "1")</f>
        <v>0</v>
      </c>
      <c r="AJ131" s="157">
        <f>SUMIFS('Future Orders'!$F131, 'Future Orders'!$D131, "4", 'Future Orders'!$C131, "B", 'Future Orders'!$B131, "1")</f>
        <v>0</v>
      </c>
      <c r="AK131" s="157">
        <f>SUMIFS('Future Orders'!$I131, 'Future Orders'!$D131, "4", 'Future Orders'!$C131, "B", 'Future Orders'!$B131, "1")</f>
        <v>0</v>
      </c>
      <c r="AL131" s="157">
        <f>SUMIFS('Future Orders'!$F131, 'Future Orders'!$D131, "4", 'Future Orders'!$C131, "A", 'Future Orders'!$B131, "2")</f>
        <v>0</v>
      </c>
      <c r="AM131" s="157">
        <f>SUMIFS('Future Orders'!$I131, 'Future Orders'!$D131, "4", 'Future Orders'!$C131, "A", 'Future Orders'!$B131, "2")</f>
        <v>0</v>
      </c>
      <c r="AN131" s="171">
        <f>SUMIFS('Future Orders'!$F131, 'Future Orders'!$D131, "4", 'Future Orders'!$C131, "B", 'Future Orders'!$B131, "2")</f>
        <v>0</v>
      </c>
      <c r="AO131" s="171">
        <f>SUMIFS('Future Orders'!$I131, 'Future Orders'!$D131, "4", 'Future Orders'!$C131, "B", 'Future Orders'!$B131, "2")</f>
        <v>0</v>
      </c>
      <c r="AP131" s="171">
        <f>SUMIFS('Future Orders'!$H131, 'Future Orders'!$C131, "A", 'Future Orders'!$B131, "1")</f>
        <v>0</v>
      </c>
      <c r="AQ131" s="171">
        <f>SUMIFS('Future Orders'!$I131, 'Future Orders'!$C131, "B", 'Future Orders'!$B131, "1")</f>
        <v>0</v>
      </c>
      <c r="AR131" s="171">
        <f>SUMIFS('Future Orders'!$H131, 'Future Orders'!$C131, "A", 'Future Orders'!$B131, "2")</f>
        <v>9447.6</v>
      </c>
      <c r="AS131" s="171">
        <f>SUMIFS('Future Orders'!$I131, 'Future Orders'!$C131, "B", 'Future Orders'!$B131, "2")</f>
        <v>0</v>
      </c>
      <c r="AT131" s="145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  <c r="BT131" s="172"/>
      <c r="BU131" s="172"/>
      <c r="BV131" s="172"/>
      <c r="BW131" s="172"/>
      <c r="BX131" s="172"/>
      <c r="BY131" s="172"/>
      <c r="BZ131" s="172"/>
      <c r="CA131" s="179"/>
      <c r="CB131" s="179"/>
      <c r="CC131" s="179"/>
      <c r="CD131" s="179"/>
      <c r="CE131" s="179"/>
      <c r="CF131" s="179"/>
      <c r="CG131" s="179"/>
      <c r="CH131" s="179"/>
      <c r="CI131" s="179"/>
      <c r="CJ131" s="179"/>
      <c r="CK131" s="179"/>
      <c r="CL131" s="179"/>
      <c r="CM131" s="179"/>
      <c r="CN131" s="179"/>
      <c r="CO131" s="179"/>
      <c r="CP131" s="179"/>
    </row>
    <row r="132" ht="15.75" customHeight="1">
      <c r="A132" s="151">
        <v>42002.0</v>
      </c>
      <c r="B132" s="152">
        <v>1.0</v>
      </c>
      <c r="C132" s="152" t="s">
        <v>46</v>
      </c>
      <c r="D132" s="152">
        <v>3.0</v>
      </c>
      <c r="E132" s="153">
        <v>2102.0</v>
      </c>
      <c r="F132" s="153">
        <f>SUM(('Future Orders'!$E132) * (1.1))</f>
        <v>2312.2</v>
      </c>
      <c r="G132" s="154">
        <v>8.3</v>
      </c>
      <c r="H132" s="155">
        <v>17446.600000000002</v>
      </c>
      <c r="I132" s="155">
        <f>SUM(('Future Orders'!$H132) * (1.1))</f>
        <v>19191.26</v>
      </c>
      <c r="J132" s="159">
        <f>SUMIFS('Future Orders'!$F132, 'Future Orders'!$D132, "1", 'Future Orders'!$C132, "A", 'Future Orders'!$B132, "1")</f>
        <v>0</v>
      </c>
      <c r="K132" s="157">
        <f>SUMIFS('Future Orders'!$I132, 'Future Orders'!$D132, "1", 'Future Orders'!$C132, "A", 'Future Orders'!$B132, "1")</f>
        <v>0</v>
      </c>
      <c r="L132" s="157">
        <f>SUMIFS('Future Orders'!$F132, 'Future Orders'!$D132, "1", 'Future Orders'!$C132, "B", 'Future Orders'!$B132, "1")</f>
        <v>0</v>
      </c>
      <c r="M132" s="157">
        <f>SUMIFS('Future Orders'!$I132, 'Future Orders'!$D132, "1", 'Future Orders'!$C132, "B", 'Future Orders'!$B132, "1")</f>
        <v>0</v>
      </c>
      <c r="N132" s="159">
        <f>SUMIFS('Future Orders'!$F132, 'Future Orders'!$D132, "1", 'Future Orders'!$C132, "A", 'Future Orders'!$B132, "2")</f>
        <v>0</v>
      </c>
      <c r="O132" s="157">
        <f>SUMIFS('Future Orders'!$I132, 'Future Orders'!$D132, "1", 'Future Orders'!$C132, "A", 'Future Orders'!$B132, "2")</f>
        <v>0</v>
      </c>
      <c r="P132" s="157">
        <f>SUMIFS('Future Orders'!$E132, 'Future Orders'!$D132, "1", 'Future Orders'!$C132, "B", 'Future Orders'!$B132, "2")</f>
        <v>0</v>
      </c>
      <c r="Q132" s="157">
        <f>SUMIFS('Future Orders'!$I132, 'Future Orders'!$D132, "1", 'Future Orders'!$C132, "B", 'Future Orders'!$B132, "2")</f>
        <v>0</v>
      </c>
      <c r="R132" s="159">
        <f>SUMIFS('Future Orders'!$F132, 'Future Orders'!$D132, "2", 'Future Orders'!$C132, "A", 'Future Orders'!$B132, "1")</f>
        <v>0</v>
      </c>
      <c r="S132" s="157">
        <f>SUMIFS('Future Orders'!$I132, 'Future Orders'!$D132, "2", 'Future Orders'!$C132, "A", 'Future Orders'!$B132, "1")</f>
        <v>0</v>
      </c>
      <c r="T132" s="159">
        <f>SUMIFS('Future Orders'!$F132, 'Future Orders'!$D132, "2", 'Future Orders'!$C132, "B", 'Future Orders'!$B132, "1")</f>
        <v>0</v>
      </c>
      <c r="U132" s="157">
        <f>SUMIFS('Future Orders'!$I132, 'Future Orders'!$D132, "2", 'Future Orders'!$C132, "B", 'Future Orders'!$B132, "1")</f>
        <v>0</v>
      </c>
      <c r="V132" s="159">
        <f>SUMIFS('Future Orders'!$F132, 'Future Orders'!$D132, "2", 'Future Orders'!$C132, "A", 'Future Orders'!$B132, "2")</f>
        <v>0</v>
      </c>
      <c r="W132" s="157">
        <f>SUMIFS('Future Orders'!$I132, 'Future Orders'!$D132, "2", 'Future Orders'!$C132, "A", 'Future Orders'!$B132, "2")</f>
        <v>0</v>
      </c>
      <c r="X132" s="159">
        <f>SUMIFS('Future Orders'!$F132, 'Future Orders'!$D132, "2", 'Future Orders'!$C132, "B", 'Future Orders'!$B132, "2")</f>
        <v>0</v>
      </c>
      <c r="Y132" s="159">
        <f>SUMIFS('Future Orders'!$I132, 'Future Orders'!$D132, "2", 'Future Orders'!$C132, "B", 'Future Orders'!$B132, "2")</f>
        <v>0</v>
      </c>
      <c r="Z132" s="159">
        <f>SUMIFS('Future Orders'!$F132, 'Future Orders'!$D132, "3", 'Future Orders'!$C132, "A", 'Future Orders'!$B132, "1")</f>
        <v>0</v>
      </c>
      <c r="AA132" s="159">
        <f>SUMIFS('Future Orders'!$I132, 'Future Orders'!$D132, "3", 'Future Orders'!$C132, "A", 'Future Orders'!$B132, "1")</f>
        <v>0</v>
      </c>
      <c r="AB132" s="159">
        <f>SUMIFS('Future Orders'!$F132, 'Future Orders'!$D132, "3", 'Future Orders'!$C132, "B", 'Future Orders'!$B132, "1")</f>
        <v>2312.2</v>
      </c>
      <c r="AC132" s="159">
        <f>SUMIFS('Future Orders'!$I132, 'Future Orders'!$D132, "3", 'Future Orders'!$C132, "B", 'Future Orders'!$B132, "1")</f>
        <v>19191.26</v>
      </c>
      <c r="AD132" s="159">
        <f>SUMIFS('Future Orders'!$F132, 'Future Orders'!$D132, "3", 'Future Orders'!$C132, "A", 'Future Orders'!$B132, "2")</f>
        <v>0</v>
      </c>
      <c r="AE132" s="159">
        <f>SUMIFS('Future Orders'!$I132, 'Future Orders'!$D132, "3", 'Future Orders'!$C132, "A", 'Future Orders'!$B132, "2")</f>
        <v>0</v>
      </c>
      <c r="AF132" s="159">
        <f>SUMIFS('Future Orders'!$F132, 'Future Orders'!$D132, "3", 'Future Orders'!$C132, "B", 'Future Orders'!$B132, "2")</f>
        <v>0</v>
      </c>
      <c r="AG132" s="157">
        <f>SUMIFS('Future Orders'!$I132, 'Future Orders'!$D132, "3", 'Future Orders'!$C132, "B", 'Future Orders'!$B132, "2")</f>
        <v>0</v>
      </c>
      <c r="AH132" s="157">
        <f>SUMIFS('Future Orders'!$F132, 'Future Orders'!$D132, "4", 'Future Orders'!$C132, "A", 'Future Orders'!$B132, "1")</f>
        <v>0</v>
      </c>
      <c r="AI132" s="157">
        <f>SUMIFS('Future Orders'!$I132, 'Future Orders'!$D132, "4", 'Future Orders'!$C132, "A", 'Future Orders'!$B132, "1")</f>
        <v>0</v>
      </c>
      <c r="AJ132" s="157">
        <f>SUMIFS('Future Orders'!$F132, 'Future Orders'!$D132, "4", 'Future Orders'!$C132, "B", 'Future Orders'!$B132, "1")</f>
        <v>0</v>
      </c>
      <c r="AK132" s="157">
        <f>SUMIFS('Future Orders'!$I132, 'Future Orders'!$D132, "4", 'Future Orders'!$C132, "B", 'Future Orders'!$B132, "1")</f>
        <v>0</v>
      </c>
      <c r="AL132" s="157">
        <f>SUMIFS('Future Orders'!$F132, 'Future Orders'!$D132, "4", 'Future Orders'!$C132, "A", 'Future Orders'!$B132, "2")</f>
        <v>0</v>
      </c>
      <c r="AM132" s="157">
        <f>SUMIFS('Future Orders'!$I132, 'Future Orders'!$D132, "4", 'Future Orders'!$C132, "A", 'Future Orders'!$B132, "2")</f>
        <v>0</v>
      </c>
      <c r="AN132" s="171">
        <f>SUMIFS('Future Orders'!$F132, 'Future Orders'!$D132, "4", 'Future Orders'!$C132, "B", 'Future Orders'!$B132, "2")</f>
        <v>0</v>
      </c>
      <c r="AO132" s="171">
        <f>SUMIFS('Future Orders'!$I132, 'Future Orders'!$D132, "4", 'Future Orders'!$C132, "B", 'Future Orders'!$B132, "2")</f>
        <v>0</v>
      </c>
      <c r="AP132" s="171">
        <f>SUMIFS('Future Orders'!$H132, 'Future Orders'!$C132, "A", 'Future Orders'!$B132, "1")</f>
        <v>0</v>
      </c>
      <c r="AQ132" s="171">
        <f>SUMIFS('Future Orders'!$I132, 'Future Orders'!$C132, "B", 'Future Orders'!$B132, "1")</f>
        <v>19191.26</v>
      </c>
      <c r="AR132" s="171">
        <f>SUMIFS('Future Orders'!$H132, 'Future Orders'!$C132, "A", 'Future Orders'!$B132, "2")</f>
        <v>0</v>
      </c>
      <c r="AS132" s="171">
        <f>SUMIFS('Future Orders'!$I132, 'Future Orders'!$C132, "B", 'Future Orders'!$B132, "2")</f>
        <v>0</v>
      </c>
      <c r="AT132" s="145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2"/>
      <c r="BV132" s="172"/>
      <c r="BW132" s="172"/>
      <c r="BX132" s="172"/>
      <c r="BY132" s="172"/>
      <c r="BZ132" s="172"/>
      <c r="CA132" s="179"/>
      <c r="CB132" s="179"/>
      <c r="CC132" s="179"/>
      <c r="CD132" s="179"/>
      <c r="CE132" s="179"/>
      <c r="CF132" s="179"/>
      <c r="CG132" s="179"/>
      <c r="CH132" s="179"/>
      <c r="CI132" s="179"/>
      <c r="CJ132" s="179"/>
      <c r="CK132" s="179"/>
      <c r="CL132" s="179"/>
      <c r="CM132" s="179"/>
      <c r="CN132" s="179"/>
      <c r="CO132" s="179"/>
      <c r="CP132" s="179"/>
    </row>
    <row r="133" ht="15.75" customHeight="1">
      <c r="A133" s="151">
        <v>42002.0</v>
      </c>
      <c r="B133" s="152">
        <v>2.0</v>
      </c>
      <c r="C133" s="152" t="s">
        <v>46</v>
      </c>
      <c r="D133" s="152">
        <v>3.0</v>
      </c>
      <c r="E133" s="153">
        <v>2855.0</v>
      </c>
      <c r="F133" s="153">
        <f>SUM(('Future Orders'!$E133) * (1.1))</f>
        <v>3140.5</v>
      </c>
      <c r="G133" s="154">
        <v>8.3</v>
      </c>
      <c r="H133" s="155">
        <v>23696.500000000004</v>
      </c>
      <c r="I133" s="155">
        <f>SUM(('Future Orders'!$H133) * (1.1))</f>
        <v>26066.15</v>
      </c>
      <c r="J133" s="159">
        <f>SUMIFS('Future Orders'!$F133, 'Future Orders'!$D133, "1", 'Future Orders'!$C133, "A", 'Future Orders'!$B133, "1")</f>
        <v>0</v>
      </c>
      <c r="K133" s="157">
        <f>SUMIFS('Future Orders'!$I133, 'Future Orders'!$D133, "1", 'Future Orders'!$C133, "A", 'Future Orders'!$B133, "1")</f>
        <v>0</v>
      </c>
      <c r="L133" s="157">
        <f>SUMIFS('Future Orders'!$F133, 'Future Orders'!$D133, "1", 'Future Orders'!$C133, "B", 'Future Orders'!$B133, "1")</f>
        <v>0</v>
      </c>
      <c r="M133" s="157">
        <f>SUMIFS('Future Orders'!$I133, 'Future Orders'!$D133, "1", 'Future Orders'!$C133, "B", 'Future Orders'!$B133, "1")</f>
        <v>0</v>
      </c>
      <c r="N133" s="159">
        <f>SUMIFS('Future Orders'!$F133, 'Future Orders'!$D133, "1", 'Future Orders'!$C133, "A", 'Future Orders'!$B133, "2")</f>
        <v>0</v>
      </c>
      <c r="O133" s="157">
        <f>SUMIFS('Future Orders'!$I133, 'Future Orders'!$D133, "1", 'Future Orders'!$C133, "A", 'Future Orders'!$B133, "2")</f>
        <v>0</v>
      </c>
      <c r="P133" s="157">
        <f>SUMIFS('Future Orders'!$E133, 'Future Orders'!$D133, "1", 'Future Orders'!$C133, "B", 'Future Orders'!$B133, "2")</f>
        <v>0</v>
      </c>
      <c r="Q133" s="157">
        <f>SUMIFS('Future Orders'!$I133, 'Future Orders'!$D133, "1", 'Future Orders'!$C133, "B", 'Future Orders'!$B133, "2")</f>
        <v>0</v>
      </c>
      <c r="R133" s="159">
        <f>SUMIFS('Future Orders'!$F133, 'Future Orders'!$D133, "2", 'Future Orders'!$C133, "A", 'Future Orders'!$B133, "1")</f>
        <v>0</v>
      </c>
      <c r="S133" s="157">
        <f>SUMIFS('Future Orders'!$I133, 'Future Orders'!$D133, "2", 'Future Orders'!$C133, "A", 'Future Orders'!$B133, "1")</f>
        <v>0</v>
      </c>
      <c r="T133" s="159">
        <f>SUMIFS('Future Orders'!$F133, 'Future Orders'!$D133, "2", 'Future Orders'!$C133, "B", 'Future Orders'!$B133, "1")</f>
        <v>0</v>
      </c>
      <c r="U133" s="157">
        <f>SUMIFS('Future Orders'!$I133, 'Future Orders'!$D133, "2", 'Future Orders'!$C133, "B", 'Future Orders'!$B133, "1")</f>
        <v>0</v>
      </c>
      <c r="V133" s="159">
        <f>SUMIFS('Future Orders'!$F133, 'Future Orders'!$D133, "2", 'Future Orders'!$C133, "A", 'Future Orders'!$B133, "2")</f>
        <v>0</v>
      </c>
      <c r="W133" s="157">
        <f>SUMIFS('Future Orders'!$I133, 'Future Orders'!$D133, "2", 'Future Orders'!$C133, "A", 'Future Orders'!$B133, "2")</f>
        <v>0</v>
      </c>
      <c r="X133" s="159">
        <f>SUMIFS('Future Orders'!$F133, 'Future Orders'!$D133, "2", 'Future Orders'!$C133, "B", 'Future Orders'!$B133, "2")</f>
        <v>0</v>
      </c>
      <c r="Y133" s="159">
        <f>SUMIFS('Future Orders'!$I133, 'Future Orders'!$D133, "2", 'Future Orders'!$C133, "B", 'Future Orders'!$B133, "2")</f>
        <v>0</v>
      </c>
      <c r="Z133" s="159">
        <f>SUMIFS('Future Orders'!$F133, 'Future Orders'!$D133, "3", 'Future Orders'!$C133, "A", 'Future Orders'!$B133, "1")</f>
        <v>0</v>
      </c>
      <c r="AA133" s="159">
        <f>SUMIFS('Future Orders'!$I133, 'Future Orders'!$D133, "3", 'Future Orders'!$C133, "A", 'Future Orders'!$B133, "1")</f>
        <v>0</v>
      </c>
      <c r="AB133" s="159">
        <f>SUMIFS('Future Orders'!$F133, 'Future Orders'!$D133, "3", 'Future Orders'!$C133, "B", 'Future Orders'!$B133, "1")</f>
        <v>0</v>
      </c>
      <c r="AC133" s="159">
        <f>SUMIFS('Future Orders'!$I133, 'Future Orders'!$D133, "3", 'Future Orders'!$C133, "B", 'Future Orders'!$B133, "1")</f>
        <v>0</v>
      </c>
      <c r="AD133" s="159">
        <f>SUMIFS('Future Orders'!$F133, 'Future Orders'!$D133, "3", 'Future Orders'!$C133, "A", 'Future Orders'!$B133, "2")</f>
        <v>0</v>
      </c>
      <c r="AE133" s="159">
        <f>SUMIFS('Future Orders'!$I133, 'Future Orders'!$D133, "3", 'Future Orders'!$C133, "A", 'Future Orders'!$B133, "2")</f>
        <v>0</v>
      </c>
      <c r="AF133" s="159">
        <f>SUMIFS('Future Orders'!$F133, 'Future Orders'!$D133, "3", 'Future Orders'!$C133, "B", 'Future Orders'!$B133, "2")</f>
        <v>3140.5</v>
      </c>
      <c r="AG133" s="157">
        <f>SUMIFS('Future Orders'!$I133, 'Future Orders'!$D133, "3", 'Future Orders'!$C133, "B", 'Future Orders'!$B133, "2")</f>
        <v>26066.15</v>
      </c>
      <c r="AH133" s="157">
        <f>SUMIFS('Future Orders'!$F133, 'Future Orders'!$D133, "4", 'Future Orders'!$C133, "A", 'Future Orders'!$B133, "1")</f>
        <v>0</v>
      </c>
      <c r="AI133" s="157">
        <f>SUMIFS('Future Orders'!$I133, 'Future Orders'!$D133, "4", 'Future Orders'!$C133, "A", 'Future Orders'!$B133, "1")</f>
        <v>0</v>
      </c>
      <c r="AJ133" s="157">
        <f>SUMIFS('Future Orders'!$F133, 'Future Orders'!$D133, "4", 'Future Orders'!$C133, "B", 'Future Orders'!$B133, "1")</f>
        <v>0</v>
      </c>
      <c r="AK133" s="157">
        <f>SUMIFS('Future Orders'!$I133, 'Future Orders'!$D133, "4", 'Future Orders'!$C133, "B", 'Future Orders'!$B133, "1")</f>
        <v>0</v>
      </c>
      <c r="AL133" s="157">
        <f>SUMIFS('Future Orders'!$F133, 'Future Orders'!$D133, "4", 'Future Orders'!$C133, "A", 'Future Orders'!$B133, "2")</f>
        <v>0</v>
      </c>
      <c r="AM133" s="157">
        <f>SUMIFS('Future Orders'!$I133, 'Future Orders'!$D133, "4", 'Future Orders'!$C133, "A", 'Future Orders'!$B133, "2")</f>
        <v>0</v>
      </c>
      <c r="AN133" s="171">
        <f>SUMIFS('Future Orders'!$F133, 'Future Orders'!$D133, "4", 'Future Orders'!$C133, "B", 'Future Orders'!$B133, "2")</f>
        <v>0</v>
      </c>
      <c r="AO133" s="171">
        <f>SUMIFS('Future Orders'!$I133, 'Future Orders'!$D133, "4", 'Future Orders'!$C133, "B", 'Future Orders'!$B133, "2")</f>
        <v>0</v>
      </c>
      <c r="AP133" s="171">
        <f>SUMIFS('Future Orders'!$H133, 'Future Orders'!$C133, "A", 'Future Orders'!$B133, "1")</f>
        <v>0</v>
      </c>
      <c r="AQ133" s="171">
        <f>SUMIFS('Future Orders'!$I133, 'Future Orders'!$C133, "B", 'Future Orders'!$B133, "1")</f>
        <v>0</v>
      </c>
      <c r="AR133" s="171">
        <f>SUMIFS('Future Orders'!$H133, 'Future Orders'!$C133, "A", 'Future Orders'!$B133, "2")</f>
        <v>0</v>
      </c>
      <c r="AS133" s="171">
        <f>SUMIFS('Future Orders'!$I133, 'Future Orders'!$C133, "B", 'Future Orders'!$B133, "2")</f>
        <v>26066.15</v>
      </c>
      <c r="AT133" s="145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  <c r="BT133" s="172"/>
      <c r="BU133" s="172"/>
      <c r="BV133" s="172"/>
      <c r="BW133" s="172"/>
      <c r="BX133" s="172"/>
      <c r="BY133" s="172"/>
      <c r="BZ133" s="172"/>
      <c r="CA133" s="179"/>
      <c r="CB133" s="179"/>
      <c r="CC133" s="179"/>
      <c r="CD133" s="179"/>
      <c r="CE133" s="179"/>
      <c r="CF133" s="179"/>
      <c r="CG133" s="179"/>
      <c r="CH133" s="179"/>
      <c r="CI133" s="179"/>
      <c r="CJ133" s="179"/>
      <c r="CK133" s="179"/>
      <c r="CL133" s="179"/>
      <c r="CM133" s="179"/>
      <c r="CN133" s="179"/>
      <c r="CO133" s="179"/>
      <c r="CP133" s="179"/>
    </row>
    <row r="134" ht="15.75" customHeight="1">
      <c r="A134" s="151">
        <v>42009.0</v>
      </c>
      <c r="B134" s="152">
        <v>1.0</v>
      </c>
      <c r="C134" s="152" t="s">
        <v>45</v>
      </c>
      <c r="D134" s="152">
        <v>1.0</v>
      </c>
      <c r="E134" s="153">
        <v>4702.0</v>
      </c>
      <c r="F134" s="153">
        <f>SUM(('Future Orders'!$E134) * (1.1))</f>
        <v>5172.2</v>
      </c>
      <c r="G134" s="154">
        <v>2.2</v>
      </c>
      <c r="H134" s="155">
        <v>10344.400000000001</v>
      </c>
      <c r="I134" s="155">
        <f>SUM(('Future Orders'!$H134) * (1.1))</f>
        <v>11378.84</v>
      </c>
      <c r="J134" s="159">
        <f>SUMIFS('Future Orders'!$F134, 'Future Orders'!$D134, "1", 'Future Orders'!$C134, "A", 'Future Orders'!$B134, "1")</f>
        <v>5172.2</v>
      </c>
      <c r="K134" s="157">
        <f>SUMIFS('Future Orders'!$I134, 'Future Orders'!$D134, "1", 'Future Orders'!$C134, "A", 'Future Orders'!$B134, "1")</f>
        <v>11378.84</v>
      </c>
      <c r="L134" s="157">
        <f>SUMIFS('Future Orders'!$F134, 'Future Orders'!$D134, "1", 'Future Orders'!$C134, "B", 'Future Orders'!$B134, "1")</f>
        <v>0</v>
      </c>
      <c r="M134" s="157">
        <f>SUMIFS('Future Orders'!$I134, 'Future Orders'!$D134, "1", 'Future Orders'!$C134, "B", 'Future Orders'!$B134, "1")</f>
        <v>0</v>
      </c>
      <c r="N134" s="159">
        <f>SUMIFS('Future Orders'!$F134, 'Future Orders'!$D134, "1", 'Future Orders'!$C134, "A", 'Future Orders'!$B134, "2")</f>
        <v>0</v>
      </c>
      <c r="O134" s="157">
        <f>SUMIFS('Future Orders'!$I134, 'Future Orders'!$D134, "1", 'Future Orders'!$C134, "A", 'Future Orders'!$B134, "2")</f>
        <v>0</v>
      </c>
      <c r="P134" s="157">
        <f>SUMIFS('Future Orders'!$E134, 'Future Orders'!$D134, "1", 'Future Orders'!$C134, "B", 'Future Orders'!$B134, "2")</f>
        <v>0</v>
      </c>
      <c r="Q134" s="157">
        <f>SUMIFS('Future Orders'!$I134, 'Future Orders'!$D134, "1", 'Future Orders'!$C134, "B", 'Future Orders'!$B134, "2")</f>
        <v>0</v>
      </c>
      <c r="R134" s="159">
        <f>SUMIFS('Future Orders'!$F134, 'Future Orders'!$D134, "2", 'Future Orders'!$C134, "A", 'Future Orders'!$B134, "1")</f>
        <v>0</v>
      </c>
      <c r="S134" s="157">
        <f>SUMIFS('Future Orders'!$I134, 'Future Orders'!$D134, "2", 'Future Orders'!$C134, "A", 'Future Orders'!$B134, "1")</f>
        <v>0</v>
      </c>
      <c r="T134" s="159">
        <f>SUMIFS('Future Orders'!$F134, 'Future Orders'!$D134, "2", 'Future Orders'!$C134, "B", 'Future Orders'!$B134, "1")</f>
        <v>0</v>
      </c>
      <c r="U134" s="157">
        <f>SUMIFS('Future Orders'!$I134, 'Future Orders'!$D134, "2", 'Future Orders'!$C134, "B", 'Future Orders'!$B134, "1")</f>
        <v>0</v>
      </c>
      <c r="V134" s="159">
        <f>SUMIFS('Future Orders'!$F134, 'Future Orders'!$D134, "2", 'Future Orders'!$C134, "A", 'Future Orders'!$B134, "2")</f>
        <v>0</v>
      </c>
      <c r="W134" s="157">
        <f>SUMIFS('Future Orders'!$I134, 'Future Orders'!$D134, "2", 'Future Orders'!$C134, "A", 'Future Orders'!$B134, "2")</f>
        <v>0</v>
      </c>
      <c r="X134" s="159">
        <f>SUMIFS('Future Orders'!$F134, 'Future Orders'!$D134, "2", 'Future Orders'!$C134, "B", 'Future Orders'!$B134, "2")</f>
        <v>0</v>
      </c>
      <c r="Y134" s="159">
        <f>SUMIFS('Future Orders'!$I134, 'Future Orders'!$D134, "2", 'Future Orders'!$C134, "B", 'Future Orders'!$B134, "2")</f>
        <v>0</v>
      </c>
      <c r="Z134" s="159">
        <f>SUMIFS('Future Orders'!$F134, 'Future Orders'!$D134, "3", 'Future Orders'!$C134, "A", 'Future Orders'!$B134, "1")</f>
        <v>0</v>
      </c>
      <c r="AA134" s="159">
        <f>SUMIFS('Future Orders'!$I134, 'Future Orders'!$D134, "3", 'Future Orders'!$C134, "A", 'Future Orders'!$B134, "1")</f>
        <v>0</v>
      </c>
      <c r="AB134" s="159">
        <f>SUMIFS('Future Orders'!$F134, 'Future Orders'!$D134, "3", 'Future Orders'!$C134, "B", 'Future Orders'!$B134, "1")</f>
        <v>0</v>
      </c>
      <c r="AC134" s="159">
        <f>SUMIFS('Future Orders'!$I134, 'Future Orders'!$D134, "3", 'Future Orders'!$C134, "B", 'Future Orders'!$B134, "1")</f>
        <v>0</v>
      </c>
      <c r="AD134" s="159">
        <f>SUMIFS('Future Orders'!$F134, 'Future Orders'!$D134, "3", 'Future Orders'!$C134, "A", 'Future Orders'!$B134, "2")</f>
        <v>0</v>
      </c>
      <c r="AE134" s="159">
        <f>SUMIFS('Future Orders'!$I134, 'Future Orders'!$D134, "3", 'Future Orders'!$C134, "A", 'Future Orders'!$B134, "2")</f>
        <v>0</v>
      </c>
      <c r="AF134" s="159">
        <f>SUMIFS('Future Orders'!$F134, 'Future Orders'!$D134, "3", 'Future Orders'!$C134, "B", 'Future Orders'!$B134, "2")</f>
        <v>0</v>
      </c>
      <c r="AG134" s="157">
        <f>SUMIFS('Future Orders'!$I134, 'Future Orders'!$D134, "3", 'Future Orders'!$C134, "B", 'Future Orders'!$B134, "2")</f>
        <v>0</v>
      </c>
      <c r="AH134" s="157">
        <f>SUMIFS('Future Orders'!$F134, 'Future Orders'!$D134, "4", 'Future Orders'!$C134, "A", 'Future Orders'!$B134, "1")</f>
        <v>0</v>
      </c>
      <c r="AI134" s="157">
        <f>SUMIFS('Future Orders'!$I134, 'Future Orders'!$D134, "4", 'Future Orders'!$C134, "A", 'Future Orders'!$B134, "1")</f>
        <v>0</v>
      </c>
      <c r="AJ134" s="157">
        <f>SUMIFS('Future Orders'!$F134, 'Future Orders'!$D134, "4", 'Future Orders'!$C134, "B", 'Future Orders'!$B134, "1")</f>
        <v>0</v>
      </c>
      <c r="AK134" s="157">
        <f>SUMIFS('Future Orders'!$I134, 'Future Orders'!$D134, "4", 'Future Orders'!$C134, "B", 'Future Orders'!$B134, "1")</f>
        <v>0</v>
      </c>
      <c r="AL134" s="157">
        <f>SUMIFS('Future Orders'!$F134, 'Future Orders'!$D134, "4", 'Future Orders'!$C134, "A", 'Future Orders'!$B134, "2")</f>
        <v>0</v>
      </c>
      <c r="AM134" s="157">
        <f>SUMIFS('Future Orders'!$I134, 'Future Orders'!$D134, "4", 'Future Orders'!$C134, "A", 'Future Orders'!$B134, "2")</f>
        <v>0</v>
      </c>
      <c r="AN134" s="171">
        <f>SUMIFS('Future Orders'!$F134, 'Future Orders'!$D134, "4", 'Future Orders'!$C134, "B", 'Future Orders'!$B134, "2")</f>
        <v>0</v>
      </c>
      <c r="AO134" s="171">
        <f>SUMIFS('Future Orders'!$I134, 'Future Orders'!$D134, "4", 'Future Orders'!$C134, "B", 'Future Orders'!$B134, "2")</f>
        <v>0</v>
      </c>
      <c r="AP134" s="171">
        <f>SUMIFS('Future Orders'!$H134, 'Future Orders'!$C134, "A", 'Future Orders'!$B134, "1")</f>
        <v>10344.4</v>
      </c>
      <c r="AQ134" s="171">
        <f>SUMIFS('Future Orders'!$I134, 'Future Orders'!$C134, "B", 'Future Orders'!$B134, "1")</f>
        <v>0</v>
      </c>
      <c r="AR134" s="171">
        <f>SUMIFS('Future Orders'!$H134, 'Future Orders'!$C134, "A", 'Future Orders'!$B134, "2")</f>
        <v>0</v>
      </c>
      <c r="AS134" s="171">
        <f>SUMIFS('Future Orders'!$I134, 'Future Orders'!$C134, "B", 'Future Orders'!$B134, "2")</f>
        <v>0</v>
      </c>
      <c r="AT134" s="145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  <c r="BT134" s="172"/>
      <c r="BU134" s="172"/>
      <c r="BV134" s="172"/>
      <c r="BW134" s="172"/>
      <c r="BX134" s="172"/>
      <c r="BY134" s="172"/>
      <c r="BZ134" s="172"/>
      <c r="CA134" s="179"/>
      <c r="CB134" s="179"/>
      <c r="CC134" s="179"/>
      <c r="CD134" s="179"/>
      <c r="CE134" s="179"/>
      <c r="CF134" s="179"/>
      <c r="CG134" s="179"/>
      <c r="CH134" s="179"/>
      <c r="CI134" s="179"/>
      <c r="CJ134" s="179"/>
      <c r="CK134" s="179"/>
      <c r="CL134" s="179"/>
      <c r="CM134" s="179"/>
      <c r="CN134" s="179"/>
      <c r="CO134" s="179"/>
      <c r="CP134" s="179"/>
    </row>
    <row r="135" ht="15.75" customHeight="1">
      <c r="A135" s="151">
        <v>42009.0</v>
      </c>
      <c r="B135" s="152">
        <v>1.0</v>
      </c>
      <c r="C135" s="152" t="s">
        <v>45</v>
      </c>
      <c r="D135" s="152">
        <v>2.0</v>
      </c>
      <c r="E135" s="153">
        <v>5550.0</v>
      </c>
      <c r="F135" s="153">
        <f>SUM(('Future Orders'!$E135) * (1.1))</f>
        <v>6105</v>
      </c>
      <c r="G135" s="154">
        <v>1.2</v>
      </c>
      <c r="H135" s="155">
        <v>6660.0</v>
      </c>
      <c r="I135" s="155">
        <f>SUM(('Future Orders'!$H135) * (1.1))</f>
        <v>7326</v>
      </c>
      <c r="J135" s="159">
        <f>SUMIFS('Future Orders'!$F135, 'Future Orders'!$D135, "1", 'Future Orders'!$C135, "A", 'Future Orders'!$B135, "1")</f>
        <v>0</v>
      </c>
      <c r="K135" s="157">
        <f>SUMIFS('Future Orders'!$I135, 'Future Orders'!$D135, "1", 'Future Orders'!$C135, "A", 'Future Orders'!$B135, "1")</f>
        <v>0</v>
      </c>
      <c r="L135" s="157">
        <f>SUMIFS('Future Orders'!$F135, 'Future Orders'!$D135, "1", 'Future Orders'!$C135, "B", 'Future Orders'!$B135, "1")</f>
        <v>0</v>
      </c>
      <c r="M135" s="157">
        <f>SUMIFS('Future Orders'!$I135, 'Future Orders'!$D135, "1", 'Future Orders'!$C135, "B", 'Future Orders'!$B135, "1")</f>
        <v>0</v>
      </c>
      <c r="N135" s="159">
        <f>SUMIFS('Future Orders'!$F135, 'Future Orders'!$D135, "1", 'Future Orders'!$C135, "A", 'Future Orders'!$B135, "2")</f>
        <v>0</v>
      </c>
      <c r="O135" s="157">
        <f>SUMIFS('Future Orders'!$I135, 'Future Orders'!$D135, "1", 'Future Orders'!$C135, "A", 'Future Orders'!$B135, "2")</f>
        <v>0</v>
      </c>
      <c r="P135" s="157">
        <f>SUMIFS('Future Orders'!$E135, 'Future Orders'!$D135, "1", 'Future Orders'!$C135, "B", 'Future Orders'!$B135, "2")</f>
        <v>0</v>
      </c>
      <c r="Q135" s="157">
        <f>SUMIFS('Future Orders'!$I135, 'Future Orders'!$D135, "1", 'Future Orders'!$C135, "B", 'Future Orders'!$B135, "2")</f>
        <v>0</v>
      </c>
      <c r="R135" s="159">
        <f>SUMIFS('Future Orders'!$F135, 'Future Orders'!$D135, "2", 'Future Orders'!$C135, "A", 'Future Orders'!$B135, "1")</f>
        <v>6105</v>
      </c>
      <c r="S135" s="157">
        <f>SUMIFS('Future Orders'!$I135, 'Future Orders'!$D135, "2", 'Future Orders'!$C135, "A", 'Future Orders'!$B135, "1")</f>
        <v>7326</v>
      </c>
      <c r="T135" s="159">
        <f>SUMIFS('Future Orders'!$F135, 'Future Orders'!$D135, "2", 'Future Orders'!$C135, "B", 'Future Orders'!$B135, "1")</f>
        <v>0</v>
      </c>
      <c r="U135" s="157">
        <f>SUMIFS('Future Orders'!$I135, 'Future Orders'!$D135, "2", 'Future Orders'!$C135, "B", 'Future Orders'!$B135, "1")</f>
        <v>0</v>
      </c>
      <c r="V135" s="159">
        <f>SUMIFS('Future Orders'!$F135, 'Future Orders'!$D135, "2", 'Future Orders'!$C135, "A", 'Future Orders'!$B135, "2")</f>
        <v>0</v>
      </c>
      <c r="W135" s="157">
        <f>SUMIFS('Future Orders'!$I135, 'Future Orders'!$D135, "2", 'Future Orders'!$C135, "A", 'Future Orders'!$B135, "2")</f>
        <v>0</v>
      </c>
      <c r="X135" s="159">
        <f>SUMIFS('Future Orders'!$F135, 'Future Orders'!$D135, "2", 'Future Orders'!$C135, "B", 'Future Orders'!$B135, "2")</f>
        <v>0</v>
      </c>
      <c r="Y135" s="159">
        <f>SUMIFS('Future Orders'!$I135, 'Future Orders'!$D135, "2", 'Future Orders'!$C135, "B", 'Future Orders'!$B135, "2")</f>
        <v>0</v>
      </c>
      <c r="Z135" s="159">
        <f>SUMIFS('Future Orders'!$F135, 'Future Orders'!$D135, "3", 'Future Orders'!$C135, "A", 'Future Orders'!$B135, "1")</f>
        <v>0</v>
      </c>
      <c r="AA135" s="159">
        <f>SUMIFS('Future Orders'!$I135, 'Future Orders'!$D135, "3", 'Future Orders'!$C135, "A", 'Future Orders'!$B135, "1")</f>
        <v>0</v>
      </c>
      <c r="AB135" s="159">
        <f>SUMIFS('Future Orders'!$F135, 'Future Orders'!$D135, "3", 'Future Orders'!$C135, "B", 'Future Orders'!$B135, "1")</f>
        <v>0</v>
      </c>
      <c r="AC135" s="159">
        <f>SUMIFS('Future Orders'!$I135, 'Future Orders'!$D135, "3", 'Future Orders'!$C135, "B", 'Future Orders'!$B135, "1")</f>
        <v>0</v>
      </c>
      <c r="AD135" s="159">
        <f>SUMIFS('Future Orders'!$F135, 'Future Orders'!$D135, "3", 'Future Orders'!$C135, "A", 'Future Orders'!$B135, "2")</f>
        <v>0</v>
      </c>
      <c r="AE135" s="159">
        <f>SUMIFS('Future Orders'!$I135, 'Future Orders'!$D135, "3", 'Future Orders'!$C135, "A", 'Future Orders'!$B135, "2")</f>
        <v>0</v>
      </c>
      <c r="AF135" s="159">
        <f>SUMIFS('Future Orders'!$F135, 'Future Orders'!$D135, "3", 'Future Orders'!$C135, "B", 'Future Orders'!$B135, "2")</f>
        <v>0</v>
      </c>
      <c r="AG135" s="157">
        <f>SUMIFS('Future Orders'!$I135, 'Future Orders'!$D135, "3", 'Future Orders'!$C135, "B", 'Future Orders'!$B135, "2")</f>
        <v>0</v>
      </c>
      <c r="AH135" s="157">
        <f>SUMIFS('Future Orders'!$F135, 'Future Orders'!$D135, "4", 'Future Orders'!$C135, "A", 'Future Orders'!$B135, "1")</f>
        <v>0</v>
      </c>
      <c r="AI135" s="157">
        <f>SUMIFS('Future Orders'!$I135, 'Future Orders'!$D135, "4", 'Future Orders'!$C135, "A", 'Future Orders'!$B135, "1")</f>
        <v>0</v>
      </c>
      <c r="AJ135" s="157">
        <f>SUMIFS('Future Orders'!$F135, 'Future Orders'!$D135, "4", 'Future Orders'!$C135, "B", 'Future Orders'!$B135, "1")</f>
        <v>0</v>
      </c>
      <c r="AK135" s="157">
        <f>SUMIFS('Future Orders'!$I135, 'Future Orders'!$D135, "4", 'Future Orders'!$C135, "B", 'Future Orders'!$B135, "1")</f>
        <v>0</v>
      </c>
      <c r="AL135" s="157">
        <f>SUMIFS('Future Orders'!$F135, 'Future Orders'!$D135, "4", 'Future Orders'!$C135, "A", 'Future Orders'!$B135, "2")</f>
        <v>0</v>
      </c>
      <c r="AM135" s="157">
        <f>SUMIFS('Future Orders'!$I135, 'Future Orders'!$D135, "4", 'Future Orders'!$C135, "A", 'Future Orders'!$B135, "2")</f>
        <v>0</v>
      </c>
      <c r="AN135" s="171">
        <f>SUMIFS('Future Orders'!$F135, 'Future Orders'!$D135, "4", 'Future Orders'!$C135, "B", 'Future Orders'!$B135, "2")</f>
        <v>0</v>
      </c>
      <c r="AO135" s="171">
        <f>SUMIFS('Future Orders'!$I135, 'Future Orders'!$D135, "4", 'Future Orders'!$C135, "B", 'Future Orders'!$B135, "2")</f>
        <v>0</v>
      </c>
      <c r="AP135" s="171">
        <f>SUMIFS('Future Orders'!$H135, 'Future Orders'!$C135, "A", 'Future Orders'!$B135, "1")</f>
        <v>6660</v>
      </c>
      <c r="AQ135" s="171">
        <f>SUMIFS('Future Orders'!$I135, 'Future Orders'!$C135, "B", 'Future Orders'!$B135, "1")</f>
        <v>0</v>
      </c>
      <c r="AR135" s="171">
        <f>SUMIFS('Future Orders'!$H135, 'Future Orders'!$C135, "A", 'Future Orders'!$B135, "2")</f>
        <v>0</v>
      </c>
      <c r="AS135" s="171">
        <f>SUMIFS('Future Orders'!$I135, 'Future Orders'!$C135, "B", 'Future Orders'!$B135, "2")</f>
        <v>0</v>
      </c>
      <c r="AT135" s="145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  <c r="BT135" s="172"/>
      <c r="BU135" s="172"/>
      <c r="BV135" s="172"/>
      <c r="BW135" s="172"/>
      <c r="BX135" s="172"/>
      <c r="BY135" s="172"/>
      <c r="BZ135" s="172"/>
      <c r="CA135" s="179"/>
      <c r="CB135" s="179"/>
      <c r="CC135" s="179"/>
      <c r="CD135" s="179"/>
      <c r="CE135" s="179"/>
      <c r="CF135" s="179"/>
      <c r="CG135" s="179"/>
      <c r="CH135" s="179"/>
      <c r="CI135" s="179"/>
      <c r="CJ135" s="179"/>
      <c r="CK135" s="179"/>
      <c r="CL135" s="179"/>
      <c r="CM135" s="179"/>
      <c r="CN135" s="179"/>
      <c r="CO135" s="179"/>
      <c r="CP135" s="179"/>
    </row>
    <row r="136" ht="15.75" customHeight="1">
      <c r="A136" s="151">
        <v>42009.0</v>
      </c>
      <c r="B136" s="152">
        <v>2.0</v>
      </c>
      <c r="C136" s="152" t="s">
        <v>45</v>
      </c>
      <c r="D136" s="152">
        <v>1.0</v>
      </c>
      <c r="E136" s="153">
        <v>3319.0</v>
      </c>
      <c r="F136" s="153">
        <f>SUM(('Future Orders'!$E136) * (1.1))</f>
        <v>3650.9</v>
      </c>
      <c r="G136" s="154">
        <v>2.2</v>
      </c>
      <c r="H136" s="155">
        <v>7301.8</v>
      </c>
      <c r="I136" s="155">
        <f>SUM(('Future Orders'!$H136) * (1.1))</f>
        <v>8031.98</v>
      </c>
      <c r="J136" s="159">
        <f>SUMIFS('Future Orders'!$F136, 'Future Orders'!$D136, "1", 'Future Orders'!$C136, "A", 'Future Orders'!$B136, "1")</f>
        <v>0</v>
      </c>
      <c r="K136" s="157">
        <f>SUMIFS('Future Orders'!$I136, 'Future Orders'!$D136, "1", 'Future Orders'!$C136, "A", 'Future Orders'!$B136, "1")</f>
        <v>0</v>
      </c>
      <c r="L136" s="157">
        <f>SUMIFS('Future Orders'!$F136, 'Future Orders'!$D136, "1", 'Future Orders'!$C136, "B", 'Future Orders'!$B136, "1")</f>
        <v>0</v>
      </c>
      <c r="M136" s="157">
        <f>SUMIFS('Future Orders'!$I136, 'Future Orders'!$D136, "1", 'Future Orders'!$C136, "B", 'Future Orders'!$B136, "1")</f>
        <v>0</v>
      </c>
      <c r="N136" s="159">
        <f>SUMIFS('Future Orders'!$F136, 'Future Orders'!$D136, "1", 'Future Orders'!$C136, "A", 'Future Orders'!$B136, "2")</f>
        <v>3650.9</v>
      </c>
      <c r="O136" s="157">
        <f>SUMIFS('Future Orders'!$I136, 'Future Orders'!$D136, "1", 'Future Orders'!$C136, "A", 'Future Orders'!$B136, "2")</f>
        <v>8031.98</v>
      </c>
      <c r="P136" s="157">
        <f>SUMIFS('Future Orders'!$E136, 'Future Orders'!$D136, "1", 'Future Orders'!$C136, "B", 'Future Orders'!$B136, "2")</f>
        <v>0</v>
      </c>
      <c r="Q136" s="157">
        <f>SUMIFS('Future Orders'!$I136, 'Future Orders'!$D136, "1", 'Future Orders'!$C136, "B", 'Future Orders'!$B136, "2")</f>
        <v>0</v>
      </c>
      <c r="R136" s="159">
        <f>SUMIFS('Future Orders'!$F136, 'Future Orders'!$D136, "2", 'Future Orders'!$C136, "A", 'Future Orders'!$B136, "1")</f>
        <v>0</v>
      </c>
      <c r="S136" s="157">
        <f>SUMIFS('Future Orders'!$I136, 'Future Orders'!$D136, "2", 'Future Orders'!$C136, "A", 'Future Orders'!$B136, "1")</f>
        <v>0</v>
      </c>
      <c r="T136" s="159">
        <f>SUMIFS('Future Orders'!$F136, 'Future Orders'!$D136, "2", 'Future Orders'!$C136, "B", 'Future Orders'!$B136, "1")</f>
        <v>0</v>
      </c>
      <c r="U136" s="157">
        <f>SUMIFS('Future Orders'!$I136, 'Future Orders'!$D136, "2", 'Future Orders'!$C136, "B", 'Future Orders'!$B136, "1")</f>
        <v>0</v>
      </c>
      <c r="V136" s="159">
        <f>SUMIFS('Future Orders'!$F136, 'Future Orders'!$D136, "2", 'Future Orders'!$C136, "A", 'Future Orders'!$B136, "2")</f>
        <v>0</v>
      </c>
      <c r="W136" s="157">
        <f>SUMIFS('Future Orders'!$I136, 'Future Orders'!$D136, "2", 'Future Orders'!$C136, "A", 'Future Orders'!$B136, "2")</f>
        <v>0</v>
      </c>
      <c r="X136" s="159">
        <f>SUMIFS('Future Orders'!$F136, 'Future Orders'!$D136, "2", 'Future Orders'!$C136, "B", 'Future Orders'!$B136, "2")</f>
        <v>0</v>
      </c>
      <c r="Y136" s="159">
        <f>SUMIFS('Future Orders'!$I136, 'Future Orders'!$D136, "2", 'Future Orders'!$C136, "B", 'Future Orders'!$B136, "2")</f>
        <v>0</v>
      </c>
      <c r="Z136" s="159">
        <f>SUMIFS('Future Orders'!$F136, 'Future Orders'!$D136, "3", 'Future Orders'!$C136, "A", 'Future Orders'!$B136, "1")</f>
        <v>0</v>
      </c>
      <c r="AA136" s="159">
        <f>SUMIFS('Future Orders'!$I136, 'Future Orders'!$D136, "3", 'Future Orders'!$C136, "A", 'Future Orders'!$B136, "1")</f>
        <v>0</v>
      </c>
      <c r="AB136" s="159">
        <f>SUMIFS('Future Orders'!$F136, 'Future Orders'!$D136, "3", 'Future Orders'!$C136, "B", 'Future Orders'!$B136, "1")</f>
        <v>0</v>
      </c>
      <c r="AC136" s="159">
        <f>SUMIFS('Future Orders'!$I136, 'Future Orders'!$D136, "3", 'Future Orders'!$C136, "B", 'Future Orders'!$B136, "1")</f>
        <v>0</v>
      </c>
      <c r="AD136" s="159">
        <f>SUMIFS('Future Orders'!$F136, 'Future Orders'!$D136, "3", 'Future Orders'!$C136, "A", 'Future Orders'!$B136, "2")</f>
        <v>0</v>
      </c>
      <c r="AE136" s="159">
        <f>SUMIFS('Future Orders'!$I136, 'Future Orders'!$D136, "3", 'Future Orders'!$C136, "A", 'Future Orders'!$B136, "2")</f>
        <v>0</v>
      </c>
      <c r="AF136" s="159">
        <f>SUMIFS('Future Orders'!$F136, 'Future Orders'!$D136, "3", 'Future Orders'!$C136, "B", 'Future Orders'!$B136, "2")</f>
        <v>0</v>
      </c>
      <c r="AG136" s="157">
        <f>SUMIFS('Future Orders'!$I136, 'Future Orders'!$D136, "3", 'Future Orders'!$C136, "B", 'Future Orders'!$B136, "2")</f>
        <v>0</v>
      </c>
      <c r="AH136" s="157">
        <f>SUMIFS('Future Orders'!$F136, 'Future Orders'!$D136, "4", 'Future Orders'!$C136, "A", 'Future Orders'!$B136, "1")</f>
        <v>0</v>
      </c>
      <c r="AI136" s="157">
        <f>SUMIFS('Future Orders'!$I136, 'Future Orders'!$D136, "4", 'Future Orders'!$C136, "A", 'Future Orders'!$B136, "1")</f>
        <v>0</v>
      </c>
      <c r="AJ136" s="157">
        <f>SUMIFS('Future Orders'!$F136, 'Future Orders'!$D136, "4", 'Future Orders'!$C136, "B", 'Future Orders'!$B136, "1")</f>
        <v>0</v>
      </c>
      <c r="AK136" s="157">
        <f>SUMIFS('Future Orders'!$I136, 'Future Orders'!$D136, "4", 'Future Orders'!$C136, "B", 'Future Orders'!$B136, "1")</f>
        <v>0</v>
      </c>
      <c r="AL136" s="157">
        <f>SUMIFS('Future Orders'!$F136, 'Future Orders'!$D136, "4", 'Future Orders'!$C136, "A", 'Future Orders'!$B136, "2")</f>
        <v>0</v>
      </c>
      <c r="AM136" s="157">
        <f>SUMIFS('Future Orders'!$I136, 'Future Orders'!$D136, "4", 'Future Orders'!$C136, "A", 'Future Orders'!$B136, "2")</f>
        <v>0</v>
      </c>
      <c r="AN136" s="171">
        <f>SUMIFS('Future Orders'!$F136, 'Future Orders'!$D136, "4", 'Future Orders'!$C136, "B", 'Future Orders'!$B136, "2")</f>
        <v>0</v>
      </c>
      <c r="AO136" s="171">
        <f>SUMIFS('Future Orders'!$I136, 'Future Orders'!$D136, "4", 'Future Orders'!$C136, "B", 'Future Orders'!$B136, "2")</f>
        <v>0</v>
      </c>
      <c r="AP136" s="171">
        <f>SUMIFS('Future Orders'!$H136, 'Future Orders'!$C136, "A", 'Future Orders'!$B136, "1")</f>
        <v>0</v>
      </c>
      <c r="AQ136" s="171">
        <f>SUMIFS('Future Orders'!$I136, 'Future Orders'!$C136, "B", 'Future Orders'!$B136, "1")</f>
        <v>0</v>
      </c>
      <c r="AR136" s="171">
        <f>SUMIFS('Future Orders'!$H136, 'Future Orders'!$C136, "A", 'Future Orders'!$B136, "2")</f>
        <v>7301.8</v>
      </c>
      <c r="AS136" s="171">
        <f>SUMIFS('Future Orders'!$I136, 'Future Orders'!$C136, "B", 'Future Orders'!$B136, "2")</f>
        <v>0</v>
      </c>
      <c r="AT136" s="145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  <c r="BT136" s="172"/>
      <c r="BU136" s="172"/>
      <c r="BV136" s="172"/>
      <c r="BW136" s="172"/>
      <c r="BX136" s="172"/>
      <c r="BY136" s="172"/>
      <c r="BZ136" s="172"/>
      <c r="CA136" s="179"/>
      <c r="CB136" s="179"/>
      <c r="CC136" s="179"/>
      <c r="CD136" s="179"/>
      <c r="CE136" s="179"/>
      <c r="CF136" s="179"/>
      <c r="CG136" s="179"/>
      <c r="CH136" s="179"/>
      <c r="CI136" s="179"/>
      <c r="CJ136" s="179"/>
      <c r="CK136" s="179"/>
      <c r="CL136" s="179"/>
      <c r="CM136" s="179"/>
      <c r="CN136" s="179"/>
      <c r="CO136" s="179"/>
      <c r="CP136" s="179"/>
    </row>
    <row r="137" ht="15.75" customHeight="1">
      <c r="A137" s="151">
        <v>42009.0</v>
      </c>
      <c r="B137" s="152">
        <v>2.0</v>
      </c>
      <c r="C137" s="152" t="s">
        <v>45</v>
      </c>
      <c r="D137" s="152">
        <v>2.0</v>
      </c>
      <c r="E137" s="153">
        <v>5863.0</v>
      </c>
      <c r="F137" s="153">
        <f>SUM(('Future Orders'!$E137) * (1.1))</f>
        <v>6449.3</v>
      </c>
      <c r="G137" s="154">
        <v>1.2</v>
      </c>
      <c r="H137" s="155">
        <v>7035.599999999999</v>
      </c>
      <c r="I137" s="155">
        <f>SUM(('Future Orders'!$H137) * (1.1))</f>
        <v>7739.16</v>
      </c>
      <c r="J137" s="159">
        <f>SUMIFS('Future Orders'!$F137, 'Future Orders'!$D137, "1", 'Future Orders'!$C137, "A", 'Future Orders'!$B137, "1")</f>
        <v>0</v>
      </c>
      <c r="K137" s="157">
        <f>SUMIFS('Future Orders'!$I137, 'Future Orders'!$D137, "1", 'Future Orders'!$C137, "A", 'Future Orders'!$B137, "1")</f>
        <v>0</v>
      </c>
      <c r="L137" s="157">
        <f>SUMIFS('Future Orders'!$F137, 'Future Orders'!$D137, "1", 'Future Orders'!$C137, "B", 'Future Orders'!$B137, "1")</f>
        <v>0</v>
      </c>
      <c r="M137" s="157">
        <f>SUMIFS('Future Orders'!$I137, 'Future Orders'!$D137, "1", 'Future Orders'!$C137, "B", 'Future Orders'!$B137, "1")</f>
        <v>0</v>
      </c>
      <c r="N137" s="159">
        <f>SUMIFS('Future Orders'!$F137, 'Future Orders'!$D137, "1", 'Future Orders'!$C137, "A", 'Future Orders'!$B137, "2")</f>
        <v>0</v>
      </c>
      <c r="O137" s="157">
        <f>SUMIFS('Future Orders'!$I137, 'Future Orders'!$D137, "1", 'Future Orders'!$C137, "A", 'Future Orders'!$B137, "2")</f>
        <v>0</v>
      </c>
      <c r="P137" s="157">
        <f>SUMIFS('Future Orders'!$E137, 'Future Orders'!$D137, "1", 'Future Orders'!$C137, "B", 'Future Orders'!$B137, "2")</f>
        <v>0</v>
      </c>
      <c r="Q137" s="157">
        <f>SUMIFS('Future Orders'!$I137, 'Future Orders'!$D137, "1", 'Future Orders'!$C137, "B", 'Future Orders'!$B137, "2")</f>
        <v>0</v>
      </c>
      <c r="R137" s="159">
        <f>SUMIFS('Future Orders'!$F137, 'Future Orders'!$D137, "2", 'Future Orders'!$C137, "A", 'Future Orders'!$B137, "1")</f>
        <v>0</v>
      </c>
      <c r="S137" s="157">
        <f>SUMIFS('Future Orders'!$I137, 'Future Orders'!$D137, "2", 'Future Orders'!$C137, "A", 'Future Orders'!$B137, "1")</f>
        <v>0</v>
      </c>
      <c r="T137" s="159">
        <f>SUMIFS('Future Orders'!$F137, 'Future Orders'!$D137, "2", 'Future Orders'!$C137, "B", 'Future Orders'!$B137, "1")</f>
        <v>0</v>
      </c>
      <c r="U137" s="157">
        <f>SUMIFS('Future Orders'!$I137, 'Future Orders'!$D137, "2", 'Future Orders'!$C137, "B", 'Future Orders'!$B137, "1")</f>
        <v>0</v>
      </c>
      <c r="V137" s="159">
        <f>SUMIFS('Future Orders'!$F137, 'Future Orders'!$D137, "2", 'Future Orders'!$C137, "A", 'Future Orders'!$B137, "2")</f>
        <v>6449.3</v>
      </c>
      <c r="W137" s="157">
        <f>SUMIFS('Future Orders'!$I137, 'Future Orders'!$D137, "2", 'Future Orders'!$C137, "A", 'Future Orders'!$B137, "2")</f>
        <v>7739.16</v>
      </c>
      <c r="X137" s="159">
        <f>SUMIFS('Future Orders'!$F137, 'Future Orders'!$D137, "2", 'Future Orders'!$C137, "B", 'Future Orders'!$B137, "2")</f>
        <v>0</v>
      </c>
      <c r="Y137" s="159">
        <f>SUMIFS('Future Orders'!$I137, 'Future Orders'!$D137, "2", 'Future Orders'!$C137, "B", 'Future Orders'!$B137, "2")</f>
        <v>0</v>
      </c>
      <c r="Z137" s="159">
        <f>SUMIFS('Future Orders'!$F137, 'Future Orders'!$D137, "3", 'Future Orders'!$C137, "A", 'Future Orders'!$B137, "1")</f>
        <v>0</v>
      </c>
      <c r="AA137" s="159">
        <f>SUMIFS('Future Orders'!$I137, 'Future Orders'!$D137, "3", 'Future Orders'!$C137, "A", 'Future Orders'!$B137, "1")</f>
        <v>0</v>
      </c>
      <c r="AB137" s="159">
        <f>SUMIFS('Future Orders'!$F137, 'Future Orders'!$D137, "3", 'Future Orders'!$C137, "B", 'Future Orders'!$B137, "1")</f>
        <v>0</v>
      </c>
      <c r="AC137" s="159">
        <f>SUMIFS('Future Orders'!$I137, 'Future Orders'!$D137, "3", 'Future Orders'!$C137, "B", 'Future Orders'!$B137, "1")</f>
        <v>0</v>
      </c>
      <c r="AD137" s="159">
        <f>SUMIFS('Future Orders'!$F137, 'Future Orders'!$D137, "3", 'Future Orders'!$C137, "A", 'Future Orders'!$B137, "2")</f>
        <v>0</v>
      </c>
      <c r="AE137" s="159">
        <f>SUMIFS('Future Orders'!$I137, 'Future Orders'!$D137, "3", 'Future Orders'!$C137, "A", 'Future Orders'!$B137, "2")</f>
        <v>0</v>
      </c>
      <c r="AF137" s="159">
        <f>SUMIFS('Future Orders'!$F137, 'Future Orders'!$D137, "3", 'Future Orders'!$C137, "B", 'Future Orders'!$B137, "2")</f>
        <v>0</v>
      </c>
      <c r="AG137" s="157">
        <f>SUMIFS('Future Orders'!$I137, 'Future Orders'!$D137, "3", 'Future Orders'!$C137, "B", 'Future Orders'!$B137, "2")</f>
        <v>0</v>
      </c>
      <c r="AH137" s="157">
        <f>SUMIFS('Future Orders'!$F137, 'Future Orders'!$D137, "4", 'Future Orders'!$C137, "A", 'Future Orders'!$B137, "1")</f>
        <v>0</v>
      </c>
      <c r="AI137" s="157">
        <f>SUMIFS('Future Orders'!$I137, 'Future Orders'!$D137, "4", 'Future Orders'!$C137, "A", 'Future Orders'!$B137, "1")</f>
        <v>0</v>
      </c>
      <c r="AJ137" s="157">
        <f>SUMIFS('Future Orders'!$F137, 'Future Orders'!$D137, "4", 'Future Orders'!$C137, "B", 'Future Orders'!$B137, "1")</f>
        <v>0</v>
      </c>
      <c r="AK137" s="157">
        <f>SUMIFS('Future Orders'!$I137, 'Future Orders'!$D137, "4", 'Future Orders'!$C137, "B", 'Future Orders'!$B137, "1")</f>
        <v>0</v>
      </c>
      <c r="AL137" s="157">
        <f>SUMIFS('Future Orders'!$F137, 'Future Orders'!$D137, "4", 'Future Orders'!$C137, "A", 'Future Orders'!$B137, "2")</f>
        <v>0</v>
      </c>
      <c r="AM137" s="157">
        <f>SUMIFS('Future Orders'!$I137, 'Future Orders'!$D137, "4", 'Future Orders'!$C137, "A", 'Future Orders'!$B137, "2")</f>
        <v>0</v>
      </c>
      <c r="AN137" s="171">
        <f>SUMIFS('Future Orders'!$F137, 'Future Orders'!$D137, "4", 'Future Orders'!$C137, "B", 'Future Orders'!$B137, "2")</f>
        <v>0</v>
      </c>
      <c r="AO137" s="171">
        <f>SUMIFS('Future Orders'!$I137, 'Future Orders'!$D137, "4", 'Future Orders'!$C137, "B", 'Future Orders'!$B137, "2")</f>
        <v>0</v>
      </c>
      <c r="AP137" s="171">
        <f>SUMIFS('Future Orders'!$H137, 'Future Orders'!$C137, "A", 'Future Orders'!$B137, "1")</f>
        <v>0</v>
      </c>
      <c r="AQ137" s="171">
        <f>SUMIFS('Future Orders'!$I137, 'Future Orders'!$C137, "B", 'Future Orders'!$B137, "1")</f>
        <v>0</v>
      </c>
      <c r="AR137" s="171">
        <f>SUMIFS('Future Orders'!$H137, 'Future Orders'!$C137, "A", 'Future Orders'!$B137, "2")</f>
        <v>7035.6</v>
      </c>
      <c r="AS137" s="171">
        <f>SUMIFS('Future Orders'!$I137, 'Future Orders'!$C137, "B", 'Future Orders'!$B137, "2")</f>
        <v>0</v>
      </c>
      <c r="AT137" s="145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  <c r="BT137" s="172"/>
      <c r="BU137" s="172"/>
      <c r="BV137" s="172"/>
      <c r="BW137" s="172"/>
      <c r="BX137" s="172"/>
      <c r="BY137" s="172"/>
      <c r="BZ137" s="172"/>
      <c r="CA137" s="179"/>
      <c r="CB137" s="179"/>
      <c r="CC137" s="179"/>
      <c r="CD137" s="179"/>
      <c r="CE137" s="179"/>
      <c r="CF137" s="179"/>
      <c r="CG137" s="179"/>
      <c r="CH137" s="179"/>
      <c r="CI137" s="179"/>
      <c r="CJ137" s="179"/>
      <c r="CK137" s="179"/>
      <c r="CL137" s="179"/>
      <c r="CM137" s="179"/>
      <c r="CN137" s="179"/>
      <c r="CO137" s="179"/>
      <c r="CP137" s="179"/>
    </row>
    <row r="138" ht="15.75" customHeight="1">
      <c r="A138" s="151">
        <v>42009.0</v>
      </c>
      <c r="B138" s="152">
        <v>1.0</v>
      </c>
      <c r="C138" s="152" t="s">
        <v>46</v>
      </c>
      <c r="D138" s="152">
        <v>3.0</v>
      </c>
      <c r="E138" s="153">
        <v>2330.0</v>
      </c>
      <c r="F138" s="153">
        <f>SUM(('Future Orders'!$E138) * (1.1))</f>
        <v>2563</v>
      </c>
      <c r="G138" s="154">
        <v>8.3</v>
      </c>
      <c r="H138" s="155">
        <v>19339.0</v>
      </c>
      <c r="I138" s="155">
        <f>SUM(('Future Orders'!$H138) * (1.1))</f>
        <v>21272.9</v>
      </c>
      <c r="J138" s="159">
        <f>SUMIFS('Future Orders'!$F138, 'Future Orders'!$D138, "1", 'Future Orders'!$C138, "A", 'Future Orders'!$B138, "1")</f>
        <v>0</v>
      </c>
      <c r="K138" s="157">
        <f>SUMIFS('Future Orders'!$I138, 'Future Orders'!$D138, "1", 'Future Orders'!$C138, "A", 'Future Orders'!$B138, "1")</f>
        <v>0</v>
      </c>
      <c r="L138" s="157">
        <f>SUMIFS('Future Orders'!$F138, 'Future Orders'!$D138, "1", 'Future Orders'!$C138, "B", 'Future Orders'!$B138, "1")</f>
        <v>0</v>
      </c>
      <c r="M138" s="157">
        <f>SUMIFS('Future Orders'!$I138, 'Future Orders'!$D138, "1", 'Future Orders'!$C138, "B", 'Future Orders'!$B138, "1")</f>
        <v>0</v>
      </c>
      <c r="N138" s="159">
        <f>SUMIFS('Future Orders'!$F138, 'Future Orders'!$D138, "1", 'Future Orders'!$C138, "A", 'Future Orders'!$B138, "2")</f>
        <v>0</v>
      </c>
      <c r="O138" s="157">
        <f>SUMIFS('Future Orders'!$I138, 'Future Orders'!$D138, "1", 'Future Orders'!$C138, "A", 'Future Orders'!$B138, "2")</f>
        <v>0</v>
      </c>
      <c r="P138" s="157">
        <f>SUMIFS('Future Orders'!$E138, 'Future Orders'!$D138, "1", 'Future Orders'!$C138, "B", 'Future Orders'!$B138, "2")</f>
        <v>0</v>
      </c>
      <c r="Q138" s="157">
        <f>SUMIFS('Future Orders'!$I138, 'Future Orders'!$D138, "1", 'Future Orders'!$C138, "B", 'Future Orders'!$B138, "2")</f>
        <v>0</v>
      </c>
      <c r="R138" s="159">
        <f>SUMIFS('Future Orders'!$F138, 'Future Orders'!$D138, "2", 'Future Orders'!$C138, "A", 'Future Orders'!$B138, "1")</f>
        <v>0</v>
      </c>
      <c r="S138" s="157">
        <f>SUMIFS('Future Orders'!$I138, 'Future Orders'!$D138, "2", 'Future Orders'!$C138, "A", 'Future Orders'!$B138, "1")</f>
        <v>0</v>
      </c>
      <c r="T138" s="159">
        <f>SUMIFS('Future Orders'!$F138, 'Future Orders'!$D138, "2", 'Future Orders'!$C138, "B", 'Future Orders'!$B138, "1")</f>
        <v>0</v>
      </c>
      <c r="U138" s="157">
        <f>SUMIFS('Future Orders'!$I138, 'Future Orders'!$D138, "2", 'Future Orders'!$C138, "B", 'Future Orders'!$B138, "1")</f>
        <v>0</v>
      </c>
      <c r="V138" s="159">
        <f>SUMIFS('Future Orders'!$F138, 'Future Orders'!$D138, "2", 'Future Orders'!$C138, "A", 'Future Orders'!$B138, "2")</f>
        <v>0</v>
      </c>
      <c r="W138" s="157">
        <f>SUMIFS('Future Orders'!$I138, 'Future Orders'!$D138, "2", 'Future Orders'!$C138, "A", 'Future Orders'!$B138, "2")</f>
        <v>0</v>
      </c>
      <c r="X138" s="159">
        <f>SUMIFS('Future Orders'!$F138, 'Future Orders'!$D138, "2", 'Future Orders'!$C138, "B", 'Future Orders'!$B138, "2")</f>
        <v>0</v>
      </c>
      <c r="Y138" s="159">
        <f>SUMIFS('Future Orders'!$I138, 'Future Orders'!$D138, "2", 'Future Orders'!$C138, "B", 'Future Orders'!$B138, "2")</f>
        <v>0</v>
      </c>
      <c r="Z138" s="159">
        <f>SUMIFS('Future Orders'!$F138, 'Future Orders'!$D138, "3", 'Future Orders'!$C138, "A", 'Future Orders'!$B138, "1")</f>
        <v>0</v>
      </c>
      <c r="AA138" s="159">
        <f>SUMIFS('Future Orders'!$I138, 'Future Orders'!$D138, "3", 'Future Orders'!$C138, "A", 'Future Orders'!$B138, "1")</f>
        <v>0</v>
      </c>
      <c r="AB138" s="159">
        <f>SUMIFS('Future Orders'!$F138, 'Future Orders'!$D138, "3", 'Future Orders'!$C138, "B", 'Future Orders'!$B138, "1")</f>
        <v>2563</v>
      </c>
      <c r="AC138" s="159">
        <f>SUMIFS('Future Orders'!$I138, 'Future Orders'!$D138, "3", 'Future Orders'!$C138, "B", 'Future Orders'!$B138, "1")</f>
        <v>21272.9</v>
      </c>
      <c r="AD138" s="159">
        <f>SUMIFS('Future Orders'!$F138, 'Future Orders'!$D138, "3", 'Future Orders'!$C138, "A", 'Future Orders'!$B138, "2")</f>
        <v>0</v>
      </c>
      <c r="AE138" s="159">
        <f>SUMIFS('Future Orders'!$I138, 'Future Orders'!$D138, "3", 'Future Orders'!$C138, "A", 'Future Orders'!$B138, "2")</f>
        <v>0</v>
      </c>
      <c r="AF138" s="159">
        <f>SUMIFS('Future Orders'!$F138, 'Future Orders'!$D138, "3", 'Future Orders'!$C138, "B", 'Future Orders'!$B138, "2")</f>
        <v>0</v>
      </c>
      <c r="AG138" s="157">
        <f>SUMIFS('Future Orders'!$I138, 'Future Orders'!$D138, "3", 'Future Orders'!$C138, "B", 'Future Orders'!$B138, "2")</f>
        <v>0</v>
      </c>
      <c r="AH138" s="157">
        <f>SUMIFS('Future Orders'!$F138, 'Future Orders'!$D138, "4", 'Future Orders'!$C138, "A", 'Future Orders'!$B138, "1")</f>
        <v>0</v>
      </c>
      <c r="AI138" s="157">
        <f>SUMIFS('Future Orders'!$I138, 'Future Orders'!$D138, "4", 'Future Orders'!$C138, "A", 'Future Orders'!$B138, "1")</f>
        <v>0</v>
      </c>
      <c r="AJ138" s="157">
        <f>SUMIFS('Future Orders'!$F138, 'Future Orders'!$D138, "4", 'Future Orders'!$C138, "B", 'Future Orders'!$B138, "1")</f>
        <v>0</v>
      </c>
      <c r="AK138" s="157">
        <f>SUMIFS('Future Orders'!$I138, 'Future Orders'!$D138, "4", 'Future Orders'!$C138, "B", 'Future Orders'!$B138, "1")</f>
        <v>0</v>
      </c>
      <c r="AL138" s="157">
        <f>SUMIFS('Future Orders'!$F138, 'Future Orders'!$D138, "4", 'Future Orders'!$C138, "A", 'Future Orders'!$B138, "2")</f>
        <v>0</v>
      </c>
      <c r="AM138" s="157">
        <f>SUMIFS('Future Orders'!$I138, 'Future Orders'!$D138, "4", 'Future Orders'!$C138, "A", 'Future Orders'!$B138, "2")</f>
        <v>0</v>
      </c>
      <c r="AN138" s="171">
        <f>SUMIFS('Future Orders'!$F138, 'Future Orders'!$D138, "4", 'Future Orders'!$C138, "B", 'Future Orders'!$B138, "2")</f>
        <v>0</v>
      </c>
      <c r="AO138" s="171">
        <f>SUMIFS('Future Orders'!$I138, 'Future Orders'!$D138, "4", 'Future Orders'!$C138, "B", 'Future Orders'!$B138, "2")</f>
        <v>0</v>
      </c>
      <c r="AP138" s="171">
        <f>SUMIFS('Future Orders'!$H138, 'Future Orders'!$C138, "A", 'Future Orders'!$B138, "1")</f>
        <v>0</v>
      </c>
      <c r="AQ138" s="171">
        <f>SUMIFS('Future Orders'!$I138, 'Future Orders'!$C138, "B", 'Future Orders'!$B138, "1")</f>
        <v>21272.9</v>
      </c>
      <c r="AR138" s="171">
        <f>SUMIFS('Future Orders'!$H138, 'Future Orders'!$C138, "A", 'Future Orders'!$B138, "2")</f>
        <v>0</v>
      </c>
      <c r="AS138" s="171">
        <f>SUMIFS('Future Orders'!$I138, 'Future Orders'!$C138, "B", 'Future Orders'!$B138, "2")</f>
        <v>0</v>
      </c>
      <c r="AT138" s="145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  <c r="BT138" s="172"/>
      <c r="BU138" s="172"/>
      <c r="BV138" s="172"/>
      <c r="BW138" s="172"/>
      <c r="BX138" s="172"/>
      <c r="BY138" s="172"/>
      <c r="BZ138" s="172"/>
      <c r="CA138" s="179"/>
      <c r="CB138" s="179"/>
      <c r="CC138" s="179"/>
      <c r="CD138" s="179"/>
      <c r="CE138" s="179"/>
      <c r="CF138" s="179"/>
      <c r="CG138" s="179"/>
      <c r="CH138" s="179"/>
      <c r="CI138" s="179"/>
      <c r="CJ138" s="179"/>
      <c r="CK138" s="179"/>
      <c r="CL138" s="179"/>
      <c r="CM138" s="179"/>
      <c r="CN138" s="179"/>
      <c r="CO138" s="179"/>
      <c r="CP138" s="179"/>
    </row>
    <row r="139" ht="15.75" customHeight="1">
      <c r="A139" s="151">
        <v>42009.0</v>
      </c>
      <c r="B139" s="152">
        <v>2.0</v>
      </c>
      <c r="C139" s="152" t="s">
        <v>46</v>
      </c>
      <c r="D139" s="152">
        <v>3.0</v>
      </c>
      <c r="E139" s="153">
        <v>2898.0</v>
      </c>
      <c r="F139" s="153">
        <f>SUM(('Future Orders'!$E139) * (1.1))</f>
        <v>3187.8</v>
      </c>
      <c r="G139" s="154">
        <v>8.3</v>
      </c>
      <c r="H139" s="155">
        <v>24053.4</v>
      </c>
      <c r="I139" s="155">
        <f>SUM(('Future Orders'!$H139) * (1.1))</f>
        <v>26458.74</v>
      </c>
      <c r="J139" s="159">
        <f>SUMIFS('Future Orders'!$F139, 'Future Orders'!$D139, "1", 'Future Orders'!$C139, "A", 'Future Orders'!$B139, "1")</f>
        <v>0</v>
      </c>
      <c r="K139" s="157">
        <f>SUMIFS('Future Orders'!$I139, 'Future Orders'!$D139, "1", 'Future Orders'!$C139, "A", 'Future Orders'!$B139, "1")</f>
        <v>0</v>
      </c>
      <c r="L139" s="157">
        <f>SUMIFS('Future Orders'!$F139, 'Future Orders'!$D139, "1", 'Future Orders'!$C139, "B", 'Future Orders'!$B139, "1")</f>
        <v>0</v>
      </c>
      <c r="M139" s="157">
        <f>SUMIFS('Future Orders'!$I139, 'Future Orders'!$D139, "1", 'Future Orders'!$C139, "B", 'Future Orders'!$B139, "1")</f>
        <v>0</v>
      </c>
      <c r="N139" s="159">
        <f>SUMIFS('Future Orders'!$F139, 'Future Orders'!$D139, "1", 'Future Orders'!$C139, "A", 'Future Orders'!$B139, "2")</f>
        <v>0</v>
      </c>
      <c r="O139" s="157">
        <f>SUMIFS('Future Orders'!$I139, 'Future Orders'!$D139, "1", 'Future Orders'!$C139, "A", 'Future Orders'!$B139, "2")</f>
        <v>0</v>
      </c>
      <c r="P139" s="157">
        <f>SUMIFS('Future Orders'!$E139, 'Future Orders'!$D139, "1", 'Future Orders'!$C139, "B", 'Future Orders'!$B139, "2")</f>
        <v>0</v>
      </c>
      <c r="Q139" s="157">
        <f>SUMIFS('Future Orders'!$I139, 'Future Orders'!$D139, "1", 'Future Orders'!$C139, "B", 'Future Orders'!$B139, "2")</f>
        <v>0</v>
      </c>
      <c r="R139" s="159">
        <f>SUMIFS('Future Orders'!$F139, 'Future Orders'!$D139, "2", 'Future Orders'!$C139, "A", 'Future Orders'!$B139, "1")</f>
        <v>0</v>
      </c>
      <c r="S139" s="157">
        <f>SUMIFS('Future Orders'!$I139, 'Future Orders'!$D139, "2", 'Future Orders'!$C139, "A", 'Future Orders'!$B139, "1")</f>
        <v>0</v>
      </c>
      <c r="T139" s="159">
        <f>SUMIFS('Future Orders'!$F139, 'Future Orders'!$D139, "2", 'Future Orders'!$C139, "B", 'Future Orders'!$B139, "1")</f>
        <v>0</v>
      </c>
      <c r="U139" s="157">
        <f>SUMIFS('Future Orders'!$I139, 'Future Orders'!$D139, "2", 'Future Orders'!$C139, "B", 'Future Orders'!$B139, "1")</f>
        <v>0</v>
      </c>
      <c r="V139" s="159">
        <f>SUMIFS('Future Orders'!$F139, 'Future Orders'!$D139, "2", 'Future Orders'!$C139, "A", 'Future Orders'!$B139, "2")</f>
        <v>0</v>
      </c>
      <c r="W139" s="157">
        <f>SUMIFS('Future Orders'!$I139, 'Future Orders'!$D139, "2", 'Future Orders'!$C139, "A", 'Future Orders'!$B139, "2")</f>
        <v>0</v>
      </c>
      <c r="X139" s="159">
        <f>SUMIFS('Future Orders'!$F139, 'Future Orders'!$D139, "2", 'Future Orders'!$C139, "B", 'Future Orders'!$B139, "2")</f>
        <v>0</v>
      </c>
      <c r="Y139" s="159">
        <f>SUMIFS('Future Orders'!$I139, 'Future Orders'!$D139, "2", 'Future Orders'!$C139, "B", 'Future Orders'!$B139, "2")</f>
        <v>0</v>
      </c>
      <c r="Z139" s="159">
        <f>SUMIFS('Future Orders'!$F139, 'Future Orders'!$D139, "3", 'Future Orders'!$C139, "A", 'Future Orders'!$B139, "1")</f>
        <v>0</v>
      </c>
      <c r="AA139" s="159">
        <f>SUMIFS('Future Orders'!$I139, 'Future Orders'!$D139, "3", 'Future Orders'!$C139, "A", 'Future Orders'!$B139, "1")</f>
        <v>0</v>
      </c>
      <c r="AB139" s="159">
        <f>SUMIFS('Future Orders'!$F139, 'Future Orders'!$D139, "3", 'Future Orders'!$C139, "B", 'Future Orders'!$B139, "1")</f>
        <v>0</v>
      </c>
      <c r="AC139" s="159">
        <f>SUMIFS('Future Orders'!$I139, 'Future Orders'!$D139, "3", 'Future Orders'!$C139, "B", 'Future Orders'!$B139, "1")</f>
        <v>0</v>
      </c>
      <c r="AD139" s="159">
        <f>SUMIFS('Future Orders'!$F139, 'Future Orders'!$D139, "3", 'Future Orders'!$C139, "A", 'Future Orders'!$B139, "2")</f>
        <v>0</v>
      </c>
      <c r="AE139" s="159">
        <f>SUMIFS('Future Orders'!$I139, 'Future Orders'!$D139, "3", 'Future Orders'!$C139, "A", 'Future Orders'!$B139, "2")</f>
        <v>0</v>
      </c>
      <c r="AF139" s="159">
        <f>SUMIFS('Future Orders'!$F139, 'Future Orders'!$D139, "3", 'Future Orders'!$C139, "B", 'Future Orders'!$B139, "2")</f>
        <v>3187.8</v>
      </c>
      <c r="AG139" s="157">
        <f>SUMIFS('Future Orders'!$I139, 'Future Orders'!$D139, "3", 'Future Orders'!$C139, "B", 'Future Orders'!$B139, "2")</f>
        <v>26458.74</v>
      </c>
      <c r="AH139" s="157">
        <f>SUMIFS('Future Orders'!$F139, 'Future Orders'!$D139, "4", 'Future Orders'!$C139, "A", 'Future Orders'!$B139, "1")</f>
        <v>0</v>
      </c>
      <c r="AI139" s="157">
        <f>SUMIFS('Future Orders'!$I139, 'Future Orders'!$D139, "4", 'Future Orders'!$C139, "A", 'Future Orders'!$B139, "1")</f>
        <v>0</v>
      </c>
      <c r="AJ139" s="157">
        <f>SUMIFS('Future Orders'!$F139, 'Future Orders'!$D139, "4", 'Future Orders'!$C139, "B", 'Future Orders'!$B139, "1")</f>
        <v>0</v>
      </c>
      <c r="AK139" s="157">
        <f>SUMIFS('Future Orders'!$I139, 'Future Orders'!$D139, "4", 'Future Orders'!$C139, "B", 'Future Orders'!$B139, "1")</f>
        <v>0</v>
      </c>
      <c r="AL139" s="157">
        <f>SUMIFS('Future Orders'!$F139, 'Future Orders'!$D139, "4", 'Future Orders'!$C139, "A", 'Future Orders'!$B139, "2")</f>
        <v>0</v>
      </c>
      <c r="AM139" s="157">
        <f>SUMIFS('Future Orders'!$I139, 'Future Orders'!$D139, "4", 'Future Orders'!$C139, "A", 'Future Orders'!$B139, "2")</f>
        <v>0</v>
      </c>
      <c r="AN139" s="171">
        <f>SUMIFS('Future Orders'!$F139, 'Future Orders'!$D139, "4", 'Future Orders'!$C139, "B", 'Future Orders'!$B139, "2")</f>
        <v>0</v>
      </c>
      <c r="AO139" s="171">
        <f>SUMIFS('Future Orders'!$I139, 'Future Orders'!$D139, "4", 'Future Orders'!$C139, "B", 'Future Orders'!$B139, "2")</f>
        <v>0</v>
      </c>
      <c r="AP139" s="171">
        <f>SUMIFS('Future Orders'!$H139, 'Future Orders'!$C139, "A", 'Future Orders'!$B139, "1")</f>
        <v>0</v>
      </c>
      <c r="AQ139" s="171">
        <f>SUMIFS('Future Orders'!$I139, 'Future Orders'!$C139, "B", 'Future Orders'!$B139, "1")</f>
        <v>0</v>
      </c>
      <c r="AR139" s="171">
        <f>SUMIFS('Future Orders'!$H139, 'Future Orders'!$C139, "A", 'Future Orders'!$B139, "2")</f>
        <v>0</v>
      </c>
      <c r="AS139" s="171">
        <f>SUMIFS('Future Orders'!$I139, 'Future Orders'!$C139, "B", 'Future Orders'!$B139, "2")</f>
        <v>26458.74</v>
      </c>
      <c r="AT139" s="145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2"/>
      <c r="BW139" s="172"/>
      <c r="BX139" s="172"/>
      <c r="BY139" s="172"/>
      <c r="BZ139" s="172"/>
      <c r="CA139" s="179"/>
      <c r="CB139" s="179"/>
      <c r="CC139" s="179"/>
      <c r="CD139" s="179"/>
      <c r="CE139" s="179"/>
      <c r="CF139" s="179"/>
      <c r="CG139" s="179"/>
      <c r="CH139" s="179"/>
      <c r="CI139" s="179"/>
      <c r="CJ139" s="179"/>
      <c r="CK139" s="179"/>
      <c r="CL139" s="179"/>
      <c r="CM139" s="179"/>
      <c r="CN139" s="179"/>
      <c r="CO139" s="179"/>
      <c r="CP139" s="179"/>
    </row>
    <row r="140" ht="15.75" customHeight="1">
      <c r="A140" s="151">
        <v>42016.0</v>
      </c>
      <c r="B140" s="152">
        <v>1.0</v>
      </c>
      <c r="C140" s="152" t="s">
        <v>45</v>
      </c>
      <c r="D140" s="152">
        <v>1.0</v>
      </c>
      <c r="E140" s="153">
        <v>4031.0</v>
      </c>
      <c r="F140" s="153">
        <f>SUM(('Future Orders'!$E140) * (1.1))</f>
        <v>4434.1</v>
      </c>
      <c r="G140" s="154">
        <v>2.2</v>
      </c>
      <c r="H140" s="155">
        <v>8868.2</v>
      </c>
      <c r="I140" s="155">
        <f>SUM(('Future Orders'!$H140) * (1.1))</f>
        <v>9755.02</v>
      </c>
      <c r="J140" s="159">
        <f>SUMIFS('Future Orders'!$F140, 'Future Orders'!$D140, "1", 'Future Orders'!$C140, "A", 'Future Orders'!$B140, "1")</f>
        <v>4434.1</v>
      </c>
      <c r="K140" s="157">
        <f>SUMIFS('Future Orders'!$I140, 'Future Orders'!$D140, "1", 'Future Orders'!$C140, "A", 'Future Orders'!$B140, "1")</f>
        <v>9755.02</v>
      </c>
      <c r="L140" s="157">
        <f>SUMIFS('Future Orders'!$F140, 'Future Orders'!$D140, "1", 'Future Orders'!$C140, "B", 'Future Orders'!$B140, "1")</f>
        <v>0</v>
      </c>
      <c r="M140" s="157">
        <f>SUMIFS('Future Orders'!$I140, 'Future Orders'!$D140, "1", 'Future Orders'!$C140, "B", 'Future Orders'!$B140, "1")</f>
        <v>0</v>
      </c>
      <c r="N140" s="159">
        <f>SUMIFS('Future Orders'!$F140, 'Future Orders'!$D140, "1", 'Future Orders'!$C140, "A", 'Future Orders'!$B140, "2")</f>
        <v>0</v>
      </c>
      <c r="O140" s="157">
        <f>SUMIFS('Future Orders'!$I140, 'Future Orders'!$D140, "1", 'Future Orders'!$C140, "A", 'Future Orders'!$B140, "2")</f>
        <v>0</v>
      </c>
      <c r="P140" s="157">
        <f>SUMIFS('Future Orders'!$E140, 'Future Orders'!$D140, "1", 'Future Orders'!$C140, "B", 'Future Orders'!$B140, "2")</f>
        <v>0</v>
      </c>
      <c r="Q140" s="157">
        <f>SUMIFS('Future Orders'!$I140, 'Future Orders'!$D140, "1", 'Future Orders'!$C140, "B", 'Future Orders'!$B140, "2")</f>
        <v>0</v>
      </c>
      <c r="R140" s="159">
        <f>SUMIFS('Future Orders'!$F140, 'Future Orders'!$D140, "2", 'Future Orders'!$C140, "A", 'Future Orders'!$B140, "1")</f>
        <v>0</v>
      </c>
      <c r="S140" s="157">
        <f>SUMIFS('Future Orders'!$I140, 'Future Orders'!$D140, "2", 'Future Orders'!$C140, "A", 'Future Orders'!$B140, "1")</f>
        <v>0</v>
      </c>
      <c r="T140" s="159">
        <f>SUMIFS('Future Orders'!$F140, 'Future Orders'!$D140, "2", 'Future Orders'!$C140, "B", 'Future Orders'!$B140, "1")</f>
        <v>0</v>
      </c>
      <c r="U140" s="157">
        <f>SUMIFS('Future Orders'!$I140, 'Future Orders'!$D140, "2", 'Future Orders'!$C140, "B", 'Future Orders'!$B140, "1")</f>
        <v>0</v>
      </c>
      <c r="V140" s="159">
        <f>SUMIFS('Future Orders'!$F140, 'Future Orders'!$D140, "2", 'Future Orders'!$C140, "A", 'Future Orders'!$B140, "2")</f>
        <v>0</v>
      </c>
      <c r="W140" s="157">
        <f>SUMIFS('Future Orders'!$I140, 'Future Orders'!$D140, "2", 'Future Orders'!$C140, "A", 'Future Orders'!$B140, "2")</f>
        <v>0</v>
      </c>
      <c r="X140" s="159">
        <f>SUMIFS('Future Orders'!$F140, 'Future Orders'!$D140, "2", 'Future Orders'!$C140, "B", 'Future Orders'!$B140, "2")</f>
        <v>0</v>
      </c>
      <c r="Y140" s="159">
        <f>SUMIFS('Future Orders'!$I140, 'Future Orders'!$D140, "2", 'Future Orders'!$C140, "B", 'Future Orders'!$B140, "2")</f>
        <v>0</v>
      </c>
      <c r="Z140" s="159">
        <f>SUMIFS('Future Orders'!$F140, 'Future Orders'!$D140, "3", 'Future Orders'!$C140, "A", 'Future Orders'!$B140, "1")</f>
        <v>0</v>
      </c>
      <c r="AA140" s="159">
        <f>SUMIFS('Future Orders'!$I140, 'Future Orders'!$D140, "3", 'Future Orders'!$C140, "A", 'Future Orders'!$B140, "1")</f>
        <v>0</v>
      </c>
      <c r="AB140" s="159">
        <f>SUMIFS('Future Orders'!$F140, 'Future Orders'!$D140, "3", 'Future Orders'!$C140, "B", 'Future Orders'!$B140, "1")</f>
        <v>0</v>
      </c>
      <c r="AC140" s="159">
        <f>SUMIFS('Future Orders'!$I140, 'Future Orders'!$D140, "3", 'Future Orders'!$C140, "B", 'Future Orders'!$B140, "1")</f>
        <v>0</v>
      </c>
      <c r="AD140" s="159">
        <f>SUMIFS('Future Orders'!$F140, 'Future Orders'!$D140, "3", 'Future Orders'!$C140, "A", 'Future Orders'!$B140, "2")</f>
        <v>0</v>
      </c>
      <c r="AE140" s="159">
        <f>SUMIFS('Future Orders'!$I140, 'Future Orders'!$D140, "3", 'Future Orders'!$C140, "A", 'Future Orders'!$B140, "2")</f>
        <v>0</v>
      </c>
      <c r="AF140" s="159">
        <f>SUMIFS('Future Orders'!$F140, 'Future Orders'!$D140, "3", 'Future Orders'!$C140, "B", 'Future Orders'!$B140, "2")</f>
        <v>0</v>
      </c>
      <c r="AG140" s="157">
        <f>SUMIFS('Future Orders'!$I140, 'Future Orders'!$D140, "3", 'Future Orders'!$C140, "B", 'Future Orders'!$B140, "2")</f>
        <v>0</v>
      </c>
      <c r="AH140" s="157">
        <f>SUMIFS('Future Orders'!$F140, 'Future Orders'!$D140, "4", 'Future Orders'!$C140, "A", 'Future Orders'!$B140, "1")</f>
        <v>0</v>
      </c>
      <c r="AI140" s="157">
        <f>SUMIFS('Future Orders'!$I140, 'Future Orders'!$D140, "4", 'Future Orders'!$C140, "A", 'Future Orders'!$B140, "1")</f>
        <v>0</v>
      </c>
      <c r="AJ140" s="157">
        <f>SUMIFS('Future Orders'!$F140, 'Future Orders'!$D140, "4", 'Future Orders'!$C140, "B", 'Future Orders'!$B140, "1")</f>
        <v>0</v>
      </c>
      <c r="AK140" s="157">
        <f>SUMIFS('Future Orders'!$I140, 'Future Orders'!$D140, "4", 'Future Orders'!$C140, "B", 'Future Orders'!$B140, "1")</f>
        <v>0</v>
      </c>
      <c r="AL140" s="157">
        <f>SUMIFS('Future Orders'!$F140, 'Future Orders'!$D140, "4", 'Future Orders'!$C140, "A", 'Future Orders'!$B140, "2")</f>
        <v>0</v>
      </c>
      <c r="AM140" s="157">
        <f>SUMIFS('Future Orders'!$I140, 'Future Orders'!$D140, "4", 'Future Orders'!$C140, "A", 'Future Orders'!$B140, "2")</f>
        <v>0</v>
      </c>
      <c r="AN140" s="171">
        <f>SUMIFS('Future Orders'!$F140, 'Future Orders'!$D140, "4", 'Future Orders'!$C140, "B", 'Future Orders'!$B140, "2")</f>
        <v>0</v>
      </c>
      <c r="AO140" s="171">
        <f>SUMIFS('Future Orders'!$I140, 'Future Orders'!$D140, "4", 'Future Orders'!$C140, "B", 'Future Orders'!$B140, "2")</f>
        <v>0</v>
      </c>
      <c r="AP140" s="171">
        <f>SUMIFS('Future Orders'!$H140, 'Future Orders'!$C140, "A", 'Future Orders'!$B140, "1")</f>
        <v>8868.2</v>
      </c>
      <c r="AQ140" s="171">
        <f>SUMIFS('Future Orders'!$I140, 'Future Orders'!$C140, "B", 'Future Orders'!$B140, "1")</f>
        <v>0</v>
      </c>
      <c r="AR140" s="171">
        <f>SUMIFS('Future Orders'!$H140, 'Future Orders'!$C140, "A", 'Future Orders'!$B140, "2")</f>
        <v>0</v>
      </c>
      <c r="AS140" s="171">
        <f>SUMIFS('Future Orders'!$I140, 'Future Orders'!$C140, "B", 'Future Orders'!$B140, "2")</f>
        <v>0</v>
      </c>
      <c r="AT140" s="145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  <c r="BT140" s="172"/>
      <c r="BU140" s="172"/>
      <c r="BV140" s="172"/>
      <c r="BW140" s="172"/>
      <c r="BX140" s="172"/>
      <c r="BY140" s="172"/>
      <c r="BZ140" s="172"/>
      <c r="CA140" s="179"/>
      <c r="CB140" s="179"/>
      <c r="CC140" s="179"/>
      <c r="CD140" s="179"/>
      <c r="CE140" s="179"/>
      <c r="CF140" s="179"/>
      <c r="CG140" s="179"/>
      <c r="CH140" s="179"/>
      <c r="CI140" s="179"/>
      <c r="CJ140" s="179"/>
      <c r="CK140" s="179"/>
      <c r="CL140" s="179"/>
      <c r="CM140" s="179"/>
      <c r="CN140" s="179"/>
      <c r="CO140" s="179"/>
      <c r="CP140" s="179"/>
    </row>
    <row r="141" ht="15.75" customHeight="1">
      <c r="A141" s="151">
        <v>42016.0</v>
      </c>
      <c r="B141" s="152">
        <v>1.0</v>
      </c>
      <c r="C141" s="152" t="s">
        <v>45</v>
      </c>
      <c r="D141" s="152">
        <v>2.0</v>
      </c>
      <c r="E141" s="153">
        <v>4210.0</v>
      </c>
      <c r="F141" s="153">
        <f>SUM(('Future Orders'!$E141) * (1.1))</f>
        <v>4631</v>
      </c>
      <c r="G141" s="154">
        <v>1.2</v>
      </c>
      <c r="H141" s="155">
        <v>5052.0</v>
      </c>
      <c r="I141" s="155">
        <f>SUM(('Future Orders'!$H141) * (1.1))</f>
        <v>5557.2</v>
      </c>
      <c r="J141" s="159">
        <f>SUMIFS('Future Orders'!$F141, 'Future Orders'!$D141, "1", 'Future Orders'!$C141, "A", 'Future Orders'!$B141, "1")</f>
        <v>0</v>
      </c>
      <c r="K141" s="157">
        <f>SUMIFS('Future Orders'!$I141, 'Future Orders'!$D141, "1", 'Future Orders'!$C141, "A", 'Future Orders'!$B141, "1")</f>
        <v>0</v>
      </c>
      <c r="L141" s="157">
        <f>SUMIFS('Future Orders'!$F141, 'Future Orders'!$D141, "1", 'Future Orders'!$C141, "B", 'Future Orders'!$B141, "1")</f>
        <v>0</v>
      </c>
      <c r="M141" s="157">
        <f>SUMIFS('Future Orders'!$I141, 'Future Orders'!$D141, "1", 'Future Orders'!$C141, "B", 'Future Orders'!$B141, "1")</f>
        <v>0</v>
      </c>
      <c r="N141" s="159">
        <f>SUMIFS('Future Orders'!$F141, 'Future Orders'!$D141, "1", 'Future Orders'!$C141, "A", 'Future Orders'!$B141, "2")</f>
        <v>0</v>
      </c>
      <c r="O141" s="157">
        <f>SUMIFS('Future Orders'!$I141, 'Future Orders'!$D141, "1", 'Future Orders'!$C141, "A", 'Future Orders'!$B141, "2")</f>
        <v>0</v>
      </c>
      <c r="P141" s="157">
        <f>SUMIFS('Future Orders'!$E141, 'Future Orders'!$D141, "1", 'Future Orders'!$C141, "B", 'Future Orders'!$B141, "2")</f>
        <v>0</v>
      </c>
      <c r="Q141" s="157">
        <f>SUMIFS('Future Orders'!$I141, 'Future Orders'!$D141, "1", 'Future Orders'!$C141, "B", 'Future Orders'!$B141, "2")</f>
        <v>0</v>
      </c>
      <c r="R141" s="159">
        <f>SUMIFS('Future Orders'!$F141, 'Future Orders'!$D141, "2", 'Future Orders'!$C141, "A", 'Future Orders'!$B141, "1")</f>
        <v>4631</v>
      </c>
      <c r="S141" s="157">
        <f>SUMIFS('Future Orders'!$I141, 'Future Orders'!$D141, "2", 'Future Orders'!$C141, "A", 'Future Orders'!$B141, "1")</f>
        <v>5557.2</v>
      </c>
      <c r="T141" s="159">
        <f>SUMIFS('Future Orders'!$F141, 'Future Orders'!$D141, "2", 'Future Orders'!$C141, "B", 'Future Orders'!$B141, "1")</f>
        <v>0</v>
      </c>
      <c r="U141" s="157">
        <f>SUMIFS('Future Orders'!$I141, 'Future Orders'!$D141, "2", 'Future Orders'!$C141, "B", 'Future Orders'!$B141, "1")</f>
        <v>0</v>
      </c>
      <c r="V141" s="159">
        <f>SUMIFS('Future Orders'!$F141, 'Future Orders'!$D141, "2", 'Future Orders'!$C141, "A", 'Future Orders'!$B141, "2")</f>
        <v>0</v>
      </c>
      <c r="W141" s="157">
        <f>SUMIFS('Future Orders'!$I141, 'Future Orders'!$D141, "2", 'Future Orders'!$C141, "A", 'Future Orders'!$B141, "2")</f>
        <v>0</v>
      </c>
      <c r="X141" s="159">
        <f>SUMIFS('Future Orders'!$F141, 'Future Orders'!$D141, "2", 'Future Orders'!$C141, "B", 'Future Orders'!$B141, "2")</f>
        <v>0</v>
      </c>
      <c r="Y141" s="159">
        <f>SUMIFS('Future Orders'!$I141, 'Future Orders'!$D141, "2", 'Future Orders'!$C141, "B", 'Future Orders'!$B141, "2")</f>
        <v>0</v>
      </c>
      <c r="Z141" s="159">
        <f>SUMIFS('Future Orders'!$F141, 'Future Orders'!$D141, "3", 'Future Orders'!$C141, "A", 'Future Orders'!$B141, "1")</f>
        <v>0</v>
      </c>
      <c r="AA141" s="159">
        <f>SUMIFS('Future Orders'!$I141, 'Future Orders'!$D141, "3", 'Future Orders'!$C141, "A", 'Future Orders'!$B141, "1")</f>
        <v>0</v>
      </c>
      <c r="AB141" s="159">
        <f>SUMIFS('Future Orders'!$F141, 'Future Orders'!$D141, "3", 'Future Orders'!$C141, "B", 'Future Orders'!$B141, "1")</f>
        <v>0</v>
      </c>
      <c r="AC141" s="159">
        <f>SUMIFS('Future Orders'!$I141, 'Future Orders'!$D141, "3", 'Future Orders'!$C141, "B", 'Future Orders'!$B141, "1")</f>
        <v>0</v>
      </c>
      <c r="AD141" s="159">
        <f>SUMIFS('Future Orders'!$F141, 'Future Orders'!$D141, "3", 'Future Orders'!$C141, "A", 'Future Orders'!$B141, "2")</f>
        <v>0</v>
      </c>
      <c r="AE141" s="159">
        <f>SUMIFS('Future Orders'!$I141, 'Future Orders'!$D141, "3", 'Future Orders'!$C141, "A", 'Future Orders'!$B141, "2")</f>
        <v>0</v>
      </c>
      <c r="AF141" s="159">
        <f>SUMIFS('Future Orders'!$F141, 'Future Orders'!$D141, "3", 'Future Orders'!$C141, "B", 'Future Orders'!$B141, "2")</f>
        <v>0</v>
      </c>
      <c r="AG141" s="157">
        <f>SUMIFS('Future Orders'!$I141, 'Future Orders'!$D141, "3", 'Future Orders'!$C141, "B", 'Future Orders'!$B141, "2")</f>
        <v>0</v>
      </c>
      <c r="AH141" s="157">
        <f>SUMIFS('Future Orders'!$F141, 'Future Orders'!$D141, "4", 'Future Orders'!$C141, "A", 'Future Orders'!$B141, "1")</f>
        <v>0</v>
      </c>
      <c r="AI141" s="157">
        <f>SUMIFS('Future Orders'!$I141, 'Future Orders'!$D141, "4", 'Future Orders'!$C141, "A", 'Future Orders'!$B141, "1")</f>
        <v>0</v>
      </c>
      <c r="AJ141" s="157">
        <f>SUMIFS('Future Orders'!$F141, 'Future Orders'!$D141, "4", 'Future Orders'!$C141, "B", 'Future Orders'!$B141, "1")</f>
        <v>0</v>
      </c>
      <c r="AK141" s="157">
        <f>SUMIFS('Future Orders'!$I141, 'Future Orders'!$D141, "4", 'Future Orders'!$C141, "B", 'Future Orders'!$B141, "1")</f>
        <v>0</v>
      </c>
      <c r="AL141" s="157">
        <f>SUMIFS('Future Orders'!$F141, 'Future Orders'!$D141, "4", 'Future Orders'!$C141, "A", 'Future Orders'!$B141, "2")</f>
        <v>0</v>
      </c>
      <c r="AM141" s="157">
        <f>SUMIFS('Future Orders'!$I141, 'Future Orders'!$D141, "4", 'Future Orders'!$C141, "A", 'Future Orders'!$B141, "2")</f>
        <v>0</v>
      </c>
      <c r="AN141" s="171">
        <f>SUMIFS('Future Orders'!$F141, 'Future Orders'!$D141, "4", 'Future Orders'!$C141, "B", 'Future Orders'!$B141, "2")</f>
        <v>0</v>
      </c>
      <c r="AO141" s="171">
        <f>SUMIFS('Future Orders'!$I141, 'Future Orders'!$D141, "4", 'Future Orders'!$C141, "B", 'Future Orders'!$B141, "2")</f>
        <v>0</v>
      </c>
      <c r="AP141" s="171">
        <f>SUMIFS('Future Orders'!$H141, 'Future Orders'!$C141, "A", 'Future Orders'!$B141, "1")</f>
        <v>5052</v>
      </c>
      <c r="AQ141" s="171">
        <f>SUMIFS('Future Orders'!$I141, 'Future Orders'!$C141, "B", 'Future Orders'!$B141, "1")</f>
        <v>0</v>
      </c>
      <c r="AR141" s="171">
        <f>SUMIFS('Future Orders'!$H141, 'Future Orders'!$C141, "A", 'Future Orders'!$B141, "2")</f>
        <v>0</v>
      </c>
      <c r="AS141" s="171">
        <f>SUMIFS('Future Orders'!$I141, 'Future Orders'!$C141, "B", 'Future Orders'!$B141, "2")</f>
        <v>0</v>
      </c>
      <c r="AT141" s="145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  <c r="BT141" s="172"/>
      <c r="BU141" s="172"/>
      <c r="BV141" s="172"/>
      <c r="BW141" s="172"/>
      <c r="BX141" s="172"/>
      <c r="BY141" s="172"/>
      <c r="BZ141" s="172"/>
      <c r="CA141" s="179"/>
      <c r="CB141" s="179"/>
      <c r="CC141" s="179"/>
      <c r="CD141" s="179"/>
      <c r="CE141" s="179"/>
      <c r="CF141" s="179"/>
      <c r="CG141" s="179"/>
      <c r="CH141" s="179"/>
      <c r="CI141" s="179"/>
      <c r="CJ141" s="179"/>
      <c r="CK141" s="179"/>
      <c r="CL141" s="179"/>
      <c r="CM141" s="179"/>
      <c r="CN141" s="179"/>
      <c r="CO141" s="179"/>
      <c r="CP141" s="179"/>
    </row>
    <row r="142" ht="15.75" customHeight="1">
      <c r="A142" s="151">
        <v>42016.0</v>
      </c>
      <c r="B142" s="152">
        <v>2.0</v>
      </c>
      <c r="C142" s="152" t="s">
        <v>45</v>
      </c>
      <c r="D142" s="152">
        <v>1.0</v>
      </c>
      <c r="E142" s="153">
        <v>3024.0</v>
      </c>
      <c r="F142" s="153">
        <f>SUM(('Future Orders'!$E142) * (1.1))</f>
        <v>3326.4</v>
      </c>
      <c r="G142" s="154">
        <v>2.2</v>
      </c>
      <c r="H142" s="155">
        <v>6652.8</v>
      </c>
      <c r="I142" s="155">
        <f>SUM(('Future Orders'!$H142) * (1.1))</f>
        <v>7318.08</v>
      </c>
      <c r="J142" s="159">
        <f>SUMIFS('Future Orders'!$F142, 'Future Orders'!$D142, "1", 'Future Orders'!$C142, "A", 'Future Orders'!$B142, "1")</f>
        <v>0</v>
      </c>
      <c r="K142" s="157">
        <f>SUMIFS('Future Orders'!$I142, 'Future Orders'!$D142, "1", 'Future Orders'!$C142, "A", 'Future Orders'!$B142, "1")</f>
        <v>0</v>
      </c>
      <c r="L142" s="157">
        <f>SUMIFS('Future Orders'!$F142, 'Future Orders'!$D142, "1", 'Future Orders'!$C142, "B", 'Future Orders'!$B142, "1")</f>
        <v>0</v>
      </c>
      <c r="M142" s="157">
        <f>SUMIFS('Future Orders'!$I142, 'Future Orders'!$D142, "1", 'Future Orders'!$C142, "B", 'Future Orders'!$B142, "1")</f>
        <v>0</v>
      </c>
      <c r="N142" s="159">
        <f>SUMIFS('Future Orders'!$F142, 'Future Orders'!$D142, "1", 'Future Orders'!$C142, "A", 'Future Orders'!$B142, "2")</f>
        <v>3326.4</v>
      </c>
      <c r="O142" s="157">
        <f>SUMIFS('Future Orders'!$I142, 'Future Orders'!$D142, "1", 'Future Orders'!$C142, "A", 'Future Orders'!$B142, "2")</f>
        <v>7318.08</v>
      </c>
      <c r="P142" s="157">
        <f>SUMIFS('Future Orders'!$E142, 'Future Orders'!$D142, "1", 'Future Orders'!$C142, "B", 'Future Orders'!$B142, "2")</f>
        <v>0</v>
      </c>
      <c r="Q142" s="157">
        <f>SUMIFS('Future Orders'!$I142, 'Future Orders'!$D142, "1", 'Future Orders'!$C142, "B", 'Future Orders'!$B142, "2")</f>
        <v>0</v>
      </c>
      <c r="R142" s="159">
        <f>SUMIFS('Future Orders'!$F142, 'Future Orders'!$D142, "2", 'Future Orders'!$C142, "A", 'Future Orders'!$B142, "1")</f>
        <v>0</v>
      </c>
      <c r="S142" s="157">
        <f>SUMIFS('Future Orders'!$I142, 'Future Orders'!$D142, "2", 'Future Orders'!$C142, "A", 'Future Orders'!$B142, "1")</f>
        <v>0</v>
      </c>
      <c r="T142" s="159">
        <f>SUMIFS('Future Orders'!$F142, 'Future Orders'!$D142, "2", 'Future Orders'!$C142, "B", 'Future Orders'!$B142, "1")</f>
        <v>0</v>
      </c>
      <c r="U142" s="157">
        <f>SUMIFS('Future Orders'!$I142, 'Future Orders'!$D142, "2", 'Future Orders'!$C142, "B", 'Future Orders'!$B142, "1")</f>
        <v>0</v>
      </c>
      <c r="V142" s="159">
        <f>SUMIFS('Future Orders'!$F142, 'Future Orders'!$D142, "2", 'Future Orders'!$C142, "A", 'Future Orders'!$B142, "2")</f>
        <v>0</v>
      </c>
      <c r="W142" s="157">
        <f>SUMIFS('Future Orders'!$I142, 'Future Orders'!$D142, "2", 'Future Orders'!$C142, "A", 'Future Orders'!$B142, "2")</f>
        <v>0</v>
      </c>
      <c r="X142" s="159">
        <f>SUMIFS('Future Orders'!$F142, 'Future Orders'!$D142, "2", 'Future Orders'!$C142, "B", 'Future Orders'!$B142, "2")</f>
        <v>0</v>
      </c>
      <c r="Y142" s="159">
        <f>SUMIFS('Future Orders'!$I142, 'Future Orders'!$D142, "2", 'Future Orders'!$C142, "B", 'Future Orders'!$B142, "2")</f>
        <v>0</v>
      </c>
      <c r="Z142" s="159">
        <f>SUMIFS('Future Orders'!$F142, 'Future Orders'!$D142, "3", 'Future Orders'!$C142, "A", 'Future Orders'!$B142, "1")</f>
        <v>0</v>
      </c>
      <c r="AA142" s="159">
        <f>SUMIFS('Future Orders'!$I142, 'Future Orders'!$D142, "3", 'Future Orders'!$C142, "A", 'Future Orders'!$B142, "1")</f>
        <v>0</v>
      </c>
      <c r="AB142" s="159">
        <f>SUMIFS('Future Orders'!$F142, 'Future Orders'!$D142, "3", 'Future Orders'!$C142, "B", 'Future Orders'!$B142, "1")</f>
        <v>0</v>
      </c>
      <c r="AC142" s="159">
        <f>SUMIFS('Future Orders'!$I142, 'Future Orders'!$D142, "3", 'Future Orders'!$C142, "B", 'Future Orders'!$B142, "1")</f>
        <v>0</v>
      </c>
      <c r="AD142" s="159">
        <f>SUMIFS('Future Orders'!$F142, 'Future Orders'!$D142, "3", 'Future Orders'!$C142, "A", 'Future Orders'!$B142, "2")</f>
        <v>0</v>
      </c>
      <c r="AE142" s="159">
        <f>SUMIFS('Future Orders'!$I142, 'Future Orders'!$D142, "3", 'Future Orders'!$C142, "A", 'Future Orders'!$B142, "2")</f>
        <v>0</v>
      </c>
      <c r="AF142" s="159">
        <f>SUMIFS('Future Orders'!$F142, 'Future Orders'!$D142, "3", 'Future Orders'!$C142, "B", 'Future Orders'!$B142, "2")</f>
        <v>0</v>
      </c>
      <c r="AG142" s="157">
        <f>SUMIFS('Future Orders'!$I142, 'Future Orders'!$D142, "3", 'Future Orders'!$C142, "B", 'Future Orders'!$B142, "2")</f>
        <v>0</v>
      </c>
      <c r="AH142" s="157">
        <f>SUMIFS('Future Orders'!$F142, 'Future Orders'!$D142, "4", 'Future Orders'!$C142, "A", 'Future Orders'!$B142, "1")</f>
        <v>0</v>
      </c>
      <c r="AI142" s="157">
        <f>SUMIFS('Future Orders'!$I142, 'Future Orders'!$D142, "4", 'Future Orders'!$C142, "A", 'Future Orders'!$B142, "1")</f>
        <v>0</v>
      </c>
      <c r="AJ142" s="157">
        <f>SUMIFS('Future Orders'!$F142, 'Future Orders'!$D142, "4", 'Future Orders'!$C142, "B", 'Future Orders'!$B142, "1")</f>
        <v>0</v>
      </c>
      <c r="AK142" s="157">
        <f>SUMIFS('Future Orders'!$I142, 'Future Orders'!$D142, "4", 'Future Orders'!$C142, "B", 'Future Orders'!$B142, "1")</f>
        <v>0</v>
      </c>
      <c r="AL142" s="157">
        <f>SUMIFS('Future Orders'!$F142, 'Future Orders'!$D142, "4", 'Future Orders'!$C142, "A", 'Future Orders'!$B142, "2")</f>
        <v>0</v>
      </c>
      <c r="AM142" s="157">
        <f>SUMIFS('Future Orders'!$I142, 'Future Orders'!$D142, "4", 'Future Orders'!$C142, "A", 'Future Orders'!$B142, "2")</f>
        <v>0</v>
      </c>
      <c r="AN142" s="171">
        <f>SUMIFS('Future Orders'!$F142, 'Future Orders'!$D142, "4", 'Future Orders'!$C142, "B", 'Future Orders'!$B142, "2")</f>
        <v>0</v>
      </c>
      <c r="AO142" s="171">
        <f>SUMIFS('Future Orders'!$I142, 'Future Orders'!$D142, "4", 'Future Orders'!$C142, "B", 'Future Orders'!$B142, "2")</f>
        <v>0</v>
      </c>
      <c r="AP142" s="171">
        <f>SUMIFS('Future Orders'!$H142, 'Future Orders'!$C142, "A", 'Future Orders'!$B142, "1")</f>
        <v>0</v>
      </c>
      <c r="AQ142" s="171">
        <f>SUMIFS('Future Orders'!$I142, 'Future Orders'!$C142, "B", 'Future Orders'!$B142, "1")</f>
        <v>0</v>
      </c>
      <c r="AR142" s="171">
        <f>SUMIFS('Future Orders'!$H142, 'Future Orders'!$C142, "A", 'Future Orders'!$B142, "2")</f>
        <v>6652.8</v>
      </c>
      <c r="AS142" s="171">
        <f>SUMIFS('Future Orders'!$I142, 'Future Orders'!$C142, "B", 'Future Orders'!$B142, "2")</f>
        <v>0</v>
      </c>
      <c r="AT142" s="145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2"/>
      <c r="BW142" s="172"/>
      <c r="BX142" s="172"/>
      <c r="BY142" s="172"/>
      <c r="BZ142" s="172"/>
      <c r="CA142" s="179"/>
      <c r="CB142" s="179"/>
      <c r="CC142" s="179"/>
      <c r="CD142" s="179"/>
      <c r="CE142" s="179"/>
      <c r="CF142" s="179"/>
      <c r="CG142" s="179"/>
      <c r="CH142" s="179"/>
      <c r="CI142" s="179"/>
      <c r="CJ142" s="179"/>
      <c r="CK142" s="179"/>
      <c r="CL142" s="179"/>
      <c r="CM142" s="179"/>
      <c r="CN142" s="179"/>
      <c r="CO142" s="179"/>
      <c r="CP142" s="179"/>
    </row>
    <row r="143" ht="15.75" customHeight="1">
      <c r="A143" s="151">
        <v>42016.0</v>
      </c>
      <c r="B143" s="152">
        <v>2.0</v>
      </c>
      <c r="C143" s="152" t="s">
        <v>45</v>
      </c>
      <c r="D143" s="152">
        <v>2.0</v>
      </c>
      <c r="E143" s="153">
        <v>3410.0</v>
      </c>
      <c r="F143" s="153">
        <f>SUM(('Future Orders'!$E143) * (1.1))</f>
        <v>3751</v>
      </c>
      <c r="G143" s="154">
        <v>1.2</v>
      </c>
      <c r="H143" s="155">
        <v>4092.0</v>
      </c>
      <c r="I143" s="155">
        <f>SUM(('Future Orders'!$H143) * (1.1))</f>
        <v>4501.2</v>
      </c>
      <c r="J143" s="159">
        <f>SUMIFS('Future Orders'!$F143, 'Future Orders'!$D143, "1", 'Future Orders'!$C143, "A", 'Future Orders'!$B143, "1")</f>
        <v>0</v>
      </c>
      <c r="K143" s="157">
        <f>SUMIFS('Future Orders'!$I143, 'Future Orders'!$D143, "1", 'Future Orders'!$C143, "A", 'Future Orders'!$B143, "1")</f>
        <v>0</v>
      </c>
      <c r="L143" s="157">
        <f>SUMIFS('Future Orders'!$F143, 'Future Orders'!$D143, "1", 'Future Orders'!$C143, "B", 'Future Orders'!$B143, "1")</f>
        <v>0</v>
      </c>
      <c r="M143" s="157">
        <f>SUMIFS('Future Orders'!$I143, 'Future Orders'!$D143, "1", 'Future Orders'!$C143, "B", 'Future Orders'!$B143, "1")</f>
        <v>0</v>
      </c>
      <c r="N143" s="159">
        <f>SUMIFS('Future Orders'!$F143, 'Future Orders'!$D143, "1", 'Future Orders'!$C143, "A", 'Future Orders'!$B143, "2")</f>
        <v>0</v>
      </c>
      <c r="O143" s="157">
        <f>SUMIFS('Future Orders'!$I143, 'Future Orders'!$D143, "1", 'Future Orders'!$C143, "A", 'Future Orders'!$B143, "2")</f>
        <v>0</v>
      </c>
      <c r="P143" s="157">
        <f>SUMIFS('Future Orders'!$E143, 'Future Orders'!$D143, "1", 'Future Orders'!$C143, "B", 'Future Orders'!$B143, "2")</f>
        <v>0</v>
      </c>
      <c r="Q143" s="157">
        <f>SUMIFS('Future Orders'!$I143, 'Future Orders'!$D143, "1", 'Future Orders'!$C143, "B", 'Future Orders'!$B143, "2")</f>
        <v>0</v>
      </c>
      <c r="R143" s="159">
        <f>SUMIFS('Future Orders'!$F143, 'Future Orders'!$D143, "2", 'Future Orders'!$C143, "A", 'Future Orders'!$B143, "1")</f>
        <v>0</v>
      </c>
      <c r="S143" s="157">
        <f>SUMIFS('Future Orders'!$I143, 'Future Orders'!$D143, "2", 'Future Orders'!$C143, "A", 'Future Orders'!$B143, "1")</f>
        <v>0</v>
      </c>
      <c r="T143" s="159">
        <f>SUMIFS('Future Orders'!$F143, 'Future Orders'!$D143, "2", 'Future Orders'!$C143, "B", 'Future Orders'!$B143, "1")</f>
        <v>0</v>
      </c>
      <c r="U143" s="157">
        <f>SUMIFS('Future Orders'!$I143, 'Future Orders'!$D143, "2", 'Future Orders'!$C143, "B", 'Future Orders'!$B143, "1")</f>
        <v>0</v>
      </c>
      <c r="V143" s="159">
        <f>SUMIFS('Future Orders'!$F143, 'Future Orders'!$D143, "2", 'Future Orders'!$C143, "A", 'Future Orders'!$B143, "2")</f>
        <v>3751</v>
      </c>
      <c r="W143" s="157">
        <f>SUMIFS('Future Orders'!$I143, 'Future Orders'!$D143, "2", 'Future Orders'!$C143, "A", 'Future Orders'!$B143, "2")</f>
        <v>4501.2</v>
      </c>
      <c r="X143" s="159">
        <f>SUMIFS('Future Orders'!$F143, 'Future Orders'!$D143, "2", 'Future Orders'!$C143, "B", 'Future Orders'!$B143, "2")</f>
        <v>0</v>
      </c>
      <c r="Y143" s="159">
        <f>SUMIFS('Future Orders'!$I143, 'Future Orders'!$D143, "2", 'Future Orders'!$C143, "B", 'Future Orders'!$B143, "2")</f>
        <v>0</v>
      </c>
      <c r="Z143" s="159">
        <f>SUMIFS('Future Orders'!$F143, 'Future Orders'!$D143, "3", 'Future Orders'!$C143, "A", 'Future Orders'!$B143, "1")</f>
        <v>0</v>
      </c>
      <c r="AA143" s="159">
        <f>SUMIFS('Future Orders'!$I143, 'Future Orders'!$D143, "3", 'Future Orders'!$C143, "A", 'Future Orders'!$B143, "1")</f>
        <v>0</v>
      </c>
      <c r="AB143" s="159">
        <f>SUMIFS('Future Orders'!$F143, 'Future Orders'!$D143, "3", 'Future Orders'!$C143, "B", 'Future Orders'!$B143, "1")</f>
        <v>0</v>
      </c>
      <c r="AC143" s="159">
        <f>SUMIFS('Future Orders'!$I143, 'Future Orders'!$D143, "3", 'Future Orders'!$C143, "B", 'Future Orders'!$B143, "1")</f>
        <v>0</v>
      </c>
      <c r="AD143" s="159">
        <f>SUMIFS('Future Orders'!$F143, 'Future Orders'!$D143, "3", 'Future Orders'!$C143, "A", 'Future Orders'!$B143, "2")</f>
        <v>0</v>
      </c>
      <c r="AE143" s="159">
        <f>SUMIFS('Future Orders'!$I143, 'Future Orders'!$D143, "3", 'Future Orders'!$C143, "A", 'Future Orders'!$B143, "2")</f>
        <v>0</v>
      </c>
      <c r="AF143" s="159">
        <f>SUMIFS('Future Orders'!$F143, 'Future Orders'!$D143, "3", 'Future Orders'!$C143, "B", 'Future Orders'!$B143, "2")</f>
        <v>0</v>
      </c>
      <c r="AG143" s="157">
        <f>SUMIFS('Future Orders'!$I143, 'Future Orders'!$D143, "3", 'Future Orders'!$C143, "B", 'Future Orders'!$B143, "2")</f>
        <v>0</v>
      </c>
      <c r="AH143" s="157">
        <f>SUMIFS('Future Orders'!$F143, 'Future Orders'!$D143, "4", 'Future Orders'!$C143, "A", 'Future Orders'!$B143, "1")</f>
        <v>0</v>
      </c>
      <c r="AI143" s="157">
        <f>SUMIFS('Future Orders'!$I143, 'Future Orders'!$D143, "4", 'Future Orders'!$C143, "A", 'Future Orders'!$B143, "1")</f>
        <v>0</v>
      </c>
      <c r="AJ143" s="157">
        <f>SUMIFS('Future Orders'!$F143, 'Future Orders'!$D143, "4", 'Future Orders'!$C143, "B", 'Future Orders'!$B143, "1")</f>
        <v>0</v>
      </c>
      <c r="AK143" s="157">
        <f>SUMIFS('Future Orders'!$I143, 'Future Orders'!$D143, "4", 'Future Orders'!$C143, "B", 'Future Orders'!$B143, "1")</f>
        <v>0</v>
      </c>
      <c r="AL143" s="157">
        <f>SUMIFS('Future Orders'!$F143, 'Future Orders'!$D143, "4", 'Future Orders'!$C143, "A", 'Future Orders'!$B143, "2")</f>
        <v>0</v>
      </c>
      <c r="AM143" s="157">
        <f>SUMIFS('Future Orders'!$I143, 'Future Orders'!$D143, "4", 'Future Orders'!$C143, "A", 'Future Orders'!$B143, "2")</f>
        <v>0</v>
      </c>
      <c r="AN143" s="171">
        <f>SUMIFS('Future Orders'!$F143, 'Future Orders'!$D143, "4", 'Future Orders'!$C143, "B", 'Future Orders'!$B143, "2")</f>
        <v>0</v>
      </c>
      <c r="AO143" s="171">
        <f>SUMIFS('Future Orders'!$I143, 'Future Orders'!$D143, "4", 'Future Orders'!$C143, "B", 'Future Orders'!$B143, "2")</f>
        <v>0</v>
      </c>
      <c r="AP143" s="171">
        <f>SUMIFS('Future Orders'!$H143, 'Future Orders'!$C143, "A", 'Future Orders'!$B143, "1")</f>
        <v>0</v>
      </c>
      <c r="AQ143" s="171">
        <f>SUMIFS('Future Orders'!$I143, 'Future Orders'!$C143, "B", 'Future Orders'!$B143, "1")</f>
        <v>0</v>
      </c>
      <c r="AR143" s="171">
        <f>SUMIFS('Future Orders'!$H143, 'Future Orders'!$C143, "A", 'Future Orders'!$B143, "2")</f>
        <v>4092</v>
      </c>
      <c r="AS143" s="171">
        <f>SUMIFS('Future Orders'!$I143, 'Future Orders'!$C143, "B", 'Future Orders'!$B143, "2")</f>
        <v>0</v>
      </c>
      <c r="AT143" s="145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2"/>
      <c r="BW143" s="172"/>
      <c r="BX143" s="172"/>
      <c r="BY143" s="172"/>
      <c r="BZ143" s="172"/>
      <c r="CA143" s="179"/>
      <c r="CB143" s="179"/>
      <c r="CC143" s="179"/>
      <c r="CD143" s="179"/>
      <c r="CE143" s="179"/>
      <c r="CF143" s="179"/>
      <c r="CG143" s="179"/>
      <c r="CH143" s="179"/>
      <c r="CI143" s="179"/>
      <c r="CJ143" s="179"/>
      <c r="CK143" s="179"/>
      <c r="CL143" s="179"/>
      <c r="CM143" s="179"/>
      <c r="CN143" s="179"/>
      <c r="CO143" s="179"/>
      <c r="CP143" s="179"/>
    </row>
    <row r="144" ht="15.75" customHeight="1">
      <c r="A144" s="151">
        <v>42016.0</v>
      </c>
      <c r="B144" s="152">
        <v>1.0</v>
      </c>
      <c r="C144" s="152" t="s">
        <v>46</v>
      </c>
      <c r="D144" s="152">
        <v>3.0</v>
      </c>
      <c r="E144" s="153">
        <v>1754.0</v>
      </c>
      <c r="F144" s="153">
        <f>SUM(('Future Orders'!$E144) * (1.1))</f>
        <v>1929.4</v>
      </c>
      <c r="G144" s="154">
        <v>8.3</v>
      </c>
      <c r="H144" s="155">
        <v>14558.2</v>
      </c>
      <c r="I144" s="155">
        <f>SUM(('Future Orders'!$H144) * (1.1))</f>
        <v>16014.02</v>
      </c>
      <c r="J144" s="159">
        <f>SUMIFS('Future Orders'!$F144, 'Future Orders'!$D144, "1", 'Future Orders'!$C144, "A", 'Future Orders'!$B144, "1")</f>
        <v>0</v>
      </c>
      <c r="K144" s="157">
        <f>SUMIFS('Future Orders'!$I144, 'Future Orders'!$D144, "1", 'Future Orders'!$C144, "A", 'Future Orders'!$B144, "1")</f>
        <v>0</v>
      </c>
      <c r="L144" s="157">
        <f>SUMIFS('Future Orders'!$F144, 'Future Orders'!$D144, "1", 'Future Orders'!$C144, "B", 'Future Orders'!$B144, "1")</f>
        <v>0</v>
      </c>
      <c r="M144" s="157">
        <f>SUMIFS('Future Orders'!$I144, 'Future Orders'!$D144, "1", 'Future Orders'!$C144, "B", 'Future Orders'!$B144, "1")</f>
        <v>0</v>
      </c>
      <c r="N144" s="159">
        <f>SUMIFS('Future Orders'!$F144, 'Future Orders'!$D144, "1", 'Future Orders'!$C144, "A", 'Future Orders'!$B144, "2")</f>
        <v>0</v>
      </c>
      <c r="O144" s="157">
        <f>SUMIFS('Future Orders'!$I144, 'Future Orders'!$D144, "1", 'Future Orders'!$C144, "A", 'Future Orders'!$B144, "2")</f>
        <v>0</v>
      </c>
      <c r="P144" s="157">
        <f>SUMIFS('Future Orders'!$E144, 'Future Orders'!$D144, "1", 'Future Orders'!$C144, "B", 'Future Orders'!$B144, "2")</f>
        <v>0</v>
      </c>
      <c r="Q144" s="157">
        <f>SUMIFS('Future Orders'!$I144, 'Future Orders'!$D144, "1", 'Future Orders'!$C144, "B", 'Future Orders'!$B144, "2")</f>
        <v>0</v>
      </c>
      <c r="R144" s="159">
        <f>SUMIFS('Future Orders'!$F144, 'Future Orders'!$D144, "2", 'Future Orders'!$C144, "A", 'Future Orders'!$B144, "1")</f>
        <v>0</v>
      </c>
      <c r="S144" s="157">
        <f>SUMIFS('Future Orders'!$I144, 'Future Orders'!$D144, "2", 'Future Orders'!$C144, "A", 'Future Orders'!$B144, "1")</f>
        <v>0</v>
      </c>
      <c r="T144" s="159">
        <f>SUMIFS('Future Orders'!$F144, 'Future Orders'!$D144, "2", 'Future Orders'!$C144, "B", 'Future Orders'!$B144, "1")</f>
        <v>0</v>
      </c>
      <c r="U144" s="157">
        <f>SUMIFS('Future Orders'!$I144, 'Future Orders'!$D144, "2", 'Future Orders'!$C144, "B", 'Future Orders'!$B144, "1")</f>
        <v>0</v>
      </c>
      <c r="V144" s="159">
        <f>SUMIFS('Future Orders'!$F144, 'Future Orders'!$D144, "2", 'Future Orders'!$C144, "A", 'Future Orders'!$B144, "2")</f>
        <v>0</v>
      </c>
      <c r="W144" s="157">
        <f>SUMIFS('Future Orders'!$I144, 'Future Orders'!$D144, "2", 'Future Orders'!$C144, "A", 'Future Orders'!$B144, "2")</f>
        <v>0</v>
      </c>
      <c r="X144" s="159">
        <f>SUMIFS('Future Orders'!$F144, 'Future Orders'!$D144, "2", 'Future Orders'!$C144, "B", 'Future Orders'!$B144, "2")</f>
        <v>0</v>
      </c>
      <c r="Y144" s="159">
        <f>SUMIFS('Future Orders'!$I144, 'Future Orders'!$D144, "2", 'Future Orders'!$C144, "B", 'Future Orders'!$B144, "2")</f>
        <v>0</v>
      </c>
      <c r="Z144" s="159">
        <f>SUMIFS('Future Orders'!$F144, 'Future Orders'!$D144, "3", 'Future Orders'!$C144, "A", 'Future Orders'!$B144, "1")</f>
        <v>0</v>
      </c>
      <c r="AA144" s="159">
        <f>SUMIFS('Future Orders'!$I144, 'Future Orders'!$D144, "3", 'Future Orders'!$C144, "A", 'Future Orders'!$B144, "1")</f>
        <v>0</v>
      </c>
      <c r="AB144" s="159">
        <f>SUMIFS('Future Orders'!$F144, 'Future Orders'!$D144, "3", 'Future Orders'!$C144, "B", 'Future Orders'!$B144, "1")</f>
        <v>1929.4</v>
      </c>
      <c r="AC144" s="159">
        <f>SUMIFS('Future Orders'!$I144, 'Future Orders'!$D144, "3", 'Future Orders'!$C144, "B", 'Future Orders'!$B144, "1")</f>
        <v>16014.02</v>
      </c>
      <c r="AD144" s="159">
        <f>SUMIFS('Future Orders'!$F144, 'Future Orders'!$D144, "3", 'Future Orders'!$C144, "A", 'Future Orders'!$B144, "2")</f>
        <v>0</v>
      </c>
      <c r="AE144" s="159">
        <f>SUMIFS('Future Orders'!$I144, 'Future Orders'!$D144, "3", 'Future Orders'!$C144, "A", 'Future Orders'!$B144, "2")</f>
        <v>0</v>
      </c>
      <c r="AF144" s="159">
        <f>SUMIFS('Future Orders'!$F144, 'Future Orders'!$D144, "3", 'Future Orders'!$C144, "B", 'Future Orders'!$B144, "2")</f>
        <v>0</v>
      </c>
      <c r="AG144" s="157">
        <f>SUMIFS('Future Orders'!$I144, 'Future Orders'!$D144, "3", 'Future Orders'!$C144, "B", 'Future Orders'!$B144, "2")</f>
        <v>0</v>
      </c>
      <c r="AH144" s="157">
        <f>SUMIFS('Future Orders'!$F144, 'Future Orders'!$D144, "4", 'Future Orders'!$C144, "A", 'Future Orders'!$B144, "1")</f>
        <v>0</v>
      </c>
      <c r="AI144" s="157">
        <f>SUMIFS('Future Orders'!$I144, 'Future Orders'!$D144, "4", 'Future Orders'!$C144, "A", 'Future Orders'!$B144, "1")</f>
        <v>0</v>
      </c>
      <c r="AJ144" s="157">
        <f>SUMIFS('Future Orders'!$F144, 'Future Orders'!$D144, "4", 'Future Orders'!$C144, "B", 'Future Orders'!$B144, "1")</f>
        <v>0</v>
      </c>
      <c r="AK144" s="157">
        <f>SUMIFS('Future Orders'!$I144, 'Future Orders'!$D144, "4", 'Future Orders'!$C144, "B", 'Future Orders'!$B144, "1")</f>
        <v>0</v>
      </c>
      <c r="AL144" s="157">
        <f>SUMIFS('Future Orders'!$F144, 'Future Orders'!$D144, "4", 'Future Orders'!$C144, "A", 'Future Orders'!$B144, "2")</f>
        <v>0</v>
      </c>
      <c r="AM144" s="157">
        <f>SUMIFS('Future Orders'!$I144, 'Future Orders'!$D144, "4", 'Future Orders'!$C144, "A", 'Future Orders'!$B144, "2")</f>
        <v>0</v>
      </c>
      <c r="AN144" s="171">
        <f>SUMIFS('Future Orders'!$F144, 'Future Orders'!$D144, "4", 'Future Orders'!$C144, "B", 'Future Orders'!$B144, "2")</f>
        <v>0</v>
      </c>
      <c r="AO144" s="171">
        <f>SUMIFS('Future Orders'!$I144, 'Future Orders'!$D144, "4", 'Future Orders'!$C144, "B", 'Future Orders'!$B144, "2")</f>
        <v>0</v>
      </c>
      <c r="AP144" s="171">
        <f>SUMIFS('Future Orders'!$H144, 'Future Orders'!$C144, "A", 'Future Orders'!$B144, "1")</f>
        <v>0</v>
      </c>
      <c r="AQ144" s="171">
        <f>SUMIFS('Future Orders'!$I144, 'Future Orders'!$C144, "B", 'Future Orders'!$B144, "1")</f>
        <v>16014.02</v>
      </c>
      <c r="AR144" s="171">
        <f>SUMIFS('Future Orders'!$H144, 'Future Orders'!$C144, "A", 'Future Orders'!$B144, "2")</f>
        <v>0</v>
      </c>
      <c r="AS144" s="171">
        <f>SUMIFS('Future Orders'!$I144, 'Future Orders'!$C144, "B", 'Future Orders'!$B144, "2")</f>
        <v>0</v>
      </c>
      <c r="AT144" s="145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  <c r="BT144" s="172"/>
      <c r="BU144" s="172"/>
      <c r="BV144" s="172"/>
      <c r="BW144" s="172"/>
      <c r="BX144" s="172"/>
      <c r="BY144" s="172"/>
      <c r="BZ144" s="172"/>
      <c r="CA144" s="179"/>
      <c r="CB144" s="179"/>
      <c r="CC144" s="179"/>
      <c r="CD144" s="179"/>
      <c r="CE144" s="179"/>
      <c r="CF144" s="179"/>
      <c r="CG144" s="179"/>
      <c r="CH144" s="179"/>
      <c r="CI144" s="179"/>
      <c r="CJ144" s="179"/>
      <c r="CK144" s="179"/>
      <c r="CL144" s="179"/>
      <c r="CM144" s="179"/>
      <c r="CN144" s="179"/>
      <c r="CO144" s="179"/>
      <c r="CP144" s="179"/>
    </row>
    <row r="145" ht="15.75" customHeight="1">
      <c r="A145" s="151">
        <v>42016.0</v>
      </c>
      <c r="B145" s="152">
        <v>2.0</v>
      </c>
      <c r="C145" s="152" t="s">
        <v>46</v>
      </c>
      <c r="D145" s="152">
        <v>3.0</v>
      </c>
      <c r="E145" s="153">
        <v>1742.0</v>
      </c>
      <c r="F145" s="153">
        <f>SUM(('Future Orders'!$E145) * (1.1))</f>
        <v>1916.2</v>
      </c>
      <c r="G145" s="154">
        <v>8.3</v>
      </c>
      <c r="H145" s="155">
        <v>14458.6</v>
      </c>
      <c r="I145" s="155">
        <f>SUM(('Future Orders'!$H145) * (1.1))</f>
        <v>15904.46</v>
      </c>
      <c r="J145" s="159">
        <f>SUMIFS('Future Orders'!$F145, 'Future Orders'!$D145, "1", 'Future Orders'!$C145, "A", 'Future Orders'!$B145, "1")</f>
        <v>0</v>
      </c>
      <c r="K145" s="157">
        <f>SUMIFS('Future Orders'!$I145, 'Future Orders'!$D145, "1", 'Future Orders'!$C145, "A", 'Future Orders'!$B145, "1")</f>
        <v>0</v>
      </c>
      <c r="L145" s="157">
        <f>SUMIFS('Future Orders'!$F145, 'Future Orders'!$D145, "1", 'Future Orders'!$C145, "B", 'Future Orders'!$B145, "1")</f>
        <v>0</v>
      </c>
      <c r="M145" s="157">
        <f>SUMIFS('Future Orders'!$I145, 'Future Orders'!$D145, "1", 'Future Orders'!$C145, "B", 'Future Orders'!$B145, "1")</f>
        <v>0</v>
      </c>
      <c r="N145" s="159">
        <f>SUMIFS('Future Orders'!$F145, 'Future Orders'!$D145, "1", 'Future Orders'!$C145, "A", 'Future Orders'!$B145, "2")</f>
        <v>0</v>
      </c>
      <c r="O145" s="157">
        <f>SUMIFS('Future Orders'!$I145, 'Future Orders'!$D145, "1", 'Future Orders'!$C145, "A", 'Future Orders'!$B145, "2")</f>
        <v>0</v>
      </c>
      <c r="P145" s="157">
        <f>SUMIFS('Future Orders'!$E145, 'Future Orders'!$D145, "1", 'Future Orders'!$C145, "B", 'Future Orders'!$B145, "2")</f>
        <v>0</v>
      </c>
      <c r="Q145" s="157">
        <f>SUMIFS('Future Orders'!$I145, 'Future Orders'!$D145, "1", 'Future Orders'!$C145, "B", 'Future Orders'!$B145, "2")</f>
        <v>0</v>
      </c>
      <c r="R145" s="159">
        <f>SUMIFS('Future Orders'!$F145, 'Future Orders'!$D145, "2", 'Future Orders'!$C145, "A", 'Future Orders'!$B145, "1")</f>
        <v>0</v>
      </c>
      <c r="S145" s="157">
        <f>SUMIFS('Future Orders'!$I145, 'Future Orders'!$D145, "2", 'Future Orders'!$C145, "A", 'Future Orders'!$B145, "1")</f>
        <v>0</v>
      </c>
      <c r="T145" s="159">
        <f>SUMIFS('Future Orders'!$F145, 'Future Orders'!$D145, "2", 'Future Orders'!$C145, "B", 'Future Orders'!$B145, "1")</f>
        <v>0</v>
      </c>
      <c r="U145" s="157">
        <f>SUMIFS('Future Orders'!$I145, 'Future Orders'!$D145, "2", 'Future Orders'!$C145, "B", 'Future Orders'!$B145, "1")</f>
        <v>0</v>
      </c>
      <c r="V145" s="159">
        <f>SUMIFS('Future Orders'!$F145, 'Future Orders'!$D145, "2", 'Future Orders'!$C145, "A", 'Future Orders'!$B145, "2")</f>
        <v>0</v>
      </c>
      <c r="W145" s="157">
        <f>SUMIFS('Future Orders'!$I145, 'Future Orders'!$D145, "2", 'Future Orders'!$C145, "A", 'Future Orders'!$B145, "2")</f>
        <v>0</v>
      </c>
      <c r="X145" s="159">
        <f>SUMIFS('Future Orders'!$F145, 'Future Orders'!$D145, "2", 'Future Orders'!$C145, "B", 'Future Orders'!$B145, "2")</f>
        <v>0</v>
      </c>
      <c r="Y145" s="159">
        <f>SUMIFS('Future Orders'!$I145, 'Future Orders'!$D145, "2", 'Future Orders'!$C145, "B", 'Future Orders'!$B145, "2")</f>
        <v>0</v>
      </c>
      <c r="Z145" s="159">
        <f>SUMIFS('Future Orders'!$F145, 'Future Orders'!$D145, "3", 'Future Orders'!$C145, "A", 'Future Orders'!$B145, "1")</f>
        <v>0</v>
      </c>
      <c r="AA145" s="159">
        <f>SUMIFS('Future Orders'!$I145, 'Future Orders'!$D145, "3", 'Future Orders'!$C145, "A", 'Future Orders'!$B145, "1")</f>
        <v>0</v>
      </c>
      <c r="AB145" s="159">
        <f>SUMIFS('Future Orders'!$F145, 'Future Orders'!$D145, "3", 'Future Orders'!$C145, "B", 'Future Orders'!$B145, "1")</f>
        <v>0</v>
      </c>
      <c r="AC145" s="159">
        <f>SUMIFS('Future Orders'!$I145, 'Future Orders'!$D145, "3", 'Future Orders'!$C145, "B", 'Future Orders'!$B145, "1")</f>
        <v>0</v>
      </c>
      <c r="AD145" s="159">
        <f>SUMIFS('Future Orders'!$F145, 'Future Orders'!$D145, "3", 'Future Orders'!$C145, "A", 'Future Orders'!$B145, "2")</f>
        <v>0</v>
      </c>
      <c r="AE145" s="159">
        <f>SUMIFS('Future Orders'!$I145, 'Future Orders'!$D145, "3", 'Future Orders'!$C145, "A", 'Future Orders'!$B145, "2")</f>
        <v>0</v>
      </c>
      <c r="AF145" s="159">
        <f>SUMIFS('Future Orders'!$F145, 'Future Orders'!$D145, "3", 'Future Orders'!$C145, "B", 'Future Orders'!$B145, "2")</f>
        <v>1916.2</v>
      </c>
      <c r="AG145" s="157">
        <f>SUMIFS('Future Orders'!$I145, 'Future Orders'!$D145, "3", 'Future Orders'!$C145, "B", 'Future Orders'!$B145, "2")</f>
        <v>15904.46</v>
      </c>
      <c r="AH145" s="157">
        <f>SUMIFS('Future Orders'!$F145, 'Future Orders'!$D145, "4", 'Future Orders'!$C145, "A", 'Future Orders'!$B145, "1")</f>
        <v>0</v>
      </c>
      <c r="AI145" s="157">
        <f>SUMIFS('Future Orders'!$I145, 'Future Orders'!$D145, "4", 'Future Orders'!$C145, "A", 'Future Orders'!$B145, "1")</f>
        <v>0</v>
      </c>
      <c r="AJ145" s="157">
        <f>SUMIFS('Future Orders'!$F145, 'Future Orders'!$D145, "4", 'Future Orders'!$C145, "B", 'Future Orders'!$B145, "1")</f>
        <v>0</v>
      </c>
      <c r="AK145" s="157">
        <f>SUMIFS('Future Orders'!$I145, 'Future Orders'!$D145, "4", 'Future Orders'!$C145, "B", 'Future Orders'!$B145, "1")</f>
        <v>0</v>
      </c>
      <c r="AL145" s="157">
        <f>SUMIFS('Future Orders'!$F145, 'Future Orders'!$D145, "4", 'Future Orders'!$C145, "A", 'Future Orders'!$B145, "2")</f>
        <v>0</v>
      </c>
      <c r="AM145" s="157">
        <f>SUMIFS('Future Orders'!$I145, 'Future Orders'!$D145, "4", 'Future Orders'!$C145, "A", 'Future Orders'!$B145, "2")</f>
        <v>0</v>
      </c>
      <c r="AN145" s="171">
        <f>SUMIFS('Future Orders'!$F145, 'Future Orders'!$D145, "4", 'Future Orders'!$C145, "B", 'Future Orders'!$B145, "2")</f>
        <v>0</v>
      </c>
      <c r="AO145" s="171">
        <f>SUMIFS('Future Orders'!$I145, 'Future Orders'!$D145, "4", 'Future Orders'!$C145, "B", 'Future Orders'!$B145, "2")</f>
        <v>0</v>
      </c>
      <c r="AP145" s="171">
        <f>SUMIFS('Future Orders'!$H145, 'Future Orders'!$C145, "A", 'Future Orders'!$B145, "1")</f>
        <v>0</v>
      </c>
      <c r="AQ145" s="171">
        <f>SUMIFS('Future Orders'!$I145, 'Future Orders'!$C145, "B", 'Future Orders'!$B145, "1")</f>
        <v>0</v>
      </c>
      <c r="AR145" s="171">
        <f>SUMIFS('Future Orders'!$H145, 'Future Orders'!$C145, "A", 'Future Orders'!$B145, "2")</f>
        <v>0</v>
      </c>
      <c r="AS145" s="171">
        <f>SUMIFS('Future Orders'!$I145, 'Future Orders'!$C145, "B", 'Future Orders'!$B145, "2")</f>
        <v>15904.46</v>
      </c>
      <c r="AT145" s="145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  <c r="BT145" s="172"/>
      <c r="BU145" s="172"/>
      <c r="BV145" s="172"/>
      <c r="BW145" s="172"/>
      <c r="BX145" s="172"/>
      <c r="BY145" s="172"/>
      <c r="BZ145" s="172"/>
      <c r="CA145" s="179"/>
      <c r="CB145" s="179"/>
      <c r="CC145" s="179"/>
      <c r="CD145" s="179"/>
      <c r="CE145" s="179"/>
      <c r="CF145" s="179"/>
      <c r="CG145" s="179"/>
      <c r="CH145" s="179"/>
      <c r="CI145" s="179"/>
      <c r="CJ145" s="179"/>
      <c r="CK145" s="179"/>
      <c r="CL145" s="179"/>
      <c r="CM145" s="179"/>
      <c r="CN145" s="179"/>
      <c r="CO145" s="179"/>
      <c r="CP145" s="179"/>
    </row>
    <row r="146" ht="15.75" customHeight="1">
      <c r="A146" s="151">
        <v>42023.0</v>
      </c>
      <c r="B146" s="152">
        <v>1.0</v>
      </c>
      <c r="C146" s="152" t="s">
        <v>45</v>
      </c>
      <c r="D146" s="152">
        <v>1.0</v>
      </c>
      <c r="E146" s="153">
        <v>4338.0</v>
      </c>
      <c r="F146" s="153">
        <f>SUM(('Future Orders'!$E146) * (1.1))</f>
        <v>4771.8</v>
      </c>
      <c r="G146" s="154">
        <v>2.2</v>
      </c>
      <c r="H146" s="155">
        <v>9543.6</v>
      </c>
      <c r="I146" s="155">
        <f>SUM(('Future Orders'!$H146) * (1.1))</f>
        <v>10497.96</v>
      </c>
      <c r="J146" s="159">
        <f>SUMIFS('Future Orders'!$F146, 'Future Orders'!$D146, "1", 'Future Orders'!$C146, "A", 'Future Orders'!$B146, "1")</f>
        <v>4771.8</v>
      </c>
      <c r="K146" s="157">
        <f>SUMIFS('Future Orders'!$I146, 'Future Orders'!$D146, "1", 'Future Orders'!$C146, "A", 'Future Orders'!$B146, "1")</f>
        <v>10497.96</v>
      </c>
      <c r="L146" s="157">
        <f>SUMIFS('Future Orders'!$F146, 'Future Orders'!$D146, "1", 'Future Orders'!$C146, "B", 'Future Orders'!$B146, "1")</f>
        <v>0</v>
      </c>
      <c r="M146" s="157">
        <f>SUMIFS('Future Orders'!$I146, 'Future Orders'!$D146, "1", 'Future Orders'!$C146, "B", 'Future Orders'!$B146, "1")</f>
        <v>0</v>
      </c>
      <c r="N146" s="159">
        <f>SUMIFS('Future Orders'!$F146, 'Future Orders'!$D146, "1", 'Future Orders'!$C146, "A", 'Future Orders'!$B146, "2")</f>
        <v>0</v>
      </c>
      <c r="O146" s="157">
        <f>SUMIFS('Future Orders'!$I146, 'Future Orders'!$D146, "1", 'Future Orders'!$C146, "A", 'Future Orders'!$B146, "2")</f>
        <v>0</v>
      </c>
      <c r="P146" s="157">
        <f>SUMIFS('Future Orders'!$E146, 'Future Orders'!$D146, "1", 'Future Orders'!$C146, "B", 'Future Orders'!$B146, "2")</f>
        <v>0</v>
      </c>
      <c r="Q146" s="157">
        <f>SUMIFS('Future Orders'!$I146, 'Future Orders'!$D146, "1", 'Future Orders'!$C146, "B", 'Future Orders'!$B146, "2")</f>
        <v>0</v>
      </c>
      <c r="R146" s="159">
        <f>SUMIFS('Future Orders'!$F146, 'Future Orders'!$D146, "2", 'Future Orders'!$C146, "A", 'Future Orders'!$B146, "1")</f>
        <v>0</v>
      </c>
      <c r="S146" s="157">
        <f>SUMIFS('Future Orders'!$I146, 'Future Orders'!$D146, "2", 'Future Orders'!$C146, "A", 'Future Orders'!$B146, "1")</f>
        <v>0</v>
      </c>
      <c r="T146" s="159">
        <f>SUMIFS('Future Orders'!$F146, 'Future Orders'!$D146, "2", 'Future Orders'!$C146, "B", 'Future Orders'!$B146, "1")</f>
        <v>0</v>
      </c>
      <c r="U146" s="157">
        <f>SUMIFS('Future Orders'!$I146, 'Future Orders'!$D146, "2", 'Future Orders'!$C146, "B", 'Future Orders'!$B146, "1")</f>
        <v>0</v>
      </c>
      <c r="V146" s="159">
        <f>SUMIFS('Future Orders'!$F146, 'Future Orders'!$D146, "2", 'Future Orders'!$C146, "A", 'Future Orders'!$B146, "2")</f>
        <v>0</v>
      </c>
      <c r="W146" s="157">
        <f>SUMIFS('Future Orders'!$I146, 'Future Orders'!$D146, "2", 'Future Orders'!$C146, "A", 'Future Orders'!$B146, "2")</f>
        <v>0</v>
      </c>
      <c r="X146" s="159">
        <f>SUMIFS('Future Orders'!$F146, 'Future Orders'!$D146, "2", 'Future Orders'!$C146, "B", 'Future Orders'!$B146, "2")</f>
        <v>0</v>
      </c>
      <c r="Y146" s="159">
        <f>SUMIFS('Future Orders'!$I146, 'Future Orders'!$D146, "2", 'Future Orders'!$C146, "B", 'Future Orders'!$B146, "2")</f>
        <v>0</v>
      </c>
      <c r="Z146" s="159">
        <f>SUMIFS('Future Orders'!$F146, 'Future Orders'!$D146, "3", 'Future Orders'!$C146, "A", 'Future Orders'!$B146, "1")</f>
        <v>0</v>
      </c>
      <c r="AA146" s="159">
        <f>SUMIFS('Future Orders'!$I146, 'Future Orders'!$D146, "3", 'Future Orders'!$C146, "A", 'Future Orders'!$B146, "1")</f>
        <v>0</v>
      </c>
      <c r="AB146" s="159">
        <f>SUMIFS('Future Orders'!$F146, 'Future Orders'!$D146, "3", 'Future Orders'!$C146, "B", 'Future Orders'!$B146, "1")</f>
        <v>0</v>
      </c>
      <c r="AC146" s="159">
        <f>SUMIFS('Future Orders'!$I146, 'Future Orders'!$D146, "3", 'Future Orders'!$C146, "B", 'Future Orders'!$B146, "1")</f>
        <v>0</v>
      </c>
      <c r="AD146" s="159">
        <f>SUMIFS('Future Orders'!$F146, 'Future Orders'!$D146, "3", 'Future Orders'!$C146, "A", 'Future Orders'!$B146, "2")</f>
        <v>0</v>
      </c>
      <c r="AE146" s="159">
        <f>SUMIFS('Future Orders'!$I146, 'Future Orders'!$D146, "3", 'Future Orders'!$C146, "A", 'Future Orders'!$B146, "2")</f>
        <v>0</v>
      </c>
      <c r="AF146" s="159">
        <f>SUMIFS('Future Orders'!$F146, 'Future Orders'!$D146, "3", 'Future Orders'!$C146, "B", 'Future Orders'!$B146, "2")</f>
        <v>0</v>
      </c>
      <c r="AG146" s="157">
        <f>SUMIFS('Future Orders'!$I146, 'Future Orders'!$D146, "3", 'Future Orders'!$C146, "B", 'Future Orders'!$B146, "2")</f>
        <v>0</v>
      </c>
      <c r="AH146" s="157">
        <f>SUMIFS('Future Orders'!$F146, 'Future Orders'!$D146, "4", 'Future Orders'!$C146, "A", 'Future Orders'!$B146, "1")</f>
        <v>0</v>
      </c>
      <c r="AI146" s="157">
        <f>SUMIFS('Future Orders'!$I146, 'Future Orders'!$D146, "4", 'Future Orders'!$C146, "A", 'Future Orders'!$B146, "1")</f>
        <v>0</v>
      </c>
      <c r="AJ146" s="157">
        <f>SUMIFS('Future Orders'!$F146, 'Future Orders'!$D146, "4", 'Future Orders'!$C146, "B", 'Future Orders'!$B146, "1")</f>
        <v>0</v>
      </c>
      <c r="AK146" s="157">
        <f>SUMIFS('Future Orders'!$I146, 'Future Orders'!$D146, "4", 'Future Orders'!$C146, "B", 'Future Orders'!$B146, "1")</f>
        <v>0</v>
      </c>
      <c r="AL146" s="157">
        <f>SUMIFS('Future Orders'!$F146, 'Future Orders'!$D146, "4", 'Future Orders'!$C146, "A", 'Future Orders'!$B146, "2")</f>
        <v>0</v>
      </c>
      <c r="AM146" s="157">
        <f>SUMIFS('Future Orders'!$I146, 'Future Orders'!$D146, "4", 'Future Orders'!$C146, "A", 'Future Orders'!$B146, "2")</f>
        <v>0</v>
      </c>
      <c r="AN146" s="171">
        <f>SUMIFS('Future Orders'!$F146, 'Future Orders'!$D146, "4", 'Future Orders'!$C146, "B", 'Future Orders'!$B146, "2")</f>
        <v>0</v>
      </c>
      <c r="AO146" s="171">
        <f>SUMIFS('Future Orders'!$I146, 'Future Orders'!$D146, "4", 'Future Orders'!$C146, "B", 'Future Orders'!$B146, "2")</f>
        <v>0</v>
      </c>
      <c r="AP146" s="171">
        <f>SUMIFS('Future Orders'!$H146, 'Future Orders'!$C146, "A", 'Future Orders'!$B146, "1")</f>
        <v>9543.6</v>
      </c>
      <c r="AQ146" s="171">
        <f>SUMIFS('Future Orders'!$I146, 'Future Orders'!$C146, "B", 'Future Orders'!$B146, "1")</f>
        <v>0</v>
      </c>
      <c r="AR146" s="171">
        <f>SUMIFS('Future Orders'!$H146, 'Future Orders'!$C146, "A", 'Future Orders'!$B146, "2")</f>
        <v>0</v>
      </c>
      <c r="AS146" s="171">
        <f>SUMIFS('Future Orders'!$I146, 'Future Orders'!$C146, "B", 'Future Orders'!$B146, "2")</f>
        <v>0</v>
      </c>
      <c r="AT146" s="145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  <c r="BT146" s="172"/>
      <c r="BU146" s="172"/>
      <c r="BV146" s="172"/>
      <c r="BW146" s="172"/>
      <c r="BX146" s="172"/>
      <c r="BY146" s="172"/>
      <c r="BZ146" s="172"/>
      <c r="CA146" s="179"/>
      <c r="CB146" s="179"/>
      <c r="CC146" s="179"/>
      <c r="CD146" s="179"/>
      <c r="CE146" s="179"/>
      <c r="CF146" s="179"/>
      <c r="CG146" s="179"/>
      <c r="CH146" s="179"/>
      <c r="CI146" s="179"/>
      <c r="CJ146" s="179"/>
      <c r="CK146" s="179"/>
      <c r="CL146" s="179"/>
      <c r="CM146" s="179"/>
      <c r="CN146" s="179"/>
      <c r="CO146" s="179"/>
      <c r="CP146" s="179"/>
    </row>
    <row r="147" ht="15.75" customHeight="1">
      <c r="A147" s="151">
        <v>42023.0</v>
      </c>
      <c r="B147" s="152">
        <v>1.0</v>
      </c>
      <c r="C147" s="152" t="s">
        <v>45</v>
      </c>
      <c r="D147" s="152">
        <v>2.0</v>
      </c>
      <c r="E147" s="153">
        <v>4227.0</v>
      </c>
      <c r="F147" s="153">
        <f>SUM(('Future Orders'!$E147) * (1.1))</f>
        <v>4649.7</v>
      </c>
      <c r="G147" s="154">
        <v>1.2</v>
      </c>
      <c r="H147" s="155">
        <v>5072.4</v>
      </c>
      <c r="I147" s="155">
        <f>SUM(('Future Orders'!$H147) * (1.1))</f>
        <v>5579.64</v>
      </c>
      <c r="J147" s="159">
        <f>SUMIFS('Future Orders'!$F147, 'Future Orders'!$D147, "1", 'Future Orders'!$C147, "A", 'Future Orders'!$B147, "1")</f>
        <v>0</v>
      </c>
      <c r="K147" s="157">
        <f>SUMIFS('Future Orders'!$I147, 'Future Orders'!$D147, "1", 'Future Orders'!$C147, "A", 'Future Orders'!$B147, "1")</f>
        <v>0</v>
      </c>
      <c r="L147" s="157">
        <f>SUMIFS('Future Orders'!$F147, 'Future Orders'!$D147, "1", 'Future Orders'!$C147, "B", 'Future Orders'!$B147, "1")</f>
        <v>0</v>
      </c>
      <c r="M147" s="157">
        <f>SUMIFS('Future Orders'!$I147, 'Future Orders'!$D147, "1", 'Future Orders'!$C147, "B", 'Future Orders'!$B147, "1")</f>
        <v>0</v>
      </c>
      <c r="N147" s="159">
        <f>SUMIFS('Future Orders'!$F147, 'Future Orders'!$D147, "1", 'Future Orders'!$C147, "A", 'Future Orders'!$B147, "2")</f>
        <v>0</v>
      </c>
      <c r="O147" s="157">
        <f>SUMIFS('Future Orders'!$I147, 'Future Orders'!$D147, "1", 'Future Orders'!$C147, "A", 'Future Orders'!$B147, "2")</f>
        <v>0</v>
      </c>
      <c r="P147" s="157">
        <f>SUMIFS('Future Orders'!$E147, 'Future Orders'!$D147, "1", 'Future Orders'!$C147, "B", 'Future Orders'!$B147, "2")</f>
        <v>0</v>
      </c>
      <c r="Q147" s="157">
        <f>SUMIFS('Future Orders'!$I147, 'Future Orders'!$D147, "1", 'Future Orders'!$C147, "B", 'Future Orders'!$B147, "2")</f>
        <v>0</v>
      </c>
      <c r="R147" s="159">
        <f>SUMIFS('Future Orders'!$F147, 'Future Orders'!$D147, "2", 'Future Orders'!$C147, "A", 'Future Orders'!$B147, "1")</f>
        <v>4649.7</v>
      </c>
      <c r="S147" s="157">
        <f>SUMIFS('Future Orders'!$I147, 'Future Orders'!$D147, "2", 'Future Orders'!$C147, "A", 'Future Orders'!$B147, "1")</f>
        <v>5579.64</v>
      </c>
      <c r="T147" s="159">
        <f>SUMIFS('Future Orders'!$F147, 'Future Orders'!$D147, "2", 'Future Orders'!$C147, "B", 'Future Orders'!$B147, "1")</f>
        <v>0</v>
      </c>
      <c r="U147" s="157">
        <f>SUMIFS('Future Orders'!$I147, 'Future Orders'!$D147, "2", 'Future Orders'!$C147, "B", 'Future Orders'!$B147, "1")</f>
        <v>0</v>
      </c>
      <c r="V147" s="159">
        <f>SUMIFS('Future Orders'!$F147, 'Future Orders'!$D147, "2", 'Future Orders'!$C147, "A", 'Future Orders'!$B147, "2")</f>
        <v>0</v>
      </c>
      <c r="W147" s="157">
        <f>SUMIFS('Future Orders'!$I147, 'Future Orders'!$D147, "2", 'Future Orders'!$C147, "A", 'Future Orders'!$B147, "2")</f>
        <v>0</v>
      </c>
      <c r="X147" s="159">
        <f>SUMIFS('Future Orders'!$F147, 'Future Orders'!$D147, "2", 'Future Orders'!$C147, "B", 'Future Orders'!$B147, "2")</f>
        <v>0</v>
      </c>
      <c r="Y147" s="159">
        <f>SUMIFS('Future Orders'!$I147, 'Future Orders'!$D147, "2", 'Future Orders'!$C147, "B", 'Future Orders'!$B147, "2")</f>
        <v>0</v>
      </c>
      <c r="Z147" s="159">
        <f>SUMIFS('Future Orders'!$F147, 'Future Orders'!$D147, "3", 'Future Orders'!$C147, "A", 'Future Orders'!$B147, "1")</f>
        <v>0</v>
      </c>
      <c r="AA147" s="159">
        <f>SUMIFS('Future Orders'!$I147, 'Future Orders'!$D147, "3", 'Future Orders'!$C147, "A", 'Future Orders'!$B147, "1")</f>
        <v>0</v>
      </c>
      <c r="AB147" s="159">
        <f>SUMIFS('Future Orders'!$F147, 'Future Orders'!$D147, "3", 'Future Orders'!$C147, "B", 'Future Orders'!$B147, "1")</f>
        <v>0</v>
      </c>
      <c r="AC147" s="159">
        <f>SUMIFS('Future Orders'!$I147, 'Future Orders'!$D147, "3", 'Future Orders'!$C147, "B", 'Future Orders'!$B147, "1")</f>
        <v>0</v>
      </c>
      <c r="AD147" s="159">
        <f>SUMIFS('Future Orders'!$F147, 'Future Orders'!$D147, "3", 'Future Orders'!$C147, "A", 'Future Orders'!$B147, "2")</f>
        <v>0</v>
      </c>
      <c r="AE147" s="159">
        <f>SUMIFS('Future Orders'!$I147, 'Future Orders'!$D147, "3", 'Future Orders'!$C147, "A", 'Future Orders'!$B147, "2")</f>
        <v>0</v>
      </c>
      <c r="AF147" s="159">
        <f>SUMIFS('Future Orders'!$F147, 'Future Orders'!$D147, "3", 'Future Orders'!$C147, "B", 'Future Orders'!$B147, "2")</f>
        <v>0</v>
      </c>
      <c r="AG147" s="157">
        <f>SUMIFS('Future Orders'!$I147, 'Future Orders'!$D147, "3", 'Future Orders'!$C147, "B", 'Future Orders'!$B147, "2")</f>
        <v>0</v>
      </c>
      <c r="AH147" s="157">
        <f>SUMIFS('Future Orders'!$F147, 'Future Orders'!$D147, "4", 'Future Orders'!$C147, "A", 'Future Orders'!$B147, "1")</f>
        <v>0</v>
      </c>
      <c r="AI147" s="157">
        <f>SUMIFS('Future Orders'!$I147, 'Future Orders'!$D147, "4", 'Future Orders'!$C147, "A", 'Future Orders'!$B147, "1")</f>
        <v>0</v>
      </c>
      <c r="AJ147" s="157">
        <f>SUMIFS('Future Orders'!$F147, 'Future Orders'!$D147, "4", 'Future Orders'!$C147, "B", 'Future Orders'!$B147, "1")</f>
        <v>0</v>
      </c>
      <c r="AK147" s="157">
        <f>SUMIFS('Future Orders'!$I147, 'Future Orders'!$D147, "4", 'Future Orders'!$C147, "B", 'Future Orders'!$B147, "1")</f>
        <v>0</v>
      </c>
      <c r="AL147" s="157">
        <f>SUMIFS('Future Orders'!$F147, 'Future Orders'!$D147, "4", 'Future Orders'!$C147, "A", 'Future Orders'!$B147, "2")</f>
        <v>0</v>
      </c>
      <c r="AM147" s="157">
        <f>SUMIFS('Future Orders'!$I147, 'Future Orders'!$D147, "4", 'Future Orders'!$C147, "A", 'Future Orders'!$B147, "2")</f>
        <v>0</v>
      </c>
      <c r="AN147" s="171">
        <f>SUMIFS('Future Orders'!$F147, 'Future Orders'!$D147, "4", 'Future Orders'!$C147, "B", 'Future Orders'!$B147, "2")</f>
        <v>0</v>
      </c>
      <c r="AO147" s="171">
        <f>SUMIFS('Future Orders'!$I147, 'Future Orders'!$D147, "4", 'Future Orders'!$C147, "B", 'Future Orders'!$B147, "2")</f>
        <v>0</v>
      </c>
      <c r="AP147" s="171">
        <f>SUMIFS('Future Orders'!$H147, 'Future Orders'!$C147, "A", 'Future Orders'!$B147, "1")</f>
        <v>5072.4</v>
      </c>
      <c r="AQ147" s="171">
        <f>SUMIFS('Future Orders'!$I147, 'Future Orders'!$C147, "B", 'Future Orders'!$B147, "1")</f>
        <v>0</v>
      </c>
      <c r="AR147" s="171">
        <f>SUMIFS('Future Orders'!$H147, 'Future Orders'!$C147, "A", 'Future Orders'!$B147, "2")</f>
        <v>0</v>
      </c>
      <c r="AS147" s="171">
        <f>SUMIFS('Future Orders'!$I147, 'Future Orders'!$C147, "B", 'Future Orders'!$B147, "2")</f>
        <v>0</v>
      </c>
      <c r="AT147" s="145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  <c r="BT147" s="172"/>
      <c r="BU147" s="172"/>
      <c r="BV147" s="172"/>
      <c r="BW147" s="172"/>
      <c r="BX147" s="172"/>
      <c r="BY147" s="172"/>
      <c r="BZ147" s="172"/>
      <c r="CA147" s="179"/>
      <c r="CB147" s="179"/>
      <c r="CC147" s="179"/>
      <c r="CD147" s="179"/>
      <c r="CE147" s="179"/>
      <c r="CF147" s="179"/>
      <c r="CG147" s="179"/>
      <c r="CH147" s="179"/>
      <c r="CI147" s="179"/>
      <c r="CJ147" s="179"/>
      <c r="CK147" s="179"/>
      <c r="CL147" s="179"/>
      <c r="CM147" s="179"/>
      <c r="CN147" s="179"/>
      <c r="CO147" s="179"/>
      <c r="CP147" s="179"/>
    </row>
    <row r="148" ht="15.75" customHeight="1">
      <c r="A148" s="151">
        <v>42023.0</v>
      </c>
      <c r="B148" s="152">
        <v>2.0</v>
      </c>
      <c r="C148" s="152" t="s">
        <v>45</v>
      </c>
      <c r="D148" s="152">
        <v>1.0</v>
      </c>
      <c r="E148" s="153">
        <v>2688.0</v>
      </c>
      <c r="F148" s="153">
        <f>SUM(('Future Orders'!$E148) * (1.1))</f>
        <v>2956.8</v>
      </c>
      <c r="G148" s="154">
        <v>2.2</v>
      </c>
      <c r="H148" s="155">
        <v>5913.6</v>
      </c>
      <c r="I148" s="155">
        <f>SUM(('Future Orders'!$H148) * (1.1))</f>
        <v>6504.96</v>
      </c>
      <c r="J148" s="159">
        <f>SUMIFS('Future Orders'!$F148, 'Future Orders'!$D148, "1", 'Future Orders'!$C148, "A", 'Future Orders'!$B148, "1")</f>
        <v>0</v>
      </c>
      <c r="K148" s="157">
        <f>SUMIFS('Future Orders'!$I148, 'Future Orders'!$D148, "1", 'Future Orders'!$C148, "A", 'Future Orders'!$B148, "1")</f>
        <v>0</v>
      </c>
      <c r="L148" s="157">
        <f>SUMIFS('Future Orders'!$F148, 'Future Orders'!$D148, "1", 'Future Orders'!$C148, "B", 'Future Orders'!$B148, "1")</f>
        <v>0</v>
      </c>
      <c r="M148" s="157">
        <f>SUMIFS('Future Orders'!$I148, 'Future Orders'!$D148, "1", 'Future Orders'!$C148, "B", 'Future Orders'!$B148, "1")</f>
        <v>0</v>
      </c>
      <c r="N148" s="159">
        <f>SUMIFS('Future Orders'!$F148, 'Future Orders'!$D148, "1", 'Future Orders'!$C148, "A", 'Future Orders'!$B148, "2")</f>
        <v>2956.8</v>
      </c>
      <c r="O148" s="157">
        <f>SUMIFS('Future Orders'!$I148, 'Future Orders'!$D148, "1", 'Future Orders'!$C148, "A", 'Future Orders'!$B148, "2")</f>
        <v>6504.96</v>
      </c>
      <c r="P148" s="157">
        <f>SUMIFS('Future Orders'!$E148, 'Future Orders'!$D148, "1", 'Future Orders'!$C148, "B", 'Future Orders'!$B148, "2")</f>
        <v>0</v>
      </c>
      <c r="Q148" s="157">
        <f>SUMIFS('Future Orders'!$I148, 'Future Orders'!$D148, "1", 'Future Orders'!$C148, "B", 'Future Orders'!$B148, "2")</f>
        <v>0</v>
      </c>
      <c r="R148" s="159">
        <f>SUMIFS('Future Orders'!$F148, 'Future Orders'!$D148, "2", 'Future Orders'!$C148, "A", 'Future Orders'!$B148, "1")</f>
        <v>0</v>
      </c>
      <c r="S148" s="157">
        <f>SUMIFS('Future Orders'!$I148, 'Future Orders'!$D148, "2", 'Future Orders'!$C148, "A", 'Future Orders'!$B148, "1")</f>
        <v>0</v>
      </c>
      <c r="T148" s="159">
        <f>SUMIFS('Future Orders'!$F148, 'Future Orders'!$D148, "2", 'Future Orders'!$C148, "B", 'Future Orders'!$B148, "1")</f>
        <v>0</v>
      </c>
      <c r="U148" s="157">
        <f>SUMIFS('Future Orders'!$I148, 'Future Orders'!$D148, "2", 'Future Orders'!$C148, "B", 'Future Orders'!$B148, "1")</f>
        <v>0</v>
      </c>
      <c r="V148" s="159">
        <f>SUMIFS('Future Orders'!$F148, 'Future Orders'!$D148, "2", 'Future Orders'!$C148, "A", 'Future Orders'!$B148, "2")</f>
        <v>0</v>
      </c>
      <c r="W148" s="157">
        <f>SUMIFS('Future Orders'!$I148, 'Future Orders'!$D148, "2", 'Future Orders'!$C148, "A", 'Future Orders'!$B148, "2")</f>
        <v>0</v>
      </c>
      <c r="X148" s="159">
        <f>SUMIFS('Future Orders'!$F148, 'Future Orders'!$D148, "2", 'Future Orders'!$C148, "B", 'Future Orders'!$B148, "2")</f>
        <v>0</v>
      </c>
      <c r="Y148" s="159">
        <f>SUMIFS('Future Orders'!$I148, 'Future Orders'!$D148, "2", 'Future Orders'!$C148, "B", 'Future Orders'!$B148, "2")</f>
        <v>0</v>
      </c>
      <c r="Z148" s="159">
        <f>SUMIFS('Future Orders'!$F148, 'Future Orders'!$D148, "3", 'Future Orders'!$C148, "A", 'Future Orders'!$B148, "1")</f>
        <v>0</v>
      </c>
      <c r="AA148" s="159">
        <f>SUMIFS('Future Orders'!$I148, 'Future Orders'!$D148, "3", 'Future Orders'!$C148, "A", 'Future Orders'!$B148, "1")</f>
        <v>0</v>
      </c>
      <c r="AB148" s="159">
        <f>SUMIFS('Future Orders'!$F148, 'Future Orders'!$D148, "3", 'Future Orders'!$C148, "B", 'Future Orders'!$B148, "1")</f>
        <v>0</v>
      </c>
      <c r="AC148" s="159">
        <f>SUMIFS('Future Orders'!$I148, 'Future Orders'!$D148, "3", 'Future Orders'!$C148, "B", 'Future Orders'!$B148, "1")</f>
        <v>0</v>
      </c>
      <c r="AD148" s="159">
        <f>SUMIFS('Future Orders'!$F148, 'Future Orders'!$D148, "3", 'Future Orders'!$C148, "A", 'Future Orders'!$B148, "2")</f>
        <v>0</v>
      </c>
      <c r="AE148" s="159">
        <f>SUMIFS('Future Orders'!$I148, 'Future Orders'!$D148, "3", 'Future Orders'!$C148, "A", 'Future Orders'!$B148, "2")</f>
        <v>0</v>
      </c>
      <c r="AF148" s="159">
        <f>SUMIFS('Future Orders'!$F148, 'Future Orders'!$D148, "3", 'Future Orders'!$C148, "B", 'Future Orders'!$B148, "2")</f>
        <v>0</v>
      </c>
      <c r="AG148" s="157">
        <f>SUMIFS('Future Orders'!$I148, 'Future Orders'!$D148, "3", 'Future Orders'!$C148, "B", 'Future Orders'!$B148, "2")</f>
        <v>0</v>
      </c>
      <c r="AH148" s="157">
        <f>SUMIFS('Future Orders'!$F148, 'Future Orders'!$D148, "4", 'Future Orders'!$C148, "A", 'Future Orders'!$B148, "1")</f>
        <v>0</v>
      </c>
      <c r="AI148" s="157">
        <f>SUMIFS('Future Orders'!$I148, 'Future Orders'!$D148, "4", 'Future Orders'!$C148, "A", 'Future Orders'!$B148, "1")</f>
        <v>0</v>
      </c>
      <c r="AJ148" s="157">
        <f>SUMIFS('Future Orders'!$F148, 'Future Orders'!$D148, "4", 'Future Orders'!$C148, "B", 'Future Orders'!$B148, "1")</f>
        <v>0</v>
      </c>
      <c r="AK148" s="157">
        <f>SUMIFS('Future Orders'!$I148, 'Future Orders'!$D148, "4", 'Future Orders'!$C148, "B", 'Future Orders'!$B148, "1")</f>
        <v>0</v>
      </c>
      <c r="AL148" s="157">
        <f>SUMIFS('Future Orders'!$F148, 'Future Orders'!$D148, "4", 'Future Orders'!$C148, "A", 'Future Orders'!$B148, "2")</f>
        <v>0</v>
      </c>
      <c r="AM148" s="157">
        <f>SUMIFS('Future Orders'!$I148, 'Future Orders'!$D148, "4", 'Future Orders'!$C148, "A", 'Future Orders'!$B148, "2")</f>
        <v>0</v>
      </c>
      <c r="AN148" s="171">
        <f>SUMIFS('Future Orders'!$F148, 'Future Orders'!$D148, "4", 'Future Orders'!$C148, "B", 'Future Orders'!$B148, "2")</f>
        <v>0</v>
      </c>
      <c r="AO148" s="171">
        <f>SUMIFS('Future Orders'!$I148, 'Future Orders'!$D148, "4", 'Future Orders'!$C148, "B", 'Future Orders'!$B148, "2")</f>
        <v>0</v>
      </c>
      <c r="AP148" s="171">
        <f>SUMIFS('Future Orders'!$H148, 'Future Orders'!$C148, "A", 'Future Orders'!$B148, "1")</f>
        <v>0</v>
      </c>
      <c r="AQ148" s="171">
        <f>SUMIFS('Future Orders'!$I148, 'Future Orders'!$C148, "B", 'Future Orders'!$B148, "1")</f>
        <v>0</v>
      </c>
      <c r="AR148" s="171">
        <f>SUMIFS('Future Orders'!$H148, 'Future Orders'!$C148, "A", 'Future Orders'!$B148, "2")</f>
        <v>5913.6</v>
      </c>
      <c r="AS148" s="171">
        <f>SUMIFS('Future Orders'!$I148, 'Future Orders'!$C148, "B", 'Future Orders'!$B148, "2")</f>
        <v>0</v>
      </c>
      <c r="AT148" s="145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  <c r="BT148" s="172"/>
      <c r="BU148" s="172"/>
      <c r="BV148" s="172"/>
      <c r="BW148" s="172"/>
      <c r="BX148" s="172"/>
      <c r="BY148" s="172"/>
      <c r="BZ148" s="172"/>
      <c r="CA148" s="179"/>
      <c r="CB148" s="179"/>
      <c r="CC148" s="179"/>
      <c r="CD148" s="179"/>
      <c r="CE148" s="179"/>
      <c r="CF148" s="179"/>
      <c r="CG148" s="179"/>
      <c r="CH148" s="179"/>
      <c r="CI148" s="179"/>
      <c r="CJ148" s="179"/>
      <c r="CK148" s="179"/>
      <c r="CL148" s="179"/>
      <c r="CM148" s="179"/>
      <c r="CN148" s="179"/>
      <c r="CO148" s="179"/>
      <c r="CP148" s="179"/>
    </row>
    <row r="149" ht="15.75" customHeight="1">
      <c r="A149" s="151">
        <v>42023.0</v>
      </c>
      <c r="B149" s="152">
        <v>2.0</v>
      </c>
      <c r="C149" s="152" t="s">
        <v>45</v>
      </c>
      <c r="D149" s="152">
        <v>2.0</v>
      </c>
      <c r="E149" s="153">
        <v>4862.0</v>
      </c>
      <c r="F149" s="153">
        <f>SUM(('Future Orders'!$E149) * (1.1))</f>
        <v>5348.2</v>
      </c>
      <c r="G149" s="154">
        <v>1.2</v>
      </c>
      <c r="H149" s="155">
        <v>5834.4</v>
      </c>
      <c r="I149" s="155">
        <f>SUM(('Future Orders'!$H149) * (1.1))</f>
        <v>6417.84</v>
      </c>
      <c r="J149" s="159">
        <f>SUMIFS('Future Orders'!$F149, 'Future Orders'!$D149, "1", 'Future Orders'!$C149, "A", 'Future Orders'!$B149, "1")</f>
        <v>0</v>
      </c>
      <c r="K149" s="157">
        <f>SUMIFS('Future Orders'!$I149, 'Future Orders'!$D149, "1", 'Future Orders'!$C149, "A", 'Future Orders'!$B149, "1")</f>
        <v>0</v>
      </c>
      <c r="L149" s="157">
        <f>SUMIFS('Future Orders'!$F149, 'Future Orders'!$D149, "1", 'Future Orders'!$C149, "B", 'Future Orders'!$B149, "1")</f>
        <v>0</v>
      </c>
      <c r="M149" s="157">
        <f>SUMIFS('Future Orders'!$I149, 'Future Orders'!$D149, "1", 'Future Orders'!$C149, "B", 'Future Orders'!$B149, "1")</f>
        <v>0</v>
      </c>
      <c r="N149" s="159">
        <f>SUMIFS('Future Orders'!$F149, 'Future Orders'!$D149, "1", 'Future Orders'!$C149, "A", 'Future Orders'!$B149, "2")</f>
        <v>0</v>
      </c>
      <c r="O149" s="157">
        <f>SUMIFS('Future Orders'!$I149, 'Future Orders'!$D149, "1", 'Future Orders'!$C149, "A", 'Future Orders'!$B149, "2")</f>
        <v>0</v>
      </c>
      <c r="P149" s="157">
        <f>SUMIFS('Future Orders'!$E149, 'Future Orders'!$D149, "1", 'Future Orders'!$C149, "B", 'Future Orders'!$B149, "2")</f>
        <v>0</v>
      </c>
      <c r="Q149" s="157">
        <f>SUMIFS('Future Orders'!$I149, 'Future Orders'!$D149, "1", 'Future Orders'!$C149, "B", 'Future Orders'!$B149, "2")</f>
        <v>0</v>
      </c>
      <c r="R149" s="159">
        <f>SUMIFS('Future Orders'!$F149, 'Future Orders'!$D149, "2", 'Future Orders'!$C149, "A", 'Future Orders'!$B149, "1")</f>
        <v>0</v>
      </c>
      <c r="S149" s="157">
        <f>SUMIFS('Future Orders'!$I149, 'Future Orders'!$D149, "2", 'Future Orders'!$C149, "A", 'Future Orders'!$B149, "1")</f>
        <v>0</v>
      </c>
      <c r="T149" s="159">
        <f>SUMIFS('Future Orders'!$F149, 'Future Orders'!$D149, "2", 'Future Orders'!$C149, "B", 'Future Orders'!$B149, "1")</f>
        <v>0</v>
      </c>
      <c r="U149" s="157">
        <f>SUMIFS('Future Orders'!$I149, 'Future Orders'!$D149, "2", 'Future Orders'!$C149, "B", 'Future Orders'!$B149, "1")</f>
        <v>0</v>
      </c>
      <c r="V149" s="159">
        <f>SUMIFS('Future Orders'!$F149, 'Future Orders'!$D149, "2", 'Future Orders'!$C149, "A", 'Future Orders'!$B149, "2")</f>
        <v>5348.2</v>
      </c>
      <c r="W149" s="157">
        <f>SUMIFS('Future Orders'!$I149, 'Future Orders'!$D149, "2", 'Future Orders'!$C149, "A", 'Future Orders'!$B149, "2")</f>
        <v>6417.84</v>
      </c>
      <c r="X149" s="159">
        <f>SUMIFS('Future Orders'!$F149, 'Future Orders'!$D149, "2", 'Future Orders'!$C149, "B", 'Future Orders'!$B149, "2")</f>
        <v>0</v>
      </c>
      <c r="Y149" s="159">
        <f>SUMIFS('Future Orders'!$I149, 'Future Orders'!$D149, "2", 'Future Orders'!$C149, "B", 'Future Orders'!$B149, "2")</f>
        <v>0</v>
      </c>
      <c r="Z149" s="159">
        <f>SUMIFS('Future Orders'!$F149, 'Future Orders'!$D149, "3", 'Future Orders'!$C149, "A", 'Future Orders'!$B149, "1")</f>
        <v>0</v>
      </c>
      <c r="AA149" s="159">
        <f>SUMIFS('Future Orders'!$I149, 'Future Orders'!$D149, "3", 'Future Orders'!$C149, "A", 'Future Orders'!$B149, "1")</f>
        <v>0</v>
      </c>
      <c r="AB149" s="159">
        <f>SUMIFS('Future Orders'!$F149, 'Future Orders'!$D149, "3", 'Future Orders'!$C149, "B", 'Future Orders'!$B149, "1")</f>
        <v>0</v>
      </c>
      <c r="AC149" s="159">
        <f>SUMIFS('Future Orders'!$I149, 'Future Orders'!$D149, "3", 'Future Orders'!$C149, "B", 'Future Orders'!$B149, "1")</f>
        <v>0</v>
      </c>
      <c r="AD149" s="159">
        <f>SUMIFS('Future Orders'!$F149, 'Future Orders'!$D149, "3", 'Future Orders'!$C149, "A", 'Future Orders'!$B149, "2")</f>
        <v>0</v>
      </c>
      <c r="AE149" s="159">
        <f>SUMIFS('Future Orders'!$I149, 'Future Orders'!$D149, "3", 'Future Orders'!$C149, "A", 'Future Orders'!$B149, "2")</f>
        <v>0</v>
      </c>
      <c r="AF149" s="159">
        <f>SUMIFS('Future Orders'!$F149, 'Future Orders'!$D149, "3", 'Future Orders'!$C149, "B", 'Future Orders'!$B149, "2")</f>
        <v>0</v>
      </c>
      <c r="AG149" s="157">
        <f>SUMIFS('Future Orders'!$I149, 'Future Orders'!$D149, "3", 'Future Orders'!$C149, "B", 'Future Orders'!$B149, "2")</f>
        <v>0</v>
      </c>
      <c r="AH149" s="157">
        <f>SUMIFS('Future Orders'!$F149, 'Future Orders'!$D149, "4", 'Future Orders'!$C149, "A", 'Future Orders'!$B149, "1")</f>
        <v>0</v>
      </c>
      <c r="AI149" s="157">
        <f>SUMIFS('Future Orders'!$I149, 'Future Orders'!$D149, "4", 'Future Orders'!$C149, "A", 'Future Orders'!$B149, "1")</f>
        <v>0</v>
      </c>
      <c r="AJ149" s="157">
        <f>SUMIFS('Future Orders'!$F149, 'Future Orders'!$D149, "4", 'Future Orders'!$C149, "B", 'Future Orders'!$B149, "1")</f>
        <v>0</v>
      </c>
      <c r="AK149" s="157">
        <f>SUMIFS('Future Orders'!$I149, 'Future Orders'!$D149, "4", 'Future Orders'!$C149, "B", 'Future Orders'!$B149, "1")</f>
        <v>0</v>
      </c>
      <c r="AL149" s="157">
        <f>SUMIFS('Future Orders'!$F149, 'Future Orders'!$D149, "4", 'Future Orders'!$C149, "A", 'Future Orders'!$B149, "2")</f>
        <v>0</v>
      </c>
      <c r="AM149" s="157">
        <f>SUMIFS('Future Orders'!$I149, 'Future Orders'!$D149, "4", 'Future Orders'!$C149, "A", 'Future Orders'!$B149, "2")</f>
        <v>0</v>
      </c>
      <c r="AN149" s="171">
        <f>SUMIFS('Future Orders'!$F149, 'Future Orders'!$D149, "4", 'Future Orders'!$C149, "B", 'Future Orders'!$B149, "2")</f>
        <v>0</v>
      </c>
      <c r="AO149" s="171">
        <f>SUMIFS('Future Orders'!$I149, 'Future Orders'!$D149, "4", 'Future Orders'!$C149, "B", 'Future Orders'!$B149, "2")</f>
        <v>0</v>
      </c>
      <c r="AP149" s="171">
        <f>SUMIFS('Future Orders'!$H149, 'Future Orders'!$C149, "A", 'Future Orders'!$B149, "1")</f>
        <v>0</v>
      </c>
      <c r="AQ149" s="171">
        <f>SUMIFS('Future Orders'!$I149, 'Future Orders'!$C149, "B", 'Future Orders'!$B149, "1")</f>
        <v>0</v>
      </c>
      <c r="AR149" s="171">
        <f>SUMIFS('Future Orders'!$H149, 'Future Orders'!$C149, "A", 'Future Orders'!$B149, "2")</f>
        <v>5834.4</v>
      </c>
      <c r="AS149" s="171">
        <f>SUMIFS('Future Orders'!$I149, 'Future Orders'!$C149, "B", 'Future Orders'!$B149, "2")</f>
        <v>0</v>
      </c>
      <c r="AT149" s="145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  <c r="BT149" s="172"/>
      <c r="BU149" s="172"/>
      <c r="BV149" s="172"/>
      <c r="BW149" s="172"/>
      <c r="BX149" s="172"/>
      <c r="BY149" s="172"/>
      <c r="BZ149" s="172"/>
      <c r="CA149" s="179"/>
      <c r="CB149" s="179"/>
      <c r="CC149" s="179"/>
      <c r="CD149" s="179"/>
      <c r="CE149" s="179"/>
      <c r="CF149" s="179"/>
      <c r="CG149" s="179"/>
      <c r="CH149" s="179"/>
      <c r="CI149" s="179"/>
      <c r="CJ149" s="179"/>
      <c r="CK149" s="179"/>
      <c r="CL149" s="179"/>
      <c r="CM149" s="179"/>
      <c r="CN149" s="179"/>
      <c r="CO149" s="179"/>
      <c r="CP149" s="179"/>
    </row>
    <row r="150" ht="15.75" customHeight="1">
      <c r="A150" s="151">
        <v>42023.0</v>
      </c>
      <c r="B150" s="152">
        <v>1.0</v>
      </c>
      <c r="C150" s="152" t="s">
        <v>46</v>
      </c>
      <c r="D150" s="152">
        <v>3.0</v>
      </c>
      <c r="E150" s="153">
        <v>1514.0</v>
      </c>
      <c r="F150" s="153">
        <f>SUM(('Future Orders'!$E150) * (1.1))</f>
        <v>1665.4</v>
      </c>
      <c r="G150" s="154">
        <v>8.3</v>
      </c>
      <c r="H150" s="155">
        <v>12566.2</v>
      </c>
      <c r="I150" s="155">
        <f>SUM(('Future Orders'!$H150) * (1.1))</f>
        <v>13822.82</v>
      </c>
      <c r="J150" s="159">
        <f>SUMIFS('Future Orders'!$F150, 'Future Orders'!$D150, "1", 'Future Orders'!$C150, "A", 'Future Orders'!$B150, "1")</f>
        <v>0</v>
      </c>
      <c r="K150" s="157">
        <f>SUMIFS('Future Orders'!$I150, 'Future Orders'!$D150, "1", 'Future Orders'!$C150, "A", 'Future Orders'!$B150, "1")</f>
        <v>0</v>
      </c>
      <c r="L150" s="157">
        <f>SUMIFS('Future Orders'!$F150, 'Future Orders'!$D150, "1", 'Future Orders'!$C150, "B", 'Future Orders'!$B150, "1")</f>
        <v>0</v>
      </c>
      <c r="M150" s="157">
        <f>SUMIFS('Future Orders'!$I150, 'Future Orders'!$D150, "1", 'Future Orders'!$C150, "B", 'Future Orders'!$B150, "1")</f>
        <v>0</v>
      </c>
      <c r="N150" s="159">
        <f>SUMIFS('Future Orders'!$F150, 'Future Orders'!$D150, "1", 'Future Orders'!$C150, "A", 'Future Orders'!$B150, "2")</f>
        <v>0</v>
      </c>
      <c r="O150" s="157">
        <f>SUMIFS('Future Orders'!$I150, 'Future Orders'!$D150, "1", 'Future Orders'!$C150, "A", 'Future Orders'!$B150, "2")</f>
        <v>0</v>
      </c>
      <c r="P150" s="157">
        <f>SUMIFS('Future Orders'!$E150, 'Future Orders'!$D150, "1", 'Future Orders'!$C150, "B", 'Future Orders'!$B150, "2")</f>
        <v>0</v>
      </c>
      <c r="Q150" s="157">
        <f>SUMIFS('Future Orders'!$I150, 'Future Orders'!$D150, "1", 'Future Orders'!$C150, "B", 'Future Orders'!$B150, "2")</f>
        <v>0</v>
      </c>
      <c r="R150" s="159">
        <f>SUMIFS('Future Orders'!$F150, 'Future Orders'!$D150, "2", 'Future Orders'!$C150, "A", 'Future Orders'!$B150, "1")</f>
        <v>0</v>
      </c>
      <c r="S150" s="157">
        <f>SUMIFS('Future Orders'!$I150, 'Future Orders'!$D150, "2", 'Future Orders'!$C150, "A", 'Future Orders'!$B150, "1")</f>
        <v>0</v>
      </c>
      <c r="T150" s="159">
        <f>SUMIFS('Future Orders'!$F150, 'Future Orders'!$D150, "2", 'Future Orders'!$C150, "B", 'Future Orders'!$B150, "1")</f>
        <v>0</v>
      </c>
      <c r="U150" s="157">
        <f>SUMIFS('Future Orders'!$I150, 'Future Orders'!$D150, "2", 'Future Orders'!$C150, "B", 'Future Orders'!$B150, "1")</f>
        <v>0</v>
      </c>
      <c r="V150" s="159">
        <f>SUMIFS('Future Orders'!$F150, 'Future Orders'!$D150, "2", 'Future Orders'!$C150, "A", 'Future Orders'!$B150, "2")</f>
        <v>0</v>
      </c>
      <c r="W150" s="157">
        <f>SUMIFS('Future Orders'!$I150, 'Future Orders'!$D150, "2", 'Future Orders'!$C150, "A", 'Future Orders'!$B150, "2")</f>
        <v>0</v>
      </c>
      <c r="X150" s="159">
        <f>SUMIFS('Future Orders'!$F150, 'Future Orders'!$D150, "2", 'Future Orders'!$C150, "B", 'Future Orders'!$B150, "2")</f>
        <v>0</v>
      </c>
      <c r="Y150" s="159">
        <f>SUMIFS('Future Orders'!$I150, 'Future Orders'!$D150, "2", 'Future Orders'!$C150, "B", 'Future Orders'!$B150, "2")</f>
        <v>0</v>
      </c>
      <c r="Z150" s="159">
        <f>SUMIFS('Future Orders'!$F150, 'Future Orders'!$D150, "3", 'Future Orders'!$C150, "A", 'Future Orders'!$B150, "1")</f>
        <v>0</v>
      </c>
      <c r="AA150" s="159">
        <f>SUMIFS('Future Orders'!$I150, 'Future Orders'!$D150, "3", 'Future Orders'!$C150, "A", 'Future Orders'!$B150, "1")</f>
        <v>0</v>
      </c>
      <c r="AB150" s="159">
        <f>SUMIFS('Future Orders'!$F150, 'Future Orders'!$D150, "3", 'Future Orders'!$C150, "B", 'Future Orders'!$B150, "1")</f>
        <v>1665.4</v>
      </c>
      <c r="AC150" s="159">
        <f>SUMIFS('Future Orders'!$I150, 'Future Orders'!$D150, "3", 'Future Orders'!$C150, "B", 'Future Orders'!$B150, "1")</f>
        <v>13822.82</v>
      </c>
      <c r="AD150" s="159">
        <f>SUMIFS('Future Orders'!$F150, 'Future Orders'!$D150, "3", 'Future Orders'!$C150, "A", 'Future Orders'!$B150, "2")</f>
        <v>0</v>
      </c>
      <c r="AE150" s="159">
        <f>SUMIFS('Future Orders'!$I150, 'Future Orders'!$D150, "3", 'Future Orders'!$C150, "A", 'Future Orders'!$B150, "2")</f>
        <v>0</v>
      </c>
      <c r="AF150" s="159">
        <f>SUMIFS('Future Orders'!$F150, 'Future Orders'!$D150, "3", 'Future Orders'!$C150, "B", 'Future Orders'!$B150, "2")</f>
        <v>0</v>
      </c>
      <c r="AG150" s="157">
        <f>SUMIFS('Future Orders'!$I150, 'Future Orders'!$D150, "3", 'Future Orders'!$C150, "B", 'Future Orders'!$B150, "2")</f>
        <v>0</v>
      </c>
      <c r="AH150" s="157">
        <f>SUMIFS('Future Orders'!$F150, 'Future Orders'!$D150, "4", 'Future Orders'!$C150, "A", 'Future Orders'!$B150, "1")</f>
        <v>0</v>
      </c>
      <c r="AI150" s="157">
        <f>SUMIFS('Future Orders'!$I150, 'Future Orders'!$D150, "4", 'Future Orders'!$C150, "A", 'Future Orders'!$B150, "1")</f>
        <v>0</v>
      </c>
      <c r="AJ150" s="157">
        <f>SUMIFS('Future Orders'!$F150, 'Future Orders'!$D150, "4", 'Future Orders'!$C150, "B", 'Future Orders'!$B150, "1")</f>
        <v>0</v>
      </c>
      <c r="AK150" s="157">
        <f>SUMIFS('Future Orders'!$I150, 'Future Orders'!$D150, "4", 'Future Orders'!$C150, "B", 'Future Orders'!$B150, "1")</f>
        <v>0</v>
      </c>
      <c r="AL150" s="157">
        <f>SUMIFS('Future Orders'!$F150, 'Future Orders'!$D150, "4", 'Future Orders'!$C150, "A", 'Future Orders'!$B150, "2")</f>
        <v>0</v>
      </c>
      <c r="AM150" s="157">
        <f>SUMIFS('Future Orders'!$I150, 'Future Orders'!$D150, "4", 'Future Orders'!$C150, "A", 'Future Orders'!$B150, "2")</f>
        <v>0</v>
      </c>
      <c r="AN150" s="171">
        <f>SUMIFS('Future Orders'!$F150, 'Future Orders'!$D150, "4", 'Future Orders'!$C150, "B", 'Future Orders'!$B150, "2")</f>
        <v>0</v>
      </c>
      <c r="AO150" s="171">
        <f>SUMIFS('Future Orders'!$I150, 'Future Orders'!$D150, "4", 'Future Orders'!$C150, "B", 'Future Orders'!$B150, "2")</f>
        <v>0</v>
      </c>
      <c r="AP150" s="171">
        <f>SUMIFS('Future Orders'!$H150, 'Future Orders'!$C150, "A", 'Future Orders'!$B150, "1")</f>
        <v>0</v>
      </c>
      <c r="AQ150" s="171">
        <f>SUMIFS('Future Orders'!$I150, 'Future Orders'!$C150, "B", 'Future Orders'!$B150, "1")</f>
        <v>13822.82</v>
      </c>
      <c r="AR150" s="171">
        <f>SUMIFS('Future Orders'!$H150, 'Future Orders'!$C150, "A", 'Future Orders'!$B150, "2")</f>
        <v>0</v>
      </c>
      <c r="AS150" s="171">
        <f>SUMIFS('Future Orders'!$I150, 'Future Orders'!$C150, "B", 'Future Orders'!$B150, "2")</f>
        <v>0</v>
      </c>
      <c r="AT150" s="145"/>
      <c r="AU150" s="172"/>
      <c r="AV150" s="172"/>
      <c r="AW150" s="172"/>
      <c r="AX150" s="172"/>
      <c r="AY150" s="172"/>
      <c r="AZ150" s="172"/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172"/>
      <c r="BV150" s="172"/>
      <c r="BW150" s="172"/>
      <c r="BX150" s="172"/>
      <c r="BY150" s="172"/>
      <c r="BZ150" s="172"/>
      <c r="CA150" s="179"/>
      <c r="CB150" s="179"/>
      <c r="CC150" s="179"/>
      <c r="CD150" s="179"/>
      <c r="CE150" s="179"/>
      <c r="CF150" s="179"/>
      <c r="CG150" s="179"/>
      <c r="CH150" s="179"/>
      <c r="CI150" s="179"/>
      <c r="CJ150" s="179"/>
      <c r="CK150" s="179"/>
      <c r="CL150" s="179"/>
      <c r="CM150" s="179"/>
      <c r="CN150" s="179"/>
      <c r="CO150" s="179"/>
      <c r="CP150" s="179"/>
    </row>
    <row r="151" ht="15.75" customHeight="1">
      <c r="A151" s="151">
        <v>42023.0</v>
      </c>
      <c r="B151" s="152">
        <v>2.0</v>
      </c>
      <c r="C151" s="152" t="s">
        <v>46</v>
      </c>
      <c r="D151" s="152">
        <v>3.0</v>
      </c>
      <c r="E151" s="153">
        <v>1973.0</v>
      </c>
      <c r="F151" s="153">
        <f>SUM(('Future Orders'!$E151) * (1.1))</f>
        <v>2170.3</v>
      </c>
      <c r="G151" s="154">
        <v>8.3</v>
      </c>
      <c r="H151" s="155">
        <v>16375.900000000001</v>
      </c>
      <c r="I151" s="155">
        <f>SUM(('Future Orders'!$H151) * (1.1))</f>
        <v>18013.49</v>
      </c>
      <c r="J151" s="159">
        <f>SUMIFS('Future Orders'!$F151, 'Future Orders'!$D151, "1", 'Future Orders'!$C151, "A", 'Future Orders'!$B151, "1")</f>
        <v>0</v>
      </c>
      <c r="K151" s="157">
        <f>SUMIFS('Future Orders'!$I151, 'Future Orders'!$D151, "1", 'Future Orders'!$C151, "A", 'Future Orders'!$B151, "1")</f>
        <v>0</v>
      </c>
      <c r="L151" s="157">
        <f>SUMIFS('Future Orders'!$F151, 'Future Orders'!$D151, "1", 'Future Orders'!$C151, "B", 'Future Orders'!$B151, "1")</f>
        <v>0</v>
      </c>
      <c r="M151" s="157">
        <f>SUMIFS('Future Orders'!$I151, 'Future Orders'!$D151, "1", 'Future Orders'!$C151, "B", 'Future Orders'!$B151, "1")</f>
        <v>0</v>
      </c>
      <c r="N151" s="159">
        <f>SUMIFS('Future Orders'!$F151, 'Future Orders'!$D151, "1", 'Future Orders'!$C151, "A", 'Future Orders'!$B151, "2")</f>
        <v>0</v>
      </c>
      <c r="O151" s="157">
        <f>SUMIFS('Future Orders'!$I151, 'Future Orders'!$D151, "1", 'Future Orders'!$C151, "A", 'Future Orders'!$B151, "2")</f>
        <v>0</v>
      </c>
      <c r="P151" s="157">
        <f>SUMIFS('Future Orders'!$E151, 'Future Orders'!$D151, "1", 'Future Orders'!$C151, "B", 'Future Orders'!$B151, "2")</f>
        <v>0</v>
      </c>
      <c r="Q151" s="157">
        <f>SUMIFS('Future Orders'!$I151, 'Future Orders'!$D151, "1", 'Future Orders'!$C151, "B", 'Future Orders'!$B151, "2")</f>
        <v>0</v>
      </c>
      <c r="R151" s="159">
        <f>SUMIFS('Future Orders'!$F151, 'Future Orders'!$D151, "2", 'Future Orders'!$C151, "A", 'Future Orders'!$B151, "1")</f>
        <v>0</v>
      </c>
      <c r="S151" s="157">
        <f>SUMIFS('Future Orders'!$I151, 'Future Orders'!$D151, "2", 'Future Orders'!$C151, "A", 'Future Orders'!$B151, "1")</f>
        <v>0</v>
      </c>
      <c r="T151" s="159">
        <f>SUMIFS('Future Orders'!$F151, 'Future Orders'!$D151, "2", 'Future Orders'!$C151, "B", 'Future Orders'!$B151, "1")</f>
        <v>0</v>
      </c>
      <c r="U151" s="157">
        <f>SUMIFS('Future Orders'!$I151, 'Future Orders'!$D151, "2", 'Future Orders'!$C151, "B", 'Future Orders'!$B151, "1")</f>
        <v>0</v>
      </c>
      <c r="V151" s="159">
        <f>SUMIFS('Future Orders'!$F151, 'Future Orders'!$D151, "2", 'Future Orders'!$C151, "A", 'Future Orders'!$B151, "2")</f>
        <v>0</v>
      </c>
      <c r="W151" s="157">
        <f>SUMIFS('Future Orders'!$I151, 'Future Orders'!$D151, "2", 'Future Orders'!$C151, "A", 'Future Orders'!$B151, "2")</f>
        <v>0</v>
      </c>
      <c r="X151" s="159">
        <f>SUMIFS('Future Orders'!$F151, 'Future Orders'!$D151, "2", 'Future Orders'!$C151, "B", 'Future Orders'!$B151, "2")</f>
        <v>0</v>
      </c>
      <c r="Y151" s="159">
        <f>SUMIFS('Future Orders'!$I151, 'Future Orders'!$D151, "2", 'Future Orders'!$C151, "B", 'Future Orders'!$B151, "2")</f>
        <v>0</v>
      </c>
      <c r="Z151" s="159">
        <f>SUMIFS('Future Orders'!$F151, 'Future Orders'!$D151, "3", 'Future Orders'!$C151, "A", 'Future Orders'!$B151, "1")</f>
        <v>0</v>
      </c>
      <c r="AA151" s="159">
        <f>SUMIFS('Future Orders'!$I151, 'Future Orders'!$D151, "3", 'Future Orders'!$C151, "A", 'Future Orders'!$B151, "1")</f>
        <v>0</v>
      </c>
      <c r="AB151" s="159">
        <f>SUMIFS('Future Orders'!$F151, 'Future Orders'!$D151, "3", 'Future Orders'!$C151, "B", 'Future Orders'!$B151, "1")</f>
        <v>0</v>
      </c>
      <c r="AC151" s="159">
        <f>SUMIFS('Future Orders'!$I151, 'Future Orders'!$D151, "3", 'Future Orders'!$C151, "B", 'Future Orders'!$B151, "1")</f>
        <v>0</v>
      </c>
      <c r="AD151" s="159">
        <f>SUMIFS('Future Orders'!$F151, 'Future Orders'!$D151, "3", 'Future Orders'!$C151, "A", 'Future Orders'!$B151, "2")</f>
        <v>0</v>
      </c>
      <c r="AE151" s="159">
        <f>SUMIFS('Future Orders'!$I151, 'Future Orders'!$D151, "3", 'Future Orders'!$C151, "A", 'Future Orders'!$B151, "2")</f>
        <v>0</v>
      </c>
      <c r="AF151" s="159">
        <f>SUMIFS('Future Orders'!$F151, 'Future Orders'!$D151, "3", 'Future Orders'!$C151, "B", 'Future Orders'!$B151, "2")</f>
        <v>2170.3</v>
      </c>
      <c r="AG151" s="157">
        <f>SUMIFS('Future Orders'!$I151, 'Future Orders'!$D151, "3", 'Future Orders'!$C151, "B", 'Future Orders'!$B151, "2")</f>
        <v>18013.49</v>
      </c>
      <c r="AH151" s="157">
        <f>SUMIFS('Future Orders'!$F151, 'Future Orders'!$D151, "4", 'Future Orders'!$C151, "A", 'Future Orders'!$B151, "1")</f>
        <v>0</v>
      </c>
      <c r="AI151" s="157">
        <f>SUMIFS('Future Orders'!$I151, 'Future Orders'!$D151, "4", 'Future Orders'!$C151, "A", 'Future Orders'!$B151, "1")</f>
        <v>0</v>
      </c>
      <c r="AJ151" s="157">
        <f>SUMIFS('Future Orders'!$F151, 'Future Orders'!$D151, "4", 'Future Orders'!$C151, "B", 'Future Orders'!$B151, "1")</f>
        <v>0</v>
      </c>
      <c r="AK151" s="157">
        <f>SUMIFS('Future Orders'!$I151, 'Future Orders'!$D151, "4", 'Future Orders'!$C151, "B", 'Future Orders'!$B151, "1")</f>
        <v>0</v>
      </c>
      <c r="AL151" s="157">
        <f>SUMIFS('Future Orders'!$F151, 'Future Orders'!$D151, "4", 'Future Orders'!$C151, "A", 'Future Orders'!$B151, "2")</f>
        <v>0</v>
      </c>
      <c r="AM151" s="157">
        <f>SUMIFS('Future Orders'!$I151, 'Future Orders'!$D151, "4", 'Future Orders'!$C151, "A", 'Future Orders'!$B151, "2")</f>
        <v>0</v>
      </c>
      <c r="AN151" s="171">
        <f>SUMIFS('Future Orders'!$F151, 'Future Orders'!$D151, "4", 'Future Orders'!$C151, "B", 'Future Orders'!$B151, "2")</f>
        <v>0</v>
      </c>
      <c r="AO151" s="171">
        <f>SUMIFS('Future Orders'!$I151, 'Future Orders'!$D151, "4", 'Future Orders'!$C151, "B", 'Future Orders'!$B151, "2")</f>
        <v>0</v>
      </c>
      <c r="AP151" s="171">
        <f>SUMIFS('Future Orders'!$H151, 'Future Orders'!$C151, "A", 'Future Orders'!$B151, "1")</f>
        <v>0</v>
      </c>
      <c r="AQ151" s="171">
        <f>SUMIFS('Future Orders'!$I151, 'Future Orders'!$C151, "B", 'Future Orders'!$B151, "1")</f>
        <v>0</v>
      </c>
      <c r="AR151" s="171">
        <f>SUMIFS('Future Orders'!$H151, 'Future Orders'!$C151, "A", 'Future Orders'!$B151, "2")</f>
        <v>0</v>
      </c>
      <c r="AS151" s="171">
        <f>SUMIFS('Future Orders'!$I151, 'Future Orders'!$C151, "B", 'Future Orders'!$B151, "2")</f>
        <v>18013.49</v>
      </c>
      <c r="AT151" s="145"/>
      <c r="AU151" s="172"/>
      <c r="AV151" s="172"/>
      <c r="AW151" s="172"/>
      <c r="AX151" s="172"/>
      <c r="AY151" s="172"/>
      <c r="AZ151" s="172"/>
      <c r="BA151" s="172"/>
      <c r="BB151" s="172"/>
      <c r="BC151" s="172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  <c r="BT151" s="172"/>
      <c r="BU151" s="172"/>
      <c r="BV151" s="172"/>
      <c r="BW151" s="172"/>
      <c r="BX151" s="172"/>
      <c r="BY151" s="172"/>
      <c r="BZ151" s="172"/>
      <c r="CA151" s="179"/>
      <c r="CB151" s="179"/>
      <c r="CC151" s="179"/>
      <c r="CD151" s="179"/>
      <c r="CE151" s="179"/>
      <c r="CF151" s="179"/>
      <c r="CG151" s="179"/>
      <c r="CH151" s="179"/>
      <c r="CI151" s="179"/>
      <c r="CJ151" s="179"/>
      <c r="CK151" s="179"/>
      <c r="CL151" s="179"/>
      <c r="CM151" s="179"/>
      <c r="CN151" s="179"/>
      <c r="CO151" s="179"/>
      <c r="CP151" s="179"/>
    </row>
    <row r="152" ht="15.75" customHeight="1">
      <c r="A152" s="151">
        <v>42030.0</v>
      </c>
      <c r="B152" s="152">
        <v>1.0</v>
      </c>
      <c r="C152" s="152" t="s">
        <v>45</v>
      </c>
      <c r="D152" s="152">
        <v>1.0</v>
      </c>
      <c r="E152" s="153">
        <v>4495.0</v>
      </c>
      <c r="F152" s="153">
        <f>SUM(('Future Orders'!$E152) * (1.1))</f>
        <v>4944.5</v>
      </c>
      <c r="G152" s="154">
        <v>2.2</v>
      </c>
      <c r="H152" s="155">
        <v>9889.0</v>
      </c>
      <c r="I152" s="155">
        <f>SUM(('Future Orders'!$H152) * (1.1))</f>
        <v>10877.9</v>
      </c>
      <c r="J152" s="159">
        <f>SUMIFS('Future Orders'!$F152, 'Future Orders'!$D152, "1", 'Future Orders'!$C152, "A", 'Future Orders'!$B152, "1")</f>
        <v>4944.5</v>
      </c>
      <c r="K152" s="157">
        <f>SUMIFS('Future Orders'!$I152, 'Future Orders'!$D152, "1", 'Future Orders'!$C152, "A", 'Future Orders'!$B152, "1")</f>
        <v>10877.9</v>
      </c>
      <c r="L152" s="157">
        <f>SUMIFS('Future Orders'!$F152, 'Future Orders'!$D152, "1", 'Future Orders'!$C152, "B", 'Future Orders'!$B152, "1")</f>
        <v>0</v>
      </c>
      <c r="M152" s="157">
        <f>SUMIFS('Future Orders'!$I152, 'Future Orders'!$D152, "1", 'Future Orders'!$C152, "B", 'Future Orders'!$B152, "1")</f>
        <v>0</v>
      </c>
      <c r="N152" s="159">
        <f>SUMIFS('Future Orders'!$F152, 'Future Orders'!$D152, "1", 'Future Orders'!$C152, "A", 'Future Orders'!$B152, "2")</f>
        <v>0</v>
      </c>
      <c r="O152" s="157">
        <f>SUMIFS('Future Orders'!$I152, 'Future Orders'!$D152, "1", 'Future Orders'!$C152, "A", 'Future Orders'!$B152, "2")</f>
        <v>0</v>
      </c>
      <c r="P152" s="157">
        <f>SUMIFS('Future Orders'!$E152, 'Future Orders'!$D152, "1", 'Future Orders'!$C152, "B", 'Future Orders'!$B152, "2")</f>
        <v>0</v>
      </c>
      <c r="Q152" s="157">
        <f>SUMIFS('Future Orders'!$I152, 'Future Orders'!$D152, "1", 'Future Orders'!$C152, "B", 'Future Orders'!$B152, "2")</f>
        <v>0</v>
      </c>
      <c r="R152" s="159">
        <f>SUMIFS('Future Orders'!$F152, 'Future Orders'!$D152, "2", 'Future Orders'!$C152, "A", 'Future Orders'!$B152, "1")</f>
        <v>0</v>
      </c>
      <c r="S152" s="157">
        <f>SUMIFS('Future Orders'!$I152, 'Future Orders'!$D152, "2", 'Future Orders'!$C152, "A", 'Future Orders'!$B152, "1")</f>
        <v>0</v>
      </c>
      <c r="T152" s="159">
        <f>SUMIFS('Future Orders'!$F152, 'Future Orders'!$D152, "2", 'Future Orders'!$C152, "B", 'Future Orders'!$B152, "1")</f>
        <v>0</v>
      </c>
      <c r="U152" s="157">
        <f>SUMIFS('Future Orders'!$I152, 'Future Orders'!$D152, "2", 'Future Orders'!$C152, "B", 'Future Orders'!$B152, "1")</f>
        <v>0</v>
      </c>
      <c r="V152" s="159">
        <f>SUMIFS('Future Orders'!$F152, 'Future Orders'!$D152, "2", 'Future Orders'!$C152, "A", 'Future Orders'!$B152, "2")</f>
        <v>0</v>
      </c>
      <c r="W152" s="157">
        <f>SUMIFS('Future Orders'!$I152, 'Future Orders'!$D152, "2", 'Future Orders'!$C152, "A", 'Future Orders'!$B152, "2")</f>
        <v>0</v>
      </c>
      <c r="X152" s="159">
        <f>SUMIFS('Future Orders'!$F152, 'Future Orders'!$D152, "2", 'Future Orders'!$C152, "B", 'Future Orders'!$B152, "2")</f>
        <v>0</v>
      </c>
      <c r="Y152" s="159">
        <f>SUMIFS('Future Orders'!$I152, 'Future Orders'!$D152, "2", 'Future Orders'!$C152, "B", 'Future Orders'!$B152, "2")</f>
        <v>0</v>
      </c>
      <c r="Z152" s="159">
        <f>SUMIFS('Future Orders'!$F152, 'Future Orders'!$D152, "3", 'Future Orders'!$C152, "A", 'Future Orders'!$B152, "1")</f>
        <v>0</v>
      </c>
      <c r="AA152" s="159">
        <f>SUMIFS('Future Orders'!$I152, 'Future Orders'!$D152, "3", 'Future Orders'!$C152, "A", 'Future Orders'!$B152, "1")</f>
        <v>0</v>
      </c>
      <c r="AB152" s="159">
        <f>SUMIFS('Future Orders'!$F152, 'Future Orders'!$D152, "3", 'Future Orders'!$C152, "B", 'Future Orders'!$B152, "1")</f>
        <v>0</v>
      </c>
      <c r="AC152" s="159">
        <f>SUMIFS('Future Orders'!$I152, 'Future Orders'!$D152, "3", 'Future Orders'!$C152, "B", 'Future Orders'!$B152, "1")</f>
        <v>0</v>
      </c>
      <c r="AD152" s="159">
        <f>SUMIFS('Future Orders'!$F152, 'Future Orders'!$D152, "3", 'Future Orders'!$C152, "A", 'Future Orders'!$B152, "2")</f>
        <v>0</v>
      </c>
      <c r="AE152" s="159">
        <f>SUMIFS('Future Orders'!$I152, 'Future Orders'!$D152, "3", 'Future Orders'!$C152, "A", 'Future Orders'!$B152, "2")</f>
        <v>0</v>
      </c>
      <c r="AF152" s="159">
        <f>SUMIFS('Future Orders'!$F152, 'Future Orders'!$D152, "3", 'Future Orders'!$C152, "B", 'Future Orders'!$B152, "2")</f>
        <v>0</v>
      </c>
      <c r="AG152" s="157">
        <f>SUMIFS('Future Orders'!$I152, 'Future Orders'!$D152, "3", 'Future Orders'!$C152, "B", 'Future Orders'!$B152, "2")</f>
        <v>0</v>
      </c>
      <c r="AH152" s="157">
        <f>SUMIFS('Future Orders'!$F152, 'Future Orders'!$D152, "4", 'Future Orders'!$C152, "A", 'Future Orders'!$B152, "1")</f>
        <v>0</v>
      </c>
      <c r="AI152" s="157">
        <f>SUMIFS('Future Orders'!$I152, 'Future Orders'!$D152, "4", 'Future Orders'!$C152, "A", 'Future Orders'!$B152, "1")</f>
        <v>0</v>
      </c>
      <c r="AJ152" s="157">
        <f>SUMIFS('Future Orders'!$F152, 'Future Orders'!$D152, "4", 'Future Orders'!$C152, "B", 'Future Orders'!$B152, "1")</f>
        <v>0</v>
      </c>
      <c r="AK152" s="157">
        <f>SUMIFS('Future Orders'!$I152, 'Future Orders'!$D152, "4", 'Future Orders'!$C152, "B", 'Future Orders'!$B152, "1")</f>
        <v>0</v>
      </c>
      <c r="AL152" s="157">
        <f>SUMIFS('Future Orders'!$F152, 'Future Orders'!$D152, "4", 'Future Orders'!$C152, "A", 'Future Orders'!$B152, "2")</f>
        <v>0</v>
      </c>
      <c r="AM152" s="157">
        <f>SUMIFS('Future Orders'!$I152, 'Future Orders'!$D152, "4", 'Future Orders'!$C152, "A", 'Future Orders'!$B152, "2")</f>
        <v>0</v>
      </c>
      <c r="AN152" s="171">
        <f>SUMIFS('Future Orders'!$F152, 'Future Orders'!$D152, "4", 'Future Orders'!$C152, "B", 'Future Orders'!$B152, "2")</f>
        <v>0</v>
      </c>
      <c r="AO152" s="171">
        <f>SUMIFS('Future Orders'!$I152, 'Future Orders'!$D152, "4", 'Future Orders'!$C152, "B", 'Future Orders'!$B152, "2")</f>
        <v>0</v>
      </c>
      <c r="AP152" s="171">
        <f>SUMIFS('Future Orders'!$H152, 'Future Orders'!$C152, "A", 'Future Orders'!$B152, "1")</f>
        <v>9889</v>
      </c>
      <c r="AQ152" s="171">
        <f>SUMIFS('Future Orders'!$I152, 'Future Orders'!$C152, "B", 'Future Orders'!$B152, "1")</f>
        <v>0</v>
      </c>
      <c r="AR152" s="171">
        <f>SUMIFS('Future Orders'!$H152, 'Future Orders'!$C152, "A", 'Future Orders'!$B152, "2")</f>
        <v>0</v>
      </c>
      <c r="AS152" s="171">
        <f>SUMIFS('Future Orders'!$I152, 'Future Orders'!$C152, "B", 'Future Orders'!$B152, "2")</f>
        <v>0</v>
      </c>
      <c r="AT152" s="145"/>
      <c r="AU152" s="172"/>
      <c r="AV152" s="172"/>
      <c r="AW152" s="172"/>
      <c r="AX152" s="172"/>
      <c r="AY152" s="172"/>
      <c r="AZ152" s="172"/>
      <c r="BA152" s="172"/>
      <c r="BB152" s="172"/>
      <c r="BC152" s="172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  <c r="BT152" s="172"/>
      <c r="BU152" s="172"/>
      <c r="BV152" s="172"/>
      <c r="BW152" s="172"/>
      <c r="BX152" s="172"/>
      <c r="BY152" s="172"/>
      <c r="BZ152" s="172"/>
      <c r="CA152" s="179"/>
      <c r="CB152" s="179"/>
      <c r="CC152" s="179"/>
      <c r="CD152" s="179"/>
      <c r="CE152" s="179"/>
      <c r="CF152" s="179"/>
      <c r="CG152" s="179"/>
      <c r="CH152" s="179"/>
      <c r="CI152" s="179"/>
      <c r="CJ152" s="179"/>
      <c r="CK152" s="179"/>
      <c r="CL152" s="179"/>
      <c r="CM152" s="179"/>
      <c r="CN152" s="179"/>
      <c r="CO152" s="179"/>
      <c r="CP152" s="179"/>
    </row>
    <row r="153" ht="15.75" customHeight="1">
      <c r="A153" s="151">
        <v>42030.0</v>
      </c>
      <c r="B153" s="152">
        <v>1.0</v>
      </c>
      <c r="C153" s="152" t="s">
        <v>45</v>
      </c>
      <c r="D153" s="152">
        <v>2.0</v>
      </c>
      <c r="E153" s="153">
        <v>5337.0</v>
      </c>
      <c r="F153" s="153">
        <f>SUM(('Future Orders'!$E153) * (1.1))</f>
        <v>5870.7</v>
      </c>
      <c r="G153" s="154">
        <v>1.2</v>
      </c>
      <c r="H153" s="155">
        <v>6404.4</v>
      </c>
      <c r="I153" s="155">
        <f>SUM(('Future Orders'!$H153) * (1.1))</f>
        <v>7044.84</v>
      </c>
      <c r="J153" s="159">
        <f>SUMIFS('Future Orders'!$F153, 'Future Orders'!$D153, "1", 'Future Orders'!$C153, "A", 'Future Orders'!$B153, "1")</f>
        <v>0</v>
      </c>
      <c r="K153" s="157">
        <f>SUMIFS('Future Orders'!$I153, 'Future Orders'!$D153, "1", 'Future Orders'!$C153, "A", 'Future Orders'!$B153, "1")</f>
        <v>0</v>
      </c>
      <c r="L153" s="157">
        <f>SUMIFS('Future Orders'!$F153, 'Future Orders'!$D153, "1", 'Future Orders'!$C153, "B", 'Future Orders'!$B153, "1")</f>
        <v>0</v>
      </c>
      <c r="M153" s="157">
        <f>SUMIFS('Future Orders'!$I153, 'Future Orders'!$D153, "1", 'Future Orders'!$C153, "B", 'Future Orders'!$B153, "1")</f>
        <v>0</v>
      </c>
      <c r="N153" s="159">
        <f>SUMIFS('Future Orders'!$F153, 'Future Orders'!$D153, "1", 'Future Orders'!$C153, "A", 'Future Orders'!$B153, "2")</f>
        <v>0</v>
      </c>
      <c r="O153" s="157">
        <f>SUMIFS('Future Orders'!$I153, 'Future Orders'!$D153, "1", 'Future Orders'!$C153, "A", 'Future Orders'!$B153, "2")</f>
        <v>0</v>
      </c>
      <c r="P153" s="157">
        <f>SUMIFS('Future Orders'!$E153, 'Future Orders'!$D153, "1", 'Future Orders'!$C153, "B", 'Future Orders'!$B153, "2")</f>
        <v>0</v>
      </c>
      <c r="Q153" s="157">
        <f>SUMIFS('Future Orders'!$I153, 'Future Orders'!$D153, "1", 'Future Orders'!$C153, "B", 'Future Orders'!$B153, "2")</f>
        <v>0</v>
      </c>
      <c r="R153" s="159">
        <f>SUMIFS('Future Orders'!$F153, 'Future Orders'!$D153, "2", 'Future Orders'!$C153, "A", 'Future Orders'!$B153, "1")</f>
        <v>5870.7</v>
      </c>
      <c r="S153" s="157">
        <f>SUMIFS('Future Orders'!$I153, 'Future Orders'!$D153, "2", 'Future Orders'!$C153, "A", 'Future Orders'!$B153, "1")</f>
        <v>7044.84</v>
      </c>
      <c r="T153" s="159">
        <f>SUMIFS('Future Orders'!$F153, 'Future Orders'!$D153, "2", 'Future Orders'!$C153, "B", 'Future Orders'!$B153, "1")</f>
        <v>0</v>
      </c>
      <c r="U153" s="157">
        <f>SUMIFS('Future Orders'!$I153, 'Future Orders'!$D153, "2", 'Future Orders'!$C153, "B", 'Future Orders'!$B153, "1")</f>
        <v>0</v>
      </c>
      <c r="V153" s="159">
        <f>SUMIFS('Future Orders'!$F153, 'Future Orders'!$D153, "2", 'Future Orders'!$C153, "A", 'Future Orders'!$B153, "2")</f>
        <v>0</v>
      </c>
      <c r="W153" s="157">
        <f>SUMIFS('Future Orders'!$I153, 'Future Orders'!$D153, "2", 'Future Orders'!$C153, "A", 'Future Orders'!$B153, "2")</f>
        <v>0</v>
      </c>
      <c r="X153" s="159">
        <f>SUMIFS('Future Orders'!$F153, 'Future Orders'!$D153, "2", 'Future Orders'!$C153, "B", 'Future Orders'!$B153, "2")</f>
        <v>0</v>
      </c>
      <c r="Y153" s="159">
        <f>SUMIFS('Future Orders'!$I153, 'Future Orders'!$D153, "2", 'Future Orders'!$C153, "B", 'Future Orders'!$B153, "2")</f>
        <v>0</v>
      </c>
      <c r="Z153" s="159">
        <f>SUMIFS('Future Orders'!$F153, 'Future Orders'!$D153, "3", 'Future Orders'!$C153, "A", 'Future Orders'!$B153, "1")</f>
        <v>0</v>
      </c>
      <c r="AA153" s="159">
        <f>SUMIFS('Future Orders'!$I153, 'Future Orders'!$D153, "3", 'Future Orders'!$C153, "A", 'Future Orders'!$B153, "1")</f>
        <v>0</v>
      </c>
      <c r="AB153" s="159">
        <f>SUMIFS('Future Orders'!$F153, 'Future Orders'!$D153, "3", 'Future Orders'!$C153, "B", 'Future Orders'!$B153, "1")</f>
        <v>0</v>
      </c>
      <c r="AC153" s="159">
        <f>SUMIFS('Future Orders'!$I153, 'Future Orders'!$D153, "3", 'Future Orders'!$C153, "B", 'Future Orders'!$B153, "1")</f>
        <v>0</v>
      </c>
      <c r="AD153" s="159">
        <f>SUMIFS('Future Orders'!$F153, 'Future Orders'!$D153, "3", 'Future Orders'!$C153, "A", 'Future Orders'!$B153, "2")</f>
        <v>0</v>
      </c>
      <c r="AE153" s="159">
        <f>SUMIFS('Future Orders'!$I153, 'Future Orders'!$D153, "3", 'Future Orders'!$C153, "A", 'Future Orders'!$B153, "2")</f>
        <v>0</v>
      </c>
      <c r="AF153" s="159">
        <f>SUMIFS('Future Orders'!$F153, 'Future Orders'!$D153, "3", 'Future Orders'!$C153, "B", 'Future Orders'!$B153, "2")</f>
        <v>0</v>
      </c>
      <c r="AG153" s="157">
        <f>SUMIFS('Future Orders'!$I153, 'Future Orders'!$D153, "3", 'Future Orders'!$C153, "B", 'Future Orders'!$B153, "2")</f>
        <v>0</v>
      </c>
      <c r="AH153" s="157">
        <f>SUMIFS('Future Orders'!$F153, 'Future Orders'!$D153, "4", 'Future Orders'!$C153, "A", 'Future Orders'!$B153, "1")</f>
        <v>0</v>
      </c>
      <c r="AI153" s="157">
        <f>SUMIFS('Future Orders'!$I153, 'Future Orders'!$D153, "4", 'Future Orders'!$C153, "A", 'Future Orders'!$B153, "1")</f>
        <v>0</v>
      </c>
      <c r="AJ153" s="157">
        <f>SUMIFS('Future Orders'!$F153, 'Future Orders'!$D153, "4", 'Future Orders'!$C153, "B", 'Future Orders'!$B153, "1")</f>
        <v>0</v>
      </c>
      <c r="AK153" s="157">
        <f>SUMIFS('Future Orders'!$I153, 'Future Orders'!$D153, "4", 'Future Orders'!$C153, "B", 'Future Orders'!$B153, "1")</f>
        <v>0</v>
      </c>
      <c r="AL153" s="157">
        <f>SUMIFS('Future Orders'!$F153, 'Future Orders'!$D153, "4", 'Future Orders'!$C153, "A", 'Future Orders'!$B153, "2")</f>
        <v>0</v>
      </c>
      <c r="AM153" s="157">
        <f>SUMIFS('Future Orders'!$I153, 'Future Orders'!$D153, "4", 'Future Orders'!$C153, "A", 'Future Orders'!$B153, "2")</f>
        <v>0</v>
      </c>
      <c r="AN153" s="171">
        <f>SUMIFS('Future Orders'!$F153, 'Future Orders'!$D153, "4", 'Future Orders'!$C153, "B", 'Future Orders'!$B153, "2")</f>
        <v>0</v>
      </c>
      <c r="AO153" s="171">
        <f>SUMIFS('Future Orders'!$I153, 'Future Orders'!$D153, "4", 'Future Orders'!$C153, "B", 'Future Orders'!$B153, "2")</f>
        <v>0</v>
      </c>
      <c r="AP153" s="171">
        <f>SUMIFS('Future Orders'!$H153, 'Future Orders'!$C153, "A", 'Future Orders'!$B153, "1")</f>
        <v>6404.4</v>
      </c>
      <c r="AQ153" s="171">
        <f>SUMIFS('Future Orders'!$I153, 'Future Orders'!$C153, "B", 'Future Orders'!$B153, "1")</f>
        <v>0</v>
      </c>
      <c r="AR153" s="171">
        <f>SUMIFS('Future Orders'!$H153, 'Future Orders'!$C153, "A", 'Future Orders'!$B153, "2")</f>
        <v>0</v>
      </c>
      <c r="AS153" s="171">
        <f>SUMIFS('Future Orders'!$I153, 'Future Orders'!$C153, "B", 'Future Orders'!$B153, "2")</f>
        <v>0</v>
      </c>
      <c r="AT153" s="145"/>
      <c r="AU153" s="172"/>
      <c r="AV153" s="172"/>
      <c r="AW153" s="172"/>
      <c r="AX153" s="172"/>
      <c r="AY153" s="172"/>
      <c r="AZ153" s="172"/>
      <c r="BA153" s="172"/>
      <c r="BB153" s="172"/>
      <c r="BC153" s="172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  <c r="BT153" s="172"/>
      <c r="BU153" s="172"/>
      <c r="BV153" s="172"/>
      <c r="BW153" s="172"/>
      <c r="BX153" s="172"/>
      <c r="BY153" s="172"/>
      <c r="BZ153" s="172"/>
      <c r="CA153" s="179"/>
      <c r="CB153" s="179"/>
      <c r="CC153" s="179"/>
      <c r="CD153" s="179"/>
      <c r="CE153" s="179"/>
      <c r="CF153" s="179"/>
      <c r="CG153" s="179"/>
      <c r="CH153" s="179"/>
      <c r="CI153" s="179"/>
      <c r="CJ153" s="179"/>
      <c r="CK153" s="179"/>
      <c r="CL153" s="179"/>
      <c r="CM153" s="179"/>
      <c r="CN153" s="179"/>
      <c r="CO153" s="179"/>
      <c r="CP153" s="179"/>
    </row>
    <row r="154" ht="15.75" customHeight="1">
      <c r="A154" s="151">
        <v>42030.0</v>
      </c>
      <c r="B154" s="152">
        <v>2.0</v>
      </c>
      <c r="C154" s="152" t="s">
        <v>45</v>
      </c>
      <c r="D154" s="152">
        <v>1.0</v>
      </c>
      <c r="E154" s="153">
        <v>3448.0</v>
      </c>
      <c r="F154" s="153">
        <f>SUM(('Future Orders'!$E154) * (1.1))</f>
        <v>3792.8</v>
      </c>
      <c r="G154" s="154">
        <v>2.2</v>
      </c>
      <c r="H154" s="155">
        <v>7585.6</v>
      </c>
      <c r="I154" s="155">
        <f>SUM(('Future Orders'!$H154) * (1.1))</f>
        <v>8344.16</v>
      </c>
      <c r="J154" s="159">
        <f>SUMIFS('Future Orders'!$F154, 'Future Orders'!$D154, "1", 'Future Orders'!$C154, "A", 'Future Orders'!$B154, "1")</f>
        <v>0</v>
      </c>
      <c r="K154" s="157">
        <f>SUMIFS('Future Orders'!$I154, 'Future Orders'!$D154, "1", 'Future Orders'!$C154, "A", 'Future Orders'!$B154, "1")</f>
        <v>0</v>
      </c>
      <c r="L154" s="157">
        <f>SUMIFS('Future Orders'!$F154, 'Future Orders'!$D154, "1", 'Future Orders'!$C154, "B", 'Future Orders'!$B154, "1")</f>
        <v>0</v>
      </c>
      <c r="M154" s="157">
        <f>SUMIFS('Future Orders'!$I154, 'Future Orders'!$D154, "1", 'Future Orders'!$C154, "B", 'Future Orders'!$B154, "1")</f>
        <v>0</v>
      </c>
      <c r="N154" s="159">
        <f>SUMIFS('Future Orders'!$F154, 'Future Orders'!$D154, "1", 'Future Orders'!$C154, "A", 'Future Orders'!$B154, "2")</f>
        <v>3792.8</v>
      </c>
      <c r="O154" s="157">
        <f>SUMIFS('Future Orders'!$I154, 'Future Orders'!$D154, "1", 'Future Orders'!$C154, "A", 'Future Orders'!$B154, "2")</f>
        <v>8344.16</v>
      </c>
      <c r="P154" s="157">
        <f>SUMIFS('Future Orders'!$E154, 'Future Orders'!$D154, "1", 'Future Orders'!$C154, "B", 'Future Orders'!$B154, "2")</f>
        <v>0</v>
      </c>
      <c r="Q154" s="157">
        <f>SUMIFS('Future Orders'!$I154, 'Future Orders'!$D154, "1", 'Future Orders'!$C154, "B", 'Future Orders'!$B154, "2")</f>
        <v>0</v>
      </c>
      <c r="R154" s="159">
        <f>SUMIFS('Future Orders'!$F154, 'Future Orders'!$D154, "2", 'Future Orders'!$C154, "A", 'Future Orders'!$B154, "1")</f>
        <v>0</v>
      </c>
      <c r="S154" s="157">
        <f>SUMIFS('Future Orders'!$I154, 'Future Orders'!$D154, "2", 'Future Orders'!$C154, "A", 'Future Orders'!$B154, "1")</f>
        <v>0</v>
      </c>
      <c r="T154" s="159">
        <f>SUMIFS('Future Orders'!$F154, 'Future Orders'!$D154, "2", 'Future Orders'!$C154, "B", 'Future Orders'!$B154, "1")</f>
        <v>0</v>
      </c>
      <c r="U154" s="157">
        <f>SUMIFS('Future Orders'!$I154, 'Future Orders'!$D154, "2", 'Future Orders'!$C154, "B", 'Future Orders'!$B154, "1")</f>
        <v>0</v>
      </c>
      <c r="V154" s="159">
        <f>SUMIFS('Future Orders'!$F154, 'Future Orders'!$D154, "2", 'Future Orders'!$C154, "A", 'Future Orders'!$B154, "2")</f>
        <v>0</v>
      </c>
      <c r="W154" s="157">
        <f>SUMIFS('Future Orders'!$I154, 'Future Orders'!$D154, "2", 'Future Orders'!$C154, "A", 'Future Orders'!$B154, "2")</f>
        <v>0</v>
      </c>
      <c r="X154" s="159">
        <f>SUMIFS('Future Orders'!$F154, 'Future Orders'!$D154, "2", 'Future Orders'!$C154, "B", 'Future Orders'!$B154, "2")</f>
        <v>0</v>
      </c>
      <c r="Y154" s="159">
        <f>SUMIFS('Future Orders'!$I154, 'Future Orders'!$D154, "2", 'Future Orders'!$C154, "B", 'Future Orders'!$B154, "2")</f>
        <v>0</v>
      </c>
      <c r="Z154" s="159">
        <f>SUMIFS('Future Orders'!$F154, 'Future Orders'!$D154, "3", 'Future Orders'!$C154, "A", 'Future Orders'!$B154, "1")</f>
        <v>0</v>
      </c>
      <c r="AA154" s="159">
        <f>SUMIFS('Future Orders'!$I154, 'Future Orders'!$D154, "3", 'Future Orders'!$C154, "A", 'Future Orders'!$B154, "1")</f>
        <v>0</v>
      </c>
      <c r="AB154" s="159">
        <f>SUMIFS('Future Orders'!$F154, 'Future Orders'!$D154, "3", 'Future Orders'!$C154, "B", 'Future Orders'!$B154, "1")</f>
        <v>0</v>
      </c>
      <c r="AC154" s="159">
        <f>SUMIFS('Future Orders'!$I154, 'Future Orders'!$D154, "3", 'Future Orders'!$C154, "B", 'Future Orders'!$B154, "1")</f>
        <v>0</v>
      </c>
      <c r="AD154" s="159">
        <f>SUMIFS('Future Orders'!$F154, 'Future Orders'!$D154, "3", 'Future Orders'!$C154, "A", 'Future Orders'!$B154, "2")</f>
        <v>0</v>
      </c>
      <c r="AE154" s="159">
        <f>SUMIFS('Future Orders'!$I154, 'Future Orders'!$D154, "3", 'Future Orders'!$C154, "A", 'Future Orders'!$B154, "2")</f>
        <v>0</v>
      </c>
      <c r="AF154" s="159">
        <f>SUMIFS('Future Orders'!$F154, 'Future Orders'!$D154, "3", 'Future Orders'!$C154, "B", 'Future Orders'!$B154, "2")</f>
        <v>0</v>
      </c>
      <c r="AG154" s="157">
        <f>SUMIFS('Future Orders'!$I154, 'Future Orders'!$D154, "3", 'Future Orders'!$C154, "B", 'Future Orders'!$B154, "2")</f>
        <v>0</v>
      </c>
      <c r="AH154" s="157">
        <f>SUMIFS('Future Orders'!$F154, 'Future Orders'!$D154, "4", 'Future Orders'!$C154, "A", 'Future Orders'!$B154, "1")</f>
        <v>0</v>
      </c>
      <c r="AI154" s="157">
        <f>SUMIFS('Future Orders'!$I154, 'Future Orders'!$D154, "4", 'Future Orders'!$C154, "A", 'Future Orders'!$B154, "1")</f>
        <v>0</v>
      </c>
      <c r="AJ154" s="157">
        <f>SUMIFS('Future Orders'!$F154, 'Future Orders'!$D154, "4", 'Future Orders'!$C154, "B", 'Future Orders'!$B154, "1")</f>
        <v>0</v>
      </c>
      <c r="AK154" s="157">
        <f>SUMIFS('Future Orders'!$I154, 'Future Orders'!$D154, "4", 'Future Orders'!$C154, "B", 'Future Orders'!$B154, "1")</f>
        <v>0</v>
      </c>
      <c r="AL154" s="157">
        <f>SUMIFS('Future Orders'!$F154, 'Future Orders'!$D154, "4", 'Future Orders'!$C154, "A", 'Future Orders'!$B154, "2")</f>
        <v>0</v>
      </c>
      <c r="AM154" s="157">
        <f>SUMIFS('Future Orders'!$I154, 'Future Orders'!$D154, "4", 'Future Orders'!$C154, "A", 'Future Orders'!$B154, "2")</f>
        <v>0</v>
      </c>
      <c r="AN154" s="171">
        <f>SUMIFS('Future Orders'!$F154, 'Future Orders'!$D154, "4", 'Future Orders'!$C154, "B", 'Future Orders'!$B154, "2")</f>
        <v>0</v>
      </c>
      <c r="AO154" s="171">
        <f>SUMIFS('Future Orders'!$I154, 'Future Orders'!$D154, "4", 'Future Orders'!$C154, "B", 'Future Orders'!$B154, "2")</f>
        <v>0</v>
      </c>
      <c r="AP154" s="171">
        <f>SUMIFS('Future Orders'!$H154, 'Future Orders'!$C154, "A", 'Future Orders'!$B154, "1")</f>
        <v>0</v>
      </c>
      <c r="AQ154" s="171">
        <f>SUMIFS('Future Orders'!$I154, 'Future Orders'!$C154, "B", 'Future Orders'!$B154, "1")</f>
        <v>0</v>
      </c>
      <c r="AR154" s="171">
        <f>SUMIFS('Future Orders'!$H154, 'Future Orders'!$C154, "A", 'Future Orders'!$B154, "2")</f>
        <v>7585.6</v>
      </c>
      <c r="AS154" s="171">
        <f>SUMIFS('Future Orders'!$I154, 'Future Orders'!$C154, "B", 'Future Orders'!$B154, "2")</f>
        <v>0</v>
      </c>
      <c r="AT154" s="145"/>
      <c r="AU154" s="172"/>
      <c r="AV154" s="172"/>
      <c r="AW154" s="172"/>
      <c r="AX154" s="172"/>
      <c r="AY154" s="172"/>
      <c r="AZ154" s="172"/>
      <c r="BA154" s="172"/>
      <c r="BB154" s="172"/>
      <c r="BC154" s="172"/>
      <c r="BD154" s="172"/>
      <c r="BE154" s="172"/>
      <c r="BF154" s="172"/>
      <c r="BG154" s="172"/>
      <c r="BH154" s="172"/>
      <c r="BI154" s="172"/>
      <c r="BJ154" s="172"/>
      <c r="BK154" s="172"/>
      <c r="BL154" s="172"/>
      <c r="BM154" s="172"/>
      <c r="BN154" s="172"/>
      <c r="BO154" s="172"/>
      <c r="BP154" s="172"/>
      <c r="BQ154" s="172"/>
      <c r="BR154" s="172"/>
      <c r="BS154" s="172"/>
      <c r="BT154" s="172"/>
      <c r="BU154" s="172"/>
      <c r="BV154" s="172"/>
      <c r="BW154" s="172"/>
      <c r="BX154" s="172"/>
      <c r="BY154" s="172"/>
      <c r="BZ154" s="172"/>
      <c r="CA154" s="179"/>
      <c r="CB154" s="179"/>
      <c r="CC154" s="179"/>
      <c r="CD154" s="179"/>
      <c r="CE154" s="179"/>
      <c r="CF154" s="179"/>
      <c r="CG154" s="179"/>
      <c r="CH154" s="179"/>
      <c r="CI154" s="179"/>
      <c r="CJ154" s="179"/>
      <c r="CK154" s="179"/>
      <c r="CL154" s="179"/>
      <c r="CM154" s="179"/>
      <c r="CN154" s="179"/>
      <c r="CO154" s="179"/>
      <c r="CP154" s="179"/>
    </row>
    <row r="155" ht="15.75" customHeight="1">
      <c r="A155" s="151">
        <v>42030.0</v>
      </c>
      <c r="B155" s="152">
        <v>2.0</v>
      </c>
      <c r="C155" s="152" t="s">
        <v>45</v>
      </c>
      <c r="D155" s="152">
        <v>2.0</v>
      </c>
      <c r="E155" s="153">
        <v>5568.0</v>
      </c>
      <c r="F155" s="153">
        <f>SUM(('Future Orders'!$E155) * (1.1))</f>
        <v>6124.8</v>
      </c>
      <c r="G155" s="154">
        <v>1.2</v>
      </c>
      <c r="H155" s="155">
        <v>6681.599999999999</v>
      </c>
      <c r="I155" s="155">
        <f>SUM(('Future Orders'!$H155) * (1.1))</f>
        <v>7349.76</v>
      </c>
      <c r="J155" s="159">
        <f>SUMIFS('Future Orders'!$F155, 'Future Orders'!$D155, "1", 'Future Orders'!$C155, "A", 'Future Orders'!$B155, "1")</f>
        <v>0</v>
      </c>
      <c r="K155" s="157">
        <f>SUMIFS('Future Orders'!$I155, 'Future Orders'!$D155, "1", 'Future Orders'!$C155, "A", 'Future Orders'!$B155, "1")</f>
        <v>0</v>
      </c>
      <c r="L155" s="157">
        <f>SUMIFS('Future Orders'!$F155, 'Future Orders'!$D155, "1", 'Future Orders'!$C155, "B", 'Future Orders'!$B155, "1")</f>
        <v>0</v>
      </c>
      <c r="M155" s="157">
        <f>SUMIFS('Future Orders'!$I155, 'Future Orders'!$D155, "1", 'Future Orders'!$C155, "B", 'Future Orders'!$B155, "1")</f>
        <v>0</v>
      </c>
      <c r="N155" s="159">
        <f>SUMIFS('Future Orders'!$F155, 'Future Orders'!$D155, "1", 'Future Orders'!$C155, "A", 'Future Orders'!$B155, "2")</f>
        <v>0</v>
      </c>
      <c r="O155" s="157">
        <f>SUMIFS('Future Orders'!$I155, 'Future Orders'!$D155, "1", 'Future Orders'!$C155, "A", 'Future Orders'!$B155, "2")</f>
        <v>0</v>
      </c>
      <c r="P155" s="157">
        <f>SUMIFS('Future Orders'!$E155, 'Future Orders'!$D155, "1", 'Future Orders'!$C155, "B", 'Future Orders'!$B155, "2")</f>
        <v>0</v>
      </c>
      <c r="Q155" s="157">
        <f>SUMIFS('Future Orders'!$I155, 'Future Orders'!$D155, "1", 'Future Orders'!$C155, "B", 'Future Orders'!$B155, "2")</f>
        <v>0</v>
      </c>
      <c r="R155" s="159">
        <f>SUMIFS('Future Orders'!$F155, 'Future Orders'!$D155, "2", 'Future Orders'!$C155, "A", 'Future Orders'!$B155, "1")</f>
        <v>0</v>
      </c>
      <c r="S155" s="157">
        <f>SUMIFS('Future Orders'!$I155, 'Future Orders'!$D155, "2", 'Future Orders'!$C155, "A", 'Future Orders'!$B155, "1")</f>
        <v>0</v>
      </c>
      <c r="T155" s="159">
        <f>SUMIFS('Future Orders'!$F155, 'Future Orders'!$D155, "2", 'Future Orders'!$C155, "B", 'Future Orders'!$B155, "1")</f>
        <v>0</v>
      </c>
      <c r="U155" s="157">
        <f>SUMIFS('Future Orders'!$I155, 'Future Orders'!$D155, "2", 'Future Orders'!$C155, "B", 'Future Orders'!$B155, "1")</f>
        <v>0</v>
      </c>
      <c r="V155" s="159">
        <f>SUMIFS('Future Orders'!$F155, 'Future Orders'!$D155, "2", 'Future Orders'!$C155, "A", 'Future Orders'!$B155, "2")</f>
        <v>6124.8</v>
      </c>
      <c r="W155" s="157">
        <f>SUMIFS('Future Orders'!$I155, 'Future Orders'!$D155, "2", 'Future Orders'!$C155, "A", 'Future Orders'!$B155, "2")</f>
        <v>7349.76</v>
      </c>
      <c r="X155" s="159">
        <f>SUMIFS('Future Orders'!$F155, 'Future Orders'!$D155, "2", 'Future Orders'!$C155, "B", 'Future Orders'!$B155, "2")</f>
        <v>0</v>
      </c>
      <c r="Y155" s="159">
        <f>SUMIFS('Future Orders'!$I155, 'Future Orders'!$D155, "2", 'Future Orders'!$C155, "B", 'Future Orders'!$B155, "2")</f>
        <v>0</v>
      </c>
      <c r="Z155" s="159">
        <f>SUMIFS('Future Orders'!$F155, 'Future Orders'!$D155, "3", 'Future Orders'!$C155, "A", 'Future Orders'!$B155, "1")</f>
        <v>0</v>
      </c>
      <c r="AA155" s="159">
        <f>SUMIFS('Future Orders'!$I155, 'Future Orders'!$D155, "3", 'Future Orders'!$C155, "A", 'Future Orders'!$B155, "1")</f>
        <v>0</v>
      </c>
      <c r="AB155" s="159">
        <f>SUMIFS('Future Orders'!$F155, 'Future Orders'!$D155, "3", 'Future Orders'!$C155, "B", 'Future Orders'!$B155, "1")</f>
        <v>0</v>
      </c>
      <c r="AC155" s="159">
        <f>SUMIFS('Future Orders'!$I155, 'Future Orders'!$D155, "3", 'Future Orders'!$C155, "B", 'Future Orders'!$B155, "1")</f>
        <v>0</v>
      </c>
      <c r="AD155" s="159">
        <f>SUMIFS('Future Orders'!$F155, 'Future Orders'!$D155, "3", 'Future Orders'!$C155, "A", 'Future Orders'!$B155, "2")</f>
        <v>0</v>
      </c>
      <c r="AE155" s="159">
        <f>SUMIFS('Future Orders'!$I155, 'Future Orders'!$D155, "3", 'Future Orders'!$C155, "A", 'Future Orders'!$B155, "2")</f>
        <v>0</v>
      </c>
      <c r="AF155" s="159">
        <f>SUMIFS('Future Orders'!$F155, 'Future Orders'!$D155, "3", 'Future Orders'!$C155, "B", 'Future Orders'!$B155, "2")</f>
        <v>0</v>
      </c>
      <c r="AG155" s="157">
        <f>SUMIFS('Future Orders'!$I155, 'Future Orders'!$D155, "3", 'Future Orders'!$C155, "B", 'Future Orders'!$B155, "2")</f>
        <v>0</v>
      </c>
      <c r="AH155" s="157">
        <f>SUMIFS('Future Orders'!$F155, 'Future Orders'!$D155, "4", 'Future Orders'!$C155, "A", 'Future Orders'!$B155, "1")</f>
        <v>0</v>
      </c>
      <c r="AI155" s="157">
        <f>SUMIFS('Future Orders'!$I155, 'Future Orders'!$D155, "4", 'Future Orders'!$C155, "A", 'Future Orders'!$B155, "1")</f>
        <v>0</v>
      </c>
      <c r="AJ155" s="157">
        <f>SUMIFS('Future Orders'!$F155, 'Future Orders'!$D155, "4", 'Future Orders'!$C155, "B", 'Future Orders'!$B155, "1")</f>
        <v>0</v>
      </c>
      <c r="AK155" s="157">
        <f>SUMIFS('Future Orders'!$I155, 'Future Orders'!$D155, "4", 'Future Orders'!$C155, "B", 'Future Orders'!$B155, "1")</f>
        <v>0</v>
      </c>
      <c r="AL155" s="157">
        <f>SUMIFS('Future Orders'!$F155, 'Future Orders'!$D155, "4", 'Future Orders'!$C155, "A", 'Future Orders'!$B155, "2")</f>
        <v>0</v>
      </c>
      <c r="AM155" s="157">
        <f>SUMIFS('Future Orders'!$I155, 'Future Orders'!$D155, "4", 'Future Orders'!$C155, "A", 'Future Orders'!$B155, "2")</f>
        <v>0</v>
      </c>
      <c r="AN155" s="171">
        <f>SUMIFS('Future Orders'!$F155, 'Future Orders'!$D155, "4", 'Future Orders'!$C155, "B", 'Future Orders'!$B155, "2")</f>
        <v>0</v>
      </c>
      <c r="AO155" s="171">
        <f>SUMIFS('Future Orders'!$I155, 'Future Orders'!$D155, "4", 'Future Orders'!$C155, "B", 'Future Orders'!$B155, "2")</f>
        <v>0</v>
      </c>
      <c r="AP155" s="171">
        <f>SUMIFS('Future Orders'!$H155, 'Future Orders'!$C155, "A", 'Future Orders'!$B155, "1")</f>
        <v>0</v>
      </c>
      <c r="AQ155" s="171">
        <f>SUMIFS('Future Orders'!$I155, 'Future Orders'!$C155, "B", 'Future Orders'!$B155, "1")</f>
        <v>0</v>
      </c>
      <c r="AR155" s="171">
        <f>SUMIFS('Future Orders'!$H155, 'Future Orders'!$C155, "A", 'Future Orders'!$B155, "2")</f>
        <v>6681.6</v>
      </c>
      <c r="AS155" s="171">
        <f>SUMIFS('Future Orders'!$I155, 'Future Orders'!$C155, "B", 'Future Orders'!$B155, "2")</f>
        <v>0</v>
      </c>
      <c r="AT155" s="145"/>
      <c r="AU155" s="172"/>
      <c r="AV155" s="172"/>
      <c r="AW155" s="172"/>
      <c r="AX155" s="172"/>
      <c r="AY155" s="172"/>
      <c r="AZ155" s="172"/>
      <c r="BA155" s="172"/>
      <c r="BB155" s="172"/>
      <c r="BC155" s="172"/>
      <c r="BD155" s="172"/>
      <c r="BE155" s="172"/>
      <c r="BF155" s="172"/>
      <c r="BG155" s="172"/>
      <c r="BH155" s="172"/>
      <c r="BI155" s="172"/>
      <c r="BJ155" s="172"/>
      <c r="BK155" s="172"/>
      <c r="BL155" s="172"/>
      <c r="BM155" s="172"/>
      <c r="BN155" s="172"/>
      <c r="BO155" s="172"/>
      <c r="BP155" s="172"/>
      <c r="BQ155" s="172"/>
      <c r="BR155" s="172"/>
      <c r="BS155" s="172"/>
      <c r="BT155" s="172"/>
      <c r="BU155" s="172"/>
      <c r="BV155" s="172"/>
      <c r="BW155" s="172"/>
      <c r="BX155" s="172"/>
      <c r="BY155" s="172"/>
      <c r="BZ155" s="172"/>
      <c r="CA155" s="179"/>
      <c r="CB155" s="179"/>
      <c r="CC155" s="179"/>
      <c r="CD155" s="179"/>
      <c r="CE155" s="179"/>
      <c r="CF155" s="179"/>
      <c r="CG155" s="179"/>
      <c r="CH155" s="179"/>
      <c r="CI155" s="179"/>
      <c r="CJ155" s="179"/>
      <c r="CK155" s="179"/>
      <c r="CL155" s="179"/>
      <c r="CM155" s="179"/>
      <c r="CN155" s="179"/>
      <c r="CO155" s="179"/>
      <c r="CP155" s="179"/>
    </row>
    <row r="156" ht="15.75" customHeight="1">
      <c r="A156" s="151">
        <v>42030.0</v>
      </c>
      <c r="B156" s="152">
        <v>1.0</v>
      </c>
      <c r="C156" s="152" t="s">
        <v>46</v>
      </c>
      <c r="D156" s="152">
        <v>3.0</v>
      </c>
      <c r="E156" s="153">
        <v>1742.0</v>
      </c>
      <c r="F156" s="153">
        <f>SUM(('Future Orders'!$E156) * (1.1))</f>
        <v>1916.2</v>
      </c>
      <c r="G156" s="154">
        <v>8.3</v>
      </c>
      <c r="H156" s="155">
        <v>14458.6</v>
      </c>
      <c r="I156" s="155">
        <f>SUM(('Future Orders'!$H156) * (1.1))</f>
        <v>15904.46</v>
      </c>
      <c r="J156" s="159">
        <f>SUMIFS('Future Orders'!$F156, 'Future Orders'!$D156, "1", 'Future Orders'!$C156, "A", 'Future Orders'!$B156, "1")</f>
        <v>0</v>
      </c>
      <c r="K156" s="157">
        <f>SUMIFS('Future Orders'!$I156, 'Future Orders'!$D156, "1", 'Future Orders'!$C156, "A", 'Future Orders'!$B156, "1")</f>
        <v>0</v>
      </c>
      <c r="L156" s="157">
        <f>SUMIFS('Future Orders'!$F156, 'Future Orders'!$D156, "1", 'Future Orders'!$C156, "B", 'Future Orders'!$B156, "1")</f>
        <v>0</v>
      </c>
      <c r="M156" s="157">
        <f>SUMIFS('Future Orders'!$I156, 'Future Orders'!$D156, "1", 'Future Orders'!$C156, "B", 'Future Orders'!$B156, "1")</f>
        <v>0</v>
      </c>
      <c r="N156" s="159">
        <f>SUMIFS('Future Orders'!$F156, 'Future Orders'!$D156, "1", 'Future Orders'!$C156, "A", 'Future Orders'!$B156, "2")</f>
        <v>0</v>
      </c>
      <c r="O156" s="157">
        <f>SUMIFS('Future Orders'!$I156, 'Future Orders'!$D156, "1", 'Future Orders'!$C156, "A", 'Future Orders'!$B156, "2")</f>
        <v>0</v>
      </c>
      <c r="P156" s="157">
        <f>SUMIFS('Future Orders'!$E156, 'Future Orders'!$D156, "1", 'Future Orders'!$C156, "B", 'Future Orders'!$B156, "2")</f>
        <v>0</v>
      </c>
      <c r="Q156" s="157">
        <f>SUMIFS('Future Orders'!$I156, 'Future Orders'!$D156, "1", 'Future Orders'!$C156, "B", 'Future Orders'!$B156, "2")</f>
        <v>0</v>
      </c>
      <c r="R156" s="159">
        <f>SUMIFS('Future Orders'!$F156, 'Future Orders'!$D156, "2", 'Future Orders'!$C156, "A", 'Future Orders'!$B156, "1")</f>
        <v>0</v>
      </c>
      <c r="S156" s="157">
        <f>SUMIFS('Future Orders'!$I156, 'Future Orders'!$D156, "2", 'Future Orders'!$C156, "A", 'Future Orders'!$B156, "1")</f>
        <v>0</v>
      </c>
      <c r="T156" s="159">
        <f>SUMIFS('Future Orders'!$F156, 'Future Orders'!$D156, "2", 'Future Orders'!$C156, "B", 'Future Orders'!$B156, "1")</f>
        <v>0</v>
      </c>
      <c r="U156" s="157">
        <f>SUMIFS('Future Orders'!$I156, 'Future Orders'!$D156, "2", 'Future Orders'!$C156, "B", 'Future Orders'!$B156, "1")</f>
        <v>0</v>
      </c>
      <c r="V156" s="159">
        <f>SUMIFS('Future Orders'!$F156, 'Future Orders'!$D156, "2", 'Future Orders'!$C156, "A", 'Future Orders'!$B156, "2")</f>
        <v>0</v>
      </c>
      <c r="W156" s="157">
        <f>SUMIFS('Future Orders'!$I156, 'Future Orders'!$D156, "2", 'Future Orders'!$C156, "A", 'Future Orders'!$B156, "2")</f>
        <v>0</v>
      </c>
      <c r="X156" s="159">
        <f>SUMIFS('Future Orders'!$F156, 'Future Orders'!$D156, "2", 'Future Orders'!$C156, "B", 'Future Orders'!$B156, "2")</f>
        <v>0</v>
      </c>
      <c r="Y156" s="159">
        <f>SUMIFS('Future Orders'!$I156, 'Future Orders'!$D156, "2", 'Future Orders'!$C156, "B", 'Future Orders'!$B156, "2")</f>
        <v>0</v>
      </c>
      <c r="Z156" s="159">
        <f>SUMIFS('Future Orders'!$F156, 'Future Orders'!$D156, "3", 'Future Orders'!$C156, "A", 'Future Orders'!$B156, "1")</f>
        <v>0</v>
      </c>
      <c r="AA156" s="159">
        <f>SUMIFS('Future Orders'!$I156, 'Future Orders'!$D156, "3", 'Future Orders'!$C156, "A", 'Future Orders'!$B156, "1")</f>
        <v>0</v>
      </c>
      <c r="AB156" s="159">
        <f>SUMIFS('Future Orders'!$F156, 'Future Orders'!$D156, "3", 'Future Orders'!$C156, "B", 'Future Orders'!$B156, "1")</f>
        <v>1916.2</v>
      </c>
      <c r="AC156" s="159">
        <f>SUMIFS('Future Orders'!$I156, 'Future Orders'!$D156, "3", 'Future Orders'!$C156, "B", 'Future Orders'!$B156, "1")</f>
        <v>15904.46</v>
      </c>
      <c r="AD156" s="159">
        <f>SUMIFS('Future Orders'!$F156, 'Future Orders'!$D156, "3", 'Future Orders'!$C156, "A", 'Future Orders'!$B156, "2")</f>
        <v>0</v>
      </c>
      <c r="AE156" s="159">
        <f>SUMIFS('Future Orders'!$I156, 'Future Orders'!$D156, "3", 'Future Orders'!$C156, "A", 'Future Orders'!$B156, "2")</f>
        <v>0</v>
      </c>
      <c r="AF156" s="159">
        <f>SUMIFS('Future Orders'!$F156, 'Future Orders'!$D156, "3", 'Future Orders'!$C156, "B", 'Future Orders'!$B156, "2")</f>
        <v>0</v>
      </c>
      <c r="AG156" s="157">
        <f>SUMIFS('Future Orders'!$I156, 'Future Orders'!$D156, "3", 'Future Orders'!$C156, "B", 'Future Orders'!$B156, "2")</f>
        <v>0</v>
      </c>
      <c r="AH156" s="157">
        <f>SUMIFS('Future Orders'!$F156, 'Future Orders'!$D156, "4", 'Future Orders'!$C156, "A", 'Future Orders'!$B156, "1")</f>
        <v>0</v>
      </c>
      <c r="AI156" s="157">
        <f>SUMIFS('Future Orders'!$I156, 'Future Orders'!$D156, "4", 'Future Orders'!$C156, "A", 'Future Orders'!$B156, "1")</f>
        <v>0</v>
      </c>
      <c r="AJ156" s="157">
        <f>SUMIFS('Future Orders'!$F156, 'Future Orders'!$D156, "4", 'Future Orders'!$C156, "B", 'Future Orders'!$B156, "1")</f>
        <v>0</v>
      </c>
      <c r="AK156" s="157">
        <f>SUMIFS('Future Orders'!$I156, 'Future Orders'!$D156, "4", 'Future Orders'!$C156, "B", 'Future Orders'!$B156, "1")</f>
        <v>0</v>
      </c>
      <c r="AL156" s="157">
        <f>SUMIFS('Future Orders'!$F156, 'Future Orders'!$D156, "4", 'Future Orders'!$C156, "A", 'Future Orders'!$B156, "2")</f>
        <v>0</v>
      </c>
      <c r="AM156" s="157">
        <f>SUMIFS('Future Orders'!$I156, 'Future Orders'!$D156, "4", 'Future Orders'!$C156, "A", 'Future Orders'!$B156, "2")</f>
        <v>0</v>
      </c>
      <c r="AN156" s="171">
        <f>SUMIFS('Future Orders'!$F156, 'Future Orders'!$D156, "4", 'Future Orders'!$C156, "B", 'Future Orders'!$B156, "2")</f>
        <v>0</v>
      </c>
      <c r="AO156" s="171">
        <f>SUMIFS('Future Orders'!$I156, 'Future Orders'!$D156, "4", 'Future Orders'!$C156, "B", 'Future Orders'!$B156, "2")</f>
        <v>0</v>
      </c>
      <c r="AP156" s="171">
        <f>SUMIFS('Future Orders'!$H156, 'Future Orders'!$C156, "A", 'Future Orders'!$B156, "1")</f>
        <v>0</v>
      </c>
      <c r="AQ156" s="171">
        <f>SUMIFS('Future Orders'!$I156, 'Future Orders'!$C156, "B", 'Future Orders'!$B156, "1")</f>
        <v>15904.46</v>
      </c>
      <c r="AR156" s="171">
        <f>SUMIFS('Future Orders'!$H156, 'Future Orders'!$C156, "A", 'Future Orders'!$B156, "2")</f>
        <v>0</v>
      </c>
      <c r="AS156" s="171">
        <f>SUMIFS('Future Orders'!$I156, 'Future Orders'!$C156, "B", 'Future Orders'!$B156, "2")</f>
        <v>0</v>
      </c>
      <c r="AT156" s="145"/>
      <c r="AU156" s="172"/>
      <c r="AV156" s="172"/>
      <c r="AW156" s="172"/>
      <c r="AX156" s="172"/>
      <c r="AY156" s="172"/>
      <c r="AZ156" s="172"/>
      <c r="BA156" s="172"/>
      <c r="BB156" s="172"/>
      <c r="BC156" s="172"/>
      <c r="BD156" s="172"/>
      <c r="BE156" s="172"/>
      <c r="BF156" s="172"/>
      <c r="BG156" s="172"/>
      <c r="BH156" s="172"/>
      <c r="BI156" s="172"/>
      <c r="BJ156" s="172"/>
      <c r="BK156" s="172"/>
      <c r="BL156" s="172"/>
      <c r="BM156" s="172"/>
      <c r="BN156" s="172"/>
      <c r="BO156" s="172"/>
      <c r="BP156" s="172"/>
      <c r="BQ156" s="172"/>
      <c r="BR156" s="172"/>
      <c r="BS156" s="172"/>
      <c r="BT156" s="172"/>
      <c r="BU156" s="172"/>
      <c r="BV156" s="172"/>
      <c r="BW156" s="172"/>
      <c r="BX156" s="172"/>
      <c r="BY156" s="172"/>
      <c r="BZ156" s="172"/>
      <c r="CA156" s="179"/>
      <c r="CB156" s="179"/>
      <c r="CC156" s="179"/>
      <c r="CD156" s="179"/>
      <c r="CE156" s="179"/>
      <c r="CF156" s="179"/>
      <c r="CG156" s="179"/>
      <c r="CH156" s="179"/>
      <c r="CI156" s="179"/>
      <c r="CJ156" s="179"/>
      <c r="CK156" s="179"/>
      <c r="CL156" s="179"/>
      <c r="CM156" s="179"/>
      <c r="CN156" s="179"/>
      <c r="CO156" s="179"/>
      <c r="CP156" s="179"/>
    </row>
    <row r="157" ht="15.75" customHeight="1">
      <c r="A157" s="151">
        <v>42030.0</v>
      </c>
      <c r="B157" s="152">
        <v>2.0</v>
      </c>
      <c r="C157" s="152" t="s">
        <v>46</v>
      </c>
      <c r="D157" s="152">
        <v>3.0</v>
      </c>
      <c r="E157" s="153">
        <v>2311.0</v>
      </c>
      <c r="F157" s="153">
        <f>SUM(('Future Orders'!$E157) * (1.1))</f>
        <v>2542.1</v>
      </c>
      <c r="G157" s="154">
        <v>8.3</v>
      </c>
      <c r="H157" s="155">
        <v>19181.300000000003</v>
      </c>
      <c r="I157" s="155">
        <f>SUM(('Future Orders'!$H157) * (1.1))</f>
        <v>21099.43</v>
      </c>
      <c r="J157" s="159">
        <f>SUMIFS('Future Orders'!$F157, 'Future Orders'!$D157, "1", 'Future Orders'!$C157, "A", 'Future Orders'!$B157, "1")</f>
        <v>0</v>
      </c>
      <c r="K157" s="157">
        <f>SUMIFS('Future Orders'!$I157, 'Future Orders'!$D157, "1", 'Future Orders'!$C157, "A", 'Future Orders'!$B157, "1")</f>
        <v>0</v>
      </c>
      <c r="L157" s="157">
        <f>SUMIFS('Future Orders'!$F157, 'Future Orders'!$D157, "1", 'Future Orders'!$C157, "B", 'Future Orders'!$B157, "1")</f>
        <v>0</v>
      </c>
      <c r="M157" s="157">
        <f>SUMIFS('Future Orders'!$I157, 'Future Orders'!$D157, "1", 'Future Orders'!$C157, "B", 'Future Orders'!$B157, "1")</f>
        <v>0</v>
      </c>
      <c r="N157" s="159">
        <f>SUMIFS('Future Orders'!$F157, 'Future Orders'!$D157, "1", 'Future Orders'!$C157, "A", 'Future Orders'!$B157, "2")</f>
        <v>0</v>
      </c>
      <c r="O157" s="157">
        <f>SUMIFS('Future Orders'!$I157, 'Future Orders'!$D157, "1", 'Future Orders'!$C157, "A", 'Future Orders'!$B157, "2")</f>
        <v>0</v>
      </c>
      <c r="P157" s="157">
        <f>SUMIFS('Future Orders'!$E157, 'Future Orders'!$D157, "1", 'Future Orders'!$C157, "B", 'Future Orders'!$B157, "2")</f>
        <v>0</v>
      </c>
      <c r="Q157" s="157">
        <f>SUMIFS('Future Orders'!$I157, 'Future Orders'!$D157, "1", 'Future Orders'!$C157, "B", 'Future Orders'!$B157, "2")</f>
        <v>0</v>
      </c>
      <c r="R157" s="159">
        <f>SUMIFS('Future Orders'!$F157, 'Future Orders'!$D157, "2", 'Future Orders'!$C157, "A", 'Future Orders'!$B157, "1")</f>
        <v>0</v>
      </c>
      <c r="S157" s="157">
        <f>SUMIFS('Future Orders'!$I157, 'Future Orders'!$D157, "2", 'Future Orders'!$C157, "A", 'Future Orders'!$B157, "1")</f>
        <v>0</v>
      </c>
      <c r="T157" s="159">
        <f>SUMIFS('Future Orders'!$F157, 'Future Orders'!$D157, "2", 'Future Orders'!$C157, "B", 'Future Orders'!$B157, "1")</f>
        <v>0</v>
      </c>
      <c r="U157" s="157">
        <f>SUMIFS('Future Orders'!$I157, 'Future Orders'!$D157, "2", 'Future Orders'!$C157, "B", 'Future Orders'!$B157, "1")</f>
        <v>0</v>
      </c>
      <c r="V157" s="159">
        <f>SUMIFS('Future Orders'!$F157, 'Future Orders'!$D157, "2", 'Future Orders'!$C157, "A", 'Future Orders'!$B157, "2")</f>
        <v>0</v>
      </c>
      <c r="W157" s="157">
        <f>SUMIFS('Future Orders'!$I157, 'Future Orders'!$D157, "2", 'Future Orders'!$C157, "A", 'Future Orders'!$B157, "2")</f>
        <v>0</v>
      </c>
      <c r="X157" s="159">
        <f>SUMIFS('Future Orders'!$F157, 'Future Orders'!$D157, "2", 'Future Orders'!$C157, "B", 'Future Orders'!$B157, "2")</f>
        <v>0</v>
      </c>
      <c r="Y157" s="159">
        <f>SUMIFS('Future Orders'!$I157, 'Future Orders'!$D157, "2", 'Future Orders'!$C157, "B", 'Future Orders'!$B157, "2")</f>
        <v>0</v>
      </c>
      <c r="Z157" s="159">
        <f>SUMIFS('Future Orders'!$F157, 'Future Orders'!$D157, "3", 'Future Orders'!$C157, "A", 'Future Orders'!$B157, "1")</f>
        <v>0</v>
      </c>
      <c r="AA157" s="159">
        <f>SUMIFS('Future Orders'!$I157, 'Future Orders'!$D157, "3", 'Future Orders'!$C157, "A", 'Future Orders'!$B157, "1")</f>
        <v>0</v>
      </c>
      <c r="AB157" s="159">
        <f>SUMIFS('Future Orders'!$F157, 'Future Orders'!$D157, "3", 'Future Orders'!$C157, "B", 'Future Orders'!$B157, "1")</f>
        <v>0</v>
      </c>
      <c r="AC157" s="159">
        <f>SUMIFS('Future Orders'!$I157, 'Future Orders'!$D157, "3", 'Future Orders'!$C157, "B", 'Future Orders'!$B157, "1")</f>
        <v>0</v>
      </c>
      <c r="AD157" s="159">
        <f>SUMIFS('Future Orders'!$F157, 'Future Orders'!$D157, "3", 'Future Orders'!$C157, "A", 'Future Orders'!$B157, "2")</f>
        <v>0</v>
      </c>
      <c r="AE157" s="159">
        <f>SUMIFS('Future Orders'!$I157, 'Future Orders'!$D157, "3", 'Future Orders'!$C157, "A", 'Future Orders'!$B157, "2")</f>
        <v>0</v>
      </c>
      <c r="AF157" s="159">
        <f>SUMIFS('Future Orders'!$F157, 'Future Orders'!$D157, "3", 'Future Orders'!$C157, "B", 'Future Orders'!$B157, "2")</f>
        <v>2542.1</v>
      </c>
      <c r="AG157" s="157">
        <f>SUMIFS('Future Orders'!$I157, 'Future Orders'!$D157, "3", 'Future Orders'!$C157, "B", 'Future Orders'!$B157, "2")</f>
        <v>21099.43</v>
      </c>
      <c r="AH157" s="157">
        <f>SUMIFS('Future Orders'!$F157, 'Future Orders'!$D157, "4", 'Future Orders'!$C157, "A", 'Future Orders'!$B157, "1")</f>
        <v>0</v>
      </c>
      <c r="AI157" s="157">
        <f>SUMIFS('Future Orders'!$I157, 'Future Orders'!$D157, "4", 'Future Orders'!$C157, "A", 'Future Orders'!$B157, "1")</f>
        <v>0</v>
      </c>
      <c r="AJ157" s="157">
        <f>SUMIFS('Future Orders'!$F157, 'Future Orders'!$D157, "4", 'Future Orders'!$C157, "B", 'Future Orders'!$B157, "1")</f>
        <v>0</v>
      </c>
      <c r="AK157" s="157">
        <f>SUMIFS('Future Orders'!$I157, 'Future Orders'!$D157, "4", 'Future Orders'!$C157, "B", 'Future Orders'!$B157, "1")</f>
        <v>0</v>
      </c>
      <c r="AL157" s="157">
        <f>SUMIFS('Future Orders'!$F157, 'Future Orders'!$D157, "4", 'Future Orders'!$C157, "A", 'Future Orders'!$B157, "2")</f>
        <v>0</v>
      </c>
      <c r="AM157" s="157">
        <f>SUMIFS('Future Orders'!$I157, 'Future Orders'!$D157, "4", 'Future Orders'!$C157, "A", 'Future Orders'!$B157, "2")</f>
        <v>0</v>
      </c>
      <c r="AN157" s="171">
        <f>SUMIFS('Future Orders'!$F157, 'Future Orders'!$D157, "4", 'Future Orders'!$C157, "B", 'Future Orders'!$B157, "2")</f>
        <v>0</v>
      </c>
      <c r="AO157" s="171">
        <f>SUMIFS('Future Orders'!$I157, 'Future Orders'!$D157, "4", 'Future Orders'!$C157, "B", 'Future Orders'!$B157, "2")</f>
        <v>0</v>
      </c>
      <c r="AP157" s="171">
        <f>SUMIFS('Future Orders'!$H157, 'Future Orders'!$C157, "A", 'Future Orders'!$B157, "1")</f>
        <v>0</v>
      </c>
      <c r="AQ157" s="171">
        <f>SUMIFS('Future Orders'!$I157, 'Future Orders'!$C157, "B", 'Future Orders'!$B157, "1")</f>
        <v>0</v>
      </c>
      <c r="AR157" s="171">
        <f>SUMIFS('Future Orders'!$H157, 'Future Orders'!$C157, "A", 'Future Orders'!$B157, "2")</f>
        <v>0</v>
      </c>
      <c r="AS157" s="171">
        <f>SUMIFS('Future Orders'!$I157, 'Future Orders'!$C157, "B", 'Future Orders'!$B157, "2")</f>
        <v>21099.43</v>
      </c>
      <c r="AT157" s="145"/>
      <c r="AU157" s="172"/>
      <c r="AV157" s="172"/>
      <c r="AW157" s="172"/>
      <c r="AX157" s="172"/>
      <c r="AY157" s="172"/>
      <c r="AZ157" s="172"/>
      <c r="BA157" s="172"/>
      <c r="BB157" s="172"/>
      <c r="BC157" s="172"/>
      <c r="BD157" s="172"/>
      <c r="BE157" s="172"/>
      <c r="BF157" s="172"/>
      <c r="BG157" s="172"/>
      <c r="BH157" s="172"/>
      <c r="BI157" s="172"/>
      <c r="BJ157" s="172"/>
      <c r="BK157" s="172"/>
      <c r="BL157" s="172"/>
      <c r="BM157" s="172"/>
      <c r="BN157" s="172"/>
      <c r="BO157" s="172"/>
      <c r="BP157" s="172"/>
      <c r="BQ157" s="172"/>
      <c r="BR157" s="172"/>
      <c r="BS157" s="172"/>
      <c r="BT157" s="172"/>
      <c r="BU157" s="172"/>
      <c r="BV157" s="172"/>
      <c r="BW157" s="172"/>
      <c r="BX157" s="172"/>
      <c r="BY157" s="172"/>
      <c r="BZ157" s="172"/>
      <c r="CA157" s="179"/>
      <c r="CB157" s="179"/>
      <c r="CC157" s="179"/>
      <c r="CD157" s="179"/>
      <c r="CE157" s="179"/>
      <c r="CF157" s="179"/>
      <c r="CG157" s="179"/>
      <c r="CH157" s="179"/>
      <c r="CI157" s="179"/>
      <c r="CJ157" s="179"/>
      <c r="CK157" s="179"/>
      <c r="CL157" s="179"/>
      <c r="CM157" s="179"/>
      <c r="CN157" s="179"/>
      <c r="CO157" s="179"/>
      <c r="CP157" s="179"/>
    </row>
    <row r="158" ht="15.75" customHeight="1">
      <c r="A158" s="151">
        <v>42037.0</v>
      </c>
      <c r="B158" s="152">
        <v>1.0</v>
      </c>
      <c r="C158" s="152" t="s">
        <v>45</v>
      </c>
      <c r="D158" s="152">
        <v>1.0</v>
      </c>
      <c r="E158" s="153">
        <v>4174.0</v>
      </c>
      <c r="F158" s="153">
        <f>SUM(('Future Orders'!$E158) * (1.1))</f>
        <v>4591.4</v>
      </c>
      <c r="G158" s="154">
        <v>2.2</v>
      </c>
      <c r="H158" s="155">
        <v>9182.800000000001</v>
      </c>
      <c r="I158" s="155">
        <f>SUM(('Future Orders'!$H158) * (1.1))</f>
        <v>10101.08</v>
      </c>
      <c r="J158" s="159">
        <f>SUMIFS('Future Orders'!$F158, 'Future Orders'!$D158, "1", 'Future Orders'!$C158, "A", 'Future Orders'!$B158, "1")</f>
        <v>4591.4</v>
      </c>
      <c r="K158" s="157">
        <f>SUMIFS('Future Orders'!$I158, 'Future Orders'!$D158, "1", 'Future Orders'!$C158, "A", 'Future Orders'!$B158, "1")</f>
        <v>10101.08</v>
      </c>
      <c r="L158" s="157">
        <f>SUMIFS('Future Orders'!$F158, 'Future Orders'!$D158, "1", 'Future Orders'!$C158, "B", 'Future Orders'!$B158, "1")</f>
        <v>0</v>
      </c>
      <c r="M158" s="157">
        <f>SUMIFS('Future Orders'!$I158, 'Future Orders'!$D158, "1", 'Future Orders'!$C158, "B", 'Future Orders'!$B158, "1")</f>
        <v>0</v>
      </c>
      <c r="N158" s="159">
        <f>SUMIFS('Future Orders'!$F158, 'Future Orders'!$D158, "1", 'Future Orders'!$C158, "A", 'Future Orders'!$B158, "2")</f>
        <v>0</v>
      </c>
      <c r="O158" s="157">
        <f>SUMIFS('Future Orders'!$I158, 'Future Orders'!$D158, "1", 'Future Orders'!$C158, "A", 'Future Orders'!$B158, "2")</f>
        <v>0</v>
      </c>
      <c r="P158" s="157">
        <f>SUMIFS('Future Orders'!$E158, 'Future Orders'!$D158, "1", 'Future Orders'!$C158, "B", 'Future Orders'!$B158, "2")</f>
        <v>0</v>
      </c>
      <c r="Q158" s="157">
        <f>SUMIFS('Future Orders'!$I158, 'Future Orders'!$D158, "1", 'Future Orders'!$C158, "B", 'Future Orders'!$B158, "2")</f>
        <v>0</v>
      </c>
      <c r="R158" s="159">
        <f>SUMIFS('Future Orders'!$F158, 'Future Orders'!$D158, "2", 'Future Orders'!$C158, "A", 'Future Orders'!$B158, "1")</f>
        <v>0</v>
      </c>
      <c r="S158" s="157">
        <f>SUMIFS('Future Orders'!$I158, 'Future Orders'!$D158, "2", 'Future Orders'!$C158, "A", 'Future Orders'!$B158, "1")</f>
        <v>0</v>
      </c>
      <c r="T158" s="159">
        <f>SUMIFS('Future Orders'!$F158, 'Future Orders'!$D158, "2", 'Future Orders'!$C158, "B", 'Future Orders'!$B158, "1")</f>
        <v>0</v>
      </c>
      <c r="U158" s="157">
        <f>SUMIFS('Future Orders'!$I158, 'Future Orders'!$D158, "2", 'Future Orders'!$C158, "B", 'Future Orders'!$B158, "1")</f>
        <v>0</v>
      </c>
      <c r="V158" s="159">
        <f>SUMIFS('Future Orders'!$F158, 'Future Orders'!$D158, "2", 'Future Orders'!$C158, "A", 'Future Orders'!$B158, "2")</f>
        <v>0</v>
      </c>
      <c r="W158" s="157">
        <f>SUMIFS('Future Orders'!$I158, 'Future Orders'!$D158, "2", 'Future Orders'!$C158, "A", 'Future Orders'!$B158, "2")</f>
        <v>0</v>
      </c>
      <c r="X158" s="159">
        <f>SUMIFS('Future Orders'!$F158, 'Future Orders'!$D158, "2", 'Future Orders'!$C158, "B", 'Future Orders'!$B158, "2")</f>
        <v>0</v>
      </c>
      <c r="Y158" s="159">
        <f>SUMIFS('Future Orders'!$I158, 'Future Orders'!$D158, "2", 'Future Orders'!$C158, "B", 'Future Orders'!$B158, "2")</f>
        <v>0</v>
      </c>
      <c r="Z158" s="159">
        <f>SUMIFS('Future Orders'!$F158, 'Future Orders'!$D158, "3", 'Future Orders'!$C158, "A", 'Future Orders'!$B158, "1")</f>
        <v>0</v>
      </c>
      <c r="AA158" s="159">
        <f>SUMIFS('Future Orders'!$I158, 'Future Orders'!$D158, "3", 'Future Orders'!$C158, "A", 'Future Orders'!$B158, "1")</f>
        <v>0</v>
      </c>
      <c r="AB158" s="159">
        <f>SUMIFS('Future Orders'!$F158, 'Future Orders'!$D158, "3", 'Future Orders'!$C158, "B", 'Future Orders'!$B158, "1")</f>
        <v>0</v>
      </c>
      <c r="AC158" s="159">
        <f>SUMIFS('Future Orders'!$I158, 'Future Orders'!$D158, "3", 'Future Orders'!$C158, "B", 'Future Orders'!$B158, "1")</f>
        <v>0</v>
      </c>
      <c r="AD158" s="159">
        <f>SUMIFS('Future Orders'!$F158, 'Future Orders'!$D158, "3", 'Future Orders'!$C158, "A", 'Future Orders'!$B158, "2")</f>
        <v>0</v>
      </c>
      <c r="AE158" s="159">
        <f>SUMIFS('Future Orders'!$I158, 'Future Orders'!$D158, "3", 'Future Orders'!$C158, "A", 'Future Orders'!$B158, "2")</f>
        <v>0</v>
      </c>
      <c r="AF158" s="159">
        <f>SUMIFS('Future Orders'!$F158, 'Future Orders'!$D158, "3", 'Future Orders'!$C158, "B", 'Future Orders'!$B158, "2")</f>
        <v>0</v>
      </c>
      <c r="AG158" s="157">
        <f>SUMIFS('Future Orders'!$I158, 'Future Orders'!$D158, "3", 'Future Orders'!$C158, "B", 'Future Orders'!$B158, "2")</f>
        <v>0</v>
      </c>
      <c r="AH158" s="157">
        <f>SUMIFS('Future Orders'!$F158, 'Future Orders'!$D158, "4", 'Future Orders'!$C158, "A", 'Future Orders'!$B158, "1")</f>
        <v>0</v>
      </c>
      <c r="AI158" s="157">
        <f>SUMIFS('Future Orders'!$I158, 'Future Orders'!$D158, "4", 'Future Orders'!$C158, "A", 'Future Orders'!$B158, "1")</f>
        <v>0</v>
      </c>
      <c r="AJ158" s="157">
        <f>SUMIFS('Future Orders'!$F158, 'Future Orders'!$D158, "4", 'Future Orders'!$C158, "B", 'Future Orders'!$B158, "1")</f>
        <v>0</v>
      </c>
      <c r="AK158" s="157">
        <f>SUMIFS('Future Orders'!$I158, 'Future Orders'!$D158, "4", 'Future Orders'!$C158, "B", 'Future Orders'!$B158, "1")</f>
        <v>0</v>
      </c>
      <c r="AL158" s="157">
        <f>SUMIFS('Future Orders'!$F158, 'Future Orders'!$D158, "4", 'Future Orders'!$C158, "A", 'Future Orders'!$B158, "2")</f>
        <v>0</v>
      </c>
      <c r="AM158" s="157">
        <f>SUMIFS('Future Orders'!$I158, 'Future Orders'!$D158, "4", 'Future Orders'!$C158, "A", 'Future Orders'!$B158, "2")</f>
        <v>0</v>
      </c>
      <c r="AN158" s="171">
        <f>SUMIFS('Future Orders'!$F158, 'Future Orders'!$D158, "4", 'Future Orders'!$C158, "B", 'Future Orders'!$B158, "2")</f>
        <v>0</v>
      </c>
      <c r="AO158" s="171">
        <f>SUMIFS('Future Orders'!$I158, 'Future Orders'!$D158, "4", 'Future Orders'!$C158, "B", 'Future Orders'!$B158, "2")</f>
        <v>0</v>
      </c>
      <c r="AP158" s="171">
        <f>SUMIFS('Future Orders'!$H158, 'Future Orders'!$C158, "A", 'Future Orders'!$B158, "1")</f>
        <v>9182.8</v>
      </c>
      <c r="AQ158" s="171">
        <f>SUMIFS('Future Orders'!$I158, 'Future Orders'!$C158, "B", 'Future Orders'!$B158, "1")</f>
        <v>0</v>
      </c>
      <c r="AR158" s="171">
        <f>SUMIFS('Future Orders'!$H158, 'Future Orders'!$C158, "A", 'Future Orders'!$B158, "2")</f>
        <v>0</v>
      </c>
      <c r="AS158" s="171">
        <f>SUMIFS('Future Orders'!$I158, 'Future Orders'!$C158, "B", 'Future Orders'!$B158, "2")</f>
        <v>0</v>
      </c>
      <c r="AT158" s="145"/>
      <c r="AU158" s="172"/>
      <c r="AV158" s="172"/>
      <c r="AW158" s="172"/>
      <c r="AX158" s="172"/>
      <c r="AY158" s="172"/>
      <c r="AZ158" s="172"/>
      <c r="BA158" s="172"/>
      <c r="BB158" s="172"/>
      <c r="BC158" s="172"/>
      <c r="BD158" s="172"/>
      <c r="BE158" s="172"/>
      <c r="BF158" s="172"/>
      <c r="BG158" s="172"/>
      <c r="BH158" s="172"/>
      <c r="BI158" s="172"/>
      <c r="BJ158" s="172"/>
      <c r="BK158" s="172"/>
      <c r="BL158" s="172"/>
      <c r="BM158" s="172"/>
      <c r="BN158" s="172"/>
      <c r="BO158" s="172"/>
      <c r="BP158" s="172"/>
      <c r="BQ158" s="172"/>
      <c r="BR158" s="172"/>
      <c r="BS158" s="172"/>
      <c r="BT158" s="172"/>
      <c r="BU158" s="172"/>
      <c r="BV158" s="172"/>
      <c r="BW158" s="172"/>
      <c r="BX158" s="172"/>
      <c r="BY158" s="172"/>
      <c r="BZ158" s="172"/>
      <c r="CA158" s="179"/>
      <c r="CB158" s="179"/>
      <c r="CC158" s="179"/>
      <c r="CD158" s="179"/>
      <c r="CE158" s="179"/>
      <c r="CF158" s="179"/>
      <c r="CG158" s="179"/>
      <c r="CH158" s="179"/>
      <c r="CI158" s="179"/>
      <c r="CJ158" s="179"/>
      <c r="CK158" s="179"/>
      <c r="CL158" s="179"/>
      <c r="CM158" s="179"/>
      <c r="CN158" s="179"/>
      <c r="CO158" s="179"/>
      <c r="CP158" s="179"/>
    </row>
    <row r="159" ht="15.75" customHeight="1">
      <c r="A159" s="151">
        <v>42037.0</v>
      </c>
      <c r="B159" s="152">
        <v>1.0</v>
      </c>
      <c r="C159" s="152" t="s">
        <v>45</v>
      </c>
      <c r="D159" s="152">
        <v>2.0</v>
      </c>
      <c r="E159" s="153">
        <v>5324.0</v>
      </c>
      <c r="F159" s="153">
        <f>SUM(('Future Orders'!$E159) * (1.1))</f>
        <v>5856.4</v>
      </c>
      <c r="G159" s="154">
        <v>1.2</v>
      </c>
      <c r="H159" s="155">
        <v>6388.8</v>
      </c>
      <c r="I159" s="155">
        <f>SUM(('Future Orders'!$H159) * (1.1))</f>
        <v>7027.68</v>
      </c>
      <c r="J159" s="159">
        <f>SUMIFS('Future Orders'!$F159, 'Future Orders'!$D159, "1", 'Future Orders'!$C159, "A", 'Future Orders'!$B159, "1")</f>
        <v>0</v>
      </c>
      <c r="K159" s="157">
        <f>SUMIFS('Future Orders'!$I159, 'Future Orders'!$D159, "1", 'Future Orders'!$C159, "A", 'Future Orders'!$B159, "1")</f>
        <v>0</v>
      </c>
      <c r="L159" s="157">
        <f>SUMIFS('Future Orders'!$F159, 'Future Orders'!$D159, "1", 'Future Orders'!$C159, "B", 'Future Orders'!$B159, "1")</f>
        <v>0</v>
      </c>
      <c r="M159" s="157">
        <f>SUMIFS('Future Orders'!$I159, 'Future Orders'!$D159, "1", 'Future Orders'!$C159, "B", 'Future Orders'!$B159, "1")</f>
        <v>0</v>
      </c>
      <c r="N159" s="159">
        <f>SUMIFS('Future Orders'!$F159, 'Future Orders'!$D159, "1", 'Future Orders'!$C159, "A", 'Future Orders'!$B159, "2")</f>
        <v>0</v>
      </c>
      <c r="O159" s="157">
        <f>SUMIFS('Future Orders'!$I159, 'Future Orders'!$D159, "1", 'Future Orders'!$C159, "A", 'Future Orders'!$B159, "2")</f>
        <v>0</v>
      </c>
      <c r="P159" s="157">
        <f>SUMIFS('Future Orders'!$E159, 'Future Orders'!$D159, "1", 'Future Orders'!$C159, "B", 'Future Orders'!$B159, "2")</f>
        <v>0</v>
      </c>
      <c r="Q159" s="157">
        <f>SUMIFS('Future Orders'!$I159, 'Future Orders'!$D159, "1", 'Future Orders'!$C159, "B", 'Future Orders'!$B159, "2")</f>
        <v>0</v>
      </c>
      <c r="R159" s="159">
        <f>SUMIFS('Future Orders'!$F159, 'Future Orders'!$D159, "2", 'Future Orders'!$C159, "A", 'Future Orders'!$B159, "1")</f>
        <v>5856.4</v>
      </c>
      <c r="S159" s="157">
        <f>SUMIFS('Future Orders'!$I159, 'Future Orders'!$D159, "2", 'Future Orders'!$C159, "A", 'Future Orders'!$B159, "1")</f>
        <v>7027.68</v>
      </c>
      <c r="T159" s="159">
        <f>SUMIFS('Future Orders'!$F159, 'Future Orders'!$D159, "2", 'Future Orders'!$C159, "B", 'Future Orders'!$B159, "1")</f>
        <v>0</v>
      </c>
      <c r="U159" s="157">
        <f>SUMIFS('Future Orders'!$I159, 'Future Orders'!$D159, "2", 'Future Orders'!$C159, "B", 'Future Orders'!$B159, "1")</f>
        <v>0</v>
      </c>
      <c r="V159" s="159">
        <f>SUMIFS('Future Orders'!$F159, 'Future Orders'!$D159, "2", 'Future Orders'!$C159, "A", 'Future Orders'!$B159, "2")</f>
        <v>0</v>
      </c>
      <c r="W159" s="157">
        <f>SUMIFS('Future Orders'!$I159, 'Future Orders'!$D159, "2", 'Future Orders'!$C159, "A", 'Future Orders'!$B159, "2")</f>
        <v>0</v>
      </c>
      <c r="X159" s="159">
        <f>SUMIFS('Future Orders'!$F159, 'Future Orders'!$D159, "2", 'Future Orders'!$C159, "B", 'Future Orders'!$B159, "2")</f>
        <v>0</v>
      </c>
      <c r="Y159" s="159">
        <f>SUMIFS('Future Orders'!$I159, 'Future Orders'!$D159, "2", 'Future Orders'!$C159, "B", 'Future Orders'!$B159, "2")</f>
        <v>0</v>
      </c>
      <c r="Z159" s="159">
        <f>SUMIFS('Future Orders'!$F159, 'Future Orders'!$D159, "3", 'Future Orders'!$C159, "A", 'Future Orders'!$B159, "1")</f>
        <v>0</v>
      </c>
      <c r="AA159" s="159">
        <f>SUMIFS('Future Orders'!$I159, 'Future Orders'!$D159, "3", 'Future Orders'!$C159, "A", 'Future Orders'!$B159, "1")</f>
        <v>0</v>
      </c>
      <c r="AB159" s="159">
        <f>SUMIFS('Future Orders'!$F159, 'Future Orders'!$D159, "3", 'Future Orders'!$C159, "B", 'Future Orders'!$B159, "1")</f>
        <v>0</v>
      </c>
      <c r="AC159" s="159">
        <f>SUMIFS('Future Orders'!$I159, 'Future Orders'!$D159, "3", 'Future Orders'!$C159, "B", 'Future Orders'!$B159, "1")</f>
        <v>0</v>
      </c>
      <c r="AD159" s="159">
        <f>SUMIFS('Future Orders'!$F159, 'Future Orders'!$D159, "3", 'Future Orders'!$C159, "A", 'Future Orders'!$B159, "2")</f>
        <v>0</v>
      </c>
      <c r="AE159" s="159">
        <f>SUMIFS('Future Orders'!$I159, 'Future Orders'!$D159, "3", 'Future Orders'!$C159, "A", 'Future Orders'!$B159, "2")</f>
        <v>0</v>
      </c>
      <c r="AF159" s="159">
        <f>SUMIFS('Future Orders'!$F159, 'Future Orders'!$D159, "3", 'Future Orders'!$C159, "B", 'Future Orders'!$B159, "2")</f>
        <v>0</v>
      </c>
      <c r="AG159" s="157">
        <f>SUMIFS('Future Orders'!$I159, 'Future Orders'!$D159, "3", 'Future Orders'!$C159, "B", 'Future Orders'!$B159, "2")</f>
        <v>0</v>
      </c>
      <c r="AH159" s="157">
        <f>SUMIFS('Future Orders'!$F159, 'Future Orders'!$D159, "4", 'Future Orders'!$C159, "A", 'Future Orders'!$B159, "1")</f>
        <v>0</v>
      </c>
      <c r="AI159" s="157">
        <f>SUMIFS('Future Orders'!$I159, 'Future Orders'!$D159, "4", 'Future Orders'!$C159, "A", 'Future Orders'!$B159, "1")</f>
        <v>0</v>
      </c>
      <c r="AJ159" s="157">
        <f>SUMIFS('Future Orders'!$F159, 'Future Orders'!$D159, "4", 'Future Orders'!$C159, "B", 'Future Orders'!$B159, "1")</f>
        <v>0</v>
      </c>
      <c r="AK159" s="157">
        <f>SUMIFS('Future Orders'!$I159, 'Future Orders'!$D159, "4", 'Future Orders'!$C159, "B", 'Future Orders'!$B159, "1")</f>
        <v>0</v>
      </c>
      <c r="AL159" s="157">
        <f>SUMIFS('Future Orders'!$F159, 'Future Orders'!$D159, "4", 'Future Orders'!$C159, "A", 'Future Orders'!$B159, "2")</f>
        <v>0</v>
      </c>
      <c r="AM159" s="157">
        <f>SUMIFS('Future Orders'!$I159, 'Future Orders'!$D159, "4", 'Future Orders'!$C159, "A", 'Future Orders'!$B159, "2")</f>
        <v>0</v>
      </c>
      <c r="AN159" s="171">
        <f>SUMIFS('Future Orders'!$F159, 'Future Orders'!$D159, "4", 'Future Orders'!$C159, "B", 'Future Orders'!$B159, "2")</f>
        <v>0</v>
      </c>
      <c r="AO159" s="171">
        <f>SUMIFS('Future Orders'!$I159, 'Future Orders'!$D159, "4", 'Future Orders'!$C159, "B", 'Future Orders'!$B159, "2")</f>
        <v>0</v>
      </c>
      <c r="AP159" s="171">
        <f>SUMIFS('Future Orders'!$H159, 'Future Orders'!$C159, "A", 'Future Orders'!$B159, "1")</f>
        <v>6388.8</v>
      </c>
      <c r="AQ159" s="171">
        <f>SUMIFS('Future Orders'!$I159, 'Future Orders'!$C159, "B", 'Future Orders'!$B159, "1")</f>
        <v>0</v>
      </c>
      <c r="AR159" s="171">
        <f>SUMIFS('Future Orders'!$H159, 'Future Orders'!$C159, "A", 'Future Orders'!$B159, "2")</f>
        <v>0</v>
      </c>
      <c r="AS159" s="171">
        <f>SUMIFS('Future Orders'!$I159, 'Future Orders'!$C159, "B", 'Future Orders'!$B159, "2")</f>
        <v>0</v>
      </c>
      <c r="AT159" s="145"/>
      <c r="AU159" s="172"/>
      <c r="AV159" s="172"/>
      <c r="AW159" s="172"/>
      <c r="AX159" s="172"/>
      <c r="AY159" s="172"/>
      <c r="AZ159" s="172"/>
      <c r="BA159" s="172"/>
      <c r="BB159" s="172"/>
      <c r="BC159" s="172"/>
      <c r="BD159" s="172"/>
      <c r="BE159" s="172"/>
      <c r="BF159" s="172"/>
      <c r="BG159" s="172"/>
      <c r="BH159" s="172"/>
      <c r="BI159" s="172"/>
      <c r="BJ159" s="172"/>
      <c r="BK159" s="172"/>
      <c r="BL159" s="172"/>
      <c r="BM159" s="172"/>
      <c r="BN159" s="172"/>
      <c r="BO159" s="172"/>
      <c r="BP159" s="172"/>
      <c r="BQ159" s="172"/>
      <c r="BR159" s="172"/>
      <c r="BS159" s="172"/>
      <c r="BT159" s="172"/>
      <c r="BU159" s="172"/>
      <c r="BV159" s="172"/>
      <c r="BW159" s="172"/>
      <c r="BX159" s="172"/>
      <c r="BY159" s="172"/>
      <c r="BZ159" s="172"/>
      <c r="CA159" s="179"/>
      <c r="CB159" s="179"/>
      <c r="CC159" s="179"/>
      <c r="CD159" s="179"/>
      <c r="CE159" s="179"/>
      <c r="CF159" s="179"/>
      <c r="CG159" s="179"/>
      <c r="CH159" s="179"/>
      <c r="CI159" s="179"/>
      <c r="CJ159" s="179"/>
      <c r="CK159" s="179"/>
      <c r="CL159" s="179"/>
      <c r="CM159" s="179"/>
      <c r="CN159" s="179"/>
      <c r="CO159" s="179"/>
      <c r="CP159" s="179"/>
    </row>
    <row r="160" ht="15.75" customHeight="1">
      <c r="A160" s="151">
        <v>42037.0</v>
      </c>
      <c r="B160" s="152">
        <v>2.0</v>
      </c>
      <c r="C160" s="152" t="s">
        <v>45</v>
      </c>
      <c r="D160" s="152">
        <v>1.0</v>
      </c>
      <c r="E160" s="153">
        <v>2843.0</v>
      </c>
      <c r="F160" s="153">
        <f>SUM(('Future Orders'!$E160) * (1.1))</f>
        <v>3127.3</v>
      </c>
      <c r="G160" s="154">
        <v>2.2</v>
      </c>
      <c r="H160" s="155">
        <v>6254.6</v>
      </c>
      <c r="I160" s="155">
        <f>SUM(('Future Orders'!$H160) * (1.1))</f>
        <v>6880.06</v>
      </c>
      <c r="J160" s="159">
        <f>SUMIFS('Future Orders'!$F160, 'Future Orders'!$D160, "1", 'Future Orders'!$C160, "A", 'Future Orders'!$B160, "1")</f>
        <v>0</v>
      </c>
      <c r="K160" s="157">
        <f>SUMIFS('Future Orders'!$I160, 'Future Orders'!$D160, "1", 'Future Orders'!$C160, "A", 'Future Orders'!$B160, "1")</f>
        <v>0</v>
      </c>
      <c r="L160" s="157">
        <f>SUMIFS('Future Orders'!$F160, 'Future Orders'!$D160, "1", 'Future Orders'!$C160, "B", 'Future Orders'!$B160, "1")</f>
        <v>0</v>
      </c>
      <c r="M160" s="157">
        <f>SUMIFS('Future Orders'!$I160, 'Future Orders'!$D160, "1", 'Future Orders'!$C160, "B", 'Future Orders'!$B160, "1")</f>
        <v>0</v>
      </c>
      <c r="N160" s="159">
        <f>SUMIFS('Future Orders'!$F160, 'Future Orders'!$D160, "1", 'Future Orders'!$C160, "A", 'Future Orders'!$B160, "2")</f>
        <v>3127.3</v>
      </c>
      <c r="O160" s="157">
        <f>SUMIFS('Future Orders'!$I160, 'Future Orders'!$D160, "1", 'Future Orders'!$C160, "A", 'Future Orders'!$B160, "2")</f>
        <v>6880.06</v>
      </c>
      <c r="P160" s="157">
        <f>SUMIFS('Future Orders'!$E160, 'Future Orders'!$D160, "1", 'Future Orders'!$C160, "B", 'Future Orders'!$B160, "2")</f>
        <v>0</v>
      </c>
      <c r="Q160" s="157">
        <f>SUMIFS('Future Orders'!$I160, 'Future Orders'!$D160, "1", 'Future Orders'!$C160, "B", 'Future Orders'!$B160, "2")</f>
        <v>0</v>
      </c>
      <c r="R160" s="159">
        <f>SUMIFS('Future Orders'!$F160, 'Future Orders'!$D160, "2", 'Future Orders'!$C160, "A", 'Future Orders'!$B160, "1")</f>
        <v>0</v>
      </c>
      <c r="S160" s="157">
        <f>SUMIFS('Future Orders'!$I160, 'Future Orders'!$D160, "2", 'Future Orders'!$C160, "A", 'Future Orders'!$B160, "1")</f>
        <v>0</v>
      </c>
      <c r="T160" s="159">
        <f>SUMIFS('Future Orders'!$F160, 'Future Orders'!$D160, "2", 'Future Orders'!$C160, "B", 'Future Orders'!$B160, "1")</f>
        <v>0</v>
      </c>
      <c r="U160" s="157">
        <f>SUMIFS('Future Orders'!$I160, 'Future Orders'!$D160, "2", 'Future Orders'!$C160, "B", 'Future Orders'!$B160, "1")</f>
        <v>0</v>
      </c>
      <c r="V160" s="159">
        <f>SUMIFS('Future Orders'!$F160, 'Future Orders'!$D160, "2", 'Future Orders'!$C160, "A", 'Future Orders'!$B160, "2")</f>
        <v>0</v>
      </c>
      <c r="W160" s="157">
        <f>SUMIFS('Future Orders'!$I160, 'Future Orders'!$D160, "2", 'Future Orders'!$C160, "A", 'Future Orders'!$B160, "2")</f>
        <v>0</v>
      </c>
      <c r="X160" s="159">
        <f>SUMIFS('Future Orders'!$F160, 'Future Orders'!$D160, "2", 'Future Orders'!$C160, "B", 'Future Orders'!$B160, "2")</f>
        <v>0</v>
      </c>
      <c r="Y160" s="159">
        <f>SUMIFS('Future Orders'!$I160, 'Future Orders'!$D160, "2", 'Future Orders'!$C160, "B", 'Future Orders'!$B160, "2")</f>
        <v>0</v>
      </c>
      <c r="Z160" s="159">
        <f>SUMIFS('Future Orders'!$F160, 'Future Orders'!$D160, "3", 'Future Orders'!$C160, "A", 'Future Orders'!$B160, "1")</f>
        <v>0</v>
      </c>
      <c r="AA160" s="159">
        <f>SUMIFS('Future Orders'!$I160, 'Future Orders'!$D160, "3", 'Future Orders'!$C160, "A", 'Future Orders'!$B160, "1")</f>
        <v>0</v>
      </c>
      <c r="AB160" s="159">
        <f>SUMIFS('Future Orders'!$F160, 'Future Orders'!$D160, "3", 'Future Orders'!$C160, "B", 'Future Orders'!$B160, "1")</f>
        <v>0</v>
      </c>
      <c r="AC160" s="159">
        <f>SUMIFS('Future Orders'!$I160, 'Future Orders'!$D160, "3", 'Future Orders'!$C160, "B", 'Future Orders'!$B160, "1")</f>
        <v>0</v>
      </c>
      <c r="AD160" s="159">
        <f>SUMIFS('Future Orders'!$F160, 'Future Orders'!$D160, "3", 'Future Orders'!$C160, "A", 'Future Orders'!$B160, "2")</f>
        <v>0</v>
      </c>
      <c r="AE160" s="159">
        <f>SUMIFS('Future Orders'!$I160, 'Future Orders'!$D160, "3", 'Future Orders'!$C160, "A", 'Future Orders'!$B160, "2")</f>
        <v>0</v>
      </c>
      <c r="AF160" s="159">
        <f>SUMIFS('Future Orders'!$F160, 'Future Orders'!$D160, "3", 'Future Orders'!$C160, "B", 'Future Orders'!$B160, "2")</f>
        <v>0</v>
      </c>
      <c r="AG160" s="157">
        <f>SUMIFS('Future Orders'!$I160, 'Future Orders'!$D160, "3", 'Future Orders'!$C160, "B", 'Future Orders'!$B160, "2")</f>
        <v>0</v>
      </c>
      <c r="AH160" s="157">
        <f>SUMIFS('Future Orders'!$F160, 'Future Orders'!$D160, "4", 'Future Orders'!$C160, "A", 'Future Orders'!$B160, "1")</f>
        <v>0</v>
      </c>
      <c r="AI160" s="157">
        <f>SUMIFS('Future Orders'!$I160, 'Future Orders'!$D160, "4", 'Future Orders'!$C160, "A", 'Future Orders'!$B160, "1")</f>
        <v>0</v>
      </c>
      <c r="AJ160" s="157">
        <f>SUMIFS('Future Orders'!$F160, 'Future Orders'!$D160, "4", 'Future Orders'!$C160, "B", 'Future Orders'!$B160, "1")</f>
        <v>0</v>
      </c>
      <c r="AK160" s="157">
        <f>SUMIFS('Future Orders'!$I160, 'Future Orders'!$D160, "4", 'Future Orders'!$C160, "B", 'Future Orders'!$B160, "1")</f>
        <v>0</v>
      </c>
      <c r="AL160" s="157">
        <f>SUMIFS('Future Orders'!$F160, 'Future Orders'!$D160, "4", 'Future Orders'!$C160, "A", 'Future Orders'!$B160, "2")</f>
        <v>0</v>
      </c>
      <c r="AM160" s="157">
        <f>SUMIFS('Future Orders'!$I160, 'Future Orders'!$D160, "4", 'Future Orders'!$C160, "A", 'Future Orders'!$B160, "2")</f>
        <v>0</v>
      </c>
      <c r="AN160" s="171">
        <f>SUMIFS('Future Orders'!$F160, 'Future Orders'!$D160, "4", 'Future Orders'!$C160, "B", 'Future Orders'!$B160, "2")</f>
        <v>0</v>
      </c>
      <c r="AO160" s="171">
        <f>SUMIFS('Future Orders'!$I160, 'Future Orders'!$D160, "4", 'Future Orders'!$C160, "B", 'Future Orders'!$B160, "2")</f>
        <v>0</v>
      </c>
      <c r="AP160" s="171">
        <f>SUMIFS('Future Orders'!$H160, 'Future Orders'!$C160, "A", 'Future Orders'!$B160, "1")</f>
        <v>0</v>
      </c>
      <c r="AQ160" s="171">
        <f>SUMIFS('Future Orders'!$I160, 'Future Orders'!$C160, "B", 'Future Orders'!$B160, "1")</f>
        <v>0</v>
      </c>
      <c r="AR160" s="171">
        <f>SUMIFS('Future Orders'!$H160, 'Future Orders'!$C160, "A", 'Future Orders'!$B160, "2")</f>
        <v>6254.6</v>
      </c>
      <c r="AS160" s="171">
        <f>SUMIFS('Future Orders'!$I160, 'Future Orders'!$C160, "B", 'Future Orders'!$B160, "2")</f>
        <v>0</v>
      </c>
      <c r="AT160" s="145"/>
      <c r="AU160" s="172"/>
      <c r="AV160" s="172"/>
      <c r="AW160" s="172"/>
      <c r="AX160" s="172"/>
      <c r="AY160" s="172"/>
      <c r="AZ160" s="172"/>
      <c r="BA160" s="172"/>
      <c r="BB160" s="172"/>
      <c r="BC160" s="172"/>
      <c r="BD160" s="172"/>
      <c r="BE160" s="172"/>
      <c r="BF160" s="172"/>
      <c r="BG160" s="172"/>
      <c r="BH160" s="172"/>
      <c r="BI160" s="172"/>
      <c r="BJ160" s="172"/>
      <c r="BK160" s="172"/>
      <c r="BL160" s="172"/>
      <c r="BM160" s="172"/>
      <c r="BN160" s="172"/>
      <c r="BO160" s="172"/>
      <c r="BP160" s="172"/>
      <c r="BQ160" s="172"/>
      <c r="BR160" s="172"/>
      <c r="BS160" s="172"/>
      <c r="BT160" s="172"/>
      <c r="BU160" s="172"/>
      <c r="BV160" s="172"/>
      <c r="BW160" s="172"/>
      <c r="BX160" s="172"/>
      <c r="BY160" s="172"/>
      <c r="BZ160" s="172"/>
      <c r="CA160" s="179"/>
      <c r="CB160" s="179"/>
      <c r="CC160" s="179"/>
      <c r="CD160" s="179"/>
      <c r="CE160" s="179"/>
      <c r="CF160" s="179"/>
      <c r="CG160" s="179"/>
      <c r="CH160" s="179"/>
      <c r="CI160" s="179"/>
      <c r="CJ160" s="179"/>
      <c r="CK160" s="179"/>
      <c r="CL160" s="179"/>
      <c r="CM160" s="179"/>
      <c r="CN160" s="179"/>
      <c r="CO160" s="179"/>
      <c r="CP160" s="179"/>
    </row>
    <row r="161" ht="15.75" customHeight="1">
      <c r="A161" s="151">
        <v>42037.0</v>
      </c>
      <c r="B161" s="152">
        <v>2.0</v>
      </c>
      <c r="C161" s="152" t="s">
        <v>45</v>
      </c>
      <c r="D161" s="152">
        <v>2.0</v>
      </c>
      <c r="E161" s="153">
        <v>6268.0</v>
      </c>
      <c r="F161" s="153">
        <f>SUM(('Future Orders'!$E161) * (1.1))</f>
        <v>6894.8</v>
      </c>
      <c r="G161" s="154">
        <v>1.2</v>
      </c>
      <c r="H161" s="155">
        <v>7521.599999999999</v>
      </c>
      <c r="I161" s="155">
        <f>SUM(('Future Orders'!$H161) * (1.1))</f>
        <v>8273.76</v>
      </c>
      <c r="J161" s="159">
        <f>SUMIFS('Future Orders'!$F161, 'Future Orders'!$D161, "1", 'Future Orders'!$C161, "A", 'Future Orders'!$B161, "1")</f>
        <v>0</v>
      </c>
      <c r="K161" s="157">
        <f>SUMIFS('Future Orders'!$I161, 'Future Orders'!$D161, "1", 'Future Orders'!$C161, "A", 'Future Orders'!$B161, "1")</f>
        <v>0</v>
      </c>
      <c r="L161" s="157">
        <f>SUMIFS('Future Orders'!$F161, 'Future Orders'!$D161, "1", 'Future Orders'!$C161, "B", 'Future Orders'!$B161, "1")</f>
        <v>0</v>
      </c>
      <c r="M161" s="157">
        <f>SUMIFS('Future Orders'!$I161, 'Future Orders'!$D161, "1", 'Future Orders'!$C161, "B", 'Future Orders'!$B161, "1")</f>
        <v>0</v>
      </c>
      <c r="N161" s="159">
        <f>SUMIFS('Future Orders'!$F161, 'Future Orders'!$D161, "1", 'Future Orders'!$C161, "A", 'Future Orders'!$B161, "2")</f>
        <v>0</v>
      </c>
      <c r="O161" s="157">
        <f>SUMIFS('Future Orders'!$I161, 'Future Orders'!$D161, "1", 'Future Orders'!$C161, "A", 'Future Orders'!$B161, "2")</f>
        <v>0</v>
      </c>
      <c r="P161" s="157">
        <f>SUMIFS('Future Orders'!$E161, 'Future Orders'!$D161, "1", 'Future Orders'!$C161, "B", 'Future Orders'!$B161, "2")</f>
        <v>0</v>
      </c>
      <c r="Q161" s="157">
        <f>SUMIFS('Future Orders'!$I161, 'Future Orders'!$D161, "1", 'Future Orders'!$C161, "B", 'Future Orders'!$B161, "2")</f>
        <v>0</v>
      </c>
      <c r="R161" s="159">
        <f>SUMIFS('Future Orders'!$F161, 'Future Orders'!$D161, "2", 'Future Orders'!$C161, "A", 'Future Orders'!$B161, "1")</f>
        <v>0</v>
      </c>
      <c r="S161" s="157">
        <f>SUMIFS('Future Orders'!$I161, 'Future Orders'!$D161, "2", 'Future Orders'!$C161, "A", 'Future Orders'!$B161, "1")</f>
        <v>0</v>
      </c>
      <c r="T161" s="159">
        <f>SUMIFS('Future Orders'!$F161, 'Future Orders'!$D161, "2", 'Future Orders'!$C161, "B", 'Future Orders'!$B161, "1")</f>
        <v>0</v>
      </c>
      <c r="U161" s="157">
        <f>SUMIFS('Future Orders'!$I161, 'Future Orders'!$D161, "2", 'Future Orders'!$C161, "B", 'Future Orders'!$B161, "1")</f>
        <v>0</v>
      </c>
      <c r="V161" s="159">
        <f>SUMIFS('Future Orders'!$F161, 'Future Orders'!$D161, "2", 'Future Orders'!$C161, "A", 'Future Orders'!$B161, "2")</f>
        <v>6894.8</v>
      </c>
      <c r="W161" s="157">
        <f>SUMIFS('Future Orders'!$I161, 'Future Orders'!$D161, "2", 'Future Orders'!$C161, "A", 'Future Orders'!$B161, "2")</f>
        <v>8273.76</v>
      </c>
      <c r="X161" s="159">
        <f>SUMIFS('Future Orders'!$F161, 'Future Orders'!$D161, "2", 'Future Orders'!$C161, "B", 'Future Orders'!$B161, "2")</f>
        <v>0</v>
      </c>
      <c r="Y161" s="159">
        <f>SUMIFS('Future Orders'!$I161, 'Future Orders'!$D161, "2", 'Future Orders'!$C161, "B", 'Future Orders'!$B161, "2")</f>
        <v>0</v>
      </c>
      <c r="Z161" s="159">
        <f>SUMIFS('Future Orders'!$F161, 'Future Orders'!$D161, "3", 'Future Orders'!$C161, "A", 'Future Orders'!$B161, "1")</f>
        <v>0</v>
      </c>
      <c r="AA161" s="159">
        <f>SUMIFS('Future Orders'!$I161, 'Future Orders'!$D161, "3", 'Future Orders'!$C161, "A", 'Future Orders'!$B161, "1")</f>
        <v>0</v>
      </c>
      <c r="AB161" s="159">
        <f>SUMIFS('Future Orders'!$F161, 'Future Orders'!$D161, "3", 'Future Orders'!$C161, "B", 'Future Orders'!$B161, "1")</f>
        <v>0</v>
      </c>
      <c r="AC161" s="159">
        <f>SUMIFS('Future Orders'!$I161, 'Future Orders'!$D161, "3", 'Future Orders'!$C161, "B", 'Future Orders'!$B161, "1")</f>
        <v>0</v>
      </c>
      <c r="AD161" s="159">
        <f>SUMIFS('Future Orders'!$F161, 'Future Orders'!$D161, "3", 'Future Orders'!$C161, "A", 'Future Orders'!$B161, "2")</f>
        <v>0</v>
      </c>
      <c r="AE161" s="159">
        <f>SUMIFS('Future Orders'!$I161, 'Future Orders'!$D161, "3", 'Future Orders'!$C161, "A", 'Future Orders'!$B161, "2")</f>
        <v>0</v>
      </c>
      <c r="AF161" s="159">
        <f>SUMIFS('Future Orders'!$F161, 'Future Orders'!$D161, "3", 'Future Orders'!$C161, "B", 'Future Orders'!$B161, "2")</f>
        <v>0</v>
      </c>
      <c r="AG161" s="157">
        <f>SUMIFS('Future Orders'!$I161, 'Future Orders'!$D161, "3", 'Future Orders'!$C161, "B", 'Future Orders'!$B161, "2")</f>
        <v>0</v>
      </c>
      <c r="AH161" s="157">
        <f>SUMIFS('Future Orders'!$F161, 'Future Orders'!$D161, "4", 'Future Orders'!$C161, "A", 'Future Orders'!$B161, "1")</f>
        <v>0</v>
      </c>
      <c r="AI161" s="157">
        <f>SUMIFS('Future Orders'!$I161, 'Future Orders'!$D161, "4", 'Future Orders'!$C161, "A", 'Future Orders'!$B161, "1")</f>
        <v>0</v>
      </c>
      <c r="AJ161" s="157">
        <f>SUMIFS('Future Orders'!$F161, 'Future Orders'!$D161, "4", 'Future Orders'!$C161, "B", 'Future Orders'!$B161, "1")</f>
        <v>0</v>
      </c>
      <c r="AK161" s="157">
        <f>SUMIFS('Future Orders'!$I161, 'Future Orders'!$D161, "4", 'Future Orders'!$C161, "B", 'Future Orders'!$B161, "1")</f>
        <v>0</v>
      </c>
      <c r="AL161" s="157">
        <f>SUMIFS('Future Orders'!$F161, 'Future Orders'!$D161, "4", 'Future Orders'!$C161, "A", 'Future Orders'!$B161, "2")</f>
        <v>0</v>
      </c>
      <c r="AM161" s="157">
        <f>SUMIFS('Future Orders'!$I161, 'Future Orders'!$D161, "4", 'Future Orders'!$C161, "A", 'Future Orders'!$B161, "2")</f>
        <v>0</v>
      </c>
      <c r="AN161" s="171">
        <f>SUMIFS('Future Orders'!$F161, 'Future Orders'!$D161, "4", 'Future Orders'!$C161, "B", 'Future Orders'!$B161, "2")</f>
        <v>0</v>
      </c>
      <c r="AO161" s="171">
        <f>SUMIFS('Future Orders'!$I161, 'Future Orders'!$D161, "4", 'Future Orders'!$C161, "B", 'Future Orders'!$B161, "2")</f>
        <v>0</v>
      </c>
      <c r="AP161" s="171">
        <f>SUMIFS('Future Orders'!$H161, 'Future Orders'!$C161, "A", 'Future Orders'!$B161, "1")</f>
        <v>0</v>
      </c>
      <c r="AQ161" s="171">
        <f>SUMIFS('Future Orders'!$I161, 'Future Orders'!$C161, "B", 'Future Orders'!$B161, "1")</f>
        <v>0</v>
      </c>
      <c r="AR161" s="171">
        <f>SUMIFS('Future Orders'!$H161, 'Future Orders'!$C161, "A", 'Future Orders'!$B161, "2")</f>
        <v>7521.6</v>
      </c>
      <c r="AS161" s="171">
        <f>SUMIFS('Future Orders'!$I161, 'Future Orders'!$C161, "B", 'Future Orders'!$B161, "2")</f>
        <v>0</v>
      </c>
      <c r="AT161" s="145"/>
      <c r="AU161" s="172"/>
      <c r="AV161" s="172"/>
      <c r="AW161" s="172"/>
      <c r="AX161" s="172"/>
      <c r="AY161" s="172"/>
      <c r="AZ161" s="172"/>
      <c r="BA161" s="172"/>
      <c r="BB161" s="172"/>
      <c r="BC161" s="172"/>
      <c r="BD161" s="172"/>
      <c r="BE161" s="172"/>
      <c r="BF161" s="172"/>
      <c r="BG161" s="172"/>
      <c r="BH161" s="172"/>
      <c r="BI161" s="172"/>
      <c r="BJ161" s="172"/>
      <c r="BK161" s="172"/>
      <c r="BL161" s="172"/>
      <c r="BM161" s="172"/>
      <c r="BN161" s="172"/>
      <c r="BO161" s="172"/>
      <c r="BP161" s="172"/>
      <c r="BQ161" s="172"/>
      <c r="BR161" s="172"/>
      <c r="BS161" s="172"/>
      <c r="BT161" s="172"/>
      <c r="BU161" s="172"/>
      <c r="BV161" s="172"/>
      <c r="BW161" s="172"/>
      <c r="BX161" s="172"/>
      <c r="BY161" s="172"/>
      <c r="BZ161" s="172"/>
      <c r="CA161" s="179"/>
      <c r="CB161" s="179"/>
      <c r="CC161" s="179"/>
      <c r="CD161" s="179"/>
      <c r="CE161" s="179"/>
      <c r="CF161" s="179"/>
      <c r="CG161" s="179"/>
      <c r="CH161" s="179"/>
      <c r="CI161" s="179"/>
      <c r="CJ161" s="179"/>
      <c r="CK161" s="179"/>
      <c r="CL161" s="179"/>
      <c r="CM161" s="179"/>
      <c r="CN161" s="179"/>
      <c r="CO161" s="179"/>
      <c r="CP161" s="179"/>
    </row>
    <row r="162" ht="15.75" customHeight="1">
      <c r="A162" s="151">
        <v>42037.0</v>
      </c>
      <c r="B162" s="152">
        <v>1.0</v>
      </c>
      <c r="C162" s="152" t="s">
        <v>46</v>
      </c>
      <c r="D162" s="152">
        <v>3.0</v>
      </c>
      <c r="E162" s="153">
        <v>1971.0</v>
      </c>
      <c r="F162" s="153">
        <f>SUM(('Future Orders'!$E162) * (1.1))</f>
        <v>2168.1</v>
      </c>
      <c r="G162" s="154">
        <v>8.3</v>
      </c>
      <c r="H162" s="155">
        <v>16359.300000000001</v>
      </c>
      <c r="I162" s="155">
        <f>SUM(('Future Orders'!$H162) * (1.1))</f>
        <v>17995.23</v>
      </c>
      <c r="J162" s="159">
        <f>SUMIFS('Future Orders'!$F162, 'Future Orders'!$D162, "1", 'Future Orders'!$C162, "A", 'Future Orders'!$B162, "1")</f>
        <v>0</v>
      </c>
      <c r="K162" s="157">
        <f>SUMIFS('Future Orders'!$I162, 'Future Orders'!$D162, "1", 'Future Orders'!$C162, "A", 'Future Orders'!$B162, "1")</f>
        <v>0</v>
      </c>
      <c r="L162" s="157">
        <f>SUMIFS('Future Orders'!$F162, 'Future Orders'!$D162, "1", 'Future Orders'!$C162, "B", 'Future Orders'!$B162, "1")</f>
        <v>0</v>
      </c>
      <c r="M162" s="157">
        <f>SUMIFS('Future Orders'!$I162, 'Future Orders'!$D162, "1", 'Future Orders'!$C162, "B", 'Future Orders'!$B162, "1")</f>
        <v>0</v>
      </c>
      <c r="N162" s="159">
        <f>SUMIFS('Future Orders'!$F162, 'Future Orders'!$D162, "1", 'Future Orders'!$C162, "A", 'Future Orders'!$B162, "2")</f>
        <v>0</v>
      </c>
      <c r="O162" s="157">
        <f>SUMIFS('Future Orders'!$I162, 'Future Orders'!$D162, "1", 'Future Orders'!$C162, "A", 'Future Orders'!$B162, "2")</f>
        <v>0</v>
      </c>
      <c r="P162" s="157">
        <f>SUMIFS('Future Orders'!$E162, 'Future Orders'!$D162, "1", 'Future Orders'!$C162, "B", 'Future Orders'!$B162, "2")</f>
        <v>0</v>
      </c>
      <c r="Q162" s="157">
        <f>SUMIFS('Future Orders'!$I162, 'Future Orders'!$D162, "1", 'Future Orders'!$C162, "B", 'Future Orders'!$B162, "2")</f>
        <v>0</v>
      </c>
      <c r="R162" s="159">
        <f>SUMIFS('Future Orders'!$F162, 'Future Orders'!$D162, "2", 'Future Orders'!$C162, "A", 'Future Orders'!$B162, "1")</f>
        <v>0</v>
      </c>
      <c r="S162" s="157">
        <f>SUMIFS('Future Orders'!$I162, 'Future Orders'!$D162, "2", 'Future Orders'!$C162, "A", 'Future Orders'!$B162, "1")</f>
        <v>0</v>
      </c>
      <c r="T162" s="159">
        <f>SUMIFS('Future Orders'!$F162, 'Future Orders'!$D162, "2", 'Future Orders'!$C162, "B", 'Future Orders'!$B162, "1")</f>
        <v>0</v>
      </c>
      <c r="U162" s="157">
        <f>SUMIFS('Future Orders'!$I162, 'Future Orders'!$D162, "2", 'Future Orders'!$C162, "B", 'Future Orders'!$B162, "1")</f>
        <v>0</v>
      </c>
      <c r="V162" s="159">
        <f>SUMIFS('Future Orders'!$F162, 'Future Orders'!$D162, "2", 'Future Orders'!$C162, "A", 'Future Orders'!$B162, "2")</f>
        <v>0</v>
      </c>
      <c r="W162" s="157">
        <f>SUMIFS('Future Orders'!$I162, 'Future Orders'!$D162, "2", 'Future Orders'!$C162, "A", 'Future Orders'!$B162, "2")</f>
        <v>0</v>
      </c>
      <c r="X162" s="159">
        <f>SUMIFS('Future Orders'!$F162, 'Future Orders'!$D162, "2", 'Future Orders'!$C162, "B", 'Future Orders'!$B162, "2")</f>
        <v>0</v>
      </c>
      <c r="Y162" s="159">
        <f>SUMIFS('Future Orders'!$I162, 'Future Orders'!$D162, "2", 'Future Orders'!$C162, "B", 'Future Orders'!$B162, "2")</f>
        <v>0</v>
      </c>
      <c r="Z162" s="159">
        <f>SUMIFS('Future Orders'!$F162, 'Future Orders'!$D162, "3", 'Future Orders'!$C162, "A", 'Future Orders'!$B162, "1")</f>
        <v>0</v>
      </c>
      <c r="AA162" s="159">
        <f>SUMIFS('Future Orders'!$I162, 'Future Orders'!$D162, "3", 'Future Orders'!$C162, "A", 'Future Orders'!$B162, "1")</f>
        <v>0</v>
      </c>
      <c r="AB162" s="159">
        <f>SUMIFS('Future Orders'!$F162, 'Future Orders'!$D162, "3", 'Future Orders'!$C162, "B", 'Future Orders'!$B162, "1")</f>
        <v>2168.1</v>
      </c>
      <c r="AC162" s="159">
        <f>SUMIFS('Future Orders'!$I162, 'Future Orders'!$D162, "3", 'Future Orders'!$C162, "B", 'Future Orders'!$B162, "1")</f>
        <v>17995.23</v>
      </c>
      <c r="AD162" s="159">
        <f>SUMIFS('Future Orders'!$F162, 'Future Orders'!$D162, "3", 'Future Orders'!$C162, "A", 'Future Orders'!$B162, "2")</f>
        <v>0</v>
      </c>
      <c r="AE162" s="159">
        <f>SUMIFS('Future Orders'!$I162, 'Future Orders'!$D162, "3", 'Future Orders'!$C162, "A", 'Future Orders'!$B162, "2")</f>
        <v>0</v>
      </c>
      <c r="AF162" s="159">
        <f>SUMIFS('Future Orders'!$F162, 'Future Orders'!$D162, "3", 'Future Orders'!$C162, "B", 'Future Orders'!$B162, "2")</f>
        <v>0</v>
      </c>
      <c r="AG162" s="157">
        <f>SUMIFS('Future Orders'!$I162, 'Future Orders'!$D162, "3", 'Future Orders'!$C162, "B", 'Future Orders'!$B162, "2")</f>
        <v>0</v>
      </c>
      <c r="AH162" s="157">
        <f>SUMIFS('Future Orders'!$F162, 'Future Orders'!$D162, "4", 'Future Orders'!$C162, "A", 'Future Orders'!$B162, "1")</f>
        <v>0</v>
      </c>
      <c r="AI162" s="157">
        <f>SUMIFS('Future Orders'!$I162, 'Future Orders'!$D162, "4", 'Future Orders'!$C162, "A", 'Future Orders'!$B162, "1")</f>
        <v>0</v>
      </c>
      <c r="AJ162" s="157">
        <f>SUMIFS('Future Orders'!$F162, 'Future Orders'!$D162, "4", 'Future Orders'!$C162, "B", 'Future Orders'!$B162, "1")</f>
        <v>0</v>
      </c>
      <c r="AK162" s="157">
        <f>SUMIFS('Future Orders'!$I162, 'Future Orders'!$D162, "4", 'Future Orders'!$C162, "B", 'Future Orders'!$B162, "1")</f>
        <v>0</v>
      </c>
      <c r="AL162" s="157">
        <f>SUMIFS('Future Orders'!$F162, 'Future Orders'!$D162, "4", 'Future Orders'!$C162, "A", 'Future Orders'!$B162, "2")</f>
        <v>0</v>
      </c>
      <c r="AM162" s="157">
        <f>SUMIFS('Future Orders'!$I162, 'Future Orders'!$D162, "4", 'Future Orders'!$C162, "A", 'Future Orders'!$B162, "2")</f>
        <v>0</v>
      </c>
      <c r="AN162" s="171">
        <f>SUMIFS('Future Orders'!$F162, 'Future Orders'!$D162, "4", 'Future Orders'!$C162, "B", 'Future Orders'!$B162, "2")</f>
        <v>0</v>
      </c>
      <c r="AO162" s="171">
        <f>SUMIFS('Future Orders'!$I162, 'Future Orders'!$D162, "4", 'Future Orders'!$C162, "B", 'Future Orders'!$B162, "2")</f>
        <v>0</v>
      </c>
      <c r="AP162" s="171">
        <f>SUMIFS('Future Orders'!$H162, 'Future Orders'!$C162, "A", 'Future Orders'!$B162, "1")</f>
        <v>0</v>
      </c>
      <c r="AQ162" s="171">
        <f>SUMIFS('Future Orders'!$I162, 'Future Orders'!$C162, "B", 'Future Orders'!$B162, "1")</f>
        <v>17995.23</v>
      </c>
      <c r="AR162" s="171">
        <f>SUMIFS('Future Orders'!$H162, 'Future Orders'!$C162, "A", 'Future Orders'!$B162, "2")</f>
        <v>0</v>
      </c>
      <c r="AS162" s="171">
        <f>SUMIFS('Future Orders'!$I162, 'Future Orders'!$C162, "B", 'Future Orders'!$B162, "2")</f>
        <v>0</v>
      </c>
      <c r="AT162" s="145"/>
      <c r="AU162" s="172"/>
      <c r="AV162" s="172"/>
      <c r="AW162" s="172"/>
      <c r="AX162" s="172"/>
      <c r="AY162" s="172"/>
      <c r="AZ162" s="172"/>
      <c r="BA162" s="172"/>
      <c r="BB162" s="172"/>
      <c r="BC162" s="172"/>
      <c r="BD162" s="172"/>
      <c r="BE162" s="172"/>
      <c r="BF162" s="172"/>
      <c r="BG162" s="172"/>
      <c r="BH162" s="172"/>
      <c r="BI162" s="172"/>
      <c r="BJ162" s="172"/>
      <c r="BK162" s="172"/>
      <c r="BL162" s="172"/>
      <c r="BM162" s="172"/>
      <c r="BN162" s="172"/>
      <c r="BO162" s="172"/>
      <c r="BP162" s="172"/>
      <c r="BQ162" s="172"/>
      <c r="BR162" s="172"/>
      <c r="BS162" s="172"/>
      <c r="BT162" s="172"/>
      <c r="BU162" s="172"/>
      <c r="BV162" s="172"/>
      <c r="BW162" s="172"/>
      <c r="BX162" s="172"/>
      <c r="BY162" s="172"/>
      <c r="BZ162" s="172"/>
      <c r="CA162" s="179"/>
      <c r="CB162" s="179"/>
      <c r="CC162" s="179"/>
      <c r="CD162" s="179"/>
      <c r="CE162" s="179"/>
      <c r="CF162" s="179"/>
      <c r="CG162" s="179"/>
      <c r="CH162" s="179"/>
      <c r="CI162" s="179"/>
      <c r="CJ162" s="179"/>
      <c r="CK162" s="179"/>
      <c r="CL162" s="179"/>
      <c r="CM162" s="179"/>
      <c r="CN162" s="179"/>
      <c r="CO162" s="179"/>
      <c r="CP162" s="179"/>
    </row>
    <row r="163" ht="15.75" customHeight="1">
      <c r="A163" s="151">
        <v>42037.0</v>
      </c>
      <c r="B163" s="152">
        <v>2.0</v>
      </c>
      <c r="C163" s="152" t="s">
        <v>46</v>
      </c>
      <c r="D163" s="152">
        <v>3.0</v>
      </c>
      <c r="E163" s="153">
        <v>2065.0</v>
      </c>
      <c r="F163" s="153">
        <f>SUM(('Future Orders'!$E163) * (1.1))</f>
        <v>2271.5</v>
      </c>
      <c r="G163" s="154">
        <v>8.3</v>
      </c>
      <c r="H163" s="155">
        <v>17139.5</v>
      </c>
      <c r="I163" s="155">
        <f>SUM(('Future Orders'!$H163) * (1.1))</f>
        <v>18853.45</v>
      </c>
      <c r="J163" s="159">
        <f>SUMIFS('Future Orders'!$F163, 'Future Orders'!$D163, "1", 'Future Orders'!$C163, "A", 'Future Orders'!$B163, "1")</f>
        <v>0</v>
      </c>
      <c r="K163" s="157">
        <f>SUMIFS('Future Orders'!$I163, 'Future Orders'!$D163, "1", 'Future Orders'!$C163, "A", 'Future Orders'!$B163, "1")</f>
        <v>0</v>
      </c>
      <c r="L163" s="157">
        <f>SUMIFS('Future Orders'!$F163, 'Future Orders'!$D163, "1", 'Future Orders'!$C163, "B", 'Future Orders'!$B163, "1")</f>
        <v>0</v>
      </c>
      <c r="M163" s="157">
        <f>SUMIFS('Future Orders'!$I163, 'Future Orders'!$D163, "1", 'Future Orders'!$C163, "B", 'Future Orders'!$B163, "1")</f>
        <v>0</v>
      </c>
      <c r="N163" s="159">
        <f>SUMIFS('Future Orders'!$F163, 'Future Orders'!$D163, "1", 'Future Orders'!$C163, "A", 'Future Orders'!$B163, "2")</f>
        <v>0</v>
      </c>
      <c r="O163" s="157">
        <f>SUMIFS('Future Orders'!$I163, 'Future Orders'!$D163, "1", 'Future Orders'!$C163, "A", 'Future Orders'!$B163, "2")</f>
        <v>0</v>
      </c>
      <c r="P163" s="157">
        <f>SUMIFS('Future Orders'!$E163, 'Future Orders'!$D163, "1", 'Future Orders'!$C163, "B", 'Future Orders'!$B163, "2")</f>
        <v>0</v>
      </c>
      <c r="Q163" s="157">
        <f>SUMIFS('Future Orders'!$I163, 'Future Orders'!$D163, "1", 'Future Orders'!$C163, "B", 'Future Orders'!$B163, "2")</f>
        <v>0</v>
      </c>
      <c r="R163" s="159">
        <f>SUMIFS('Future Orders'!$F163, 'Future Orders'!$D163, "2", 'Future Orders'!$C163, "A", 'Future Orders'!$B163, "1")</f>
        <v>0</v>
      </c>
      <c r="S163" s="157">
        <f>SUMIFS('Future Orders'!$I163, 'Future Orders'!$D163, "2", 'Future Orders'!$C163, "A", 'Future Orders'!$B163, "1")</f>
        <v>0</v>
      </c>
      <c r="T163" s="159">
        <f>SUMIFS('Future Orders'!$F163, 'Future Orders'!$D163, "2", 'Future Orders'!$C163, "B", 'Future Orders'!$B163, "1")</f>
        <v>0</v>
      </c>
      <c r="U163" s="157">
        <f>SUMIFS('Future Orders'!$I163, 'Future Orders'!$D163, "2", 'Future Orders'!$C163, "B", 'Future Orders'!$B163, "1")</f>
        <v>0</v>
      </c>
      <c r="V163" s="159">
        <f>SUMIFS('Future Orders'!$F163, 'Future Orders'!$D163, "2", 'Future Orders'!$C163, "A", 'Future Orders'!$B163, "2")</f>
        <v>0</v>
      </c>
      <c r="W163" s="157">
        <f>SUMIFS('Future Orders'!$I163, 'Future Orders'!$D163, "2", 'Future Orders'!$C163, "A", 'Future Orders'!$B163, "2")</f>
        <v>0</v>
      </c>
      <c r="X163" s="159">
        <f>SUMIFS('Future Orders'!$F163, 'Future Orders'!$D163, "2", 'Future Orders'!$C163, "B", 'Future Orders'!$B163, "2")</f>
        <v>0</v>
      </c>
      <c r="Y163" s="159">
        <f>SUMIFS('Future Orders'!$I163, 'Future Orders'!$D163, "2", 'Future Orders'!$C163, "B", 'Future Orders'!$B163, "2")</f>
        <v>0</v>
      </c>
      <c r="Z163" s="159">
        <f>SUMIFS('Future Orders'!$F163, 'Future Orders'!$D163, "3", 'Future Orders'!$C163, "A", 'Future Orders'!$B163, "1")</f>
        <v>0</v>
      </c>
      <c r="AA163" s="159">
        <f>SUMIFS('Future Orders'!$I163, 'Future Orders'!$D163, "3", 'Future Orders'!$C163, "A", 'Future Orders'!$B163, "1")</f>
        <v>0</v>
      </c>
      <c r="AB163" s="159">
        <f>SUMIFS('Future Orders'!$F163, 'Future Orders'!$D163, "3", 'Future Orders'!$C163, "B", 'Future Orders'!$B163, "1")</f>
        <v>0</v>
      </c>
      <c r="AC163" s="159">
        <f>SUMIFS('Future Orders'!$I163, 'Future Orders'!$D163, "3", 'Future Orders'!$C163, "B", 'Future Orders'!$B163, "1")</f>
        <v>0</v>
      </c>
      <c r="AD163" s="159">
        <f>SUMIFS('Future Orders'!$F163, 'Future Orders'!$D163, "3", 'Future Orders'!$C163, "A", 'Future Orders'!$B163, "2")</f>
        <v>0</v>
      </c>
      <c r="AE163" s="159">
        <f>SUMIFS('Future Orders'!$I163, 'Future Orders'!$D163, "3", 'Future Orders'!$C163, "A", 'Future Orders'!$B163, "2")</f>
        <v>0</v>
      </c>
      <c r="AF163" s="159">
        <f>SUMIFS('Future Orders'!$F163, 'Future Orders'!$D163, "3", 'Future Orders'!$C163, "B", 'Future Orders'!$B163, "2")</f>
        <v>2271.5</v>
      </c>
      <c r="AG163" s="157">
        <f>SUMIFS('Future Orders'!$I163, 'Future Orders'!$D163, "3", 'Future Orders'!$C163, "B", 'Future Orders'!$B163, "2")</f>
        <v>18853.45</v>
      </c>
      <c r="AH163" s="157">
        <f>SUMIFS('Future Orders'!$F163, 'Future Orders'!$D163, "4", 'Future Orders'!$C163, "A", 'Future Orders'!$B163, "1")</f>
        <v>0</v>
      </c>
      <c r="AI163" s="157">
        <f>SUMIFS('Future Orders'!$I163, 'Future Orders'!$D163, "4", 'Future Orders'!$C163, "A", 'Future Orders'!$B163, "1")</f>
        <v>0</v>
      </c>
      <c r="AJ163" s="157">
        <f>SUMIFS('Future Orders'!$F163, 'Future Orders'!$D163, "4", 'Future Orders'!$C163, "B", 'Future Orders'!$B163, "1")</f>
        <v>0</v>
      </c>
      <c r="AK163" s="157">
        <f>SUMIFS('Future Orders'!$I163, 'Future Orders'!$D163, "4", 'Future Orders'!$C163, "B", 'Future Orders'!$B163, "1")</f>
        <v>0</v>
      </c>
      <c r="AL163" s="157">
        <f>SUMIFS('Future Orders'!$F163, 'Future Orders'!$D163, "4", 'Future Orders'!$C163, "A", 'Future Orders'!$B163, "2")</f>
        <v>0</v>
      </c>
      <c r="AM163" s="157">
        <f>SUMIFS('Future Orders'!$I163, 'Future Orders'!$D163, "4", 'Future Orders'!$C163, "A", 'Future Orders'!$B163, "2")</f>
        <v>0</v>
      </c>
      <c r="AN163" s="171">
        <f>SUMIFS('Future Orders'!$F163, 'Future Orders'!$D163, "4", 'Future Orders'!$C163, "B", 'Future Orders'!$B163, "2")</f>
        <v>0</v>
      </c>
      <c r="AO163" s="171">
        <f>SUMIFS('Future Orders'!$I163, 'Future Orders'!$D163, "4", 'Future Orders'!$C163, "B", 'Future Orders'!$B163, "2")</f>
        <v>0</v>
      </c>
      <c r="AP163" s="171">
        <f>SUMIFS('Future Orders'!$H163, 'Future Orders'!$C163, "A", 'Future Orders'!$B163, "1")</f>
        <v>0</v>
      </c>
      <c r="AQ163" s="171">
        <f>SUMIFS('Future Orders'!$I163, 'Future Orders'!$C163, "B", 'Future Orders'!$B163, "1")</f>
        <v>0</v>
      </c>
      <c r="AR163" s="171">
        <f>SUMIFS('Future Orders'!$H163, 'Future Orders'!$C163, "A", 'Future Orders'!$B163, "2")</f>
        <v>0</v>
      </c>
      <c r="AS163" s="171">
        <f>SUMIFS('Future Orders'!$I163, 'Future Orders'!$C163, "B", 'Future Orders'!$B163, "2")</f>
        <v>18853.45</v>
      </c>
      <c r="AT163" s="145"/>
      <c r="AU163" s="172"/>
      <c r="AV163" s="172"/>
      <c r="AW163" s="172"/>
      <c r="AX163" s="172"/>
      <c r="AY163" s="172"/>
      <c r="AZ163" s="172"/>
      <c r="BA163" s="172"/>
      <c r="BB163" s="172"/>
      <c r="BC163" s="172"/>
      <c r="BD163" s="172"/>
      <c r="BE163" s="172"/>
      <c r="BF163" s="172"/>
      <c r="BG163" s="172"/>
      <c r="BH163" s="172"/>
      <c r="BI163" s="172"/>
      <c r="BJ163" s="172"/>
      <c r="BK163" s="172"/>
      <c r="BL163" s="172"/>
      <c r="BM163" s="172"/>
      <c r="BN163" s="172"/>
      <c r="BO163" s="172"/>
      <c r="BP163" s="172"/>
      <c r="BQ163" s="172"/>
      <c r="BR163" s="172"/>
      <c r="BS163" s="172"/>
      <c r="BT163" s="172"/>
      <c r="BU163" s="172"/>
      <c r="BV163" s="172"/>
      <c r="BW163" s="172"/>
      <c r="BX163" s="172"/>
      <c r="BY163" s="172"/>
      <c r="BZ163" s="172"/>
      <c r="CA163" s="179"/>
      <c r="CB163" s="179"/>
      <c r="CC163" s="179"/>
      <c r="CD163" s="179"/>
      <c r="CE163" s="179"/>
      <c r="CF163" s="179"/>
      <c r="CG163" s="179"/>
      <c r="CH163" s="179"/>
      <c r="CI163" s="179"/>
      <c r="CJ163" s="179"/>
      <c r="CK163" s="179"/>
      <c r="CL163" s="179"/>
      <c r="CM163" s="179"/>
      <c r="CN163" s="179"/>
      <c r="CO163" s="179"/>
      <c r="CP163" s="179"/>
    </row>
    <row r="164" ht="15.75" customHeight="1">
      <c r="A164" s="151">
        <v>42044.0</v>
      </c>
      <c r="B164" s="152">
        <v>1.0</v>
      </c>
      <c r="C164" s="152" t="s">
        <v>45</v>
      </c>
      <c r="D164" s="152">
        <v>1.0</v>
      </c>
      <c r="E164" s="153">
        <v>4882.0</v>
      </c>
      <c r="F164" s="153">
        <f>SUM(('Future Orders'!$E164) * (1.1))</f>
        <v>5370.2</v>
      </c>
      <c r="G164" s="154">
        <v>2.2</v>
      </c>
      <c r="H164" s="155">
        <v>10740.400000000001</v>
      </c>
      <c r="I164" s="155">
        <f>SUM(('Future Orders'!$H164) * (1.1))</f>
        <v>11814.44</v>
      </c>
      <c r="J164" s="159">
        <f>SUMIFS('Future Orders'!$F164, 'Future Orders'!$D164, "1", 'Future Orders'!$C164, "A", 'Future Orders'!$B164, "1")</f>
        <v>5370.2</v>
      </c>
      <c r="K164" s="157">
        <f>SUMIFS('Future Orders'!$I164, 'Future Orders'!$D164, "1", 'Future Orders'!$C164, "A", 'Future Orders'!$B164, "1")</f>
        <v>11814.44</v>
      </c>
      <c r="L164" s="157">
        <f>SUMIFS('Future Orders'!$F164, 'Future Orders'!$D164, "1", 'Future Orders'!$C164, "B", 'Future Orders'!$B164, "1")</f>
        <v>0</v>
      </c>
      <c r="M164" s="157">
        <f>SUMIFS('Future Orders'!$I164, 'Future Orders'!$D164, "1", 'Future Orders'!$C164, "B", 'Future Orders'!$B164, "1")</f>
        <v>0</v>
      </c>
      <c r="N164" s="159">
        <f>SUMIFS('Future Orders'!$F164, 'Future Orders'!$D164, "1", 'Future Orders'!$C164, "A", 'Future Orders'!$B164, "2")</f>
        <v>0</v>
      </c>
      <c r="O164" s="157">
        <f>SUMIFS('Future Orders'!$I164, 'Future Orders'!$D164, "1", 'Future Orders'!$C164, "A", 'Future Orders'!$B164, "2")</f>
        <v>0</v>
      </c>
      <c r="P164" s="157">
        <f>SUMIFS('Future Orders'!$E164, 'Future Orders'!$D164, "1", 'Future Orders'!$C164, "B", 'Future Orders'!$B164, "2")</f>
        <v>0</v>
      </c>
      <c r="Q164" s="157">
        <f>SUMIFS('Future Orders'!$I164, 'Future Orders'!$D164, "1", 'Future Orders'!$C164, "B", 'Future Orders'!$B164, "2")</f>
        <v>0</v>
      </c>
      <c r="R164" s="159">
        <f>SUMIFS('Future Orders'!$F164, 'Future Orders'!$D164, "2", 'Future Orders'!$C164, "A", 'Future Orders'!$B164, "1")</f>
        <v>0</v>
      </c>
      <c r="S164" s="157">
        <f>SUMIFS('Future Orders'!$I164, 'Future Orders'!$D164, "2", 'Future Orders'!$C164, "A", 'Future Orders'!$B164, "1")</f>
        <v>0</v>
      </c>
      <c r="T164" s="159">
        <f>SUMIFS('Future Orders'!$F164, 'Future Orders'!$D164, "2", 'Future Orders'!$C164, "B", 'Future Orders'!$B164, "1")</f>
        <v>0</v>
      </c>
      <c r="U164" s="157">
        <f>SUMIFS('Future Orders'!$I164, 'Future Orders'!$D164, "2", 'Future Orders'!$C164, "B", 'Future Orders'!$B164, "1")</f>
        <v>0</v>
      </c>
      <c r="V164" s="159">
        <f>SUMIFS('Future Orders'!$F164, 'Future Orders'!$D164, "2", 'Future Orders'!$C164, "A", 'Future Orders'!$B164, "2")</f>
        <v>0</v>
      </c>
      <c r="W164" s="157">
        <f>SUMIFS('Future Orders'!$I164, 'Future Orders'!$D164, "2", 'Future Orders'!$C164, "A", 'Future Orders'!$B164, "2")</f>
        <v>0</v>
      </c>
      <c r="X164" s="159">
        <f>SUMIFS('Future Orders'!$F164, 'Future Orders'!$D164, "2", 'Future Orders'!$C164, "B", 'Future Orders'!$B164, "2")</f>
        <v>0</v>
      </c>
      <c r="Y164" s="159">
        <f>SUMIFS('Future Orders'!$I164, 'Future Orders'!$D164, "2", 'Future Orders'!$C164, "B", 'Future Orders'!$B164, "2")</f>
        <v>0</v>
      </c>
      <c r="Z164" s="159">
        <f>SUMIFS('Future Orders'!$F164, 'Future Orders'!$D164, "3", 'Future Orders'!$C164, "A", 'Future Orders'!$B164, "1")</f>
        <v>0</v>
      </c>
      <c r="AA164" s="159">
        <f>SUMIFS('Future Orders'!$I164, 'Future Orders'!$D164, "3", 'Future Orders'!$C164, "A", 'Future Orders'!$B164, "1")</f>
        <v>0</v>
      </c>
      <c r="AB164" s="159">
        <f>SUMIFS('Future Orders'!$F164, 'Future Orders'!$D164, "3", 'Future Orders'!$C164, "B", 'Future Orders'!$B164, "1")</f>
        <v>0</v>
      </c>
      <c r="AC164" s="159">
        <f>SUMIFS('Future Orders'!$I164, 'Future Orders'!$D164, "3", 'Future Orders'!$C164, "B", 'Future Orders'!$B164, "1")</f>
        <v>0</v>
      </c>
      <c r="AD164" s="159">
        <f>SUMIFS('Future Orders'!$F164, 'Future Orders'!$D164, "3", 'Future Orders'!$C164, "A", 'Future Orders'!$B164, "2")</f>
        <v>0</v>
      </c>
      <c r="AE164" s="159">
        <f>SUMIFS('Future Orders'!$I164, 'Future Orders'!$D164, "3", 'Future Orders'!$C164, "A", 'Future Orders'!$B164, "2")</f>
        <v>0</v>
      </c>
      <c r="AF164" s="159">
        <f>SUMIFS('Future Orders'!$F164, 'Future Orders'!$D164, "3", 'Future Orders'!$C164, "B", 'Future Orders'!$B164, "2")</f>
        <v>0</v>
      </c>
      <c r="AG164" s="157">
        <f>SUMIFS('Future Orders'!$I164, 'Future Orders'!$D164, "3", 'Future Orders'!$C164, "B", 'Future Orders'!$B164, "2")</f>
        <v>0</v>
      </c>
      <c r="AH164" s="157">
        <f>SUMIFS('Future Orders'!$F164, 'Future Orders'!$D164, "4", 'Future Orders'!$C164, "A", 'Future Orders'!$B164, "1")</f>
        <v>0</v>
      </c>
      <c r="AI164" s="157">
        <f>SUMIFS('Future Orders'!$I164, 'Future Orders'!$D164, "4", 'Future Orders'!$C164, "A", 'Future Orders'!$B164, "1")</f>
        <v>0</v>
      </c>
      <c r="AJ164" s="157">
        <f>SUMIFS('Future Orders'!$F164, 'Future Orders'!$D164, "4", 'Future Orders'!$C164, "B", 'Future Orders'!$B164, "1")</f>
        <v>0</v>
      </c>
      <c r="AK164" s="157">
        <f>SUMIFS('Future Orders'!$I164, 'Future Orders'!$D164, "4", 'Future Orders'!$C164, "B", 'Future Orders'!$B164, "1")</f>
        <v>0</v>
      </c>
      <c r="AL164" s="157">
        <f>SUMIFS('Future Orders'!$F164, 'Future Orders'!$D164, "4", 'Future Orders'!$C164, "A", 'Future Orders'!$B164, "2")</f>
        <v>0</v>
      </c>
      <c r="AM164" s="157">
        <f>SUMIFS('Future Orders'!$I164, 'Future Orders'!$D164, "4", 'Future Orders'!$C164, "A", 'Future Orders'!$B164, "2")</f>
        <v>0</v>
      </c>
      <c r="AN164" s="171">
        <f>SUMIFS('Future Orders'!$F164, 'Future Orders'!$D164, "4", 'Future Orders'!$C164, "B", 'Future Orders'!$B164, "2")</f>
        <v>0</v>
      </c>
      <c r="AO164" s="171">
        <f>SUMIFS('Future Orders'!$I164, 'Future Orders'!$D164, "4", 'Future Orders'!$C164, "B", 'Future Orders'!$B164, "2")</f>
        <v>0</v>
      </c>
      <c r="AP164" s="171">
        <f>SUMIFS('Future Orders'!$H164, 'Future Orders'!$C164, "A", 'Future Orders'!$B164, "1")</f>
        <v>10740.4</v>
      </c>
      <c r="AQ164" s="171">
        <f>SUMIFS('Future Orders'!$I164, 'Future Orders'!$C164, "B", 'Future Orders'!$B164, "1")</f>
        <v>0</v>
      </c>
      <c r="AR164" s="171">
        <f>SUMIFS('Future Orders'!$H164, 'Future Orders'!$C164, "A", 'Future Orders'!$B164, "2")</f>
        <v>0</v>
      </c>
      <c r="AS164" s="171">
        <f>SUMIFS('Future Orders'!$I164, 'Future Orders'!$C164, "B", 'Future Orders'!$B164, "2")</f>
        <v>0</v>
      </c>
      <c r="AT164" s="145"/>
      <c r="AU164" s="172"/>
      <c r="AV164" s="172"/>
      <c r="AW164" s="172"/>
      <c r="AX164" s="172"/>
      <c r="AY164" s="172"/>
      <c r="AZ164" s="172"/>
      <c r="BA164" s="172"/>
      <c r="BB164" s="172"/>
      <c r="BC164" s="172"/>
      <c r="BD164" s="172"/>
      <c r="BE164" s="172"/>
      <c r="BF164" s="172"/>
      <c r="BG164" s="172"/>
      <c r="BH164" s="172"/>
      <c r="BI164" s="172"/>
      <c r="BJ164" s="172"/>
      <c r="BK164" s="172"/>
      <c r="BL164" s="172"/>
      <c r="BM164" s="172"/>
      <c r="BN164" s="172"/>
      <c r="BO164" s="172"/>
      <c r="BP164" s="172"/>
      <c r="BQ164" s="172"/>
      <c r="BR164" s="172"/>
      <c r="BS164" s="172"/>
      <c r="BT164" s="172"/>
      <c r="BU164" s="172"/>
      <c r="BV164" s="172"/>
      <c r="BW164" s="172"/>
      <c r="BX164" s="172"/>
      <c r="BY164" s="172"/>
      <c r="BZ164" s="172"/>
      <c r="CA164" s="179"/>
      <c r="CB164" s="179"/>
      <c r="CC164" s="179"/>
      <c r="CD164" s="179"/>
      <c r="CE164" s="179"/>
      <c r="CF164" s="179"/>
      <c r="CG164" s="179"/>
      <c r="CH164" s="179"/>
      <c r="CI164" s="179"/>
      <c r="CJ164" s="179"/>
      <c r="CK164" s="179"/>
      <c r="CL164" s="179"/>
      <c r="CM164" s="179"/>
      <c r="CN164" s="179"/>
      <c r="CO164" s="179"/>
      <c r="CP164" s="179"/>
    </row>
    <row r="165" ht="15.75" customHeight="1">
      <c r="A165" s="151">
        <v>42044.0</v>
      </c>
      <c r="B165" s="152">
        <v>1.0</v>
      </c>
      <c r="C165" s="152" t="s">
        <v>45</v>
      </c>
      <c r="D165" s="152">
        <v>2.0</v>
      </c>
      <c r="E165" s="153">
        <v>5559.0</v>
      </c>
      <c r="F165" s="153">
        <f>SUM(('Future Orders'!$E165) * (1.1))</f>
        <v>6114.9</v>
      </c>
      <c r="G165" s="154">
        <v>1.2</v>
      </c>
      <c r="H165" s="155">
        <v>6670.8</v>
      </c>
      <c r="I165" s="155">
        <f>SUM(('Future Orders'!$H165) * (1.1))</f>
        <v>7337.88</v>
      </c>
      <c r="J165" s="159">
        <f>SUMIFS('Future Orders'!$F165, 'Future Orders'!$D165, "1", 'Future Orders'!$C165, "A", 'Future Orders'!$B165, "1")</f>
        <v>0</v>
      </c>
      <c r="K165" s="157">
        <f>SUMIFS('Future Orders'!$I165, 'Future Orders'!$D165, "1", 'Future Orders'!$C165, "A", 'Future Orders'!$B165, "1")</f>
        <v>0</v>
      </c>
      <c r="L165" s="157">
        <f>SUMIFS('Future Orders'!$F165, 'Future Orders'!$D165, "1", 'Future Orders'!$C165, "B", 'Future Orders'!$B165, "1")</f>
        <v>0</v>
      </c>
      <c r="M165" s="157">
        <f>SUMIFS('Future Orders'!$I165, 'Future Orders'!$D165, "1", 'Future Orders'!$C165, "B", 'Future Orders'!$B165, "1")</f>
        <v>0</v>
      </c>
      <c r="N165" s="159">
        <f>SUMIFS('Future Orders'!$F165, 'Future Orders'!$D165, "1", 'Future Orders'!$C165, "A", 'Future Orders'!$B165, "2")</f>
        <v>0</v>
      </c>
      <c r="O165" s="157">
        <f>SUMIFS('Future Orders'!$I165, 'Future Orders'!$D165, "1", 'Future Orders'!$C165, "A", 'Future Orders'!$B165, "2")</f>
        <v>0</v>
      </c>
      <c r="P165" s="157">
        <f>SUMIFS('Future Orders'!$E165, 'Future Orders'!$D165, "1", 'Future Orders'!$C165, "B", 'Future Orders'!$B165, "2")</f>
        <v>0</v>
      </c>
      <c r="Q165" s="157">
        <f>SUMIFS('Future Orders'!$I165, 'Future Orders'!$D165, "1", 'Future Orders'!$C165, "B", 'Future Orders'!$B165, "2")</f>
        <v>0</v>
      </c>
      <c r="R165" s="159">
        <f>SUMIFS('Future Orders'!$F165, 'Future Orders'!$D165, "2", 'Future Orders'!$C165, "A", 'Future Orders'!$B165, "1")</f>
        <v>6114.9</v>
      </c>
      <c r="S165" s="157">
        <f>SUMIFS('Future Orders'!$I165, 'Future Orders'!$D165, "2", 'Future Orders'!$C165, "A", 'Future Orders'!$B165, "1")</f>
        <v>7337.88</v>
      </c>
      <c r="T165" s="159">
        <f>SUMIFS('Future Orders'!$F165, 'Future Orders'!$D165, "2", 'Future Orders'!$C165, "B", 'Future Orders'!$B165, "1")</f>
        <v>0</v>
      </c>
      <c r="U165" s="157">
        <f>SUMIFS('Future Orders'!$I165, 'Future Orders'!$D165, "2", 'Future Orders'!$C165, "B", 'Future Orders'!$B165, "1")</f>
        <v>0</v>
      </c>
      <c r="V165" s="159">
        <f>SUMIFS('Future Orders'!$F165, 'Future Orders'!$D165, "2", 'Future Orders'!$C165, "A", 'Future Orders'!$B165, "2")</f>
        <v>0</v>
      </c>
      <c r="W165" s="157">
        <f>SUMIFS('Future Orders'!$I165, 'Future Orders'!$D165, "2", 'Future Orders'!$C165, "A", 'Future Orders'!$B165, "2")</f>
        <v>0</v>
      </c>
      <c r="X165" s="159">
        <f>SUMIFS('Future Orders'!$F165, 'Future Orders'!$D165, "2", 'Future Orders'!$C165, "B", 'Future Orders'!$B165, "2")</f>
        <v>0</v>
      </c>
      <c r="Y165" s="159">
        <f>SUMIFS('Future Orders'!$I165, 'Future Orders'!$D165, "2", 'Future Orders'!$C165, "B", 'Future Orders'!$B165, "2")</f>
        <v>0</v>
      </c>
      <c r="Z165" s="159">
        <f>SUMIFS('Future Orders'!$F165, 'Future Orders'!$D165, "3", 'Future Orders'!$C165, "A", 'Future Orders'!$B165, "1")</f>
        <v>0</v>
      </c>
      <c r="AA165" s="159">
        <f>SUMIFS('Future Orders'!$I165, 'Future Orders'!$D165, "3", 'Future Orders'!$C165, "A", 'Future Orders'!$B165, "1")</f>
        <v>0</v>
      </c>
      <c r="AB165" s="159">
        <f>SUMIFS('Future Orders'!$F165, 'Future Orders'!$D165, "3", 'Future Orders'!$C165, "B", 'Future Orders'!$B165, "1")</f>
        <v>0</v>
      </c>
      <c r="AC165" s="159">
        <f>SUMIFS('Future Orders'!$I165, 'Future Orders'!$D165, "3", 'Future Orders'!$C165, "B", 'Future Orders'!$B165, "1")</f>
        <v>0</v>
      </c>
      <c r="AD165" s="159">
        <f>SUMIFS('Future Orders'!$F165, 'Future Orders'!$D165, "3", 'Future Orders'!$C165, "A", 'Future Orders'!$B165, "2")</f>
        <v>0</v>
      </c>
      <c r="AE165" s="159">
        <f>SUMIFS('Future Orders'!$I165, 'Future Orders'!$D165, "3", 'Future Orders'!$C165, "A", 'Future Orders'!$B165, "2")</f>
        <v>0</v>
      </c>
      <c r="AF165" s="159">
        <f>SUMIFS('Future Orders'!$F165, 'Future Orders'!$D165, "3", 'Future Orders'!$C165, "B", 'Future Orders'!$B165, "2")</f>
        <v>0</v>
      </c>
      <c r="AG165" s="157">
        <f>SUMIFS('Future Orders'!$I165, 'Future Orders'!$D165, "3", 'Future Orders'!$C165, "B", 'Future Orders'!$B165, "2")</f>
        <v>0</v>
      </c>
      <c r="AH165" s="157">
        <f>SUMIFS('Future Orders'!$F165, 'Future Orders'!$D165, "4", 'Future Orders'!$C165, "A", 'Future Orders'!$B165, "1")</f>
        <v>0</v>
      </c>
      <c r="AI165" s="157">
        <f>SUMIFS('Future Orders'!$I165, 'Future Orders'!$D165, "4", 'Future Orders'!$C165, "A", 'Future Orders'!$B165, "1")</f>
        <v>0</v>
      </c>
      <c r="AJ165" s="157">
        <f>SUMIFS('Future Orders'!$F165, 'Future Orders'!$D165, "4", 'Future Orders'!$C165, "B", 'Future Orders'!$B165, "1")</f>
        <v>0</v>
      </c>
      <c r="AK165" s="157">
        <f>SUMIFS('Future Orders'!$I165, 'Future Orders'!$D165, "4", 'Future Orders'!$C165, "B", 'Future Orders'!$B165, "1")</f>
        <v>0</v>
      </c>
      <c r="AL165" s="157">
        <f>SUMIFS('Future Orders'!$F165, 'Future Orders'!$D165, "4", 'Future Orders'!$C165, "A", 'Future Orders'!$B165, "2")</f>
        <v>0</v>
      </c>
      <c r="AM165" s="157">
        <f>SUMIFS('Future Orders'!$I165, 'Future Orders'!$D165, "4", 'Future Orders'!$C165, "A", 'Future Orders'!$B165, "2")</f>
        <v>0</v>
      </c>
      <c r="AN165" s="171">
        <f>SUMIFS('Future Orders'!$F165, 'Future Orders'!$D165, "4", 'Future Orders'!$C165, "B", 'Future Orders'!$B165, "2")</f>
        <v>0</v>
      </c>
      <c r="AO165" s="171">
        <f>SUMIFS('Future Orders'!$I165, 'Future Orders'!$D165, "4", 'Future Orders'!$C165, "B", 'Future Orders'!$B165, "2")</f>
        <v>0</v>
      </c>
      <c r="AP165" s="171">
        <f>SUMIFS('Future Orders'!$H165, 'Future Orders'!$C165, "A", 'Future Orders'!$B165, "1")</f>
        <v>6670.8</v>
      </c>
      <c r="AQ165" s="171">
        <f>SUMIFS('Future Orders'!$I165, 'Future Orders'!$C165, "B", 'Future Orders'!$B165, "1")</f>
        <v>0</v>
      </c>
      <c r="AR165" s="171">
        <f>SUMIFS('Future Orders'!$H165, 'Future Orders'!$C165, "A", 'Future Orders'!$B165, "2")</f>
        <v>0</v>
      </c>
      <c r="AS165" s="171">
        <f>SUMIFS('Future Orders'!$I165, 'Future Orders'!$C165, "B", 'Future Orders'!$B165, "2")</f>
        <v>0</v>
      </c>
      <c r="AT165" s="145"/>
      <c r="AU165" s="172"/>
      <c r="AV165" s="172"/>
      <c r="AW165" s="172"/>
      <c r="AX165" s="172"/>
      <c r="AY165" s="172"/>
      <c r="AZ165" s="172"/>
      <c r="BA165" s="172"/>
      <c r="BB165" s="172"/>
      <c r="BC165" s="172"/>
      <c r="BD165" s="172"/>
      <c r="BE165" s="172"/>
      <c r="BF165" s="172"/>
      <c r="BG165" s="172"/>
      <c r="BH165" s="172"/>
      <c r="BI165" s="172"/>
      <c r="BJ165" s="172"/>
      <c r="BK165" s="172"/>
      <c r="BL165" s="172"/>
      <c r="BM165" s="172"/>
      <c r="BN165" s="172"/>
      <c r="BO165" s="172"/>
      <c r="BP165" s="172"/>
      <c r="BQ165" s="172"/>
      <c r="BR165" s="172"/>
      <c r="BS165" s="172"/>
      <c r="BT165" s="172"/>
      <c r="BU165" s="172"/>
      <c r="BV165" s="172"/>
      <c r="BW165" s="172"/>
      <c r="BX165" s="172"/>
      <c r="BY165" s="172"/>
      <c r="BZ165" s="172"/>
      <c r="CA165" s="179"/>
      <c r="CB165" s="179"/>
      <c r="CC165" s="179"/>
      <c r="CD165" s="179"/>
      <c r="CE165" s="179"/>
      <c r="CF165" s="179"/>
      <c r="CG165" s="179"/>
      <c r="CH165" s="179"/>
      <c r="CI165" s="179"/>
      <c r="CJ165" s="179"/>
      <c r="CK165" s="179"/>
      <c r="CL165" s="179"/>
      <c r="CM165" s="179"/>
      <c r="CN165" s="179"/>
      <c r="CO165" s="179"/>
      <c r="CP165" s="179"/>
    </row>
    <row r="166" ht="15.75" customHeight="1">
      <c r="A166" s="151">
        <v>42044.0</v>
      </c>
      <c r="B166" s="152">
        <v>2.0</v>
      </c>
      <c r="C166" s="152" t="s">
        <v>45</v>
      </c>
      <c r="D166" s="152">
        <v>1.0</v>
      </c>
      <c r="E166" s="153">
        <v>4081.0</v>
      </c>
      <c r="F166" s="153">
        <f>SUM(('Future Orders'!$E166) * (1.1))</f>
        <v>4489.1</v>
      </c>
      <c r="G166" s="154">
        <v>2.2</v>
      </c>
      <c r="H166" s="155">
        <v>8978.2</v>
      </c>
      <c r="I166" s="155">
        <f>SUM(('Future Orders'!$H166) * (1.1))</f>
        <v>9876.02</v>
      </c>
      <c r="J166" s="159">
        <f>SUMIFS('Future Orders'!$F166, 'Future Orders'!$D166, "1", 'Future Orders'!$C166, "A", 'Future Orders'!$B166, "1")</f>
        <v>0</v>
      </c>
      <c r="K166" s="157">
        <f>SUMIFS('Future Orders'!$I166, 'Future Orders'!$D166, "1", 'Future Orders'!$C166, "A", 'Future Orders'!$B166, "1")</f>
        <v>0</v>
      </c>
      <c r="L166" s="157">
        <f>SUMIFS('Future Orders'!$F166, 'Future Orders'!$D166, "1", 'Future Orders'!$C166, "B", 'Future Orders'!$B166, "1")</f>
        <v>0</v>
      </c>
      <c r="M166" s="157">
        <f>SUMIFS('Future Orders'!$I166, 'Future Orders'!$D166, "1", 'Future Orders'!$C166, "B", 'Future Orders'!$B166, "1")</f>
        <v>0</v>
      </c>
      <c r="N166" s="159">
        <f>SUMIFS('Future Orders'!$F166, 'Future Orders'!$D166, "1", 'Future Orders'!$C166, "A", 'Future Orders'!$B166, "2")</f>
        <v>4489.1</v>
      </c>
      <c r="O166" s="157">
        <f>SUMIFS('Future Orders'!$I166, 'Future Orders'!$D166, "1", 'Future Orders'!$C166, "A", 'Future Orders'!$B166, "2")</f>
        <v>9876.02</v>
      </c>
      <c r="P166" s="157">
        <f>SUMIFS('Future Orders'!$E166, 'Future Orders'!$D166, "1", 'Future Orders'!$C166, "B", 'Future Orders'!$B166, "2")</f>
        <v>0</v>
      </c>
      <c r="Q166" s="157">
        <f>SUMIFS('Future Orders'!$I166, 'Future Orders'!$D166, "1", 'Future Orders'!$C166, "B", 'Future Orders'!$B166, "2")</f>
        <v>0</v>
      </c>
      <c r="R166" s="159">
        <f>SUMIFS('Future Orders'!$F166, 'Future Orders'!$D166, "2", 'Future Orders'!$C166, "A", 'Future Orders'!$B166, "1")</f>
        <v>0</v>
      </c>
      <c r="S166" s="157">
        <f>SUMIFS('Future Orders'!$I166, 'Future Orders'!$D166, "2", 'Future Orders'!$C166, "A", 'Future Orders'!$B166, "1")</f>
        <v>0</v>
      </c>
      <c r="T166" s="159">
        <f>SUMIFS('Future Orders'!$F166, 'Future Orders'!$D166, "2", 'Future Orders'!$C166, "B", 'Future Orders'!$B166, "1")</f>
        <v>0</v>
      </c>
      <c r="U166" s="157">
        <f>SUMIFS('Future Orders'!$I166, 'Future Orders'!$D166, "2", 'Future Orders'!$C166, "B", 'Future Orders'!$B166, "1")</f>
        <v>0</v>
      </c>
      <c r="V166" s="159">
        <f>SUMIFS('Future Orders'!$F166, 'Future Orders'!$D166, "2", 'Future Orders'!$C166, "A", 'Future Orders'!$B166, "2")</f>
        <v>0</v>
      </c>
      <c r="W166" s="157">
        <f>SUMIFS('Future Orders'!$I166, 'Future Orders'!$D166, "2", 'Future Orders'!$C166, "A", 'Future Orders'!$B166, "2")</f>
        <v>0</v>
      </c>
      <c r="X166" s="159">
        <f>SUMIFS('Future Orders'!$F166, 'Future Orders'!$D166, "2", 'Future Orders'!$C166, "B", 'Future Orders'!$B166, "2")</f>
        <v>0</v>
      </c>
      <c r="Y166" s="159">
        <f>SUMIFS('Future Orders'!$I166, 'Future Orders'!$D166, "2", 'Future Orders'!$C166, "B", 'Future Orders'!$B166, "2")</f>
        <v>0</v>
      </c>
      <c r="Z166" s="159">
        <f>SUMIFS('Future Orders'!$F166, 'Future Orders'!$D166, "3", 'Future Orders'!$C166, "A", 'Future Orders'!$B166, "1")</f>
        <v>0</v>
      </c>
      <c r="AA166" s="159">
        <f>SUMIFS('Future Orders'!$I166, 'Future Orders'!$D166, "3", 'Future Orders'!$C166, "A", 'Future Orders'!$B166, "1")</f>
        <v>0</v>
      </c>
      <c r="AB166" s="159">
        <f>SUMIFS('Future Orders'!$F166, 'Future Orders'!$D166, "3", 'Future Orders'!$C166, "B", 'Future Orders'!$B166, "1")</f>
        <v>0</v>
      </c>
      <c r="AC166" s="159">
        <f>SUMIFS('Future Orders'!$I166, 'Future Orders'!$D166, "3", 'Future Orders'!$C166, "B", 'Future Orders'!$B166, "1")</f>
        <v>0</v>
      </c>
      <c r="AD166" s="159">
        <f>SUMIFS('Future Orders'!$F166, 'Future Orders'!$D166, "3", 'Future Orders'!$C166, "A", 'Future Orders'!$B166, "2")</f>
        <v>0</v>
      </c>
      <c r="AE166" s="159">
        <f>SUMIFS('Future Orders'!$I166, 'Future Orders'!$D166, "3", 'Future Orders'!$C166, "A", 'Future Orders'!$B166, "2")</f>
        <v>0</v>
      </c>
      <c r="AF166" s="159">
        <f>SUMIFS('Future Orders'!$F166, 'Future Orders'!$D166, "3", 'Future Orders'!$C166, "B", 'Future Orders'!$B166, "2")</f>
        <v>0</v>
      </c>
      <c r="AG166" s="157">
        <f>SUMIFS('Future Orders'!$I166, 'Future Orders'!$D166, "3", 'Future Orders'!$C166, "B", 'Future Orders'!$B166, "2")</f>
        <v>0</v>
      </c>
      <c r="AH166" s="157">
        <f>SUMIFS('Future Orders'!$F166, 'Future Orders'!$D166, "4", 'Future Orders'!$C166, "A", 'Future Orders'!$B166, "1")</f>
        <v>0</v>
      </c>
      <c r="AI166" s="157">
        <f>SUMIFS('Future Orders'!$I166, 'Future Orders'!$D166, "4", 'Future Orders'!$C166, "A", 'Future Orders'!$B166, "1")</f>
        <v>0</v>
      </c>
      <c r="AJ166" s="157">
        <f>SUMIFS('Future Orders'!$F166, 'Future Orders'!$D166, "4", 'Future Orders'!$C166, "B", 'Future Orders'!$B166, "1")</f>
        <v>0</v>
      </c>
      <c r="AK166" s="157">
        <f>SUMIFS('Future Orders'!$I166, 'Future Orders'!$D166, "4", 'Future Orders'!$C166, "B", 'Future Orders'!$B166, "1")</f>
        <v>0</v>
      </c>
      <c r="AL166" s="157">
        <f>SUMIFS('Future Orders'!$F166, 'Future Orders'!$D166, "4", 'Future Orders'!$C166, "A", 'Future Orders'!$B166, "2")</f>
        <v>0</v>
      </c>
      <c r="AM166" s="157">
        <f>SUMIFS('Future Orders'!$I166, 'Future Orders'!$D166, "4", 'Future Orders'!$C166, "A", 'Future Orders'!$B166, "2")</f>
        <v>0</v>
      </c>
      <c r="AN166" s="171">
        <f>SUMIFS('Future Orders'!$F166, 'Future Orders'!$D166, "4", 'Future Orders'!$C166, "B", 'Future Orders'!$B166, "2")</f>
        <v>0</v>
      </c>
      <c r="AO166" s="171">
        <f>SUMIFS('Future Orders'!$I166, 'Future Orders'!$D166, "4", 'Future Orders'!$C166, "B", 'Future Orders'!$B166, "2")</f>
        <v>0</v>
      </c>
      <c r="AP166" s="171">
        <f>SUMIFS('Future Orders'!$H166, 'Future Orders'!$C166, "A", 'Future Orders'!$B166, "1")</f>
        <v>0</v>
      </c>
      <c r="AQ166" s="171">
        <f>SUMIFS('Future Orders'!$I166, 'Future Orders'!$C166, "B", 'Future Orders'!$B166, "1")</f>
        <v>0</v>
      </c>
      <c r="AR166" s="171">
        <f>SUMIFS('Future Orders'!$H166, 'Future Orders'!$C166, "A", 'Future Orders'!$B166, "2")</f>
        <v>8978.2</v>
      </c>
      <c r="AS166" s="171">
        <f>SUMIFS('Future Orders'!$I166, 'Future Orders'!$C166, "B", 'Future Orders'!$B166, "2")</f>
        <v>0</v>
      </c>
      <c r="AT166" s="145"/>
      <c r="AU166" s="172"/>
      <c r="AV166" s="172"/>
      <c r="AW166" s="172"/>
      <c r="AX166" s="172"/>
      <c r="AY166" s="172"/>
      <c r="AZ166" s="172"/>
      <c r="BA166" s="172"/>
      <c r="BB166" s="172"/>
      <c r="BC166" s="172"/>
      <c r="BD166" s="172"/>
      <c r="BE166" s="172"/>
      <c r="BF166" s="172"/>
      <c r="BG166" s="172"/>
      <c r="BH166" s="172"/>
      <c r="BI166" s="172"/>
      <c r="BJ166" s="172"/>
      <c r="BK166" s="172"/>
      <c r="BL166" s="172"/>
      <c r="BM166" s="172"/>
      <c r="BN166" s="172"/>
      <c r="BO166" s="172"/>
      <c r="BP166" s="172"/>
      <c r="BQ166" s="172"/>
      <c r="BR166" s="172"/>
      <c r="BS166" s="172"/>
      <c r="BT166" s="172"/>
      <c r="BU166" s="172"/>
      <c r="BV166" s="172"/>
      <c r="BW166" s="172"/>
      <c r="BX166" s="172"/>
      <c r="BY166" s="172"/>
      <c r="BZ166" s="172"/>
      <c r="CA166" s="179"/>
      <c r="CB166" s="179"/>
      <c r="CC166" s="179"/>
      <c r="CD166" s="179"/>
      <c r="CE166" s="179"/>
      <c r="CF166" s="179"/>
      <c r="CG166" s="179"/>
      <c r="CH166" s="179"/>
      <c r="CI166" s="179"/>
      <c r="CJ166" s="179"/>
      <c r="CK166" s="179"/>
      <c r="CL166" s="179"/>
      <c r="CM166" s="179"/>
      <c r="CN166" s="179"/>
      <c r="CO166" s="179"/>
      <c r="CP166" s="179"/>
    </row>
    <row r="167" ht="15.75" customHeight="1">
      <c r="A167" s="151">
        <v>42044.0</v>
      </c>
      <c r="B167" s="152">
        <v>2.0</v>
      </c>
      <c r="C167" s="152" t="s">
        <v>45</v>
      </c>
      <c r="D167" s="152">
        <v>2.0</v>
      </c>
      <c r="E167" s="153">
        <v>5892.0</v>
      </c>
      <c r="F167" s="153">
        <f>SUM(('Future Orders'!$E167) * (1.1))</f>
        <v>6481.2</v>
      </c>
      <c r="G167" s="154">
        <v>1.2</v>
      </c>
      <c r="H167" s="155">
        <v>7070.4</v>
      </c>
      <c r="I167" s="155">
        <f>SUM(('Future Orders'!$H167) * (1.1))</f>
        <v>7777.44</v>
      </c>
      <c r="J167" s="159">
        <f>SUMIFS('Future Orders'!$F167, 'Future Orders'!$D167, "1", 'Future Orders'!$C167, "A", 'Future Orders'!$B167, "1")</f>
        <v>0</v>
      </c>
      <c r="K167" s="157">
        <f>SUMIFS('Future Orders'!$I167, 'Future Orders'!$D167, "1", 'Future Orders'!$C167, "A", 'Future Orders'!$B167, "1")</f>
        <v>0</v>
      </c>
      <c r="L167" s="157">
        <f>SUMIFS('Future Orders'!$F167, 'Future Orders'!$D167, "1", 'Future Orders'!$C167, "B", 'Future Orders'!$B167, "1")</f>
        <v>0</v>
      </c>
      <c r="M167" s="157">
        <f>SUMIFS('Future Orders'!$I167, 'Future Orders'!$D167, "1", 'Future Orders'!$C167, "B", 'Future Orders'!$B167, "1")</f>
        <v>0</v>
      </c>
      <c r="N167" s="159">
        <f>SUMIFS('Future Orders'!$F167, 'Future Orders'!$D167, "1", 'Future Orders'!$C167, "A", 'Future Orders'!$B167, "2")</f>
        <v>0</v>
      </c>
      <c r="O167" s="157">
        <f>SUMIFS('Future Orders'!$I167, 'Future Orders'!$D167, "1", 'Future Orders'!$C167, "A", 'Future Orders'!$B167, "2")</f>
        <v>0</v>
      </c>
      <c r="P167" s="157">
        <f>SUMIFS('Future Orders'!$E167, 'Future Orders'!$D167, "1", 'Future Orders'!$C167, "B", 'Future Orders'!$B167, "2")</f>
        <v>0</v>
      </c>
      <c r="Q167" s="157">
        <f>SUMIFS('Future Orders'!$I167, 'Future Orders'!$D167, "1", 'Future Orders'!$C167, "B", 'Future Orders'!$B167, "2")</f>
        <v>0</v>
      </c>
      <c r="R167" s="159">
        <f>SUMIFS('Future Orders'!$F167, 'Future Orders'!$D167, "2", 'Future Orders'!$C167, "A", 'Future Orders'!$B167, "1")</f>
        <v>0</v>
      </c>
      <c r="S167" s="157">
        <f>SUMIFS('Future Orders'!$I167, 'Future Orders'!$D167, "2", 'Future Orders'!$C167, "A", 'Future Orders'!$B167, "1")</f>
        <v>0</v>
      </c>
      <c r="T167" s="159">
        <f>SUMIFS('Future Orders'!$F167, 'Future Orders'!$D167, "2", 'Future Orders'!$C167, "B", 'Future Orders'!$B167, "1")</f>
        <v>0</v>
      </c>
      <c r="U167" s="157">
        <f>SUMIFS('Future Orders'!$I167, 'Future Orders'!$D167, "2", 'Future Orders'!$C167, "B", 'Future Orders'!$B167, "1")</f>
        <v>0</v>
      </c>
      <c r="V167" s="159">
        <f>SUMIFS('Future Orders'!$F167, 'Future Orders'!$D167, "2", 'Future Orders'!$C167, "A", 'Future Orders'!$B167, "2")</f>
        <v>6481.2</v>
      </c>
      <c r="W167" s="157">
        <f>SUMIFS('Future Orders'!$I167, 'Future Orders'!$D167, "2", 'Future Orders'!$C167, "A", 'Future Orders'!$B167, "2")</f>
        <v>7777.44</v>
      </c>
      <c r="X167" s="159">
        <f>SUMIFS('Future Orders'!$F167, 'Future Orders'!$D167, "2", 'Future Orders'!$C167, "B", 'Future Orders'!$B167, "2")</f>
        <v>0</v>
      </c>
      <c r="Y167" s="159">
        <f>SUMIFS('Future Orders'!$I167, 'Future Orders'!$D167, "2", 'Future Orders'!$C167, "B", 'Future Orders'!$B167, "2")</f>
        <v>0</v>
      </c>
      <c r="Z167" s="159">
        <f>SUMIFS('Future Orders'!$F167, 'Future Orders'!$D167, "3", 'Future Orders'!$C167, "A", 'Future Orders'!$B167, "1")</f>
        <v>0</v>
      </c>
      <c r="AA167" s="159">
        <f>SUMIFS('Future Orders'!$I167, 'Future Orders'!$D167, "3", 'Future Orders'!$C167, "A", 'Future Orders'!$B167, "1")</f>
        <v>0</v>
      </c>
      <c r="AB167" s="159">
        <f>SUMIFS('Future Orders'!$F167, 'Future Orders'!$D167, "3", 'Future Orders'!$C167, "B", 'Future Orders'!$B167, "1")</f>
        <v>0</v>
      </c>
      <c r="AC167" s="159">
        <f>SUMIFS('Future Orders'!$I167, 'Future Orders'!$D167, "3", 'Future Orders'!$C167, "B", 'Future Orders'!$B167, "1")</f>
        <v>0</v>
      </c>
      <c r="AD167" s="159">
        <f>SUMIFS('Future Orders'!$F167, 'Future Orders'!$D167, "3", 'Future Orders'!$C167, "A", 'Future Orders'!$B167, "2")</f>
        <v>0</v>
      </c>
      <c r="AE167" s="159">
        <f>SUMIFS('Future Orders'!$I167, 'Future Orders'!$D167, "3", 'Future Orders'!$C167, "A", 'Future Orders'!$B167, "2")</f>
        <v>0</v>
      </c>
      <c r="AF167" s="159">
        <f>SUMIFS('Future Orders'!$F167, 'Future Orders'!$D167, "3", 'Future Orders'!$C167, "B", 'Future Orders'!$B167, "2")</f>
        <v>0</v>
      </c>
      <c r="AG167" s="157">
        <f>SUMIFS('Future Orders'!$I167, 'Future Orders'!$D167, "3", 'Future Orders'!$C167, "B", 'Future Orders'!$B167, "2")</f>
        <v>0</v>
      </c>
      <c r="AH167" s="157">
        <f>SUMIFS('Future Orders'!$F167, 'Future Orders'!$D167, "4", 'Future Orders'!$C167, "A", 'Future Orders'!$B167, "1")</f>
        <v>0</v>
      </c>
      <c r="AI167" s="157">
        <f>SUMIFS('Future Orders'!$I167, 'Future Orders'!$D167, "4", 'Future Orders'!$C167, "A", 'Future Orders'!$B167, "1")</f>
        <v>0</v>
      </c>
      <c r="AJ167" s="157">
        <f>SUMIFS('Future Orders'!$F167, 'Future Orders'!$D167, "4", 'Future Orders'!$C167, "B", 'Future Orders'!$B167, "1")</f>
        <v>0</v>
      </c>
      <c r="AK167" s="157">
        <f>SUMIFS('Future Orders'!$I167, 'Future Orders'!$D167, "4", 'Future Orders'!$C167, "B", 'Future Orders'!$B167, "1")</f>
        <v>0</v>
      </c>
      <c r="AL167" s="157">
        <f>SUMIFS('Future Orders'!$F167, 'Future Orders'!$D167, "4", 'Future Orders'!$C167, "A", 'Future Orders'!$B167, "2")</f>
        <v>0</v>
      </c>
      <c r="AM167" s="157">
        <f>SUMIFS('Future Orders'!$I167, 'Future Orders'!$D167, "4", 'Future Orders'!$C167, "A", 'Future Orders'!$B167, "2")</f>
        <v>0</v>
      </c>
      <c r="AN167" s="171">
        <f>SUMIFS('Future Orders'!$F167, 'Future Orders'!$D167, "4", 'Future Orders'!$C167, "B", 'Future Orders'!$B167, "2")</f>
        <v>0</v>
      </c>
      <c r="AO167" s="171">
        <f>SUMIFS('Future Orders'!$I167, 'Future Orders'!$D167, "4", 'Future Orders'!$C167, "B", 'Future Orders'!$B167, "2")</f>
        <v>0</v>
      </c>
      <c r="AP167" s="171">
        <f>SUMIFS('Future Orders'!$H167, 'Future Orders'!$C167, "A", 'Future Orders'!$B167, "1")</f>
        <v>0</v>
      </c>
      <c r="AQ167" s="171">
        <f>SUMIFS('Future Orders'!$I167, 'Future Orders'!$C167, "B", 'Future Orders'!$B167, "1")</f>
        <v>0</v>
      </c>
      <c r="AR167" s="171">
        <f>SUMIFS('Future Orders'!$H167, 'Future Orders'!$C167, "A", 'Future Orders'!$B167, "2")</f>
        <v>7070.4</v>
      </c>
      <c r="AS167" s="171">
        <f>SUMIFS('Future Orders'!$I167, 'Future Orders'!$C167, "B", 'Future Orders'!$B167, "2")</f>
        <v>0</v>
      </c>
      <c r="AT167" s="145"/>
      <c r="AU167" s="172"/>
      <c r="AV167" s="172"/>
      <c r="AW167" s="172"/>
      <c r="AX167" s="172"/>
      <c r="AY167" s="172"/>
      <c r="AZ167" s="172"/>
      <c r="BA167" s="172"/>
      <c r="BB167" s="172"/>
      <c r="BC167" s="172"/>
      <c r="BD167" s="172"/>
      <c r="BE167" s="172"/>
      <c r="BF167" s="172"/>
      <c r="BG167" s="172"/>
      <c r="BH167" s="172"/>
      <c r="BI167" s="172"/>
      <c r="BJ167" s="172"/>
      <c r="BK167" s="172"/>
      <c r="BL167" s="172"/>
      <c r="BM167" s="172"/>
      <c r="BN167" s="172"/>
      <c r="BO167" s="172"/>
      <c r="BP167" s="172"/>
      <c r="BQ167" s="172"/>
      <c r="BR167" s="172"/>
      <c r="BS167" s="172"/>
      <c r="BT167" s="172"/>
      <c r="BU167" s="172"/>
      <c r="BV167" s="172"/>
      <c r="BW167" s="172"/>
      <c r="BX167" s="172"/>
      <c r="BY167" s="172"/>
      <c r="BZ167" s="172"/>
      <c r="CA167" s="179"/>
      <c r="CB167" s="179"/>
      <c r="CC167" s="179"/>
      <c r="CD167" s="179"/>
      <c r="CE167" s="179"/>
      <c r="CF167" s="179"/>
      <c r="CG167" s="179"/>
      <c r="CH167" s="179"/>
      <c r="CI167" s="179"/>
      <c r="CJ167" s="179"/>
      <c r="CK167" s="179"/>
      <c r="CL167" s="179"/>
      <c r="CM167" s="179"/>
      <c r="CN167" s="179"/>
      <c r="CO167" s="179"/>
      <c r="CP167" s="179"/>
    </row>
    <row r="168" ht="15.75" customHeight="1">
      <c r="A168" s="151">
        <v>42044.0</v>
      </c>
      <c r="B168" s="152">
        <v>1.0</v>
      </c>
      <c r="C168" s="152" t="s">
        <v>46</v>
      </c>
      <c r="D168" s="152">
        <v>3.0</v>
      </c>
      <c r="E168" s="153">
        <v>2174.0</v>
      </c>
      <c r="F168" s="153">
        <f>SUM(('Future Orders'!$E168) * (1.1))</f>
        <v>2391.4</v>
      </c>
      <c r="G168" s="154">
        <v>8.3</v>
      </c>
      <c r="H168" s="155">
        <v>18044.2</v>
      </c>
      <c r="I168" s="155">
        <f>SUM(('Future Orders'!$H168) * (1.1))</f>
        <v>19848.62</v>
      </c>
      <c r="J168" s="159">
        <f>SUMIFS('Future Orders'!$F168, 'Future Orders'!$D168, "1", 'Future Orders'!$C168, "A", 'Future Orders'!$B168, "1")</f>
        <v>0</v>
      </c>
      <c r="K168" s="157">
        <f>SUMIFS('Future Orders'!$I168, 'Future Orders'!$D168, "1", 'Future Orders'!$C168, "A", 'Future Orders'!$B168, "1")</f>
        <v>0</v>
      </c>
      <c r="L168" s="157">
        <f>SUMIFS('Future Orders'!$F168, 'Future Orders'!$D168, "1", 'Future Orders'!$C168, "B", 'Future Orders'!$B168, "1")</f>
        <v>0</v>
      </c>
      <c r="M168" s="157">
        <f>SUMIFS('Future Orders'!$I168, 'Future Orders'!$D168, "1", 'Future Orders'!$C168, "B", 'Future Orders'!$B168, "1")</f>
        <v>0</v>
      </c>
      <c r="N168" s="159">
        <f>SUMIFS('Future Orders'!$F168, 'Future Orders'!$D168, "1", 'Future Orders'!$C168, "A", 'Future Orders'!$B168, "2")</f>
        <v>0</v>
      </c>
      <c r="O168" s="157">
        <f>SUMIFS('Future Orders'!$I168, 'Future Orders'!$D168, "1", 'Future Orders'!$C168, "A", 'Future Orders'!$B168, "2")</f>
        <v>0</v>
      </c>
      <c r="P168" s="157">
        <f>SUMIFS('Future Orders'!$E168, 'Future Orders'!$D168, "1", 'Future Orders'!$C168, "B", 'Future Orders'!$B168, "2")</f>
        <v>0</v>
      </c>
      <c r="Q168" s="157">
        <f>SUMIFS('Future Orders'!$I168, 'Future Orders'!$D168, "1", 'Future Orders'!$C168, "B", 'Future Orders'!$B168, "2")</f>
        <v>0</v>
      </c>
      <c r="R168" s="159">
        <f>SUMIFS('Future Orders'!$F168, 'Future Orders'!$D168, "2", 'Future Orders'!$C168, "A", 'Future Orders'!$B168, "1")</f>
        <v>0</v>
      </c>
      <c r="S168" s="157">
        <f>SUMIFS('Future Orders'!$I168, 'Future Orders'!$D168, "2", 'Future Orders'!$C168, "A", 'Future Orders'!$B168, "1")</f>
        <v>0</v>
      </c>
      <c r="T168" s="159">
        <f>SUMIFS('Future Orders'!$F168, 'Future Orders'!$D168, "2", 'Future Orders'!$C168, "B", 'Future Orders'!$B168, "1")</f>
        <v>0</v>
      </c>
      <c r="U168" s="157">
        <f>SUMIFS('Future Orders'!$I168, 'Future Orders'!$D168, "2", 'Future Orders'!$C168, "B", 'Future Orders'!$B168, "1")</f>
        <v>0</v>
      </c>
      <c r="V168" s="159">
        <f>SUMIFS('Future Orders'!$F168, 'Future Orders'!$D168, "2", 'Future Orders'!$C168, "A", 'Future Orders'!$B168, "2")</f>
        <v>0</v>
      </c>
      <c r="W168" s="157">
        <f>SUMIFS('Future Orders'!$I168, 'Future Orders'!$D168, "2", 'Future Orders'!$C168, "A", 'Future Orders'!$B168, "2")</f>
        <v>0</v>
      </c>
      <c r="X168" s="159">
        <f>SUMIFS('Future Orders'!$F168, 'Future Orders'!$D168, "2", 'Future Orders'!$C168, "B", 'Future Orders'!$B168, "2")</f>
        <v>0</v>
      </c>
      <c r="Y168" s="159">
        <f>SUMIFS('Future Orders'!$I168, 'Future Orders'!$D168, "2", 'Future Orders'!$C168, "B", 'Future Orders'!$B168, "2")</f>
        <v>0</v>
      </c>
      <c r="Z168" s="159">
        <f>SUMIFS('Future Orders'!$F168, 'Future Orders'!$D168, "3", 'Future Orders'!$C168, "A", 'Future Orders'!$B168, "1")</f>
        <v>0</v>
      </c>
      <c r="AA168" s="159">
        <f>SUMIFS('Future Orders'!$I168, 'Future Orders'!$D168, "3", 'Future Orders'!$C168, "A", 'Future Orders'!$B168, "1")</f>
        <v>0</v>
      </c>
      <c r="AB168" s="159">
        <f>SUMIFS('Future Orders'!$F168, 'Future Orders'!$D168, "3", 'Future Orders'!$C168, "B", 'Future Orders'!$B168, "1")</f>
        <v>2391.4</v>
      </c>
      <c r="AC168" s="159">
        <f>SUMIFS('Future Orders'!$I168, 'Future Orders'!$D168, "3", 'Future Orders'!$C168, "B", 'Future Orders'!$B168, "1")</f>
        <v>19848.62</v>
      </c>
      <c r="AD168" s="159">
        <f>SUMIFS('Future Orders'!$F168, 'Future Orders'!$D168, "3", 'Future Orders'!$C168, "A", 'Future Orders'!$B168, "2")</f>
        <v>0</v>
      </c>
      <c r="AE168" s="159">
        <f>SUMIFS('Future Orders'!$I168, 'Future Orders'!$D168, "3", 'Future Orders'!$C168, "A", 'Future Orders'!$B168, "2")</f>
        <v>0</v>
      </c>
      <c r="AF168" s="159">
        <f>SUMIFS('Future Orders'!$F168, 'Future Orders'!$D168, "3", 'Future Orders'!$C168, "B", 'Future Orders'!$B168, "2")</f>
        <v>0</v>
      </c>
      <c r="AG168" s="157">
        <f>SUMIFS('Future Orders'!$I168, 'Future Orders'!$D168, "3", 'Future Orders'!$C168, "B", 'Future Orders'!$B168, "2")</f>
        <v>0</v>
      </c>
      <c r="AH168" s="157">
        <f>SUMIFS('Future Orders'!$F168, 'Future Orders'!$D168, "4", 'Future Orders'!$C168, "A", 'Future Orders'!$B168, "1")</f>
        <v>0</v>
      </c>
      <c r="AI168" s="157">
        <f>SUMIFS('Future Orders'!$I168, 'Future Orders'!$D168, "4", 'Future Orders'!$C168, "A", 'Future Orders'!$B168, "1")</f>
        <v>0</v>
      </c>
      <c r="AJ168" s="157">
        <f>SUMIFS('Future Orders'!$F168, 'Future Orders'!$D168, "4", 'Future Orders'!$C168, "B", 'Future Orders'!$B168, "1")</f>
        <v>0</v>
      </c>
      <c r="AK168" s="157">
        <f>SUMIFS('Future Orders'!$I168, 'Future Orders'!$D168, "4", 'Future Orders'!$C168, "B", 'Future Orders'!$B168, "1")</f>
        <v>0</v>
      </c>
      <c r="AL168" s="157">
        <f>SUMIFS('Future Orders'!$F168, 'Future Orders'!$D168, "4", 'Future Orders'!$C168, "A", 'Future Orders'!$B168, "2")</f>
        <v>0</v>
      </c>
      <c r="AM168" s="157">
        <f>SUMIFS('Future Orders'!$I168, 'Future Orders'!$D168, "4", 'Future Orders'!$C168, "A", 'Future Orders'!$B168, "2")</f>
        <v>0</v>
      </c>
      <c r="AN168" s="171">
        <f>SUMIFS('Future Orders'!$F168, 'Future Orders'!$D168, "4", 'Future Orders'!$C168, "B", 'Future Orders'!$B168, "2")</f>
        <v>0</v>
      </c>
      <c r="AO168" s="171">
        <f>SUMIFS('Future Orders'!$I168, 'Future Orders'!$D168, "4", 'Future Orders'!$C168, "B", 'Future Orders'!$B168, "2")</f>
        <v>0</v>
      </c>
      <c r="AP168" s="171">
        <f>SUMIFS('Future Orders'!$H168, 'Future Orders'!$C168, "A", 'Future Orders'!$B168, "1")</f>
        <v>0</v>
      </c>
      <c r="AQ168" s="171">
        <f>SUMIFS('Future Orders'!$I168, 'Future Orders'!$C168, "B", 'Future Orders'!$B168, "1")</f>
        <v>19848.62</v>
      </c>
      <c r="AR168" s="171">
        <f>SUMIFS('Future Orders'!$H168, 'Future Orders'!$C168, "A", 'Future Orders'!$B168, "2")</f>
        <v>0</v>
      </c>
      <c r="AS168" s="171">
        <f>SUMIFS('Future Orders'!$I168, 'Future Orders'!$C168, "B", 'Future Orders'!$B168, "2")</f>
        <v>0</v>
      </c>
      <c r="AT168" s="145"/>
      <c r="AU168" s="172"/>
      <c r="AV168" s="172"/>
      <c r="AW168" s="172"/>
      <c r="AX168" s="172"/>
      <c r="AY168" s="172"/>
      <c r="AZ168" s="172"/>
      <c r="BA168" s="172"/>
      <c r="BB168" s="172"/>
      <c r="BC168" s="172"/>
      <c r="BD168" s="172"/>
      <c r="BE168" s="172"/>
      <c r="BF168" s="172"/>
      <c r="BG168" s="172"/>
      <c r="BH168" s="172"/>
      <c r="BI168" s="172"/>
      <c r="BJ168" s="172"/>
      <c r="BK168" s="172"/>
      <c r="BL168" s="172"/>
      <c r="BM168" s="172"/>
      <c r="BN168" s="172"/>
      <c r="BO168" s="172"/>
      <c r="BP168" s="172"/>
      <c r="BQ168" s="172"/>
      <c r="BR168" s="172"/>
      <c r="BS168" s="172"/>
      <c r="BT168" s="172"/>
      <c r="BU168" s="172"/>
      <c r="BV168" s="172"/>
      <c r="BW168" s="172"/>
      <c r="BX168" s="172"/>
      <c r="BY168" s="172"/>
      <c r="BZ168" s="172"/>
      <c r="CA168" s="179"/>
      <c r="CB168" s="179"/>
      <c r="CC168" s="179"/>
      <c r="CD168" s="179"/>
      <c r="CE168" s="179"/>
      <c r="CF168" s="179"/>
      <c r="CG168" s="179"/>
      <c r="CH168" s="179"/>
      <c r="CI168" s="179"/>
      <c r="CJ168" s="179"/>
      <c r="CK168" s="179"/>
      <c r="CL168" s="179"/>
      <c r="CM168" s="179"/>
      <c r="CN168" s="179"/>
      <c r="CO168" s="179"/>
      <c r="CP168" s="179"/>
    </row>
    <row r="169" ht="15.75" customHeight="1">
      <c r="A169" s="151">
        <v>42044.0</v>
      </c>
      <c r="B169" s="152">
        <v>2.0</v>
      </c>
      <c r="C169" s="152" t="s">
        <v>46</v>
      </c>
      <c r="D169" s="152">
        <v>3.0</v>
      </c>
      <c r="E169" s="153">
        <v>2669.0</v>
      </c>
      <c r="F169" s="153">
        <f>SUM(('Future Orders'!$E169) * (1.1))</f>
        <v>2935.9</v>
      </c>
      <c r="G169" s="154">
        <v>8.3</v>
      </c>
      <c r="H169" s="155">
        <v>22152.7</v>
      </c>
      <c r="I169" s="155">
        <f>SUM(('Future Orders'!$H169) * (1.1))</f>
        <v>24367.97</v>
      </c>
      <c r="J169" s="159">
        <f>SUMIFS('Future Orders'!$F169, 'Future Orders'!$D169, "1", 'Future Orders'!$C169, "A", 'Future Orders'!$B169, "1")</f>
        <v>0</v>
      </c>
      <c r="K169" s="157">
        <f>SUMIFS('Future Orders'!$I169, 'Future Orders'!$D169, "1", 'Future Orders'!$C169, "A", 'Future Orders'!$B169, "1")</f>
        <v>0</v>
      </c>
      <c r="L169" s="157">
        <f>SUMIFS('Future Orders'!$F169, 'Future Orders'!$D169, "1", 'Future Orders'!$C169, "B", 'Future Orders'!$B169, "1")</f>
        <v>0</v>
      </c>
      <c r="M169" s="157">
        <f>SUMIFS('Future Orders'!$I169, 'Future Orders'!$D169, "1", 'Future Orders'!$C169, "B", 'Future Orders'!$B169, "1")</f>
        <v>0</v>
      </c>
      <c r="N169" s="159">
        <f>SUMIFS('Future Orders'!$F169, 'Future Orders'!$D169, "1", 'Future Orders'!$C169, "A", 'Future Orders'!$B169, "2")</f>
        <v>0</v>
      </c>
      <c r="O169" s="157">
        <f>SUMIFS('Future Orders'!$I169, 'Future Orders'!$D169, "1", 'Future Orders'!$C169, "A", 'Future Orders'!$B169, "2")</f>
        <v>0</v>
      </c>
      <c r="P169" s="157">
        <f>SUMIFS('Future Orders'!$E169, 'Future Orders'!$D169, "1", 'Future Orders'!$C169, "B", 'Future Orders'!$B169, "2")</f>
        <v>0</v>
      </c>
      <c r="Q169" s="157">
        <f>SUMIFS('Future Orders'!$I169, 'Future Orders'!$D169, "1", 'Future Orders'!$C169, "B", 'Future Orders'!$B169, "2")</f>
        <v>0</v>
      </c>
      <c r="R169" s="159">
        <f>SUMIFS('Future Orders'!$F169, 'Future Orders'!$D169, "2", 'Future Orders'!$C169, "A", 'Future Orders'!$B169, "1")</f>
        <v>0</v>
      </c>
      <c r="S169" s="157">
        <f>SUMIFS('Future Orders'!$I169, 'Future Orders'!$D169, "2", 'Future Orders'!$C169, "A", 'Future Orders'!$B169, "1")</f>
        <v>0</v>
      </c>
      <c r="T169" s="159">
        <f>SUMIFS('Future Orders'!$F169, 'Future Orders'!$D169, "2", 'Future Orders'!$C169, "B", 'Future Orders'!$B169, "1")</f>
        <v>0</v>
      </c>
      <c r="U169" s="157">
        <f>SUMIFS('Future Orders'!$I169, 'Future Orders'!$D169, "2", 'Future Orders'!$C169, "B", 'Future Orders'!$B169, "1")</f>
        <v>0</v>
      </c>
      <c r="V169" s="159">
        <f>SUMIFS('Future Orders'!$F169, 'Future Orders'!$D169, "2", 'Future Orders'!$C169, "A", 'Future Orders'!$B169, "2")</f>
        <v>0</v>
      </c>
      <c r="W169" s="157">
        <f>SUMIFS('Future Orders'!$I169, 'Future Orders'!$D169, "2", 'Future Orders'!$C169, "A", 'Future Orders'!$B169, "2")</f>
        <v>0</v>
      </c>
      <c r="X169" s="159">
        <f>SUMIFS('Future Orders'!$F169, 'Future Orders'!$D169, "2", 'Future Orders'!$C169, "B", 'Future Orders'!$B169, "2")</f>
        <v>0</v>
      </c>
      <c r="Y169" s="159">
        <f>SUMIFS('Future Orders'!$I169, 'Future Orders'!$D169, "2", 'Future Orders'!$C169, "B", 'Future Orders'!$B169, "2")</f>
        <v>0</v>
      </c>
      <c r="Z169" s="159">
        <f>SUMIFS('Future Orders'!$F169, 'Future Orders'!$D169, "3", 'Future Orders'!$C169, "A", 'Future Orders'!$B169, "1")</f>
        <v>0</v>
      </c>
      <c r="AA169" s="159">
        <f>SUMIFS('Future Orders'!$I169, 'Future Orders'!$D169, "3", 'Future Orders'!$C169, "A", 'Future Orders'!$B169, "1")</f>
        <v>0</v>
      </c>
      <c r="AB169" s="159">
        <f>SUMIFS('Future Orders'!$F169, 'Future Orders'!$D169, "3", 'Future Orders'!$C169, "B", 'Future Orders'!$B169, "1")</f>
        <v>0</v>
      </c>
      <c r="AC169" s="159">
        <f>SUMIFS('Future Orders'!$I169, 'Future Orders'!$D169, "3", 'Future Orders'!$C169, "B", 'Future Orders'!$B169, "1")</f>
        <v>0</v>
      </c>
      <c r="AD169" s="159">
        <f>SUMIFS('Future Orders'!$F169, 'Future Orders'!$D169, "3", 'Future Orders'!$C169, "A", 'Future Orders'!$B169, "2")</f>
        <v>0</v>
      </c>
      <c r="AE169" s="159">
        <f>SUMIFS('Future Orders'!$I169, 'Future Orders'!$D169, "3", 'Future Orders'!$C169, "A", 'Future Orders'!$B169, "2")</f>
        <v>0</v>
      </c>
      <c r="AF169" s="159">
        <f>SUMIFS('Future Orders'!$F169, 'Future Orders'!$D169, "3", 'Future Orders'!$C169, "B", 'Future Orders'!$B169, "2")</f>
        <v>2935.9</v>
      </c>
      <c r="AG169" s="157">
        <f>SUMIFS('Future Orders'!$I169, 'Future Orders'!$D169, "3", 'Future Orders'!$C169, "B", 'Future Orders'!$B169, "2")</f>
        <v>24367.97</v>
      </c>
      <c r="AH169" s="157">
        <f>SUMIFS('Future Orders'!$F169, 'Future Orders'!$D169, "4", 'Future Orders'!$C169, "A", 'Future Orders'!$B169, "1")</f>
        <v>0</v>
      </c>
      <c r="AI169" s="157">
        <f>SUMIFS('Future Orders'!$I169, 'Future Orders'!$D169, "4", 'Future Orders'!$C169, "A", 'Future Orders'!$B169, "1")</f>
        <v>0</v>
      </c>
      <c r="AJ169" s="157">
        <f>SUMIFS('Future Orders'!$F169, 'Future Orders'!$D169, "4", 'Future Orders'!$C169, "B", 'Future Orders'!$B169, "1")</f>
        <v>0</v>
      </c>
      <c r="AK169" s="157">
        <f>SUMIFS('Future Orders'!$I169, 'Future Orders'!$D169, "4", 'Future Orders'!$C169, "B", 'Future Orders'!$B169, "1")</f>
        <v>0</v>
      </c>
      <c r="AL169" s="157">
        <f>SUMIFS('Future Orders'!$F169, 'Future Orders'!$D169, "4", 'Future Orders'!$C169, "A", 'Future Orders'!$B169, "2")</f>
        <v>0</v>
      </c>
      <c r="AM169" s="157">
        <f>SUMIFS('Future Orders'!$I169, 'Future Orders'!$D169, "4", 'Future Orders'!$C169, "A", 'Future Orders'!$B169, "2")</f>
        <v>0</v>
      </c>
      <c r="AN169" s="171">
        <f>SUMIFS('Future Orders'!$F169, 'Future Orders'!$D169, "4", 'Future Orders'!$C169, "B", 'Future Orders'!$B169, "2")</f>
        <v>0</v>
      </c>
      <c r="AO169" s="171">
        <f>SUMIFS('Future Orders'!$I169, 'Future Orders'!$D169, "4", 'Future Orders'!$C169, "B", 'Future Orders'!$B169, "2")</f>
        <v>0</v>
      </c>
      <c r="AP169" s="171">
        <f>SUMIFS('Future Orders'!$H169, 'Future Orders'!$C169, "A", 'Future Orders'!$B169, "1")</f>
        <v>0</v>
      </c>
      <c r="AQ169" s="171">
        <f>SUMIFS('Future Orders'!$I169, 'Future Orders'!$C169, "B", 'Future Orders'!$B169, "1")</f>
        <v>0</v>
      </c>
      <c r="AR169" s="171">
        <f>SUMIFS('Future Orders'!$H169, 'Future Orders'!$C169, "A", 'Future Orders'!$B169, "2")</f>
        <v>0</v>
      </c>
      <c r="AS169" s="171">
        <f>SUMIFS('Future Orders'!$I169, 'Future Orders'!$C169, "B", 'Future Orders'!$B169, "2")</f>
        <v>24367.97</v>
      </c>
      <c r="AT169" s="145"/>
      <c r="AU169" s="172"/>
      <c r="AV169" s="172"/>
      <c r="AW169" s="172"/>
      <c r="AX169" s="172"/>
      <c r="AY169" s="172"/>
      <c r="AZ169" s="172"/>
      <c r="BA169" s="172"/>
      <c r="BB169" s="172"/>
      <c r="BC169" s="172"/>
      <c r="BD169" s="172"/>
      <c r="BE169" s="172"/>
      <c r="BF169" s="172"/>
      <c r="BG169" s="172"/>
      <c r="BH169" s="172"/>
      <c r="BI169" s="172"/>
      <c r="BJ169" s="172"/>
      <c r="BK169" s="172"/>
      <c r="BL169" s="172"/>
      <c r="BM169" s="172"/>
      <c r="BN169" s="172"/>
      <c r="BO169" s="172"/>
      <c r="BP169" s="172"/>
      <c r="BQ169" s="172"/>
      <c r="BR169" s="172"/>
      <c r="BS169" s="172"/>
      <c r="BT169" s="172"/>
      <c r="BU169" s="172"/>
      <c r="BV169" s="172"/>
      <c r="BW169" s="172"/>
      <c r="BX169" s="172"/>
      <c r="BY169" s="172"/>
      <c r="BZ169" s="172"/>
      <c r="CA169" s="179"/>
      <c r="CB169" s="179"/>
      <c r="CC169" s="179"/>
      <c r="CD169" s="179"/>
      <c r="CE169" s="179"/>
      <c r="CF169" s="179"/>
      <c r="CG169" s="179"/>
      <c r="CH169" s="179"/>
      <c r="CI169" s="179"/>
      <c r="CJ169" s="179"/>
      <c r="CK169" s="179"/>
      <c r="CL169" s="179"/>
      <c r="CM169" s="179"/>
      <c r="CN169" s="179"/>
      <c r="CO169" s="179"/>
      <c r="CP169" s="179"/>
    </row>
    <row r="170" ht="15.75" customHeight="1">
      <c r="A170" s="151">
        <v>42051.0</v>
      </c>
      <c r="B170" s="152">
        <v>1.0</v>
      </c>
      <c r="C170" s="152" t="s">
        <v>45</v>
      </c>
      <c r="D170" s="152">
        <v>1.0</v>
      </c>
      <c r="E170" s="153">
        <v>4099.0</v>
      </c>
      <c r="F170" s="153">
        <f>SUM(('Future Orders'!$E170) * (1.1))</f>
        <v>4508.9</v>
      </c>
      <c r="G170" s="154">
        <v>2.2</v>
      </c>
      <c r="H170" s="155">
        <v>9017.800000000001</v>
      </c>
      <c r="I170" s="155">
        <f>SUM(('Future Orders'!$H170) * (1.1))</f>
        <v>9919.58</v>
      </c>
      <c r="J170" s="159">
        <f>SUMIFS('Future Orders'!$F170, 'Future Orders'!$D170, "1", 'Future Orders'!$C170, "A", 'Future Orders'!$B170, "1")</f>
        <v>4508.9</v>
      </c>
      <c r="K170" s="157">
        <f>SUMIFS('Future Orders'!$I170, 'Future Orders'!$D170, "1", 'Future Orders'!$C170, "A", 'Future Orders'!$B170, "1")</f>
        <v>9919.58</v>
      </c>
      <c r="L170" s="157">
        <f>SUMIFS('Future Orders'!$F170, 'Future Orders'!$D170, "1", 'Future Orders'!$C170, "B", 'Future Orders'!$B170, "1")</f>
        <v>0</v>
      </c>
      <c r="M170" s="157">
        <f>SUMIFS('Future Orders'!$I170, 'Future Orders'!$D170, "1", 'Future Orders'!$C170, "B", 'Future Orders'!$B170, "1")</f>
        <v>0</v>
      </c>
      <c r="N170" s="159">
        <f>SUMIFS('Future Orders'!$F170, 'Future Orders'!$D170, "1", 'Future Orders'!$C170, "A", 'Future Orders'!$B170, "2")</f>
        <v>0</v>
      </c>
      <c r="O170" s="157">
        <f>SUMIFS('Future Orders'!$I170, 'Future Orders'!$D170, "1", 'Future Orders'!$C170, "A", 'Future Orders'!$B170, "2")</f>
        <v>0</v>
      </c>
      <c r="P170" s="157">
        <f>SUMIFS('Future Orders'!$E170, 'Future Orders'!$D170, "1", 'Future Orders'!$C170, "B", 'Future Orders'!$B170, "2")</f>
        <v>0</v>
      </c>
      <c r="Q170" s="157">
        <f>SUMIFS('Future Orders'!$I170, 'Future Orders'!$D170, "1", 'Future Orders'!$C170, "B", 'Future Orders'!$B170, "2")</f>
        <v>0</v>
      </c>
      <c r="R170" s="159">
        <f>SUMIFS('Future Orders'!$F170, 'Future Orders'!$D170, "2", 'Future Orders'!$C170, "A", 'Future Orders'!$B170, "1")</f>
        <v>0</v>
      </c>
      <c r="S170" s="157">
        <f>SUMIFS('Future Orders'!$I170, 'Future Orders'!$D170, "2", 'Future Orders'!$C170, "A", 'Future Orders'!$B170, "1")</f>
        <v>0</v>
      </c>
      <c r="T170" s="159">
        <f>SUMIFS('Future Orders'!$F170, 'Future Orders'!$D170, "2", 'Future Orders'!$C170, "B", 'Future Orders'!$B170, "1")</f>
        <v>0</v>
      </c>
      <c r="U170" s="157">
        <f>SUMIFS('Future Orders'!$I170, 'Future Orders'!$D170, "2", 'Future Orders'!$C170, "B", 'Future Orders'!$B170, "1")</f>
        <v>0</v>
      </c>
      <c r="V170" s="159">
        <f>SUMIFS('Future Orders'!$F170, 'Future Orders'!$D170, "2", 'Future Orders'!$C170, "A", 'Future Orders'!$B170, "2")</f>
        <v>0</v>
      </c>
      <c r="W170" s="157">
        <f>SUMIFS('Future Orders'!$I170, 'Future Orders'!$D170, "2", 'Future Orders'!$C170, "A", 'Future Orders'!$B170, "2")</f>
        <v>0</v>
      </c>
      <c r="X170" s="159">
        <f>SUMIFS('Future Orders'!$F170, 'Future Orders'!$D170, "2", 'Future Orders'!$C170, "B", 'Future Orders'!$B170, "2")</f>
        <v>0</v>
      </c>
      <c r="Y170" s="159">
        <f>SUMIFS('Future Orders'!$I170, 'Future Orders'!$D170, "2", 'Future Orders'!$C170, "B", 'Future Orders'!$B170, "2")</f>
        <v>0</v>
      </c>
      <c r="Z170" s="159">
        <f>SUMIFS('Future Orders'!$F170, 'Future Orders'!$D170, "3", 'Future Orders'!$C170, "A", 'Future Orders'!$B170, "1")</f>
        <v>0</v>
      </c>
      <c r="AA170" s="159">
        <f>SUMIFS('Future Orders'!$I170, 'Future Orders'!$D170, "3", 'Future Orders'!$C170, "A", 'Future Orders'!$B170, "1")</f>
        <v>0</v>
      </c>
      <c r="AB170" s="159">
        <f>SUMIFS('Future Orders'!$F170, 'Future Orders'!$D170, "3", 'Future Orders'!$C170, "B", 'Future Orders'!$B170, "1")</f>
        <v>0</v>
      </c>
      <c r="AC170" s="159">
        <f>SUMIFS('Future Orders'!$I170, 'Future Orders'!$D170, "3", 'Future Orders'!$C170, "B", 'Future Orders'!$B170, "1")</f>
        <v>0</v>
      </c>
      <c r="AD170" s="159">
        <f>SUMIFS('Future Orders'!$F170, 'Future Orders'!$D170, "3", 'Future Orders'!$C170, "A", 'Future Orders'!$B170, "2")</f>
        <v>0</v>
      </c>
      <c r="AE170" s="159">
        <f>SUMIFS('Future Orders'!$I170, 'Future Orders'!$D170, "3", 'Future Orders'!$C170, "A", 'Future Orders'!$B170, "2")</f>
        <v>0</v>
      </c>
      <c r="AF170" s="159">
        <f>SUMIFS('Future Orders'!$F170, 'Future Orders'!$D170, "3", 'Future Orders'!$C170, "B", 'Future Orders'!$B170, "2")</f>
        <v>0</v>
      </c>
      <c r="AG170" s="157">
        <f>SUMIFS('Future Orders'!$I170, 'Future Orders'!$D170, "3", 'Future Orders'!$C170, "B", 'Future Orders'!$B170, "2")</f>
        <v>0</v>
      </c>
      <c r="AH170" s="157">
        <f>SUMIFS('Future Orders'!$F170, 'Future Orders'!$D170, "4", 'Future Orders'!$C170, "A", 'Future Orders'!$B170, "1")</f>
        <v>0</v>
      </c>
      <c r="AI170" s="157">
        <f>SUMIFS('Future Orders'!$I170, 'Future Orders'!$D170, "4", 'Future Orders'!$C170, "A", 'Future Orders'!$B170, "1")</f>
        <v>0</v>
      </c>
      <c r="AJ170" s="157">
        <f>SUMIFS('Future Orders'!$F170, 'Future Orders'!$D170, "4", 'Future Orders'!$C170, "B", 'Future Orders'!$B170, "1")</f>
        <v>0</v>
      </c>
      <c r="AK170" s="157">
        <f>SUMIFS('Future Orders'!$I170, 'Future Orders'!$D170, "4", 'Future Orders'!$C170, "B", 'Future Orders'!$B170, "1")</f>
        <v>0</v>
      </c>
      <c r="AL170" s="157">
        <f>SUMIFS('Future Orders'!$F170, 'Future Orders'!$D170, "4", 'Future Orders'!$C170, "A", 'Future Orders'!$B170, "2")</f>
        <v>0</v>
      </c>
      <c r="AM170" s="157">
        <f>SUMIFS('Future Orders'!$I170, 'Future Orders'!$D170, "4", 'Future Orders'!$C170, "A", 'Future Orders'!$B170, "2")</f>
        <v>0</v>
      </c>
      <c r="AN170" s="171">
        <f>SUMIFS('Future Orders'!$F170, 'Future Orders'!$D170, "4", 'Future Orders'!$C170, "B", 'Future Orders'!$B170, "2")</f>
        <v>0</v>
      </c>
      <c r="AO170" s="171">
        <f>SUMIFS('Future Orders'!$I170, 'Future Orders'!$D170, "4", 'Future Orders'!$C170, "B", 'Future Orders'!$B170, "2")</f>
        <v>0</v>
      </c>
      <c r="AP170" s="171">
        <f>SUMIFS('Future Orders'!$H170, 'Future Orders'!$C170, "A", 'Future Orders'!$B170, "1")</f>
        <v>9017.8</v>
      </c>
      <c r="AQ170" s="171">
        <f>SUMIFS('Future Orders'!$I170, 'Future Orders'!$C170, "B", 'Future Orders'!$B170, "1")</f>
        <v>0</v>
      </c>
      <c r="AR170" s="171">
        <f>SUMIFS('Future Orders'!$H170, 'Future Orders'!$C170, "A", 'Future Orders'!$B170, "2")</f>
        <v>0</v>
      </c>
      <c r="AS170" s="171">
        <f>SUMIFS('Future Orders'!$I170, 'Future Orders'!$C170, "B", 'Future Orders'!$B170, "2")</f>
        <v>0</v>
      </c>
      <c r="AT170" s="145"/>
      <c r="AU170" s="172"/>
      <c r="AV170" s="172"/>
      <c r="AW170" s="172"/>
      <c r="AX170" s="172"/>
      <c r="AY170" s="172"/>
      <c r="AZ170" s="172"/>
      <c r="BA170" s="172"/>
      <c r="BB170" s="172"/>
      <c r="BC170" s="172"/>
      <c r="BD170" s="172"/>
      <c r="BE170" s="172"/>
      <c r="BF170" s="172"/>
      <c r="BG170" s="172"/>
      <c r="BH170" s="172"/>
      <c r="BI170" s="172"/>
      <c r="BJ170" s="172"/>
      <c r="BK170" s="172"/>
      <c r="BL170" s="172"/>
      <c r="BM170" s="172"/>
      <c r="BN170" s="172"/>
      <c r="BO170" s="172"/>
      <c r="BP170" s="172"/>
      <c r="BQ170" s="172"/>
      <c r="BR170" s="172"/>
      <c r="BS170" s="172"/>
      <c r="BT170" s="172"/>
      <c r="BU170" s="172"/>
      <c r="BV170" s="172"/>
      <c r="BW170" s="172"/>
      <c r="BX170" s="172"/>
      <c r="BY170" s="172"/>
      <c r="BZ170" s="172"/>
      <c r="CA170" s="179"/>
      <c r="CB170" s="179"/>
      <c r="CC170" s="179"/>
      <c r="CD170" s="179"/>
      <c r="CE170" s="179"/>
      <c r="CF170" s="179"/>
      <c r="CG170" s="179"/>
      <c r="CH170" s="179"/>
      <c r="CI170" s="179"/>
      <c r="CJ170" s="179"/>
      <c r="CK170" s="179"/>
      <c r="CL170" s="179"/>
      <c r="CM170" s="179"/>
      <c r="CN170" s="179"/>
      <c r="CO170" s="179"/>
      <c r="CP170" s="179"/>
    </row>
    <row r="171" ht="15.75" customHeight="1">
      <c r="A171" s="151">
        <v>42051.0</v>
      </c>
      <c r="B171" s="152">
        <v>1.0</v>
      </c>
      <c r="C171" s="152" t="s">
        <v>45</v>
      </c>
      <c r="D171" s="152">
        <v>2.0</v>
      </c>
      <c r="E171" s="153">
        <v>4954.0</v>
      </c>
      <c r="F171" s="153">
        <f>SUM(('Future Orders'!$E171) * (1.1))</f>
        <v>5449.4</v>
      </c>
      <c r="G171" s="154">
        <v>1.2</v>
      </c>
      <c r="H171" s="155">
        <v>5944.8</v>
      </c>
      <c r="I171" s="155">
        <f>SUM(('Future Orders'!$H171) * (1.1))</f>
        <v>6539.28</v>
      </c>
      <c r="J171" s="159">
        <f>SUMIFS('Future Orders'!$F171, 'Future Orders'!$D171, "1", 'Future Orders'!$C171, "A", 'Future Orders'!$B171, "1")</f>
        <v>0</v>
      </c>
      <c r="K171" s="157">
        <f>SUMIFS('Future Orders'!$I171, 'Future Orders'!$D171, "1", 'Future Orders'!$C171, "A", 'Future Orders'!$B171, "1")</f>
        <v>0</v>
      </c>
      <c r="L171" s="157">
        <f>SUMIFS('Future Orders'!$F171, 'Future Orders'!$D171, "1", 'Future Orders'!$C171, "B", 'Future Orders'!$B171, "1")</f>
        <v>0</v>
      </c>
      <c r="M171" s="157">
        <f>SUMIFS('Future Orders'!$I171, 'Future Orders'!$D171, "1", 'Future Orders'!$C171, "B", 'Future Orders'!$B171, "1")</f>
        <v>0</v>
      </c>
      <c r="N171" s="159">
        <f>SUMIFS('Future Orders'!$F171, 'Future Orders'!$D171, "1", 'Future Orders'!$C171, "A", 'Future Orders'!$B171, "2")</f>
        <v>0</v>
      </c>
      <c r="O171" s="157">
        <f>SUMIFS('Future Orders'!$I171, 'Future Orders'!$D171, "1", 'Future Orders'!$C171, "A", 'Future Orders'!$B171, "2")</f>
        <v>0</v>
      </c>
      <c r="P171" s="157">
        <f>SUMIFS('Future Orders'!$E171, 'Future Orders'!$D171, "1", 'Future Orders'!$C171, "B", 'Future Orders'!$B171, "2")</f>
        <v>0</v>
      </c>
      <c r="Q171" s="157">
        <f>SUMIFS('Future Orders'!$I171, 'Future Orders'!$D171, "1", 'Future Orders'!$C171, "B", 'Future Orders'!$B171, "2")</f>
        <v>0</v>
      </c>
      <c r="R171" s="159">
        <f>SUMIFS('Future Orders'!$F171, 'Future Orders'!$D171, "2", 'Future Orders'!$C171, "A", 'Future Orders'!$B171, "1")</f>
        <v>5449.4</v>
      </c>
      <c r="S171" s="157">
        <f>SUMIFS('Future Orders'!$I171, 'Future Orders'!$D171, "2", 'Future Orders'!$C171, "A", 'Future Orders'!$B171, "1")</f>
        <v>6539.28</v>
      </c>
      <c r="T171" s="159">
        <f>SUMIFS('Future Orders'!$F171, 'Future Orders'!$D171, "2", 'Future Orders'!$C171, "B", 'Future Orders'!$B171, "1")</f>
        <v>0</v>
      </c>
      <c r="U171" s="157">
        <f>SUMIFS('Future Orders'!$I171, 'Future Orders'!$D171, "2", 'Future Orders'!$C171, "B", 'Future Orders'!$B171, "1")</f>
        <v>0</v>
      </c>
      <c r="V171" s="159">
        <f>SUMIFS('Future Orders'!$F171, 'Future Orders'!$D171, "2", 'Future Orders'!$C171, "A", 'Future Orders'!$B171, "2")</f>
        <v>0</v>
      </c>
      <c r="W171" s="157">
        <f>SUMIFS('Future Orders'!$I171, 'Future Orders'!$D171, "2", 'Future Orders'!$C171, "A", 'Future Orders'!$B171, "2")</f>
        <v>0</v>
      </c>
      <c r="X171" s="159">
        <f>SUMIFS('Future Orders'!$F171, 'Future Orders'!$D171, "2", 'Future Orders'!$C171, "B", 'Future Orders'!$B171, "2")</f>
        <v>0</v>
      </c>
      <c r="Y171" s="159">
        <f>SUMIFS('Future Orders'!$I171, 'Future Orders'!$D171, "2", 'Future Orders'!$C171, "B", 'Future Orders'!$B171, "2")</f>
        <v>0</v>
      </c>
      <c r="Z171" s="159">
        <f>SUMIFS('Future Orders'!$F171, 'Future Orders'!$D171, "3", 'Future Orders'!$C171, "A", 'Future Orders'!$B171, "1")</f>
        <v>0</v>
      </c>
      <c r="AA171" s="159">
        <f>SUMIFS('Future Orders'!$I171, 'Future Orders'!$D171, "3", 'Future Orders'!$C171, "A", 'Future Orders'!$B171, "1")</f>
        <v>0</v>
      </c>
      <c r="AB171" s="159">
        <f>SUMIFS('Future Orders'!$F171, 'Future Orders'!$D171, "3", 'Future Orders'!$C171, "B", 'Future Orders'!$B171, "1")</f>
        <v>0</v>
      </c>
      <c r="AC171" s="159">
        <f>SUMIFS('Future Orders'!$I171, 'Future Orders'!$D171, "3", 'Future Orders'!$C171, "B", 'Future Orders'!$B171, "1")</f>
        <v>0</v>
      </c>
      <c r="AD171" s="159">
        <f>SUMIFS('Future Orders'!$F171, 'Future Orders'!$D171, "3", 'Future Orders'!$C171, "A", 'Future Orders'!$B171, "2")</f>
        <v>0</v>
      </c>
      <c r="AE171" s="159">
        <f>SUMIFS('Future Orders'!$I171, 'Future Orders'!$D171, "3", 'Future Orders'!$C171, "A", 'Future Orders'!$B171, "2")</f>
        <v>0</v>
      </c>
      <c r="AF171" s="159">
        <f>SUMIFS('Future Orders'!$F171, 'Future Orders'!$D171, "3", 'Future Orders'!$C171, "B", 'Future Orders'!$B171, "2")</f>
        <v>0</v>
      </c>
      <c r="AG171" s="157">
        <f>SUMIFS('Future Orders'!$I171, 'Future Orders'!$D171, "3", 'Future Orders'!$C171, "B", 'Future Orders'!$B171, "2")</f>
        <v>0</v>
      </c>
      <c r="AH171" s="157">
        <f>SUMIFS('Future Orders'!$F171, 'Future Orders'!$D171, "4", 'Future Orders'!$C171, "A", 'Future Orders'!$B171, "1")</f>
        <v>0</v>
      </c>
      <c r="AI171" s="157">
        <f>SUMIFS('Future Orders'!$I171, 'Future Orders'!$D171, "4", 'Future Orders'!$C171, "A", 'Future Orders'!$B171, "1")</f>
        <v>0</v>
      </c>
      <c r="AJ171" s="157">
        <f>SUMIFS('Future Orders'!$F171, 'Future Orders'!$D171, "4", 'Future Orders'!$C171, "B", 'Future Orders'!$B171, "1")</f>
        <v>0</v>
      </c>
      <c r="AK171" s="157">
        <f>SUMIFS('Future Orders'!$I171, 'Future Orders'!$D171, "4", 'Future Orders'!$C171, "B", 'Future Orders'!$B171, "1")</f>
        <v>0</v>
      </c>
      <c r="AL171" s="157">
        <f>SUMIFS('Future Orders'!$F171, 'Future Orders'!$D171, "4", 'Future Orders'!$C171, "A", 'Future Orders'!$B171, "2")</f>
        <v>0</v>
      </c>
      <c r="AM171" s="157">
        <f>SUMIFS('Future Orders'!$I171, 'Future Orders'!$D171, "4", 'Future Orders'!$C171, "A", 'Future Orders'!$B171, "2")</f>
        <v>0</v>
      </c>
      <c r="AN171" s="171">
        <f>SUMIFS('Future Orders'!$F171, 'Future Orders'!$D171, "4", 'Future Orders'!$C171, "B", 'Future Orders'!$B171, "2")</f>
        <v>0</v>
      </c>
      <c r="AO171" s="171">
        <f>SUMIFS('Future Orders'!$I171, 'Future Orders'!$D171, "4", 'Future Orders'!$C171, "B", 'Future Orders'!$B171, "2")</f>
        <v>0</v>
      </c>
      <c r="AP171" s="171">
        <f>SUMIFS('Future Orders'!$H171, 'Future Orders'!$C171, "A", 'Future Orders'!$B171, "1")</f>
        <v>5944.8</v>
      </c>
      <c r="AQ171" s="171">
        <f>SUMIFS('Future Orders'!$I171, 'Future Orders'!$C171, "B", 'Future Orders'!$B171, "1")</f>
        <v>0</v>
      </c>
      <c r="AR171" s="171">
        <f>SUMIFS('Future Orders'!$H171, 'Future Orders'!$C171, "A", 'Future Orders'!$B171, "2")</f>
        <v>0</v>
      </c>
      <c r="AS171" s="171">
        <f>SUMIFS('Future Orders'!$I171, 'Future Orders'!$C171, "B", 'Future Orders'!$B171, "2")</f>
        <v>0</v>
      </c>
      <c r="AT171" s="145"/>
      <c r="AU171" s="172"/>
      <c r="AV171" s="172"/>
      <c r="AW171" s="172"/>
      <c r="AX171" s="172"/>
      <c r="AY171" s="172"/>
      <c r="AZ171" s="172"/>
      <c r="BA171" s="172"/>
      <c r="BB171" s="172"/>
      <c r="BC171" s="172"/>
      <c r="BD171" s="172"/>
      <c r="BE171" s="172"/>
      <c r="BF171" s="172"/>
      <c r="BG171" s="172"/>
      <c r="BH171" s="172"/>
      <c r="BI171" s="172"/>
      <c r="BJ171" s="172"/>
      <c r="BK171" s="172"/>
      <c r="BL171" s="172"/>
      <c r="BM171" s="172"/>
      <c r="BN171" s="172"/>
      <c r="BO171" s="172"/>
      <c r="BP171" s="172"/>
      <c r="BQ171" s="172"/>
      <c r="BR171" s="172"/>
      <c r="BS171" s="172"/>
      <c r="BT171" s="172"/>
      <c r="BU171" s="172"/>
      <c r="BV171" s="172"/>
      <c r="BW171" s="172"/>
      <c r="BX171" s="172"/>
      <c r="BY171" s="172"/>
      <c r="BZ171" s="172"/>
      <c r="CA171" s="179"/>
      <c r="CB171" s="179"/>
      <c r="CC171" s="179"/>
      <c r="CD171" s="179"/>
      <c r="CE171" s="179"/>
      <c r="CF171" s="179"/>
      <c r="CG171" s="179"/>
      <c r="CH171" s="179"/>
      <c r="CI171" s="179"/>
      <c r="CJ171" s="179"/>
      <c r="CK171" s="179"/>
      <c r="CL171" s="179"/>
      <c r="CM171" s="179"/>
      <c r="CN171" s="179"/>
      <c r="CO171" s="179"/>
      <c r="CP171" s="179"/>
    </row>
    <row r="172" ht="15.75" customHeight="1">
      <c r="A172" s="151">
        <v>42051.0</v>
      </c>
      <c r="B172" s="152">
        <v>2.0</v>
      </c>
      <c r="C172" s="152" t="s">
        <v>45</v>
      </c>
      <c r="D172" s="152">
        <v>1.0</v>
      </c>
      <c r="E172" s="153">
        <v>3390.0</v>
      </c>
      <c r="F172" s="153">
        <f>SUM(('Future Orders'!$E172) * (1.1))</f>
        <v>3729</v>
      </c>
      <c r="G172" s="154">
        <v>2.2</v>
      </c>
      <c r="H172" s="155">
        <v>7458.000000000001</v>
      </c>
      <c r="I172" s="155">
        <f>SUM(('Future Orders'!$H172) * (1.1))</f>
        <v>8203.8</v>
      </c>
      <c r="J172" s="159">
        <f>SUMIFS('Future Orders'!$F172, 'Future Orders'!$D172, "1", 'Future Orders'!$C172, "A", 'Future Orders'!$B172, "1")</f>
        <v>0</v>
      </c>
      <c r="K172" s="157">
        <f>SUMIFS('Future Orders'!$I172, 'Future Orders'!$D172, "1", 'Future Orders'!$C172, "A", 'Future Orders'!$B172, "1")</f>
        <v>0</v>
      </c>
      <c r="L172" s="157">
        <f>SUMIFS('Future Orders'!$F172, 'Future Orders'!$D172, "1", 'Future Orders'!$C172, "B", 'Future Orders'!$B172, "1")</f>
        <v>0</v>
      </c>
      <c r="M172" s="157">
        <f>SUMIFS('Future Orders'!$I172, 'Future Orders'!$D172, "1", 'Future Orders'!$C172, "B", 'Future Orders'!$B172, "1")</f>
        <v>0</v>
      </c>
      <c r="N172" s="159">
        <f>SUMIFS('Future Orders'!$F172, 'Future Orders'!$D172, "1", 'Future Orders'!$C172, "A", 'Future Orders'!$B172, "2")</f>
        <v>3729</v>
      </c>
      <c r="O172" s="157">
        <f>SUMIFS('Future Orders'!$I172, 'Future Orders'!$D172, "1", 'Future Orders'!$C172, "A", 'Future Orders'!$B172, "2")</f>
        <v>8203.8</v>
      </c>
      <c r="P172" s="157">
        <f>SUMIFS('Future Orders'!$E172, 'Future Orders'!$D172, "1", 'Future Orders'!$C172, "B", 'Future Orders'!$B172, "2")</f>
        <v>0</v>
      </c>
      <c r="Q172" s="157">
        <f>SUMIFS('Future Orders'!$I172, 'Future Orders'!$D172, "1", 'Future Orders'!$C172, "B", 'Future Orders'!$B172, "2")</f>
        <v>0</v>
      </c>
      <c r="R172" s="159">
        <f>SUMIFS('Future Orders'!$F172, 'Future Orders'!$D172, "2", 'Future Orders'!$C172, "A", 'Future Orders'!$B172, "1")</f>
        <v>0</v>
      </c>
      <c r="S172" s="157">
        <f>SUMIFS('Future Orders'!$I172, 'Future Orders'!$D172, "2", 'Future Orders'!$C172, "A", 'Future Orders'!$B172, "1")</f>
        <v>0</v>
      </c>
      <c r="T172" s="159">
        <f>SUMIFS('Future Orders'!$F172, 'Future Orders'!$D172, "2", 'Future Orders'!$C172, "B", 'Future Orders'!$B172, "1")</f>
        <v>0</v>
      </c>
      <c r="U172" s="157">
        <f>SUMIFS('Future Orders'!$I172, 'Future Orders'!$D172, "2", 'Future Orders'!$C172, "B", 'Future Orders'!$B172, "1")</f>
        <v>0</v>
      </c>
      <c r="V172" s="159">
        <f>SUMIFS('Future Orders'!$F172, 'Future Orders'!$D172, "2", 'Future Orders'!$C172, "A", 'Future Orders'!$B172, "2")</f>
        <v>0</v>
      </c>
      <c r="W172" s="157">
        <f>SUMIFS('Future Orders'!$I172, 'Future Orders'!$D172, "2", 'Future Orders'!$C172, "A", 'Future Orders'!$B172, "2")</f>
        <v>0</v>
      </c>
      <c r="X172" s="159">
        <f>SUMIFS('Future Orders'!$F172, 'Future Orders'!$D172, "2", 'Future Orders'!$C172, "B", 'Future Orders'!$B172, "2")</f>
        <v>0</v>
      </c>
      <c r="Y172" s="159">
        <f>SUMIFS('Future Orders'!$I172, 'Future Orders'!$D172, "2", 'Future Orders'!$C172, "B", 'Future Orders'!$B172, "2")</f>
        <v>0</v>
      </c>
      <c r="Z172" s="159">
        <f>SUMIFS('Future Orders'!$F172, 'Future Orders'!$D172, "3", 'Future Orders'!$C172, "A", 'Future Orders'!$B172, "1")</f>
        <v>0</v>
      </c>
      <c r="AA172" s="159">
        <f>SUMIFS('Future Orders'!$I172, 'Future Orders'!$D172, "3", 'Future Orders'!$C172, "A", 'Future Orders'!$B172, "1")</f>
        <v>0</v>
      </c>
      <c r="AB172" s="159">
        <f>SUMIFS('Future Orders'!$F172, 'Future Orders'!$D172, "3", 'Future Orders'!$C172, "B", 'Future Orders'!$B172, "1")</f>
        <v>0</v>
      </c>
      <c r="AC172" s="159">
        <f>SUMIFS('Future Orders'!$I172, 'Future Orders'!$D172, "3", 'Future Orders'!$C172, "B", 'Future Orders'!$B172, "1")</f>
        <v>0</v>
      </c>
      <c r="AD172" s="159">
        <f>SUMIFS('Future Orders'!$F172, 'Future Orders'!$D172, "3", 'Future Orders'!$C172, "A", 'Future Orders'!$B172, "2")</f>
        <v>0</v>
      </c>
      <c r="AE172" s="159">
        <f>SUMIFS('Future Orders'!$I172, 'Future Orders'!$D172, "3", 'Future Orders'!$C172, "A", 'Future Orders'!$B172, "2")</f>
        <v>0</v>
      </c>
      <c r="AF172" s="159">
        <f>SUMIFS('Future Orders'!$F172, 'Future Orders'!$D172, "3", 'Future Orders'!$C172, "B", 'Future Orders'!$B172, "2")</f>
        <v>0</v>
      </c>
      <c r="AG172" s="157">
        <f>SUMIFS('Future Orders'!$I172, 'Future Orders'!$D172, "3", 'Future Orders'!$C172, "B", 'Future Orders'!$B172, "2")</f>
        <v>0</v>
      </c>
      <c r="AH172" s="157">
        <f>SUMIFS('Future Orders'!$F172, 'Future Orders'!$D172, "4", 'Future Orders'!$C172, "A", 'Future Orders'!$B172, "1")</f>
        <v>0</v>
      </c>
      <c r="AI172" s="157">
        <f>SUMIFS('Future Orders'!$I172, 'Future Orders'!$D172, "4", 'Future Orders'!$C172, "A", 'Future Orders'!$B172, "1")</f>
        <v>0</v>
      </c>
      <c r="AJ172" s="157">
        <f>SUMIFS('Future Orders'!$F172, 'Future Orders'!$D172, "4", 'Future Orders'!$C172, "B", 'Future Orders'!$B172, "1")</f>
        <v>0</v>
      </c>
      <c r="AK172" s="157">
        <f>SUMIFS('Future Orders'!$I172, 'Future Orders'!$D172, "4", 'Future Orders'!$C172, "B", 'Future Orders'!$B172, "1")</f>
        <v>0</v>
      </c>
      <c r="AL172" s="157">
        <f>SUMIFS('Future Orders'!$F172, 'Future Orders'!$D172, "4", 'Future Orders'!$C172, "A", 'Future Orders'!$B172, "2")</f>
        <v>0</v>
      </c>
      <c r="AM172" s="157">
        <f>SUMIFS('Future Orders'!$I172, 'Future Orders'!$D172, "4", 'Future Orders'!$C172, "A", 'Future Orders'!$B172, "2")</f>
        <v>0</v>
      </c>
      <c r="AN172" s="171">
        <f>SUMIFS('Future Orders'!$F172, 'Future Orders'!$D172, "4", 'Future Orders'!$C172, "B", 'Future Orders'!$B172, "2")</f>
        <v>0</v>
      </c>
      <c r="AO172" s="171">
        <f>SUMIFS('Future Orders'!$I172, 'Future Orders'!$D172, "4", 'Future Orders'!$C172, "B", 'Future Orders'!$B172, "2")</f>
        <v>0</v>
      </c>
      <c r="AP172" s="171">
        <f>SUMIFS('Future Orders'!$H172, 'Future Orders'!$C172, "A", 'Future Orders'!$B172, "1")</f>
        <v>0</v>
      </c>
      <c r="AQ172" s="171">
        <f>SUMIFS('Future Orders'!$I172, 'Future Orders'!$C172, "B", 'Future Orders'!$B172, "1")</f>
        <v>0</v>
      </c>
      <c r="AR172" s="171">
        <f>SUMIFS('Future Orders'!$H172, 'Future Orders'!$C172, "A", 'Future Orders'!$B172, "2")</f>
        <v>7458</v>
      </c>
      <c r="AS172" s="171">
        <f>SUMIFS('Future Orders'!$I172, 'Future Orders'!$C172, "B", 'Future Orders'!$B172, "2")</f>
        <v>0</v>
      </c>
      <c r="AT172" s="145"/>
      <c r="AU172" s="172"/>
      <c r="AV172" s="172"/>
      <c r="AW172" s="172"/>
      <c r="AX172" s="172"/>
      <c r="AY172" s="172"/>
      <c r="AZ172" s="172"/>
      <c r="BA172" s="172"/>
      <c r="BB172" s="172"/>
      <c r="BC172" s="172"/>
      <c r="BD172" s="172"/>
      <c r="BE172" s="172"/>
      <c r="BF172" s="172"/>
      <c r="BG172" s="172"/>
      <c r="BH172" s="172"/>
      <c r="BI172" s="172"/>
      <c r="BJ172" s="172"/>
      <c r="BK172" s="172"/>
      <c r="BL172" s="172"/>
      <c r="BM172" s="172"/>
      <c r="BN172" s="172"/>
      <c r="BO172" s="172"/>
      <c r="BP172" s="172"/>
      <c r="BQ172" s="172"/>
      <c r="BR172" s="172"/>
      <c r="BS172" s="172"/>
      <c r="BT172" s="172"/>
      <c r="BU172" s="172"/>
      <c r="BV172" s="172"/>
      <c r="BW172" s="172"/>
      <c r="BX172" s="172"/>
      <c r="BY172" s="172"/>
      <c r="BZ172" s="172"/>
      <c r="CA172" s="179"/>
      <c r="CB172" s="179"/>
      <c r="CC172" s="179"/>
      <c r="CD172" s="179"/>
      <c r="CE172" s="179"/>
      <c r="CF172" s="179"/>
      <c r="CG172" s="179"/>
      <c r="CH172" s="179"/>
      <c r="CI172" s="179"/>
      <c r="CJ172" s="179"/>
      <c r="CK172" s="179"/>
      <c r="CL172" s="179"/>
      <c r="CM172" s="179"/>
      <c r="CN172" s="179"/>
      <c r="CO172" s="179"/>
      <c r="CP172" s="179"/>
    </row>
    <row r="173" ht="15.75" customHeight="1">
      <c r="A173" s="151">
        <v>42051.0</v>
      </c>
      <c r="B173" s="152">
        <v>2.0</v>
      </c>
      <c r="C173" s="152" t="s">
        <v>45</v>
      </c>
      <c r="D173" s="152">
        <v>2.0</v>
      </c>
      <c r="E173" s="153">
        <v>4390.0</v>
      </c>
      <c r="F173" s="153">
        <f>SUM(('Future Orders'!$E173) * (1.1))</f>
        <v>4829</v>
      </c>
      <c r="G173" s="154">
        <v>1.2</v>
      </c>
      <c r="H173" s="155">
        <v>5268.0</v>
      </c>
      <c r="I173" s="155">
        <f>SUM(('Future Orders'!$H173) * (1.1))</f>
        <v>5794.8</v>
      </c>
      <c r="J173" s="159">
        <f>SUMIFS('Future Orders'!$F173, 'Future Orders'!$D173, "1", 'Future Orders'!$C173, "A", 'Future Orders'!$B173, "1")</f>
        <v>0</v>
      </c>
      <c r="K173" s="157">
        <f>SUMIFS('Future Orders'!$I173, 'Future Orders'!$D173, "1", 'Future Orders'!$C173, "A", 'Future Orders'!$B173, "1")</f>
        <v>0</v>
      </c>
      <c r="L173" s="157">
        <f>SUMIFS('Future Orders'!$F173, 'Future Orders'!$D173, "1", 'Future Orders'!$C173, "B", 'Future Orders'!$B173, "1")</f>
        <v>0</v>
      </c>
      <c r="M173" s="157">
        <f>SUMIFS('Future Orders'!$I173, 'Future Orders'!$D173, "1", 'Future Orders'!$C173, "B", 'Future Orders'!$B173, "1")</f>
        <v>0</v>
      </c>
      <c r="N173" s="159">
        <f>SUMIFS('Future Orders'!$F173, 'Future Orders'!$D173, "1", 'Future Orders'!$C173, "A", 'Future Orders'!$B173, "2")</f>
        <v>0</v>
      </c>
      <c r="O173" s="157">
        <f>SUMIFS('Future Orders'!$I173, 'Future Orders'!$D173, "1", 'Future Orders'!$C173, "A", 'Future Orders'!$B173, "2")</f>
        <v>0</v>
      </c>
      <c r="P173" s="157">
        <f>SUMIFS('Future Orders'!$E173, 'Future Orders'!$D173, "1", 'Future Orders'!$C173, "B", 'Future Orders'!$B173, "2")</f>
        <v>0</v>
      </c>
      <c r="Q173" s="157">
        <f>SUMIFS('Future Orders'!$I173, 'Future Orders'!$D173, "1", 'Future Orders'!$C173, "B", 'Future Orders'!$B173, "2")</f>
        <v>0</v>
      </c>
      <c r="R173" s="159">
        <f>SUMIFS('Future Orders'!$F173, 'Future Orders'!$D173, "2", 'Future Orders'!$C173, "A", 'Future Orders'!$B173, "1")</f>
        <v>0</v>
      </c>
      <c r="S173" s="157">
        <f>SUMIFS('Future Orders'!$I173, 'Future Orders'!$D173, "2", 'Future Orders'!$C173, "A", 'Future Orders'!$B173, "1")</f>
        <v>0</v>
      </c>
      <c r="T173" s="159">
        <f>SUMIFS('Future Orders'!$F173, 'Future Orders'!$D173, "2", 'Future Orders'!$C173, "B", 'Future Orders'!$B173, "1")</f>
        <v>0</v>
      </c>
      <c r="U173" s="157">
        <f>SUMIFS('Future Orders'!$I173, 'Future Orders'!$D173, "2", 'Future Orders'!$C173, "B", 'Future Orders'!$B173, "1")</f>
        <v>0</v>
      </c>
      <c r="V173" s="159">
        <f>SUMIFS('Future Orders'!$F173, 'Future Orders'!$D173, "2", 'Future Orders'!$C173, "A", 'Future Orders'!$B173, "2")</f>
        <v>4829</v>
      </c>
      <c r="W173" s="157">
        <f>SUMIFS('Future Orders'!$I173, 'Future Orders'!$D173, "2", 'Future Orders'!$C173, "A", 'Future Orders'!$B173, "2")</f>
        <v>5794.8</v>
      </c>
      <c r="X173" s="159">
        <f>SUMIFS('Future Orders'!$F173, 'Future Orders'!$D173, "2", 'Future Orders'!$C173, "B", 'Future Orders'!$B173, "2")</f>
        <v>0</v>
      </c>
      <c r="Y173" s="159">
        <f>SUMIFS('Future Orders'!$I173, 'Future Orders'!$D173, "2", 'Future Orders'!$C173, "B", 'Future Orders'!$B173, "2")</f>
        <v>0</v>
      </c>
      <c r="Z173" s="159">
        <f>SUMIFS('Future Orders'!$F173, 'Future Orders'!$D173, "3", 'Future Orders'!$C173, "A", 'Future Orders'!$B173, "1")</f>
        <v>0</v>
      </c>
      <c r="AA173" s="159">
        <f>SUMIFS('Future Orders'!$I173, 'Future Orders'!$D173, "3", 'Future Orders'!$C173, "A", 'Future Orders'!$B173, "1")</f>
        <v>0</v>
      </c>
      <c r="AB173" s="159">
        <f>SUMIFS('Future Orders'!$F173, 'Future Orders'!$D173, "3", 'Future Orders'!$C173, "B", 'Future Orders'!$B173, "1")</f>
        <v>0</v>
      </c>
      <c r="AC173" s="159">
        <f>SUMIFS('Future Orders'!$I173, 'Future Orders'!$D173, "3", 'Future Orders'!$C173, "B", 'Future Orders'!$B173, "1")</f>
        <v>0</v>
      </c>
      <c r="AD173" s="159">
        <f>SUMIFS('Future Orders'!$F173, 'Future Orders'!$D173, "3", 'Future Orders'!$C173, "A", 'Future Orders'!$B173, "2")</f>
        <v>0</v>
      </c>
      <c r="AE173" s="159">
        <f>SUMIFS('Future Orders'!$I173, 'Future Orders'!$D173, "3", 'Future Orders'!$C173, "A", 'Future Orders'!$B173, "2")</f>
        <v>0</v>
      </c>
      <c r="AF173" s="159">
        <f>SUMIFS('Future Orders'!$F173, 'Future Orders'!$D173, "3", 'Future Orders'!$C173, "B", 'Future Orders'!$B173, "2")</f>
        <v>0</v>
      </c>
      <c r="AG173" s="157">
        <f>SUMIFS('Future Orders'!$I173, 'Future Orders'!$D173, "3", 'Future Orders'!$C173, "B", 'Future Orders'!$B173, "2")</f>
        <v>0</v>
      </c>
      <c r="AH173" s="157">
        <f>SUMIFS('Future Orders'!$F173, 'Future Orders'!$D173, "4", 'Future Orders'!$C173, "A", 'Future Orders'!$B173, "1")</f>
        <v>0</v>
      </c>
      <c r="AI173" s="157">
        <f>SUMIFS('Future Orders'!$I173, 'Future Orders'!$D173, "4", 'Future Orders'!$C173, "A", 'Future Orders'!$B173, "1")</f>
        <v>0</v>
      </c>
      <c r="AJ173" s="157">
        <f>SUMIFS('Future Orders'!$F173, 'Future Orders'!$D173, "4", 'Future Orders'!$C173, "B", 'Future Orders'!$B173, "1")</f>
        <v>0</v>
      </c>
      <c r="AK173" s="157">
        <f>SUMIFS('Future Orders'!$I173, 'Future Orders'!$D173, "4", 'Future Orders'!$C173, "B", 'Future Orders'!$B173, "1")</f>
        <v>0</v>
      </c>
      <c r="AL173" s="157">
        <f>SUMIFS('Future Orders'!$F173, 'Future Orders'!$D173, "4", 'Future Orders'!$C173, "A", 'Future Orders'!$B173, "2")</f>
        <v>0</v>
      </c>
      <c r="AM173" s="157">
        <f>SUMIFS('Future Orders'!$I173, 'Future Orders'!$D173, "4", 'Future Orders'!$C173, "A", 'Future Orders'!$B173, "2")</f>
        <v>0</v>
      </c>
      <c r="AN173" s="171">
        <f>SUMIFS('Future Orders'!$F173, 'Future Orders'!$D173, "4", 'Future Orders'!$C173, "B", 'Future Orders'!$B173, "2")</f>
        <v>0</v>
      </c>
      <c r="AO173" s="171">
        <f>SUMIFS('Future Orders'!$I173, 'Future Orders'!$D173, "4", 'Future Orders'!$C173, "B", 'Future Orders'!$B173, "2")</f>
        <v>0</v>
      </c>
      <c r="AP173" s="171">
        <f>SUMIFS('Future Orders'!$H173, 'Future Orders'!$C173, "A", 'Future Orders'!$B173, "1")</f>
        <v>0</v>
      </c>
      <c r="AQ173" s="171">
        <f>SUMIFS('Future Orders'!$I173, 'Future Orders'!$C173, "B", 'Future Orders'!$B173, "1")</f>
        <v>0</v>
      </c>
      <c r="AR173" s="171">
        <f>SUMIFS('Future Orders'!$H173, 'Future Orders'!$C173, "A", 'Future Orders'!$B173, "2")</f>
        <v>5268</v>
      </c>
      <c r="AS173" s="171">
        <f>SUMIFS('Future Orders'!$I173, 'Future Orders'!$C173, "B", 'Future Orders'!$B173, "2")</f>
        <v>0</v>
      </c>
      <c r="AT173" s="145"/>
      <c r="AU173" s="172"/>
      <c r="AV173" s="172"/>
      <c r="AW173" s="172"/>
      <c r="AX173" s="172"/>
      <c r="AY173" s="172"/>
      <c r="AZ173" s="172"/>
      <c r="BA173" s="172"/>
      <c r="BB173" s="172"/>
      <c r="BC173" s="172"/>
      <c r="BD173" s="172"/>
      <c r="BE173" s="172"/>
      <c r="BF173" s="172"/>
      <c r="BG173" s="172"/>
      <c r="BH173" s="172"/>
      <c r="BI173" s="172"/>
      <c r="BJ173" s="172"/>
      <c r="BK173" s="172"/>
      <c r="BL173" s="172"/>
      <c r="BM173" s="172"/>
      <c r="BN173" s="172"/>
      <c r="BO173" s="172"/>
      <c r="BP173" s="172"/>
      <c r="BQ173" s="172"/>
      <c r="BR173" s="172"/>
      <c r="BS173" s="172"/>
      <c r="BT173" s="172"/>
      <c r="BU173" s="172"/>
      <c r="BV173" s="172"/>
      <c r="BW173" s="172"/>
      <c r="BX173" s="172"/>
      <c r="BY173" s="172"/>
      <c r="BZ173" s="172"/>
      <c r="CA173" s="179"/>
      <c r="CB173" s="179"/>
      <c r="CC173" s="179"/>
      <c r="CD173" s="179"/>
      <c r="CE173" s="179"/>
      <c r="CF173" s="179"/>
      <c r="CG173" s="179"/>
      <c r="CH173" s="179"/>
      <c r="CI173" s="179"/>
      <c r="CJ173" s="179"/>
      <c r="CK173" s="179"/>
      <c r="CL173" s="179"/>
      <c r="CM173" s="179"/>
      <c r="CN173" s="179"/>
      <c r="CO173" s="179"/>
      <c r="CP173" s="179"/>
    </row>
    <row r="174" ht="15.75" customHeight="1">
      <c r="A174" s="151">
        <v>42051.0</v>
      </c>
      <c r="B174" s="152">
        <v>1.0</v>
      </c>
      <c r="C174" s="152" t="s">
        <v>46</v>
      </c>
      <c r="D174" s="152">
        <v>3.0</v>
      </c>
      <c r="E174" s="153">
        <v>2338.0</v>
      </c>
      <c r="F174" s="153">
        <f>SUM(('Future Orders'!$E174) * (1.1))</f>
        <v>2571.8</v>
      </c>
      <c r="G174" s="154">
        <v>8.3</v>
      </c>
      <c r="H174" s="155">
        <v>19405.4</v>
      </c>
      <c r="I174" s="155">
        <f>SUM(('Future Orders'!$H174) * (1.1))</f>
        <v>21345.94</v>
      </c>
      <c r="J174" s="159">
        <f>SUMIFS('Future Orders'!$F174, 'Future Orders'!$D174, "1", 'Future Orders'!$C174, "A", 'Future Orders'!$B174, "1")</f>
        <v>0</v>
      </c>
      <c r="K174" s="157">
        <f>SUMIFS('Future Orders'!$I174, 'Future Orders'!$D174, "1", 'Future Orders'!$C174, "A", 'Future Orders'!$B174, "1")</f>
        <v>0</v>
      </c>
      <c r="L174" s="157">
        <f>SUMIFS('Future Orders'!$F174, 'Future Orders'!$D174, "1", 'Future Orders'!$C174, "B", 'Future Orders'!$B174, "1")</f>
        <v>0</v>
      </c>
      <c r="M174" s="157">
        <f>SUMIFS('Future Orders'!$I174, 'Future Orders'!$D174, "1", 'Future Orders'!$C174, "B", 'Future Orders'!$B174, "1")</f>
        <v>0</v>
      </c>
      <c r="N174" s="159">
        <f>SUMIFS('Future Orders'!$F174, 'Future Orders'!$D174, "1", 'Future Orders'!$C174, "A", 'Future Orders'!$B174, "2")</f>
        <v>0</v>
      </c>
      <c r="O174" s="157">
        <f>SUMIFS('Future Orders'!$I174, 'Future Orders'!$D174, "1", 'Future Orders'!$C174, "A", 'Future Orders'!$B174, "2")</f>
        <v>0</v>
      </c>
      <c r="P174" s="157">
        <f>SUMIFS('Future Orders'!$E174, 'Future Orders'!$D174, "1", 'Future Orders'!$C174, "B", 'Future Orders'!$B174, "2")</f>
        <v>0</v>
      </c>
      <c r="Q174" s="157">
        <f>SUMIFS('Future Orders'!$I174, 'Future Orders'!$D174, "1", 'Future Orders'!$C174, "B", 'Future Orders'!$B174, "2")</f>
        <v>0</v>
      </c>
      <c r="R174" s="159">
        <f>SUMIFS('Future Orders'!$F174, 'Future Orders'!$D174, "2", 'Future Orders'!$C174, "A", 'Future Orders'!$B174, "1")</f>
        <v>0</v>
      </c>
      <c r="S174" s="157">
        <f>SUMIFS('Future Orders'!$I174, 'Future Orders'!$D174, "2", 'Future Orders'!$C174, "A", 'Future Orders'!$B174, "1")</f>
        <v>0</v>
      </c>
      <c r="T174" s="159">
        <f>SUMIFS('Future Orders'!$F174, 'Future Orders'!$D174, "2", 'Future Orders'!$C174, "B", 'Future Orders'!$B174, "1")</f>
        <v>0</v>
      </c>
      <c r="U174" s="157">
        <f>SUMIFS('Future Orders'!$I174, 'Future Orders'!$D174, "2", 'Future Orders'!$C174, "B", 'Future Orders'!$B174, "1")</f>
        <v>0</v>
      </c>
      <c r="V174" s="159">
        <f>SUMIFS('Future Orders'!$F174, 'Future Orders'!$D174, "2", 'Future Orders'!$C174, "A", 'Future Orders'!$B174, "2")</f>
        <v>0</v>
      </c>
      <c r="W174" s="157">
        <f>SUMIFS('Future Orders'!$I174, 'Future Orders'!$D174, "2", 'Future Orders'!$C174, "A", 'Future Orders'!$B174, "2")</f>
        <v>0</v>
      </c>
      <c r="X174" s="159">
        <f>SUMIFS('Future Orders'!$F174, 'Future Orders'!$D174, "2", 'Future Orders'!$C174, "B", 'Future Orders'!$B174, "2")</f>
        <v>0</v>
      </c>
      <c r="Y174" s="159">
        <f>SUMIFS('Future Orders'!$I174, 'Future Orders'!$D174, "2", 'Future Orders'!$C174, "B", 'Future Orders'!$B174, "2")</f>
        <v>0</v>
      </c>
      <c r="Z174" s="159">
        <f>SUMIFS('Future Orders'!$F174, 'Future Orders'!$D174, "3", 'Future Orders'!$C174, "A", 'Future Orders'!$B174, "1")</f>
        <v>0</v>
      </c>
      <c r="AA174" s="159">
        <f>SUMIFS('Future Orders'!$I174, 'Future Orders'!$D174, "3", 'Future Orders'!$C174, "A", 'Future Orders'!$B174, "1")</f>
        <v>0</v>
      </c>
      <c r="AB174" s="159">
        <f>SUMIFS('Future Orders'!$F174, 'Future Orders'!$D174, "3", 'Future Orders'!$C174, "B", 'Future Orders'!$B174, "1")</f>
        <v>2571.8</v>
      </c>
      <c r="AC174" s="159">
        <f>SUMIFS('Future Orders'!$I174, 'Future Orders'!$D174, "3", 'Future Orders'!$C174, "B", 'Future Orders'!$B174, "1")</f>
        <v>21345.94</v>
      </c>
      <c r="AD174" s="159">
        <f>SUMIFS('Future Orders'!$F174, 'Future Orders'!$D174, "3", 'Future Orders'!$C174, "A", 'Future Orders'!$B174, "2")</f>
        <v>0</v>
      </c>
      <c r="AE174" s="159">
        <f>SUMIFS('Future Orders'!$I174, 'Future Orders'!$D174, "3", 'Future Orders'!$C174, "A", 'Future Orders'!$B174, "2")</f>
        <v>0</v>
      </c>
      <c r="AF174" s="159">
        <f>SUMIFS('Future Orders'!$F174, 'Future Orders'!$D174, "3", 'Future Orders'!$C174, "B", 'Future Orders'!$B174, "2")</f>
        <v>0</v>
      </c>
      <c r="AG174" s="157">
        <f>SUMIFS('Future Orders'!$I174, 'Future Orders'!$D174, "3", 'Future Orders'!$C174, "B", 'Future Orders'!$B174, "2")</f>
        <v>0</v>
      </c>
      <c r="AH174" s="157">
        <f>SUMIFS('Future Orders'!$F174, 'Future Orders'!$D174, "4", 'Future Orders'!$C174, "A", 'Future Orders'!$B174, "1")</f>
        <v>0</v>
      </c>
      <c r="AI174" s="157">
        <f>SUMIFS('Future Orders'!$I174, 'Future Orders'!$D174, "4", 'Future Orders'!$C174, "A", 'Future Orders'!$B174, "1")</f>
        <v>0</v>
      </c>
      <c r="AJ174" s="157">
        <f>SUMIFS('Future Orders'!$F174, 'Future Orders'!$D174, "4", 'Future Orders'!$C174, "B", 'Future Orders'!$B174, "1")</f>
        <v>0</v>
      </c>
      <c r="AK174" s="157">
        <f>SUMIFS('Future Orders'!$I174, 'Future Orders'!$D174, "4", 'Future Orders'!$C174, "B", 'Future Orders'!$B174, "1")</f>
        <v>0</v>
      </c>
      <c r="AL174" s="157">
        <f>SUMIFS('Future Orders'!$F174, 'Future Orders'!$D174, "4", 'Future Orders'!$C174, "A", 'Future Orders'!$B174, "2")</f>
        <v>0</v>
      </c>
      <c r="AM174" s="157">
        <f>SUMIFS('Future Orders'!$I174, 'Future Orders'!$D174, "4", 'Future Orders'!$C174, "A", 'Future Orders'!$B174, "2")</f>
        <v>0</v>
      </c>
      <c r="AN174" s="171">
        <f>SUMIFS('Future Orders'!$F174, 'Future Orders'!$D174, "4", 'Future Orders'!$C174, "B", 'Future Orders'!$B174, "2")</f>
        <v>0</v>
      </c>
      <c r="AO174" s="171">
        <f>SUMIFS('Future Orders'!$I174, 'Future Orders'!$D174, "4", 'Future Orders'!$C174, "B", 'Future Orders'!$B174, "2")</f>
        <v>0</v>
      </c>
      <c r="AP174" s="171">
        <f>SUMIFS('Future Orders'!$H174, 'Future Orders'!$C174, "A", 'Future Orders'!$B174, "1")</f>
        <v>0</v>
      </c>
      <c r="AQ174" s="171">
        <f>SUMIFS('Future Orders'!$I174, 'Future Orders'!$C174, "B", 'Future Orders'!$B174, "1")</f>
        <v>21345.94</v>
      </c>
      <c r="AR174" s="171">
        <f>SUMIFS('Future Orders'!$H174, 'Future Orders'!$C174, "A", 'Future Orders'!$B174, "2")</f>
        <v>0</v>
      </c>
      <c r="AS174" s="171">
        <f>SUMIFS('Future Orders'!$I174, 'Future Orders'!$C174, "B", 'Future Orders'!$B174, "2")</f>
        <v>0</v>
      </c>
      <c r="AT174" s="145"/>
      <c r="AU174" s="172"/>
      <c r="AV174" s="172"/>
      <c r="AW174" s="172"/>
      <c r="AX174" s="172"/>
      <c r="AY174" s="172"/>
      <c r="AZ174" s="172"/>
      <c r="BA174" s="172"/>
      <c r="BB174" s="172"/>
      <c r="BC174" s="172"/>
      <c r="BD174" s="172"/>
      <c r="BE174" s="172"/>
      <c r="BF174" s="172"/>
      <c r="BG174" s="172"/>
      <c r="BH174" s="172"/>
      <c r="BI174" s="172"/>
      <c r="BJ174" s="172"/>
      <c r="BK174" s="172"/>
      <c r="BL174" s="172"/>
      <c r="BM174" s="172"/>
      <c r="BN174" s="172"/>
      <c r="BO174" s="172"/>
      <c r="BP174" s="172"/>
      <c r="BQ174" s="172"/>
      <c r="BR174" s="172"/>
      <c r="BS174" s="172"/>
      <c r="BT174" s="172"/>
      <c r="BU174" s="172"/>
      <c r="BV174" s="172"/>
      <c r="BW174" s="172"/>
      <c r="BX174" s="172"/>
      <c r="BY174" s="172"/>
      <c r="BZ174" s="172"/>
      <c r="CA174" s="179"/>
      <c r="CB174" s="179"/>
      <c r="CC174" s="179"/>
      <c r="CD174" s="179"/>
      <c r="CE174" s="179"/>
      <c r="CF174" s="179"/>
      <c r="CG174" s="179"/>
      <c r="CH174" s="179"/>
      <c r="CI174" s="179"/>
      <c r="CJ174" s="179"/>
      <c r="CK174" s="179"/>
      <c r="CL174" s="179"/>
      <c r="CM174" s="179"/>
      <c r="CN174" s="179"/>
      <c r="CO174" s="179"/>
      <c r="CP174" s="179"/>
    </row>
    <row r="175" ht="15.75" customHeight="1">
      <c r="A175" s="151">
        <v>42051.0</v>
      </c>
      <c r="B175" s="152">
        <v>2.0</v>
      </c>
      <c r="C175" s="152" t="s">
        <v>46</v>
      </c>
      <c r="D175" s="152">
        <v>3.0</v>
      </c>
      <c r="E175" s="153">
        <v>3206.0</v>
      </c>
      <c r="F175" s="153">
        <f>SUM(('Future Orders'!$E175) * (1.1))</f>
        <v>3526.6</v>
      </c>
      <c r="G175" s="154">
        <v>8.3</v>
      </c>
      <c r="H175" s="155">
        <v>26609.800000000003</v>
      </c>
      <c r="I175" s="155">
        <f>SUM(('Future Orders'!$H175) * (1.1))</f>
        <v>29270.78</v>
      </c>
      <c r="J175" s="159">
        <f>SUMIFS('Future Orders'!$F175, 'Future Orders'!$D175, "1", 'Future Orders'!$C175, "A", 'Future Orders'!$B175, "1")</f>
        <v>0</v>
      </c>
      <c r="K175" s="157">
        <f>SUMIFS('Future Orders'!$I175, 'Future Orders'!$D175, "1", 'Future Orders'!$C175, "A", 'Future Orders'!$B175, "1")</f>
        <v>0</v>
      </c>
      <c r="L175" s="157">
        <f>SUMIFS('Future Orders'!$F175, 'Future Orders'!$D175, "1", 'Future Orders'!$C175, "B", 'Future Orders'!$B175, "1")</f>
        <v>0</v>
      </c>
      <c r="M175" s="157">
        <f>SUMIFS('Future Orders'!$I175, 'Future Orders'!$D175, "1", 'Future Orders'!$C175, "B", 'Future Orders'!$B175, "1")</f>
        <v>0</v>
      </c>
      <c r="N175" s="159">
        <f>SUMIFS('Future Orders'!$F175, 'Future Orders'!$D175, "1", 'Future Orders'!$C175, "A", 'Future Orders'!$B175, "2")</f>
        <v>0</v>
      </c>
      <c r="O175" s="157">
        <f>SUMIFS('Future Orders'!$I175, 'Future Orders'!$D175, "1", 'Future Orders'!$C175, "A", 'Future Orders'!$B175, "2")</f>
        <v>0</v>
      </c>
      <c r="P175" s="157">
        <f>SUMIFS('Future Orders'!$E175, 'Future Orders'!$D175, "1", 'Future Orders'!$C175, "B", 'Future Orders'!$B175, "2")</f>
        <v>0</v>
      </c>
      <c r="Q175" s="157">
        <f>SUMIFS('Future Orders'!$I175, 'Future Orders'!$D175, "1", 'Future Orders'!$C175, "B", 'Future Orders'!$B175, "2")</f>
        <v>0</v>
      </c>
      <c r="R175" s="159">
        <f>SUMIFS('Future Orders'!$F175, 'Future Orders'!$D175, "2", 'Future Orders'!$C175, "A", 'Future Orders'!$B175, "1")</f>
        <v>0</v>
      </c>
      <c r="S175" s="157">
        <f>SUMIFS('Future Orders'!$I175, 'Future Orders'!$D175, "2", 'Future Orders'!$C175, "A", 'Future Orders'!$B175, "1")</f>
        <v>0</v>
      </c>
      <c r="T175" s="159">
        <f>SUMIFS('Future Orders'!$F175, 'Future Orders'!$D175, "2", 'Future Orders'!$C175, "B", 'Future Orders'!$B175, "1")</f>
        <v>0</v>
      </c>
      <c r="U175" s="157">
        <f>SUMIFS('Future Orders'!$I175, 'Future Orders'!$D175, "2", 'Future Orders'!$C175, "B", 'Future Orders'!$B175, "1")</f>
        <v>0</v>
      </c>
      <c r="V175" s="159">
        <f>SUMIFS('Future Orders'!$F175, 'Future Orders'!$D175, "2", 'Future Orders'!$C175, "A", 'Future Orders'!$B175, "2")</f>
        <v>0</v>
      </c>
      <c r="W175" s="157">
        <f>SUMIFS('Future Orders'!$I175, 'Future Orders'!$D175, "2", 'Future Orders'!$C175, "A", 'Future Orders'!$B175, "2")</f>
        <v>0</v>
      </c>
      <c r="X175" s="159">
        <f>SUMIFS('Future Orders'!$F175, 'Future Orders'!$D175, "2", 'Future Orders'!$C175, "B", 'Future Orders'!$B175, "2")</f>
        <v>0</v>
      </c>
      <c r="Y175" s="159">
        <f>SUMIFS('Future Orders'!$I175, 'Future Orders'!$D175, "2", 'Future Orders'!$C175, "B", 'Future Orders'!$B175, "2")</f>
        <v>0</v>
      </c>
      <c r="Z175" s="159">
        <f>SUMIFS('Future Orders'!$F175, 'Future Orders'!$D175, "3", 'Future Orders'!$C175, "A", 'Future Orders'!$B175, "1")</f>
        <v>0</v>
      </c>
      <c r="AA175" s="159">
        <f>SUMIFS('Future Orders'!$I175, 'Future Orders'!$D175, "3", 'Future Orders'!$C175, "A", 'Future Orders'!$B175, "1")</f>
        <v>0</v>
      </c>
      <c r="AB175" s="159">
        <f>SUMIFS('Future Orders'!$F175, 'Future Orders'!$D175, "3", 'Future Orders'!$C175, "B", 'Future Orders'!$B175, "1")</f>
        <v>0</v>
      </c>
      <c r="AC175" s="159">
        <f>SUMIFS('Future Orders'!$I175, 'Future Orders'!$D175, "3", 'Future Orders'!$C175, "B", 'Future Orders'!$B175, "1")</f>
        <v>0</v>
      </c>
      <c r="AD175" s="159">
        <f>SUMIFS('Future Orders'!$F175, 'Future Orders'!$D175, "3", 'Future Orders'!$C175, "A", 'Future Orders'!$B175, "2")</f>
        <v>0</v>
      </c>
      <c r="AE175" s="159">
        <f>SUMIFS('Future Orders'!$I175, 'Future Orders'!$D175, "3", 'Future Orders'!$C175, "A", 'Future Orders'!$B175, "2")</f>
        <v>0</v>
      </c>
      <c r="AF175" s="159">
        <f>SUMIFS('Future Orders'!$F175, 'Future Orders'!$D175, "3", 'Future Orders'!$C175, "B", 'Future Orders'!$B175, "2")</f>
        <v>3526.6</v>
      </c>
      <c r="AG175" s="157">
        <f>SUMIFS('Future Orders'!$I175, 'Future Orders'!$D175, "3", 'Future Orders'!$C175, "B", 'Future Orders'!$B175, "2")</f>
        <v>29270.78</v>
      </c>
      <c r="AH175" s="157">
        <f>SUMIFS('Future Orders'!$F175, 'Future Orders'!$D175, "4", 'Future Orders'!$C175, "A", 'Future Orders'!$B175, "1")</f>
        <v>0</v>
      </c>
      <c r="AI175" s="157">
        <f>SUMIFS('Future Orders'!$I175, 'Future Orders'!$D175, "4", 'Future Orders'!$C175, "A", 'Future Orders'!$B175, "1")</f>
        <v>0</v>
      </c>
      <c r="AJ175" s="157">
        <f>SUMIFS('Future Orders'!$F175, 'Future Orders'!$D175, "4", 'Future Orders'!$C175, "B", 'Future Orders'!$B175, "1")</f>
        <v>0</v>
      </c>
      <c r="AK175" s="157">
        <f>SUMIFS('Future Orders'!$I175, 'Future Orders'!$D175, "4", 'Future Orders'!$C175, "B", 'Future Orders'!$B175, "1")</f>
        <v>0</v>
      </c>
      <c r="AL175" s="157">
        <f>SUMIFS('Future Orders'!$F175, 'Future Orders'!$D175, "4", 'Future Orders'!$C175, "A", 'Future Orders'!$B175, "2")</f>
        <v>0</v>
      </c>
      <c r="AM175" s="157">
        <f>SUMIFS('Future Orders'!$I175, 'Future Orders'!$D175, "4", 'Future Orders'!$C175, "A", 'Future Orders'!$B175, "2")</f>
        <v>0</v>
      </c>
      <c r="AN175" s="171">
        <f>SUMIFS('Future Orders'!$F175, 'Future Orders'!$D175, "4", 'Future Orders'!$C175, "B", 'Future Orders'!$B175, "2")</f>
        <v>0</v>
      </c>
      <c r="AO175" s="171">
        <f>SUMIFS('Future Orders'!$I175, 'Future Orders'!$D175, "4", 'Future Orders'!$C175, "B", 'Future Orders'!$B175, "2")</f>
        <v>0</v>
      </c>
      <c r="AP175" s="171">
        <f>SUMIFS('Future Orders'!$H175, 'Future Orders'!$C175, "A", 'Future Orders'!$B175, "1")</f>
        <v>0</v>
      </c>
      <c r="AQ175" s="171">
        <f>SUMIFS('Future Orders'!$I175, 'Future Orders'!$C175, "B", 'Future Orders'!$B175, "1")</f>
        <v>0</v>
      </c>
      <c r="AR175" s="171">
        <f>SUMIFS('Future Orders'!$H175, 'Future Orders'!$C175, "A", 'Future Orders'!$B175, "2")</f>
        <v>0</v>
      </c>
      <c r="AS175" s="171">
        <f>SUMIFS('Future Orders'!$I175, 'Future Orders'!$C175, "B", 'Future Orders'!$B175, "2")</f>
        <v>29270.78</v>
      </c>
      <c r="AT175" s="145"/>
      <c r="AU175" s="172"/>
      <c r="AV175" s="172"/>
      <c r="AW175" s="172"/>
      <c r="AX175" s="172"/>
      <c r="AY175" s="172"/>
      <c r="AZ175" s="172"/>
      <c r="BA175" s="172"/>
      <c r="BB175" s="172"/>
      <c r="BC175" s="172"/>
      <c r="BD175" s="172"/>
      <c r="BE175" s="172"/>
      <c r="BF175" s="172"/>
      <c r="BG175" s="172"/>
      <c r="BH175" s="172"/>
      <c r="BI175" s="172"/>
      <c r="BJ175" s="172"/>
      <c r="BK175" s="172"/>
      <c r="BL175" s="172"/>
      <c r="BM175" s="172"/>
      <c r="BN175" s="172"/>
      <c r="BO175" s="172"/>
      <c r="BP175" s="172"/>
      <c r="BQ175" s="172"/>
      <c r="BR175" s="172"/>
      <c r="BS175" s="172"/>
      <c r="BT175" s="172"/>
      <c r="BU175" s="172"/>
      <c r="BV175" s="172"/>
      <c r="BW175" s="172"/>
      <c r="BX175" s="172"/>
      <c r="BY175" s="172"/>
      <c r="BZ175" s="172"/>
      <c r="CA175" s="179"/>
      <c r="CB175" s="179"/>
      <c r="CC175" s="179"/>
      <c r="CD175" s="179"/>
      <c r="CE175" s="179"/>
      <c r="CF175" s="179"/>
      <c r="CG175" s="179"/>
      <c r="CH175" s="179"/>
      <c r="CI175" s="179"/>
      <c r="CJ175" s="179"/>
      <c r="CK175" s="179"/>
      <c r="CL175" s="179"/>
      <c r="CM175" s="179"/>
      <c r="CN175" s="179"/>
      <c r="CO175" s="179"/>
      <c r="CP175" s="179"/>
    </row>
    <row r="176" ht="15.75" customHeight="1">
      <c r="A176" s="151">
        <v>42058.0</v>
      </c>
      <c r="B176" s="152">
        <v>1.0</v>
      </c>
      <c r="C176" s="152" t="s">
        <v>45</v>
      </c>
      <c r="D176" s="152">
        <v>1.0</v>
      </c>
      <c r="E176" s="153">
        <v>4059.0</v>
      </c>
      <c r="F176" s="153">
        <f>SUM(('Future Orders'!$E176) * (1.1))</f>
        <v>4464.9</v>
      </c>
      <c r="G176" s="154">
        <v>2.2</v>
      </c>
      <c r="H176" s="155">
        <v>8929.800000000001</v>
      </c>
      <c r="I176" s="155">
        <f>SUM(('Future Orders'!$H176) * (1.1))</f>
        <v>9822.78</v>
      </c>
      <c r="J176" s="159">
        <f>SUMIFS('Future Orders'!$F176, 'Future Orders'!$D176, "1", 'Future Orders'!$C176, "A", 'Future Orders'!$B176, "1")</f>
        <v>4464.9</v>
      </c>
      <c r="K176" s="157">
        <f>SUMIFS('Future Orders'!$I176, 'Future Orders'!$D176, "1", 'Future Orders'!$C176, "A", 'Future Orders'!$B176, "1")</f>
        <v>9822.78</v>
      </c>
      <c r="L176" s="157">
        <f>SUMIFS('Future Orders'!$F176, 'Future Orders'!$D176, "1", 'Future Orders'!$C176, "B", 'Future Orders'!$B176, "1")</f>
        <v>0</v>
      </c>
      <c r="M176" s="157">
        <f>SUMIFS('Future Orders'!$I176, 'Future Orders'!$D176, "1", 'Future Orders'!$C176, "B", 'Future Orders'!$B176, "1")</f>
        <v>0</v>
      </c>
      <c r="N176" s="159">
        <f>SUMIFS('Future Orders'!$F176, 'Future Orders'!$D176, "1", 'Future Orders'!$C176, "A", 'Future Orders'!$B176, "2")</f>
        <v>0</v>
      </c>
      <c r="O176" s="157">
        <f>SUMIFS('Future Orders'!$I176, 'Future Orders'!$D176, "1", 'Future Orders'!$C176, "A", 'Future Orders'!$B176, "2")</f>
        <v>0</v>
      </c>
      <c r="P176" s="157">
        <f>SUMIFS('Future Orders'!$E176, 'Future Orders'!$D176, "1", 'Future Orders'!$C176, "B", 'Future Orders'!$B176, "2")</f>
        <v>0</v>
      </c>
      <c r="Q176" s="157">
        <f>SUMIFS('Future Orders'!$I176, 'Future Orders'!$D176, "1", 'Future Orders'!$C176, "B", 'Future Orders'!$B176, "2")</f>
        <v>0</v>
      </c>
      <c r="R176" s="159">
        <f>SUMIFS('Future Orders'!$F176, 'Future Orders'!$D176, "2", 'Future Orders'!$C176, "A", 'Future Orders'!$B176, "1")</f>
        <v>0</v>
      </c>
      <c r="S176" s="157">
        <f>SUMIFS('Future Orders'!$I176, 'Future Orders'!$D176, "2", 'Future Orders'!$C176, "A", 'Future Orders'!$B176, "1")</f>
        <v>0</v>
      </c>
      <c r="T176" s="159">
        <f>SUMIFS('Future Orders'!$F176, 'Future Orders'!$D176, "2", 'Future Orders'!$C176, "B", 'Future Orders'!$B176, "1")</f>
        <v>0</v>
      </c>
      <c r="U176" s="157">
        <f>SUMIFS('Future Orders'!$I176, 'Future Orders'!$D176, "2", 'Future Orders'!$C176, "B", 'Future Orders'!$B176, "1")</f>
        <v>0</v>
      </c>
      <c r="V176" s="159">
        <f>SUMIFS('Future Orders'!$F176, 'Future Orders'!$D176, "2", 'Future Orders'!$C176, "A", 'Future Orders'!$B176, "2")</f>
        <v>0</v>
      </c>
      <c r="W176" s="157">
        <f>SUMIFS('Future Orders'!$I176, 'Future Orders'!$D176, "2", 'Future Orders'!$C176, "A", 'Future Orders'!$B176, "2")</f>
        <v>0</v>
      </c>
      <c r="X176" s="159">
        <f>SUMIFS('Future Orders'!$F176, 'Future Orders'!$D176, "2", 'Future Orders'!$C176, "B", 'Future Orders'!$B176, "2")</f>
        <v>0</v>
      </c>
      <c r="Y176" s="159">
        <f>SUMIFS('Future Orders'!$I176, 'Future Orders'!$D176, "2", 'Future Orders'!$C176, "B", 'Future Orders'!$B176, "2")</f>
        <v>0</v>
      </c>
      <c r="Z176" s="159">
        <f>SUMIFS('Future Orders'!$F176, 'Future Orders'!$D176, "3", 'Future Orders'!$C176, "A", 'Future Orders'!$B176, "1")</f>
        <v>0</v>
      </c>
      <c r="AA176" s="159">
        <f>SUMIFS('Future Orders'!$I176, 'Future Orders'!$D176, "3", 'Future Orders'!$C176, "A", 'Future Orders'!$B176, "1")</f>
        <v>0</v>
      </c>
      <c r="AB176" s="159">
        <f>SUMIFS('Future Orders'!$F176, 'Future Orders'!$D176, "3", 'Future Orders'!$C176, "B", 'Future Orders'!$B176, "1")</f>
        <v>0</v>
      </c>
      <c r="AC176" s="159">
        <f>SUMIFS('Future Orders'!$I176, 'Future Orders'!$D176, "3", 'Future Orders'!$C176, "B", 'Future Orders'!$B176, "1")</f>
        <v>0</v>
      </c>
      <c r="AD176" s="159">
        <f>SUMIFS('Future Orders'!$F176, 'Future Orders'!$D176, "3", 'Future Orders'!$C176, "A", 'Future Orders'!$B176, "2")</f>
        <v>0</v>
      </c>
      <c r="AE176" s="159">
        <f>SUMIFS('Future Orders'!$I176, 'Future Orders'!$D176, "3", 'Future Orders'!$C176, "A", 'Future Orders'!$B176, "2")</f>
        <v>0</v>
      </c>
      <c r="AF176" s="159">
        <f>SUMIFS('Future Orders'!$F176, 'Future Orders'!$D176, "3", 'Future Orders'!$C176, "B", 'Future Orders'!$B176, "2")</f>
        <v>0</v>
      </c>
      <c r="AG176" s="157">
        <f>SUMIFS('Future Orders'!$I176, 'Future Orders'!$D176, "3", 'Future Orders'!$C176, "B", 'Future Orders'!$B176, "2")</f>
        <v>0</v>
      </c>
      <c r="AH176" s="157">
        <f>SUMIFS('Future Orders'!$F176, 'Future Orders'!$D176, "4", 'Future Orders'!$C176, "A", 'Future Orders'!$B176, "1")</f>
        <v>0</v>
      </c>
      <c r="AI176" s="157">
        <f>SUMIFS('Future Orders'!$I176, 'Future Orders'!$D176, "4", 'Future Orders'!$C176, "A", 'Future Orders'!$B176, "1")</f>
        <v>0</v>
      </c>
      <c r="AJ176" s="157">
        <f>SUMIFS('Future Orders'!$F176, 'Future Orders'!$D176, "4", 'Future Orders'!$C176, "B", 'Future Orders'!$B176, "1")</f>
        <v>0</v>
      </c>
      <c r="AK176" s="157">
        <f>SUMIFS('Future Orders'!$I176, 'Future Orders'!$D176, "4", 'Future Orders'!$C176, "B", 'Future Orders'!$B176, "1")</f>
        <v>0</v>
      </c>
      <c r="AL176" s="157">
        <f>SUMIFS('Future Orders'!$F176, 'Future Orders'!$D176, "4", 'Future Orders'!$C176, "A", 'Future Orders'!$B176, "2")</f>
        <v>0</v>
      </c>
      <c r="AM176" s="157">
        <f>SUMIFS('Future Orders'!$I176, 'Future Orders'!$D176, "4", 'Future Orders'!$C176, "A", 'Future Orders'!$B176, "2")</f>
        <v>0</v>
      </c>
      <c r="AN176" s="171">
        <f>SUMIFS('Future Orders'!$F176, 'Future Orders'!$D176, "4", 'Future Orders'!$C176, "B", 'Future Orders'!$B176, "2")</f>
        <v>0</v>
      </c>
      <c r="AO176" s="171">
        <f>SUMIFS('Future Orders'!$I176, 'Future Orders'!$D176, "4", 'Future Orders'!$C176, "B", 'Future Orders'!$B176, "2")</f>
        <v>0</v>
      </c>
      <c r="AP176" s="171">
        <f>SUMIFS('Future Orders'!$H176, 'Future Orders'!$C176, "A", 'Future Orders'!$B176, "1")</f>
        <v>8929.8</v>
      </c>
      <c r="AQ176" s="171">
        <f>SUMIFS('Future Orders'!$I176, 'Future Orders'!$C176, "B", 'Future Orders'!$B176, "1")</f>
        <v>0</v>
      </c>
      <c r="AR176" s="171">
        <f>SUMIFS('Future Orders'!$H176, 'Future Orders'!$C176, "A", 'Future Orders'!$B176, "2")</f>
        <v>0</v>
      </c>
      <c r="AS176" s="171">
        <f>SUMIFS('Future Orders'!$I176, 'Future Orders'!$C176, "B", 'Future Orders'!$B176, "2")</f>
        <v>0</v>
      </c>
      <c r="AT176" s="145"/>
      <c r="AU176" s="172"/>
      <c r="AV176" s="172"/>
      <c r="AW176" s="172"/>
      <c r="AX176" s="172"/>
      <c r="AY176" s="172"/>
      <c r="AZ176" s="172"/>
      <c r="BA176" s="172"/>
      <c r="BB176" s="172"/>
      <c r="BC176" s="172"/>
      <c r="BD176" s="172"/>
      <c r="BE176" s="172"/>
      <c r="BF176" s="172"/>
      <c r="BG176" s="172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  <c r="BT176" s="172"/>
      <c r="BU176" s="172"/>
      <c r="BV176" s="172"/>
      <c r="BW176" s="172"/>
      <c r="BX176" s="172"/>
      <c r="BY176" s="172"/>
      <c r="BZ176" s="172"/>
      <c r="CA176" s="179"/>
      <c r="CB176" s="179"/>
      <c r="CC176" s="179"/>
      <c r="CD176" s="179"/>
      <c r="CE176" s="179"/>
      <c r="CF176" s="179"/>
      <c r="CG176" s="179"/>
      <c r="CH176" s="179"/>
      <c r="CI176" s="179"/>
      <c r="CJ176" s="179"/>
      <c r="CK176" s="179"/>
      <c r="CL176" s="179"/>
      <c r="CM176" s="179"/>
      <c r="CN176" s="179"/>
      <c r="CO176" s="179"/>
      <c r="CP176" s="179"/>
    </row>
    <row r="177" ht="15.75" customHeight="1">
      <c r="A177" s="151">
        <v>42058.0</v>
      </c>
      <c r="B177" s="152">
        <v>1.0</v>
      </c>
      <c r="C177" s="152" t="s">
        <v>45</v>
      </c>
      <c r="D177" s="152">
        <v>2.0</v>
      </c>
      <c r="E177" s="153">
        <v>5290.0</v>
      </c>
      <c r="F177" s="153">
        <f>SUM(('Future Orders'!$E177) * (1.1))</f>
        <v>5819</v>
      </c>
      <c r="G177" s="154">
        <v>1.2</v>
      </c>
      <c r="H177" s="155">
        <v>6348.0</v>
      </c>
      <c r="I177" s="155">
        <f>SUM(('Future Orders'!$H177) * (1.1))</f>
        <v>6982.8</v>
      </c>
      <c r="J177" s="159">
        <f>SUMIFS('Future Orders'!$F177, 'Future Orders'!$D177, "1", 'Future Orders'!$C177, "A", 'Future Orders'!$B177, "1")</f>
        <v>0</v>
      </c>
      <c r="K177" s="157">
        <f>SUMIFS('Future Orders'!$I177, 'Future Orders'!$D177, "1", 'Future Orders'!$C177, "A", 'Future Orders'!$B177, "1")</f>
        <v>0</v>
      </c>
      <c r="L177" s="157">
        <f>SUMIFS('Future Orders'!$F177, 'Future Orders'!$D177, "1", 'Future Orders'!$C177, "B", 'Future Orders'!$B177, "1")</f>
        <v>0</v>
      </c>
      <c r="M177" s="157">
        <f>SUMIFS('Future Orders'!$I177, 'Future Orders'!$D177, "1", 'Future Orders'!$C177, "B", 'Future Orders'!$B177, "1")</f>
        <v>0</v>
      </c>
      <c r="N177" s="159">
        <f>SUMIFS('Future Orders'!$F177, 'Future Orders'!$D177, "1", 'Future Orders'!$C177, "A", 'Future Orders'!$B177, "2")</f>
        <v>0</v>
      </c>
      <c r="O177" s="157">
        <f>SUMIFS('Future Orders'!$I177, 'Future Orders'!$D177, "1", 'Future Orders'!$C177, "A", 'Future Orders'!$B177, "2")</f>
        <v>0</v>
      </c>
      <c r="P177" s="157">
        <f>SUMIFS('Future Orders'!$E177, 'Future Orders'!$D177, "1", 'Future Orders'!$C177, "B", 'Future Orders'!$B177, "2")</f>
        <v>0</v>
      </c>
      <c r="Q177" s="157">
        <f>SUMIFS('Future Orders'!$I177, 'Future Orders'!$D177, "1", 'Future Orders'!$C177, "B", 'Future Orders'!$B177, "2")</f>
        <v>0</v>
      </c>
      <c r="R177" s="159">
        <f>SUMIFS('Future Orders'!$F177, 'Future Orders'!$D177, "2", 'Future Orders'!$C177, "A", 'Future Orders'!$B177, "1")</f>
        <v>5819</v>
      </c>
      <c r="S177" s="157">
        <f>SUMIFS('Future Orders'!$I177, 'Future Orders'!$D177, "2", 'Future Orders'!$C177, "A", 'Future Orders'!$B177, "1")</f>
        <v>6982.8</v>
      </c>
      <c r="T177" s="159">
        <f>SUMIFS('Future Orders'!$F177, 'Future Orders'!$D177, "2", 'Future Orders'!$C177, "B", 'Future Orders'!$B177, "1")</f>
        <v>0</v>
      </c>
      <c r="U177" s="157">
        <f>SUMIFS('Future Orders'!$I177, 'Future Orders'!$D177, "2", 'Future Orders'!$C177, "B", 'Future Orders'!$B177, "1")</f>
        <v>0</v>
      </c>
      <c r="V177" s="159">
        <f>SUMIFS('Future Orders'!$F177, 'Future Orders'!$D177, "2", 'Future Orders'!$C177, "A", 'Future Orders'!$B177, "2")</f>
        <v>0</v>
      </c>
      <c r="W177" s="157">
        <f>SUMIFS('Future Orders'!$I177, 'Future Orders'!$D177, "2", 'Future Orders'!$C177, "A", 'Future Orders'!$B177, "2")</f>
        <v>0</v>
      </c>
      <c r="X177" s="159">
        <f>SUMIFS('Future Orders'!$F177, 'Future Orders'!$D177, "2", 'Future Orders'!$C177, "B", 'Future Orders'!$B177, "2")</f>
        <v>0</v>
      </c>
      <c r="Y177" s="159">
        <f>SUMIFS('Future Orders'!$I177, 'Future Orders'!$D177, "2", 'Future Orders'!$C177, "B", 'Future Orders'!$B177, "2")</f>
        <v>0</v>
      </c>
      <c r="Z177" s="159">
        <f>SUMIFS('Future Orders'!$F177, 'Future Orders'!$D177, "3", 'Future Orders'!$C177, "A", 'Future Orders'!$B177, "1")</f>
        <v>0</v>
      </c>
      <c r="AA177" s="159">
        <f>SUMIFS('Future Orders'!$I177, 'Future Orders'!$D177, "3", 'Future Orders'!$C177, "A", 'Future Orders'!$B177, "1")</f>
        <v>0</v>
      </c>
      <c r="AB177" s="159">
        <f>SUMIFS('Future Orders'!$F177, 'Future Orders'!$D177, "3", 'Future Orders'!$C177, "B", 'Future Orders'!$B177, "1")</f>
        <v>0</v>
      </c>
      <c r="AC177" s="159">
        <f>SUMIFS('Future Orders'!$I177, 'Future Orders'!$D177, "3", 'Future Orders'!$C177, "B", 'Future Orders'!$B177, "1")</f>
        <v>0</v>
      </c>
      <c r="AD177" s="159">
        <f>SUMIFS('Future Orders'!$F177, 'Future Orders'!$D177, "3", 'Future Orders'!$C177, "A", 'Future Orders'!$B177, "2")</f>
        <v>0</v>
      </c>
      <c r="AE177" s="159">
        <f>SUMIFS('Future Orders'!$I177, 'Future Orders'!$D177, "3", 'Future Orders'!$C177, "A", 'Future Orders'!$B177, "2")</f>
        <v>0</v>
      </c>
      <c r="AF177" s="159">
        <f>SUMIFS('Future Orders'!$F177, 'Future Orders'!$D177, "3", 'Future Orders'!$C177, "B", 'Future Orders'!$B177, "2")</f>
        <v>0</v>
      </c>
      <c r="AG177" s="157">
        <f>SUMIFS('Future Orders'!$I177, 'Future Orders'!$D177, "3", 'Future Orders'!$C177, "B", 'Future Orders'!$B177, "2")</f>
        <v>0</v>
      </c>
      <c r="AH177" s="157">
        <f>SUMIFS('Future Orders'!$F177, 'Future Orders'!$D177, "4", 'Future Orders'!$C177, "A", 'Future Orders'!$B177, "1")</f>
        <v>0</v>
      </c>
      <c r="AI177" s="157">
        <f>SUMIFS('Future Orders'!$I177, 'Future Orders'!$D177, "4", 'Future Orders'!$C177, "A", 'Future Orders'!$B177, "1")</f>
        <v>0</v>
      </c>
      <c r="AJ177" s="157">
        <f>SUMIFS('Future Orders'!$F177, 'Future Orders'!$D177, "4", 'Future Orders'!$C177, "B", 'Future Orders'!$B177, "1")</f>
        <v>0</v>
      </c>
      <c r="AK177" s="157">
        <f>SUMIFS('Future Orders'!$I177, 'Future Orders'!$D177, "4", 'Future Orders'!$C177, "B", 'Future Orders'!$B177, "1")</f>
        <v>0</v>
      </c>
      <c r="AL177" s="157">
        <f>SUMIFS('Future Orders'!$F177, 'Future Orders'!$D177, "4", 'Future Orders'!$C177, "A", 'Future Orders'!$B177, "2")</f>
        <v>0</v>
      </c>
      <c r="AM177" s="157">
        <f>SUMIFS('Future Orders'!$I177, 'Future Orders'!$D177, "4", 'Future Orders'!$C177, "A", 'Future Orders'!$B177, "2")</f>
        <v>0</v>
      </c>
      <c r="AN177" s="171">
        <f>SUMIFS('Future Orders'!$F177, 'Future Orders'!$D177, "4", 'Future Orders'!$C177, "B", 'Future Orders'!$B177, "2")</f>
        <v>0</v>
      </c>
      <c r="AO177" s="171">
        <f>SUMIFS('Future Orders'!$I177, 'Future Orders'!$D177, "4", 'Future Orders'!$C177, "B", 'Future Orders'!$B177, "2")</f>
        <v>0</v>
      </c>
      <c r="AP177" s="171">
        <f>SUMIFS('Future Orders'!$H177, 'Future Orders'!$C177, "A", 'Future Orders'!$B177, "1")</f>
        <v>6348</v>
      </c>
      <c r="AQ177" s="171">
        <f>SUMIFS('Future Orders'!$I177, 'Future Orders'!$C177, "B", 'Future Orders'!$B177, "1")</f>
        <v>0</v>
      </c>
      <c r="AR177" s="171">
        <f>SUMIFS('Future Orders'!$H177, 'Future Orders'!$C177, "A", 'Future Orders'!$B177, "2")</f>
        <v>0</v>
      </c>
      <c r="AS177" s="171">
        <f>SUMIFS('Future Orders'!$I177, 'Future Orders'!$C177, "B", 'Future Orders'!$B177, "2")</f>
        <v>0</v>
      </c>
      <c r="AT177" s="145"/>
      <c r="AU177" s="172"/>
      <c r="AV177" s="172"/>
      <c r="AW177" s="172"/>
      <c r="AX177" s="172"/>
      <c r="AY177" s="172"/>
      <c r="AZ177" s="172"/>
      <c r="BA177" s="172"/>
      <c r="BB177" s="172"/>
      <c r="BC177" s="172"/>
      <c r="BD177" s="172"/>
      <c r="BE177" s="172"/>
      <c r="BF177" s="172"/>
      <c r="BG177" s="172"/>
      <c r="BH177" s="172"/>
      <c r="BI177" s="172"/>
      <c r="BJ177" s="172"/>
      <c r="BK177" s="172"/>
      <c r="BL177" s="172"/>
      <c r="BM177" s="172"/>
      <c r="BN177" s="172"/>
      <c r="BO177" s="172"/>
      <c r="BP177" s="172"/>
      <c r="BQ177" s="172"/>
      <c r="BR177" s="172"/>
      <c r="BS177" s="172"/>
      <c r="BT177" s="172"/>
      <c r="BU177" s="172"/>
      <c r="BV177" s="172"/>
      <c r="BW177" s="172"/>
      <c r="BX177" s="172"/>
      <c r="BY177" s="172"/>
      <c r="BZ177" s="172"/>
      <c r="CA177" s="179"/>
      <c r="CB177" s="179"/>
      <c r="CC177" s="179"/>
      <c r="CD177" s="179"/>
      <c r="CE177" s="179"/>
      <c r="CF177" s="179"/>
      <c r="CG177" s="179"/>
      <c r="CH177" s="179"/>
      <c r="CI177" s="179"/>
      <c r="CJ177" s="179"/>
      <c r="CK177" s="179"/>
      <c r="CL177" s="179"/>
      <c r="CM177" s="179"/>
      <c r="CN177" s="179"/>
      <c r="CO177" s="179"/>
      <c r="CP177" s="179"/>
    </row>
    <row r="178" ht="15.75" customHeight="1">
      <c r="A178" s="151">
        <v>42058.0</v>
      </c>
      <c r="B178" s="152">
        <v>2.0</v>
      </c>
      <c r="C178" s="152" t="s">
        <v>45</v>
      </c>
      <c r="D178" s="152">
        <v>1.0</v>
      </c>
      <c r="E178" s="153">
        <v>2438.0</v>
      </c>
      <c r="F178" s="153">
        <f>SUM(('Future Orders'!$E178) * (1.1))</f>
        <v>2681.8</v>
      </c>
      <c r="G178" s="154">
        <v>2.2</v>
      </c>
      <c r="H178" s="155">
        <v>5363.6</v>
      </c>
      <c r="I178" s="155">
        <f>SUM(('Future Orders'!$H178) * (1.1))</f>
        <v>5899.96</v>
      </c>
      <c r="J178" s="159">
        <f>SUMIFS('Future Orders'!$F178, 'Future Orders'!$D178, "1", 'Future Orders'!$C178, "A", 'Future Orders'!$B178, "1")</f>
        <v>0</v>
      </c>
      <c r="K178" s="157">
        <f>SUMIFS('Future Orders'!$I178, 'Future Orders'!$D178, "1", 'Future Orders'!$C178, "A", 'Future Orders'!$B178, "1")</f>
        <v>0</v>
      </c>
      <c r="L178" s="157">
        <f>SUMIFS('Future Orders'!$F178, 'Future Orders'!$D178, "1", 'Future Orders'!$C178, "B", 'Future Orders'!$B178, "1")</f>
        <v>0</v>
      </c>
      <c r="M178" s="157">
        <f>SUMIFS('Future Orders'!$I178, 'Future Orders'!$D178, "1", 'Future Orders'!$C178, "B", 'Future Orders'!$B178, "1")</f>
        <v>0</v>
      </c>
      <c r="N178" s="159">
        <f>SUMIFS('Future Orders'!$F178, 'Future Orders'!$D178, "1", 'Future Orders'!$C178, "A", 'Future Orders'!$B178, "2")</f>
        <v>2681.8</v>
      </c>
      <c r="O178" s="157">
        <f>SUMIFS('Future Orders'!$I178, 'Future Orders'!$D178, "1", 'Future Orders'!$C178, "A", 'Future Orders'!$B178, "2")</f>
        <v>5899.96</v>
      </c>
      <c r="P178" s="157">
        <f>SUMIFS('Future Orders'!$E178, 'Future Orders'!$D178, "1", 'Future Orders'!$C178, "B", 'Future Orders'!$B178, "2")</f>
        <v>0</v>
      </c>
      <c r="Q178" s="157">
        <f>SUMIFS('Future Orders'!$I178, 'Future Orders'!$D178, "1", 'Future Orders'!$C178, "B", 'Future Orders'!$B178, "2")</f>
        <v>0</v>
      </c>
      <c r="R178" s="159">
        <f>SUMIFS('Future Orders'!$F178, 'Future Orders'!$D178, "2", 'Future Orders'!$C178, "A", 'Future Orders'!$B178, "1")</f>
        <v>0</v>
      </c>
      <c r="S178" s="157">
        <f>SUMIFS('Future Orders'!$I178, 'Future Orders'!$D178, "2", 'Future Orders'!$C178, "A", 'Future Orders'!$B178, "1")</f>
        <v>0</v>
      </c>
      <c r="T178" s="159">
        <f>SUMIFS('Future Orders'!$F178, 'Future Orders'!$D178, "2", 'Future Orders'!$C178, "B", 'Future Orders'!$B178, "1")</f>
        <v>0</v>
      </c>
      <c r="U178" s="157">
        <f>SUMIFS('Future Orders'!$I178, 'Future Orders'!$D178, "2", 'Future Orders'!$C178, "B", 'Future Orders'!$B178, "1")</f>
        <v>0</v>
      </c>
      <c r="V178" s="159">
        <f>SUMIFS('Future Orders'!$F178, 'Future Orders'!$D178, "2", 'Future Orders'!$C178, "A", 'Future Orders'!$B178, "2")</f>
        <v>0</v>
      </c>
      <c r="W178" s="157">
        <f>SUMIFS('Future Orders'!$I178, 'Future Orders'!$D178, "2", 'Future Orders'!$C178, "A", 'Future Orders'!$B178, "2")</f>
        <v>0</v>
      </c>
      <c r="X178" s="159">
        <f>SUMIFS('Future Orders'!$F178, 'Future Orders'!$D178, "2", 'Future Orders'!$C178, "B", 'Future Orders'!$B178, "2")</f>
        <v>0</v>
      </c>
      <c r="Y178" s="159">
        <f>SUMIFS('Future Orders'!$I178, 'Future Orders'!$D178, "2", 'Future Orders'!$C178, "B", 'Future Orders'!$B178, "2")</f>
        <v>0</v>
      </c>
      <c r="Z178" s="159">
        <f>SUMIFS('Future Orders'!$F178, 'Future Orders'!$D178, "3", 'Future Orders'!$C178, "A", 'Future Orders'!$B178, "1")</f>
        <v>0</v>
      </c>
      <c r="AA178" s="159">
        <f>SUMIFS('Future Orders'!$I178, 'Future Orders'!$D178, "3", 'Future Orders'!$C178, "A", 'Future Orders'!$B178, "1")</f>
        <v>0</v>
      </c>
      <c r="AB178" s="159">
        <f>SUMIFS('Future Orders'!$F178, 'Future Orders'!$D178, "3", 'Future Orders'!$C178, "B", 'Future Orders'!$B178, "1")</f>
        <v>0</v>
      </c>
      <c r="AC178" s="159">
        <f>SUMIFS('Future Orders'!$I178, 'Future Orders'!$D178, "3", 'Future Orders'!$C178, "B", 'Future Orders'!$B178, "1")</f>
        <v>0</v>
      </c>
      <c r="AD178" s="159">
        <f>SUMIFS('Future Orders'!$F178, 'Future Orders'!$D178, "3", 'Future Orders'!$C178, "A", 'Future Orders'!$B178, "2")</f>
        <v>0</v>
      </c>
      <c r="AE178" s="159">
        <f>SUMIFS('Future Orders'!$I178, 'Future Orders'!$D178, "3", 'Future Orders'!$C178, "A", 'Future Orders'!$B178, "2")</f>
        <v>0</v>
      </c>
      <c r="AF178" s="159">
        <f>SUMIFS('Future Orders'!$F178, 'Future Orders'!$D178, "3", 'Future Orders'!$C178, "B", 'Future Orders'!$B178, "2")</f>
        <v>0</v>
      </c>
      <c r="AG178" s="157">
        <f>SUMIFS('Future Orders'!$I178, 'Future Orders'!$D178, "3", 'Future Orders'!$C178, "B", 'Future Orders'!$B178, "2")</f>
        <v>0</v>
      </c>
      <c r="AH178" s="157">
        <f>SUMIFS('Future Orders'!$F178, 'Future Orders'!$D178, "4", 'Future Orders'!$C178, "A", 'Future Orders'!$B178, "1")</f>
        <v>0</v>
      </c>
      <c r="AI178" s="157">
        <f>SUMIFS('Future Orders'!$I178, 'Future Orders'!$D178, "4", 'Future Orders'!$C178, "A", 'Future Orders'!$B178, "1")</f>
        <v>0</v>
      </c>
      <c r="AJ178" s="157">
        <f>SUMIFS('Future Orders'!$F178, 'Future Orders'!$D178, "4", 'Future Orders'!$C178, "B", 'Future Orders'!$B178, "1")</f>
        <v>0</v>
      </c>
      <c r="AK178" s="157">
        <f>SUMIFS('Future Orders'!$I178, 'Future Orders'!$D178, "4", 'Future Orders'!$C178, "B", 'Future Orders'!$B178, "1")</f>
        <v>0</v>
      </c>
      <c r="AL178" s="157">
        <f>SUMIFS('Future Orders'!$F178, 'Future Orders'!$D178, "4", 'Future Orders'!$C178, "A", 'Future Orders'!$B178, "2")</f>
        <v>0</v>
      </c>
      <c r="AM178" s="157">
        <f>SUMIFS('Future Orders'!$I178, 'Future Orders'!$D178, "4", 'Future Orders'!$C178, "A", 'Future Orders'!$B178, "2")</f>
        <v>0</v>
      </c>
      <c r="AN178" s="171">
        <f>SUMIFS('Future Orders'!$F178, 'Future Orders'!$D178, "4", 'Future Orders'!$C178, "B", 'Future Orders'!$B178, "2")</f>
        <v>0</v>
      </c>
      <c r="AO178" s="171">
        <f>SUMIFS('Future Orders'!$I178, 'Future Orders'!$D178, "4", 'Future Orders'!$C178, "B", 'Future Orders'!$B178, "2")</f>
        <v>0</v>
      </c>
      <c r="AP178" s="171">
        <f>SUMIFS('Future Orders'!$H178, 'Future Orders'!$C178, "A", 'Future Orders'!$B178, "1")</f>
        <v>0</v>
      </c>
      <c r="AQ178" s="171">
        <f>SUMIFS('Future Orders'!$I178, 'Future Orders'!$C178, "B", 'Future Orders'!$B178, "1")</f>
        <v>0</v>
      </c>
      <c r="AR178" s="171">
        <f>SUMIFS('Future Orders'!$H178, 'Future Orders'!$C178, "A", 'Future Orders'!$B178, "2")</f>
        <v>5363.6</v>
      </c>
      <c r="AS178" s="171">
        <f>SUMIFS('Future Orders'!$I178, 'Future Orders'!$C178, "B", 'Future Orders'!$B178, "2")</f>
        <v>0</v>
      </c>
      <c r="AT178" s="145"/>
      <c r="AU178" s="172"/>
      <c r="AV178" s="172"/>
      <c r="AW178" s="172"/>
      <c r="AX178" s="172"/>
      <c r="AY178" s="172"/>
      <c r="AZ178" s="172"/>
      <c r="BA178" s="172"/>
      <c r="BB178" s="172"/>
      <c r="BC178" s="172"/>
      <c r="BD178" s="172"/>
      <c r="BE178" s="172"/>
      <c r="BF178" s="172"/>
      <c r="BG178" s="172"/>
      <c r="BH178" s="172"/>
      <c r="BI178" s="172"/>
      <c r="BJ178" s="172"/>
      <c r="BK178" s="172"/>
      <c r="BL178" s="172"/>
      <c r="BM178" s="172"/>
      <c r="BN178" s="172"/>
      <c r="BO178" s="172"/>
      <c r="BP178" s="172"/>
      <c r="BQ178" s="172"/>
      <c r="BR178" s="172"/>
      <c r="BS178" s="172"/>
      <c r="BT178" s="172"/>
      <c r="BU178" s="172"/>
      <c r="BV178" s="172"/>
      <c r="BW178" s="172"/>
      <c r="BX178" s="172"/>
      <c r="BY178" s="172"/>
      <c r="BZ178" s="172"/>
      <c r="CA178" s="179"/>
      <c r="CB178" s="179"/>
      <c r="CC178" s="179"/>
      <c r="CD178" s="179"/>
      <c r="CE178" s="179"/>
      <c r="CF178" s="179"/>
      <c r="CG178" s="179"/>
      <c r="CH178" s="179"/>
      <c r="CI178" s="179"/>
      <c r="CJ178" s="179"/>
      <c r="CK178" s="179"/>
      <c r="CL178" s="179"/>
      <c r="CM178" s="179"/>
      <c r="CN178" s="179"/>
      <c r="CO178" s="179"/>
      <c r="CP178" s="179"/>
    </row>
    <row r="179" ht="15.75" customHeight="1">
      <c r="A179" s="151">
        <v>42058.0</v>
      </c>
      <c r="B179" s="152">
        <v>2.0</v>
      </c>
      <c r="C179" s="152" t="s">
        <v>45</v>
      </c>
      <c r="D179" s="152">
        <v>2.0</v>
      </c>
      <c r="E179" s="153">
        <v>4835.0</v>
      </c>
      <c r="F179" s="153">
        <f>SUM(('Future Orders'!$E179) * (1.1))</f>
        <v>5318.5</v>
      </c>
      <c r="G179" s="154">
        <v>1.2</v>
      </c>
      <c r="H179" s="155">
        <v>5802.0</v>
      </c>
      <c r="I179" s="155">
        <f>SUM(('Future Orders'!$H179) * (1.1))</f>
        <v>6382.2</v>
      </c>
      <c r="J179" s="159">
        <f>SUMIFS('Future Orders'!$F179, 'Future Orders'!$D179, "1", 'Future Orders'!$C179, "A", 'Future Orders'!$B179, "1")</f>
        <v>0</v>
      </c>
      <c r="K179" s="157">
        <f>SUMIFS('Future Orders'!$I179, 'Future Orders'!$D179, "1", 'Future Orders'!$C179, "A", 'Future Orders'!$B179, "1")</f>
        <v>0</v>
      </c>
      <c r="L179" s="157">
        <f>SUMIFS('Future Orders'!$F179, 'Future Orders'!$D179, "1", 'Future Orders'!$C179, "B", 'Future Orders'!$B179, "1")</f>
        <v>0</v>
      </c>
      <c r="M179" s="157">
        <f>SUMIFS('Future Orders'!$I179, 'Future Orders'!$D179, "1", 'Future Orders'!$C179, "B", 'Future Orders'!$B179, "1")</f>
        <v>0</v>
      </c>
      <c r="N179" s="159">
        <f>SUMIFS('Future Orders'!$F179, 'Future Orders'!$D179, "1", 'Future Orders'!$C179, "A", 'Future Orders'!$B179, "2")</f>
        <v>0</v>
      </c>
      <c r="O179" s="157">
        <f>SUMIFS('Future Orders'!$I179, 'Future Orders'!$D179, "1", 'Future Orders'!$C179, "A", 'Future Orders'!$B179, "2")</f>
        <v>0</v>
      </c>
      <c r="P179" s="157">
        <f>SUMIFS('Future Orders'!$E179, 'Future Orders'!$D179, "1", 'Future Orders'!$C179, "B", 'Future Orders'!$B179, "2")</f>
        <v>0</v>
      </c>
      <c r="Q179" s="157">
        <f>SUMIFS('Future Orders'!$I179, 'Future Orders'!$D179, "1", 'Future Orders'!$C179, "B", 'Future Orders'!$B179, "2")</f>
        <v>0</v>
      </c>
      <c r="R179" s="159">
        <f>SUMIFS('Future Orders'!$F179, 'Future Orders'!$D179, "2", 'Future Orders'!$C179, "A", 'Future Orders'!$B179, "1")</f>
        <v>0</v>
      </c>
      <c r="S179" s="157">
        <f>SUMIFS('Future Orders'!$I179, 'Future Orders'!$D179, "2", 'Future Orders'!$C179, "A", 'Future Orders'!$B179, "1")</f>
        <v>0</v>
      </c>
      <c r="T179" s="159">
        <f>SUMIFS('Future Orders'!$F179, 'Future Orders'!$D179, "2", 'Future Orders'!$C179, "B", 'Future Orders'!$B179, "1")</f>
        <v>0</v>
      </c>
      <c r="U179" s="157">
        <f>SUMIFS('Future Orders'!$I179, 'Future Orders'!$D179, "2", 'Future Orders'!$C179, "B", 'Future Orders'!$B179, "1")</f>
        <v>0</v>
      </c>
      <c r="V179" s="159">
        <f>SUMIFS('Future Orders'!$F179, 'Future Orders'!$D179, "2", 'Future Orders'!$C179, "A", 'Future Orders'!$B179, "2")</f>
        <v>5318.5</v>
      </c>
      <c r="W179" s="157">
        <f>SUMIFS('Future Orders'!$I179, 'Future Orders'!$D179, "2", 'Future Orders'!$C179, "A", 'Future Orders'!$B179, "2")</f>
        <v>6382.2</v>
      </c>
      <c r="X179" s="159">
        <f>SUMIFS('Future Orders'!$F179, 'Future Orders'!$D179, "2", 'Future Orders'!$C179, "B", 'Future Orders'!$B179, "2")</f>
        <v>0</v>
      </c>
      <c r="Y179" s="159">
        <f>SUMIFS('Future Orders'!$I179, 'Future Orders'!$D179, "2", 'Future Orders'!$C179, "B", 'Future Orders'!$B179, "2")</f>
        <v>0</v>
      </c>
      <c r="Z179" s="159">
        <f>SUMIFS('Future Orders'!$F179, 'Future Orders'!$D179, "3", 'Future Orders'!$C179, "A", 'Future Orders'!$B179, "1")</f>
        <v>0</v>
      </c>
      <c r="AA179" s="159">
        <f>SUMIFS('Future Orders'!$I179, 'Future Orders'!$D179, "3", 'Future Orders'!$C179, "A", 'Future Orders'!$B179, "1")</f>
        <v>0</v>
      </c>
      <c r="AB179" s="159">
        <f>SUMIFS('Future Orders'!$F179, 'Future Orders'!$D179, "3", 'Future Orders'!$C179, "B", 'Future Orders'!$B179, "1")</f>
        <v>0</v>
      </c>
      <c r="AC179" s="159">
        <f>SUMIFS('Future Orders'!$I179, 'Future Orders'!$D179, "3", 'Future Orders'!$C179, "B", 'Future Orders'!$B179, "1")</f>
        <v>0</v>
      </c>
      <c r="AD179" s="159">
        <f>SUMIFS('Future Orders'!$F179, 'Future Orders'!$D179, "3", 'Future Orders'!$C179, "A", 'Future Orders'!$B179, "2")</f>
        <v>0</v>
      </c>
      <c r="AE179" s="159">
        <f>SUMIFS('Future Orders'!$I179, 'Future Orders'!$D179, "3", 'Future Orders'!$C179, "A", 'Future Orders'!$B179, "2")</f>
        <v>0</v>
      </c>
      <c r="AF179" s="159">
        <f>SUMIFS('Future Orders'!$F179, 'Future Orders'!$D179, "3", 'Future Orders'!$C179, "B", 'Future Orders'!$B179, "2")</f>
        <v>0</v>
      </c>
      <c r="AG179" s="157">
        <f>SUMIFS('Future Orders'!$I179, 'Future Orders'!$D179, "3", 'Future Orders'!$C179, "B", 'Future Orders'!$B179, "2")</f>
        <v>0</v>
      </c>
      <c r="AH179" s="157">
        <f>SUMIFS('Future Orders'!$F179, 'Future Orders'!$D179, "4", 'Future Orders'!$C179, "A", 'Future Orders'!$B179, "1")</f>
        <v>0</v>
      </c>
      <c r="AI179" s="157">
        <f>SUMIFS('Future Orders'!$I179, 'Future Orders'!$D179, "4", 'Future Orders'!$C179, "A", 'Future Orders'!$B179, "1")</f>
        <v>0</v>
      </c>
      <c r="AJ179" s="157">
        <f>SUMIFS('Future Orders'!$F179, 'Future Orders'!$D179, "4", 'Future Orders'!$C179, "B", 'Future Orders'!$B179, "1")</f>
        <v>0</v>
      </c>
      <c r="AK179" s="157">
        <f>SUMIFS('Future Orders'!$I179, 'Future Orders'!$D179, "4", 'Future Orders'!$C179, "B", 'Future Orders'!$B179, "1")</f>
        <v>0</v>
      </c>
      <c r="AL179" s="157">
        <f>SUMIFS('Future Orders'!$F179, 'Future Orders'!$D179, "4", 'Future Orders'!$C179, "A", 'Future Orders'!$B179, "2")</f>
        <v>0</v>
      </c>
      <c r="AM179" s="157">
        <f>SUMIFS('Future Orders'!$I179, 'Future Orders'!$D179, "4", 'Future Orders'!$C179, "A", 'Future Orders'!$B179, "2")</f>
        <v>0</v>
      </c>
      <c r="AN179" s="171">
        <f>SUMIFS('Future Orders'!$F179, 'Future Orders'!$D179, "4", 'Future Orders'!$C179, "B", 'Future Orders'!$B179, "2")</f>
        <v>0</v>
      </c>
      <c r="AO179" s="171">
        <f>SUMIFS('Future Orders'!$I179, 'Future Orders'!$D179, "4", 'Future Orders'!$C179, "B", 'Future Orders'!$B179, "2")</f>
        <v>0</v>
      </c>
      <c r="AP179" s="171">
        <f>SUMIFS('Future Orders'!$H179, 'Future Orders'!$C179, "A", 'Future Orders'!$B179, "1")</f>
        <v>0</v>
      </c>
      <c r="AQ179" s="171">
        <f>SUMIFS('Future Orders'!$I179, 'Future Orders'!$C179, "B", 'Future Orders'!$B179, "1")</f>
        <v>0</v>
      </c>
      <c r="AR179" s="171">
        <f>SUMIFS('Future Orders'!$H179, 'Future Orders'!$C179, "A", 'Future Orders'!$B179, "2")</f>
        <v>5802</v>
      </c>
      <c r="AS179" s="171">
        <f>SUMIFS('Future Orders'!$I179, 'Future Orders'!$C179, "B", 'Future Orders'!$B179, "2")</f>
        <v>0</v>
      </c>
      <c r="AT179" s="145"/>
      <c r="AU179" s="172"/>
      <c r="AV179" s="172"/>
      <c r="AW179" s="172"/>
      <c r="AX179" s="172"/>
      <c r="AY179" s="172"/>
      <c r="AZ179" s="172"/>
      <c r="BA179" s="172"/>
      <c r="BB179" s="172"/>
      <c r="BC179" s="172"/>
      <c r="BD179" s="172"/>
      <c r="BE179" s="172"/>
      <c r="BF179" s="172"/>
      <c r="BG179" s="172"/>
      <c r="BH179" s="172"/>
      <c r="BI179" s="172"/>
      <c r="BJ179" s="172"/>
      <c r="BK179" s="172"/>
      <c r="BL179" s="172"/>
      <c r="BM179" s="172"/>
      <c r="BN179" s="172"/>
      <c r="BO179" s="172"/>
      <c r="BP179" s="172"/>
      <c r="BQ179" s="172"/>
      <c r="BR179" s="172"/>
      <c r="BS179" s="172"/>
      <c r="BT179" s="172"/>
      <c r="BU179" s="172"/>
      <c r="BV179" s="172"/>
      <c r="BW179" s="172"/>
      <c r="BX179" s="172"/>
      <c r="BY179" s="172"/>
      <c r="BZ179" s="172"/>
      <c r="CA179" s="179"/>
      <c r="CB179" s="179"/>
      <c r="CC179" s="179"/>
      <c r="CD179" s="179"/>
      <c r="CE179" s="179"/>
      <c r="CF179" s="179"/>
      <c r="CG179" s="179"/>
      <c r="CH179" s="179"/>
      <c r="CI179" s="179"/>
      <c r="CJ179" s="179"/>
      <c r="CK179" s="179"/>
      <c r="CL179" s="179"/>
      <c r="CM179" s="179"/>
      <c r="CN179" s="179"/>
      <c r="CO179" s="179"/>
      <c r="CP179" s="179"/>
    </row>
    <row r="180" ht="15.75" customHeight="1">
      <c r="A180" s="151">
        <v>42058.0</v>
      </c>
      <c r="B180" s="152">
        <v>1.0</v>
      </c>
      <c r="C180" s="152" t="s">
        <v>46</v>
      </c>
      <c r="D180" s="152">
        <v>3.0</v>
      </c>
      <c r="E180" s="153">
        <v>2070.0</v>
      </c>
      <c r="F180" s="153">
        <f>SUM(('Future Orders'!$E180) * (1.1))</f>
        <v>2277</v>
      </c>
      <c r="G180" s="154">
        <v>8.3</v>
      </c>
      <c r="H180" s="155">
        <v>17181.0</v>
      </c>
      <c r="I180" s="155">
        <f>SUM(('Future Orders'!$H180) * (1.1))</f>
        <v>18899.1</v>
      </c>
      <c r="J180" s="159">
        <f>SUMIFS('Future Orders'!$F180, 'Future Orders'!$D180, "1", 'Future Orders'!$C180, "A", 'Future Orders'!$B180, "1")</f>
        <v>0</v>
      </c>
      <c r="K180" s="157">
        <f>SUMIFS('Future Orders'!$I180, 'Future Orders'!$D180, "1", 'Future Orders'!$C180, "A", 'Future Orders'!$B180, "1")</f>
        <v>0</v>
      </c>
      <c r="L180" s="157">
        <f>SUMIFS('Future Orders'!$F180, 'Future Orders'!$D180, "1", 'Future Orders'!$C180, "B", 'Future Orders'!$B180, "1")</f>
        <v>0</v>
      </c>
      <c r="M180" s="157">
        <f>SUMIFS('Future Orders'!$I180, 'Future Orders'!$D180, "1", 'Future Orders'!$C180, "B", 'Future Orders'!$B180, "1")</f>
        <v>0</v>
      </c>
      <c r="N180" s="159">
        <f>SUMIFS('Future Orders'!$F180, 'Future Orders'!$D180, "1", 'Future Orders'!$C180, "A", 'Future Orders'!$B180, "2")</f>
        <v>0</v>
      </c>
      <c r="O180" s="157">
        <f>SUMIFS('Future Orders'!$I180, 'Future Orders'!$D180, "1", 'Future Orders'!$C180, "A", 'Future Orders'!$B180, "2")</f>
        <v>0</v>
      </c>
      <c r="P180" s="157">
        <f>SUMIFS('Future Orders'!$E180, 'Future Orders'!$D180, "1", 'Future Orders'!$C180, "B", 'Future Orders'!$B180, "2")</f>
        <v>0</v>
      </c>
      <c r="Q180" s="157">
        <f>SUMIFS('Future Orders'!$I180, 'Future Orders'!$D180, "1", 'Future Orders'!$C180, "B", 'Future Orders'!$B180, "2")</f>
        <v>0</v>
      </c>
      <c r="R180" s="159">
        <f>SUMIFS('Future Orders'!$F180, 'Future Orders'!$D180, "2", 'Future Orders'!$C180, "A", 'Future Orders'!$B180, "1")</f>
        <v>0</v>
      </c>
      <c r="S180" s="157">
        <f>SUMIFS('Future Orders'!$I180, 'Future Orders'!$D180, "2", 'Future Orders'!$C180, "A", 'Future Orders'!$B180, "1")</f>
        <v>0</v>
      </c>
      <c r="T180" s="159">
        <f>SUMIFS('Future Orders'!$F180, 'Future Orders'!$D180, "2", 'Future Orders'!$C180, "B", 'Future Orders'!$B180, "1")</f>
        <v>0</v>
      </c>
      <c r="U180" s="157">
        <f>SUMIFS('Future Orders'!$I180, 'Future Orders'!$D180, "2", 'Future Orders'!$C180, "B", 'Future Orders'!$B180, "1")</f>
        <v>0</v>
      </c>
      <c r="V180" s="159">
        <f>SUMIFS('Future Orders'!$F180, 'Future Orders'!$D180, "2", 'Future Orders'!$C180, "A", 'Future Orders'!$B180, "2")</f>
        <v>0</v>
      </c>
      <c r="W180" s="157">
        <f>SUMIFS('Future Orders'!$I180, 'Future Orders'!$D180, "2", 'Future Orders'!$C180, "A", 'Future Orders'!$B180, "2")</f>
        <v>0</v>
      </c>
      <c r="X180" s="159">
        <f>SUMIFS('Future Orders'!$F180, 'Future Orders'!$D180, "2", 'Future Orders'!$C180, "B", 'Future Orders'!$B180, "2")</f>
        <v>0</v>
      </c>
      <c r="Y180" s="159">
        <f>SUMIFS('Future Orders'!$I180, 'Future Orders'!$D180, "2", 'Future Orders'!$C180, "B", 'Future Orders'!$B180, "2")</f>
        <v>0</v>
      </c>
      <c r="Z180" s="159">
        <f>SUMIFS('Future Orders'!$F180, 'Future Orders'!$D180, "3", 'Future Orders'!$C180, "A", 'Future Orders'!$B180, "1")</f>
        <v>0</v>
      </c>
      <c r="AA180" s="159">
        <f>SUMIFS('Future Orders'!$I180, 'Future Orders'!$D180, "3", 'Future Orders'!$C180, "A", 'Future Orders'!$B180, "1")</f>
        <v>0</v>
      </c>
      <c r="AB180" s="159">
        <f>SUMIFS('Future Orders'!$F180, 'Future Orders'!$D180, "3", 'Future Orders'!$C180, "B", 'Future Orders'!$B180, "1")</f>
        <v>2277</v>
      </c>
      <c r="AC180" s="159">
        <f>SUMIFS('Future Orders'!$I180, 'Future Orders'!$D180, "3", 'Future Orders'!$C180, "B", 'Future Orders'!$B180, "1")</f>
        <v>18899.1</v>
      </c>
      <c r="AD180" s="159">
        <f>SUMIFS('Future Orders'!$F180, 'Future Orders'!$D180, "3", 'Future Orders'!$C180, "A", 'Future Orders'!$B180, "2")</f>
        <v>0</v>
      </c>
      <c r="AE180" s="159">
        <f>SUMIFS('Future Orders'!$I180, 'Future Orders'!$D180, "3", 'Future Orders'!$C180, "A", 'Future Orders'!$B180, "2")</f>
        <v>0</v>
      </c>
      <c r="AF180" s="159">
        <f>SUMIFS('Future Orders'!$F180, 'Future Orders'!$D180, "3", 'Future Orders'!$C180, "B", 'Future Orders'!$B180, "2")</f>
        <v>0</v>
      </c>
      <c r="AG180" s="157">
        <f>SUMIFS('Future Orders'!$I180, 'Future Orders'!$D180, "3", 'Future Orders'!$C180, "B", 'Future Orders'!$B180, "2")</f>
        <v>0</v>
      </c>
      <c r="AH180" s="157">
        <f>SUMIFS('Future Orders'!$F180, 'Future Orders'!$D180, "4", 'Future Orders'!$C180, "A", 'Future Orders'!$B180, "1")</f>
        <v>0</v>
      </c>
      <c r="AI180" s="157">
        <f>SUMIFS('Future Orders'!$I180, 'Future Orders'!$D180, "4", 'Future Orders'!$C180, "A", 'Future Orders'!$B180, "1")</f>
        <v>0</v>
      </c>
      <c r="AJ180" s="157">
        <f>SUMIFS('Future Orders'!$F180, 'Future Orders'!$D180, "4", 'Future Orders'!$C180, "B", 'Future Orders'!$B180, "1")</f>
        <v>0</v>
      </c>
      <c r="AK180" s="157">
        <f>SUMIFS('Future Orders'!$I180, 'Future Orders'!$D180, "4", 'Future Orders'!$C180, "B", 'Future Orders'!$B180, "1")</f>
        <v>0</v>
      </c>
      <c r="AL180" s="157">
        <f>SUMIFS('Future Orders'!$F180, 'Future Orders'!$D180, "4", 'Future Orders'!$C180, "A", 'Future Orders'!$B180, "2")</f>
        <v>0</v>
      </c>
      <c r="AM180" s="157">
        <f>SUMIFS('Future Orders'!$I180, 'Future Orders'!$D180, "4", 'Future Orders'!$C180, "A", 'Future Orders'!$B180, "2")</f>
        <v>0</v>
      </c>
      <c r="AN180" s="171">
        <f>SUMIFS('Future Orders'!$F180, 'Future Orders'!$D180, "4", 'Future Orders'!$C180, "B", 'Future Orders'!$B180, "2")</f>
        <v>0</v>
      </c>
      <c r="AO180" s="171">
        <f>SUMIFS('Future Orders'!$I180, 'Future Orders'!$D180, "4", 'Future Orders'!$C180, "B", 'Future Orders'!$B180, "2")</f>
        <v>0</v>
      </c>
      <c r="AP180" s="171">
        <f>SUMIFS('Future Orders'!$H180, 'Future Orders'!$C180, "A", 'Future Orders'!$B180, "1")</f>
        <v>0</v>
      </c>
      <c r="AQ180" s="171">
        <f>SUMIFS('Future Orders'!$I180, 'Future Orders'!$C180, "B", 'Future Orders'!$B180, "1")</f>
        <v>18899.1</v>
      </c>
      <c r="AR180" s="171">
        <f>SUMIFS('Future Orders'!$H180, 'Future Orders'!$C180, "A", 'Future Orders'!$B180, "2")</f>
        <v>0</v>
      </c>
      <c r="AS180" s="171">
        <f>SUMIFS('Future Orders'!$I180, 'Future Orders'!$C180, "B", 'Future Orders'!$B180, "2")</f>
        <v>0</v>
      </c>
      <c r="AT180" s="145"/>
      <c r="AU180" s="172"/>
      <c r="AV180" s="172"/>
      <c r="AW180" s="172"/>
      <c r="AX180" s="172"/>
      <c r="AY180" s="172"/>
      <c r="AZ180" s="172"/>
      <c r="BA180" s="172"/>
      <c r="BB180" s="172"/>
      <c r="BC180" s="172"/>
      <c r="BD180" s="172"/>
      <c r="BE180" s="172"/>
      <c r="BF180" s="172"/>
      <c r="BG180" s="172"/>
      <c r="BH180" s="172"/>
      <c r="BI180" s="172"/>
      <c r="BJ180" s="172"/>
      <c r="BK180" s="172"/>
      <c r="BL180" s="172"/>
      <c r="BM180" s="172"/>
      <c r="BN180" s="172"/>
      <c r="BO180" s="172"/>
      <c r="BP180" s="172"/>
      <c r="BQ180" s="172"/>
      <c r="BR180" s="172"/>
      <c r="BS180" s="172"/>
      <c r="BT180" s="172"/>
      <c r="BU180" s="172"/>
      <c r="BV180" s="172"/>
      <c r="BW180" s="172"/>
      <c r="BX180" s="172"/>
      <c r="BY180" s="172"/>
      <c r="BZ180" s="172"/>
      <c r="CA180" s="179"/>
      <c r="CB180" s="179"/>
      <c r="CC180" s="179"/>
      <c r="CD180" s="179"/>
      <c r="CE180" s="179"/>
      <c r="CF180" s="179"/>
      <c r="CG180" s="179"/>
      <c r="CH180" s="179"/>
      <c r="CI180" s="179"/>
      <c r="CJ180" s="179"/>
      <c r="CK180" s="179"/>
      <c r="CL180" s="179"/>
      <c r="CM180" s="179"/>
      <c r="CN180" s="179"/>
      <c r="CO180" s="179"/>
      <c r="CP180" s="179"/>
    </row>
    <row r="181" ht="15.75" customHeight="1">
      <c r="A181" s="151">
        <v>42058.0</v>
      </c>
      <c r="B181" s="152">
        <v>2.0</v>
      </c>
      <c r="C181" s="152" t="s">
        <v>46</v>
      </c>
      <c r="D181" s="152">
        <v>3.0</v>
      </c>
      <c r="E181" s="153">
        <v>2514.0</v>
      </c>
      <c r="F181" s="153">
        <f>SUM(('Future Orders'!$E181) * (1.1))</f>
        <v>2765.4</v>
      </c>
      <c r="G181" s="154">
        <v>8.3</v>
      </c>
      <c r="H181" s="155">
        <v>20866.2</v>
      </c>
      <c r="I181" s="155">
        <f>SUM(('Future Orders'!$H181) * (1.1))</f>
        <v>22952.82</v>
      </c>
      <c r="J181" s="159">
        <f>SUMIFS('Future Orders'!$F181, 'Future Orders'!$D181, "1", 'Future Orders'!$C181, "A", 'Future Orders'!$B181, "1")</f>
        <v>0</v>
      </c>
      <c r="K181" s="157">
        <f>SUMIFS('Future Orders'!$I181, 'Future Orders'!$D181, "1", 'Future Orders'!$C181, "A", 'Future Orders'!$B181, "1")</f>
        <v>0</v>
      </c>
      <c r="L181" s="157">
        <f>SUMIFS('Future Orders'!$F181, 'Future Orders'!$D181, "1", 'Future Orders'!$C181, "B", 'Future Orders'!$B181, "1")</f>
        <v>0</v>
      </c>
      <c r="M181" s="157">
        <f>SUMIFS('Future Orders'!$I181, 'Future Orders'!$D181, "1", 'Future Orders'!$C181, "B", 'Future Orders'!$B181, "1")</f>
        <v>0</v>
      </c>
      <c r="N181" s="159">
        <f>SUMIFS('Future Orders'!$F181, 'Future Orders'!$D181, "1", 'Future Orders'!$C181, "A", 'Future Orders'!$B181, "2")</f>
        <v>0</v>
      </c>
      <c r="O181" s="157">
        <f>SUMIFS('Future Orders'!$I181, 'Future Orders'!$D181, "1", 'Future Orders'!$C181, "A", 'Future Orders'!$B181, "2")</f>
        <v>0</v>
      </c>
      <c r="P181" s="157">
        <f>SUMIFS('Future Orders'!$E181, 'Future Orders'!$D181, "1", 'Future Orders'!$C181, "B", 'Future Orders'!$B181, "2")</f>
        <v>0</v>
      </c>
      <c r="Q181" s="157">
        <f>SUMIFS('Future Orders'!$I181, 'Future Orders'!$D181, "1", 'Future Orders'!$C181, "B", 'Future Orders'!$B181, "2")</f>
        <v>0</v>
      </c>
      <c r="R181" s="159">
        <f>SUMIFS('Future Orders'!$F181, 'Future Orders'!$D181, "2", 'Future Orders'!$C181, "A", 'Future Orders'!$B181, "1")</f>
        <v>0</v>
      </c>
      <c r="S181" s="157">
        <f>SUMIFS('Future Orders'!$I181, 'Future Orders'!$D181, "2", 'Future Orders'!$C181, "A", 'Future Orders'!$B181, "1")</f>
        <v>0</v>
      </c>
      <c r="T181" s="159">
        <f>SUMIFS('Future Orders'!$F181, 'Future Orders'!$D181, "2", 'Future Orders'!$C181, "B", 'Future Orders'!$B181, "1")</f>
        <v>0</v>
      </c>
      <c r="U181" s="157">
        <f>SUMIFS('Future Orders'!$I181, 'Future Orders'!$D181, "2", 'Future Orders'!$C181, "B", 'Future Orders'!$B181, "1")</f>
        <v>0</v>
      </c>
      <c r="V181" s="159">
        <f>SUMIFS('Future Orders'!$F181, 'Future Orders'!$D181, "2", 'Future Orders'!$C181, "A", 'Future Orders'!$B181, "2")</f>
        <v>0</v>
      </c>
      <c r="W181" s="157">
        <f>SUMIFS('Future Orders'!$I181, 'Future Orders'!$D181, "2", 'Future Orders'!$C181, "A", 'Future Orders'!$B181, "2")</f>
        <v>0</v>
      </c>
      <c r="X181" s="159">
        <f>SUMIFS('Future Orders'!$F181, 'Future Orders'!$D181, "2", 'Future Orders'!$C181, "B", 'Future Orders'!$B181, "2")</f>
        <v>0</v>
      </c>
      <c r="Y181" s="159">
        <f>SUMIFS('Future Orders'!$I181, 'Future Orders'!$D181, "2", 'Future Orders'!$C181, "B", 'Future Orders'!$B181, "2")</f>
        <v>0</v>
      </c>
      <c r="Z181" s="159">
        <f>SUMIFS('Future Orders'!$F181, 'Future Orders'!$D181, "3", 'Future Orders'!$C181, "A", 'Future Orders'!$B181, "1")</f>
        <v>0</v>
      </c>
      <c r="AA181" s="159">
        <f>SUMIFS('Future Orders'!$I181, 'Future Orders'!$D181, "3", 'Future Orders'!$C181, "A", 'Future Orders'!$B181, "1")</f>
        <v>0</v>
      </c>
      <c r="AB181" s="159">
        <f>SUMIFS('Future Orders'!$F181, 'Future Orders'!$D181, "3", 'Future Orders'!$C181, "B", 'Future Orders'!$B181, "1")</f>
        <v>0</v>
      </c>
      <c r="AC181" s="159">
        <f>SUMIFS('Future Orders'!$I181, 'Future Orders'!$D181, "3", 'Future Orders'!$C181, "B", 'Future Orders'!$B181, "1")</f>
        <v>0</v>
      </c>
      <c r="AD181" s="159">
        <f>SUMIFS('Future Orders'!$F181, 'Future Orders'!$D181, "3", 'Future Orders'!$C181, "A", 'Future Orders'!$B181, "2")</f>
        <v>0</v>
      </c>
      <c r="AE181" s="159">
        <f>SUMIFS('Future Orders'!$I181, 'Future Orders'!$D181, "3", 'Future Orders'!$C181, "A", 'Future Orders'!$B181, "2")</f>
        <v>0</v>
      </c>
      <c r="AF181" s="159">
        <f>SUMIFS('Future Orders'!$F181, 'Future Orders'!$D181, "3", 'Future Orders'!$C181, "B", 'Future Orders'!$B181, "2")</f>
        <v>2765.4</v>
      </c>
      <c r="AG181" s="157">
        <f>SUMIFS('Future Orders'!$I181, 'Future Orders'!$D181, "3", 'Future Orders'!$C181, "B", 'Future Orders'!$B181, "2")</f>
        <v>22952.82</v>
      </c>
      <c r="AH181" s="157">
        <f>SUMIFS('Future Orders'!$F181, 'Future Orders'!$D181, "4", 'Future Orders'!$C181, "A", 'Future Orders'!$B181, "1")</f>
        <v>0</v>
      </c>
      <c r="AI181" s="157">
        <f>SUMIFS('Future Orders'!$I181, 'Future Orders'!$D181, "4", 'Future Orders'!$C181, "A", 'Future Orders'!$B181, "1")</f>
        <v>0</v>
      </c>
      <c r="AJ181" s="157">
        <f>SUMIFS('Future Orders'!$F181, 'Future Orders'!$D181, "4", 'Future Orders'!$C181, "B", 'Future Orders'!$B181, "1")</f>
        <v>0</v>
      </c>
      <c r="AK181" s="157">
        <f>SUMIFS('Future Orders'!$I181, 'Future Orders'!$D181, "4", 'Future Orders'!$C181, "B", 'Future Orders'!$B181, "1")</f>
        <v>0</v>
      </c>
      <c r="AL181" s="157">
        <f>SUMIFS('Future Orders'!$F181, 'Future Orders'!$D181, "4", 'Future Orders'!$C181, "A", 'Future Orders'!$B181, "2")</f>
        <v>0</v>
      </c>
      <c r="AM181" s="157">
        <f>SUMIFS('Future Orders'!$I181, 'Future Orders'!$D181, "4", 'Future Orders'!$C181, "A", 'Future Orders'!$B181, "2")</f>
        <v>0</v>
      </c>
      <c r="AN181" s="171">
        <f>SUMIFS('Future Orders'!$F181, 'Future Orders'!$D181, "4", 'Future Orders'!$C181, "B", 'Future Orders'!$B181, "2")</f>
        <v>0</v>
      </c>
      <c r="AO181" s="171">
        <f>SUMIFS('Future Orders'!$I181, 'Future Orders'!$D181, "4", 'Future Orders'!$C181, "B", 'Future Orders'!$B181, "2")</f>
        <v>0</v>
      </c>
      <c r="AP181" s="171">
        <f>SUMIFS('Future Orders'!$H181, 'Future Orders'!$C181, "A", 'Future Orders'!$B181, "1")</f>
        <v>0</v>
      </c>
      <c r="AQ181" s="171">
        <f>SUMIFS('Future Orders'!$I181, 'Future Orders'!$C181, "B", 'Future Orders'!$B181, "1")</f>
        <v>0</v>
      </c>
      <c r="AR181" s="171">
        <f>SUMIFS('Future Orders'!$H181, 'Future Orders'!$C181, "A", 'Future Orders'!$B181, "2")</f>
        <v>0</v>
      </c>
      <c r="AS181" s="171">
        <f>SUMIFS('Future Orders'!$I181, 'Future Orders'!$C181, "B", 'Future Orders'!$B181, "2")</f>
        <v>22952.82</v>
      </c>
      <c r="AT181" s="145"/>
      <c r="AU181" s="172"/>
      <c r="AV181" s="172"/>
      <c r="AW181" s="172"/>
      <c r="AX181" s="172"/>
      <c r="AY181" s="172"/>
      <c r="AZ181" s="172"/>
      <c r="BA181" s="172"/>
      <c r="BB181" s="172"/>
      <c r="BC181" s="172"/>
      <c r="BD181" s="172"/>
      <c r="BE181" s="172"/>
      <c r="BF181" s="172"/>
      <c r="BG181" s="172"/>
      <c r="BH181" s="172"/>
      <c r="BI181" s="172"/>
      <c r="BJ181" s="172"/>
      <c r="BK181" s="172"/>
      <c r="BL181" s="172"/>
      <c r="BM181" s="172"/>
      <c r="BN181" s="172"/>
      <c r="BO181" s="172"/>
      <c r="BP181" s="172"/>
      <c r="BQ181" s="172"/>
      <c r="BR181" s="172"/>
      <c r="BS181" s="172"/>
      <c r="BT181" s="172"/>
      <c r="BU181" s="172"/>
      <c r="BV181" s="172"/>
      <c r="BW181" s="172"/>
      <c r="BX181" s="172"/>
      <c r="BY181" s="172"/>
      <c r="BZ181" s="172"/>
      <c r="CA181" s="179"/>
      <c r="CB181" s="179"/>
      <c r="CC181" s="179"/>
      <c r="CD181" s="179"/>
      <c r="CE181" s="179"/>
      <c r="CF181" s="179"/>
      <c r="CG181" s="179"/>
      <c r="CH181" s="179"/>
      <c r="CI181" s="179"/>
      <c r="CJ181" s="179"/>
      <c r="CK181" s="179"/>
      <c r="CL181" s="179"/>
      <c r="CM181" s="179"/>
      <c r="CN181" s="179"/>
      <c r="CO181" s="179"/>
      <c r="CP181" s="179"/>
    </row>
    <row r="182" ht="15.75" customHeight="1">
      <c r="A182" s="151">
        <v>42065.0</v>
      </c>
      <c r="B182" s="152">
        <v>1.0</v>
      </c>
      <c r="C182" s="152" t="s">
        <v>45</v>
      </c>
      <c r="D182" s="152">
        <v>1.0</v>
      </c>
      <c r="E182" s="153">
        <v>4212.0</v>
      </c>
      <c r="F182" s="153">
        <f>SUM(('Future Orders'!$E182) * (1.1))</f>
        <v>4633.2</v>
      </c>
      <c r="G182" s="154">
        <v>2.2</v>
      </c>
      <c r="H182" s="155">
        <v>9266.400000000001</v>
      </c>
      <c r="I182" s="155">
        <f>SUM(('Future Orders'!$H182) * (1.1))</f>
        <v>10193.04</v>
      </c>
      <c r="J182" s="159">
        <f>SUMIFS('Future Orders'!$F182, 'Future Orders'!$D182, "1", 'Future Orders'!$C182, "A", 'Future Orders'!$B182, "1")</f>
        <v>4633.2</v>
      </c>
      <c r="K182" s="157">
        <f>SUMIFS('Future Orders'!$I182, 'Future Orders'!$D182, "1", 'Future Orders'!$C182, "A", 'Future Orders'!$B182, "1")</f>
        <v>10193.04</v>
      </c>
      <c r="L182" s="157">
        <f>SUMIFS('Future Orders'!$F182, 'Future Orders'!$D182, "1", 'Future Orders'!$C182, "B", 'Future Orders'!$B182, "1")</f>
        <v>0</v>
      </c>
      <c r="M182" s="157">
        <f>SUMIFS('Future Orders'!$I182, 'Future Orders'!$D182, "1", 'Future Orders'!$C182, "B", 'Future Orders'!$B182, "1")</f>
        <v>0</v>
      </c>
      <c r="N182" s="159">
        <f>SUMIFS('Future Orders'!$F182, 'Future Orders'!$D182, "1", 'Future Orders'!$C182, "A", 'Future Orders'!$B182, "2")</f>
        <v>0</v>
      </c>
      <c r="O182" s="157">
        <f>SUMIFS('Future Orders'!$I182, 'Future Orders'!$D182, "1", 'Future Orders'!$C182, "A", 'Future Orders'!$B182, "2")</f>
        <v>0</v>
      </c>
      <c r="P182" s="157">
        <f>SUMIFS('Future Orders'!$E182, 'Future Orders'!$D182, "1", 'Future Orders'!$C182, "B", 'Future Orders'!$B182, "2")</f>
        <v>0</v>
      </c>
      <c r="Q182" s="157">
        <f>SUMIFS('Future Orders'!$I182, 'Future Orders'!$D182, "1", 'Future Orders'!$C182, "B", 'Future Orders'!$B182, "2")</f>
        <v>0</v>
      </c>
      <c r="R182" s="159">
        <f>SUMIFS('Future Orders'!$F182, 'Future Orders'!$D182, "2", 'Future Orders'!$C182, "A", 'Future Orders'!$B182, "1")</f>
        <v>0</v>
      </c>
      <c r="S182" s="157">
        <f>SUMIFS('Future Orders'!$I182, 'Future Orders'!$D182, "2", 'Future Orders'!$C182, "A", 'Future Orders'!$B182, "1")</f>
        <v>0</v>
      </c>
      <c r="T182" s="159">
        <f>SUMIFS('Future Orders'!$F182, 'Future Orders'!$D182, "2", 'Future Orders'!$C182, "B", 'Future Orders'!$B182, "1")</f>
        <v>0</v>
      </c>
      <c r="U182" s="157">
        <f>SUMIFS('Future Orders'!$I182, 'Future Orders'!$D182, "2", 'Future Orders'!$C182, "B", 'Future Orders'!$B182, "1")</f>
        <v>0</v>
      </c>
      <c r="V182" s="159">
        <f>SUMIFS('Future Orders'!$F182, 'Future Orders'!$D182, "2", 'Future Orders'!$C182, "A", 'Future Orders'!$B182, "2")</f>
        <v>0</v>
      </c>
      <c r="W182" s="157">
        <f>SUMIFS('Future Orders'!$I182, 'Future Orders'!$D182, "2", 'Future Orders'!$C182, "A", 'Future Orders'!$B182, "2")</f>
        <v>0</v>
      </c>
      <c r="X182" s="159">
        <f>SUMIFS('Future Orders'!$F182, 'Future Orders'!$D182, "2", 'Future Orders'!$C182, "B", 'Future Orders'!$B182, "2")</f>
        <v>0</v>
      </c>
      <c r="Y182" s="159">
        <f>SUMIFS('Future Orders'!$I182, 'Future Orders'!$D182, "2", 'Future Orders'!$C182, "B", 'Future Orders'!$B182, "2")</f>
        <v>0</v>
      </c>
      <c r="Z182" s="159">
        <f>SUMIFS('Future Orders'!$F182, 'Future Orders'!$D182, "3", 'Future Orders'!$C182, "A", 'Future Orders'!$B182, "1")</f>
        <v>0</v>
      </c>
      <c r="AA182" s="159">
        <f>SUMIFS('Future Orders'!$I182, 'Future Orders'!$D182, "3", 'Future Orders'!$C182, "A", 'Future Orders'!$B182, "1")</f>
        <v>0</v>
      </c>
      <c r="AB182" s="159">
        <f>SUMIFS('Future Orders'!$F182, 'Future Orders'!$D182, "3", 'Future Orders'!$C182, "B", 'Future Orders'!$B182, "1")</f>
        <v>0</v>
      </c>
      <c r="AC182" s="159">
        <f>SUMIFS('Future Orders'!$I182, 'Future Orders'!$D182, "3", 'Future Orders'!$C182, "B", 'Future Orders'!$B182, "1")</f>
        <v>0</v>
      </c>
      <c r="AD182" s="159">
        <f>SUMIFS('Future Orders'!$F182, 'Future Orders'!$D182, "3", 'Future Orders'!$C182, "A", 'Future Orders'!$B182, "2")</f>
        <v>0</v>
      </c>
      <c r="AE182" s="159">
        <f>SUMIFS('Future Orders'!$I182, 'Future Orders'!$D182, "3", 'Future Orders'!$C182, "A", 'Future Orders'!$B182, "2")</f>
        <v>0</v>
      </c>
      <c r="AF182" s="159">
        <f>SUMIFS('Future Orders'!$F182, 'Future Orders'!$D182, "3", 'Future Orders'!$C182, "B", 'Future Orders'!$B182, "2")</f>
        <v>0</v>
      </c>
      <c r="AG182" s="157">
        <f>SUMIFS('Future Orders'!$I182, 'Future Orders'!$D182, "3", 'Future Orders'!$C182, "B", 'Future Orders'!$B182, "2")</f>
        <v>0</v>
      </c>
      <c r="AH182" s="157">
        <f>SUMIFS('Future Orders'!$F182, 'Future Orders'!$D182, "4", 'Future Orders'!$C182, "A", 'Future Orders'!$B182, "1")</f>
        <v>0</v>
      </c>
      <c r="AI182" s="157">
        <f>SUMIFS('Future Orders'!$I182, 'Future Orders'!$D182, "4", 'Future Orders'!$C182, "A", 'Future Orders'!$B182, "1")</f>
        <v>0</v>
      </c>
      <c r="AJ182" s="157">
        <f>SUMIFS('Future Orders'!$F182, 'Future Orders'!$D182, "4", 'Future Orders'!$C182, "B", 'Future Orders'!$B182, "1")</f>
        <v>0</v>
      </c>
      <c r="AK182" s="157">
        <f>SUMIFS('Future Orders'!$I182, 'Future Orders'!$D182, "4", 'Future Orders'!$C182, "B", 'Future Orders'!$B182, "1")</f>
        <v>0</v>
      </c>
      <c r="AL182" s="157">
        <f>SUMIFS('Future Orders'!$F182, 'Future Orders'!$D182, "4", 'Future Orders'!$C182, "A", 'Future Orders'!$B182, "2")</f>
        <v>0</v>
      </c>
      <c r="AM182" s="157">
        <f>SUMIFS('Future Orders'!$I182, 'Future Orders'!$D182, "4", 'Future Orders'!$C182, "A", 'Future Orders'!$B182, "2")</f>
        <v>0</v>
      </c>
      <c r="AN182" s="171">
        <f>SUMIFS('Future Orders'!$F182, 'Future Orders'!$D182, "4", 'Future Orders'!$C182, "B", 'Future Orders'!$B182, "2")</f>
        <v>0</v>
      </c>
      <c r="AO182" s="171">
        <f>SUMIFS('Future Orders'!$I182, 'Future Orders'!$D182, "4", 'Future Orders'!$C182, "B", 'Future Orders'!$B182, "2")</f>
        <v>0</v>
      </c>
      <c r="AP182" s="171">
        <f>SUMIFS('Future Orders'!$H182, 'Future Orders'!$C182, "A", 'Future Orders'!$B182, "1")</f>
        <v>9266.4</v>
      </c>
      <c r="AQ182" s="171">
        <f>SUMIFS('Future Orders'!$I182, 'Future Orders'!$C182, "B", 'Future Orders'!$B182, "1")</f>
        <v>0</v>
      </c>
      <c r="AR182" s="171">
        <f>SUMIFS('Future Orders'!$H182, 'Future Orders'!$C182, "A", 'Future Orders'!$B182, "2")</f>
        <v>0</v>
      </c>
      <c r="AS182" s="171">
        <f>SUMIFS('Future Orders'!$I182, 'Future Orders'!$C182, "B", 'Future Orders'!$B182, "2")</f>
        <v>0</v>
      </c>
      <c r="AT182" s="145"/>
      <c r="AU182" s="172"/>
      <c r="AV182" s="172"/>
      <c r="AW182" s="172"/>
      <c r="AX182" s="172"/>
      <c r="AY182" s="172"/>
      <c r="AZ182" s="172"/>
      <c r="BA182" s="172"/>
      <c r="BB182" s="172"/>
      <c r="BC182" s="172"/>
      <c r="BD182" s="172"/>
      <c r="BE182" s="172"/>
      <c r="BF182" s="172"/>
      <c r="BG182" s="172"/>
      <c r="BH182" s="172"/>
      <c r="BI182" s="172"/>
      <c r="BJ182" s="172"/>
      <c r="BK182" s="172"/>
      <c r="BL182" s="172"/>
      <c r="BM182" s="172"/>
      <c r="BN182" s="172"/>
      <c r="BO182" s="172"/>
      <c r="BP182" s="172"/>
      <c r="BQ182" s="172"/>
      <c r="BR182" s="172"/>
      <c r="BS182" s="172"/>
      <c r="BT182" s="172"/>
      <c r="BU182" s="172"/>
      <c r="BV182" s="172"/>
      <c r="BW182" s="172"/>
      <c r="BX182" s="172"/>
      <c r="BY182" s="172"/>
      <c r="BZ182" s="172"/>
      <c r="CA182" s="179"/>
      <c r="CB182" s="179"/>
      <c r="CC182" s="179"/>
      <c r="CD182" s="179"/>
      <c r="CE182" s="179"/>
      <c r="CF182" s="179"/>
      <c r="CG182" s="179"/>
      <c r="CH182" s="179"/>
      <c r="CI182" s="179"/>
      <c r="CJ182" s="179"/>
      <c r="CK182" s="179"/>
      <c r="CL182" s="179"/>
      <c r="CM182" s="179"/>
      <c r="CN182" s="179"/>
      <c r="CO182" s="179"/>
      <c r="CP182" s="179"/>
    </row>
    <row r="183" ht="15.75" customHeight="1">
      <c r="A183" s="151">
        <v>42065.0</v>
      </c>
      <c r="B183" s="152">
        <v>1.0</v>
      </c>
      <c r="C183" s="152" t="s">
        <v>45</v>
      </c>
      <c r="D183" s="152">
        <v>2.0</v>
      </c>
      <c r="E183" s="153">
        <v>5202.0</v>
      </c>
      <c r="F183" s="153">
        <f>SUM(('Future Orders'!$E183) * (1.1))</f>
        <v>5722.2</v>
      </c>
      <c r="G183" s="154">
        <v>1.2</v>
      </c>
      <c r="H183" s="155">
        <v>6242.4</v>
      </c>
      <c r="I183" s="155">
        <f>SUM(('Future Orders'!$H183) * (1.1))</f>
        <v>6866.64</v>
      </c>
      <c r="J183" s="159">
        <f>SUMIFS('Future Orders'!$F183, 'Future Orders'!$D183, "1", 'Future Orders'!$C183, "A", 'Future Orders'!$B183, "1")</f>
        <v>0</v>
      </c>
      <c r="K183" s="157">
        <f>SUMIFS('Future Orders'!$I183, 'Future Orders'!$D183, "1", 'Future Orders'!$C183, "A", 'Future Orders'!$B183, "1")</f>
        <v>0</v>
      </c>
      <c r="L183" s="157">
        <f>SUMIFS('Future Orders'!$F183, 'Future Orders'!$D183, "1", 'Future Orders'!$C183, "B", 'Future Orders'!$B183, "1")</f>
        <v>0</v>
      </c>
      <c r="M183" s="157">
        <f>SUMIFS('Future Orders'!$I183, 'Future Orders'!$D183, "1", 'Future Orders'!$C183, "B", 'Future Orders'!$B183, "1")</f>
        <v>0</v>
      </c>
      <c r="N183" s="159">
        <f>SUMIFS('Future Orders'!$F183, 'Future Orders'!$D183, "1", 'Future Orders'!$C183, "A", 'Future Orders'!$B183, "2")</f>
        <v>0</v>
      </c>
      <c r="O183" s="157">
        <f>SUMIFS('Future Orders'!$I183, 'Future Orders'!$D183, "1", 'Future Orders'!$C183, "A", 'Future Orders'!$B183, "2")</f>
        <v>0</v>
      </c>
      <c r="P183" s="157">
        <f>SUMIFS('Future Orders'!$E183, 'Future Orders'!$D183, "1", 'Future Orders'!$C183, "B", 'Future Orders'!$B183, "2")</f>
        <v>0</v>
      </c>
      <c r="Q183" s="157">
        <f>SUMIFS('Future Orders'!$I183, 'Future Orders'!$D183, "1", 'Future Orders'!$C183, "B", 'Future Orders'!$B183, "2")</f>
        <v>0</v>
      </c>
      <c r="R183" s="159">
        <f>SUMIFS('Future Orders'!$F183, 'Future Orders'!$D183, "2", 'Future Orders'!$C183, "A", 'Future Orders'!$B183, "1")</f>
        <v>5722.2</v>
      </c>
      <c r="S183" s="157">
        <f>SUMIFS('Future Orders'!$I183, 'Future Orders'!$D183, "2", 'Future Orders'!$C183, "A", 'Future Orders'!$B183, "1")</f>
        <v>6866.64</v>
      </c>
      <c r="T183" s="159">
        <f>SUMIFS('Future Orders'!$F183, 'Future Orders'!$D183, "2", 'Future Orders'!$C183, "B", 'Future Orders'!$B183, "1")</f>
        <v>0</v>
      </c>
      <c r="U183" s="157">
        <f>SUMIFS('Future Orders'!$I183, 'Future Orders'!$D183, "2", 'Future Orders'!$C183, "B", 'Future Orders'!$B183, "1")</f>
        <v>0</v>
      </c>
      <c r="V183" s="159">
        <f>SUMIFS('Future Orders'!$F183, 'Future Orders'!$D183, "2", 'Future Orders'!$C183, "A", 'Future Orders'!$B183, "2")</f>
        <v>0</v>
      </c>
      <c r="W183" s="157">
        <f>SUMIFS('Future Orders'!$I183, 'Future Orders'!$D183, "2", 'Future Orders'!$C183, "A", 'Future Orders'!$B183, "2")</f>
        <v>0</v>
      </c>
      <c r="X183" s="159">
        <f>SUMIFS('Future Orders'!$F183, 'Future Orders'!$D183, "2", 'Future Orders'!$C183, "B", 'Future Orders'!$B183, "2")</f>
        <v>0</v>
      </c>
      <c r="Y183" s="159">
        <f>SUMIFS('Future Orders'!$I183, 'Future Orders'!$D183, "2", 'Future Orders'!$C183, "B", 'Future Orders'!$B183, "2")</f>
        <v>0</v>
      </c>
      <c r="Z183" s="159">
        <f>SUMIFS('Future Orders'!$F183, 'Future Orders'!$D183, "3", 'Future Orders'!$C183, "A", 'Future Orders'!$B183, "1")</f>
        <v>0</v>
      </c>
      <c r="AA183" s="159">
        <f>SUMIFS('Future Orders'!$I183, 'Future Orders'!$D183, "3", 'Future Orders'!$C183, "A", 'Future Orders'!$B183, "1")</f>
        <v>0</v>
      </c>
      <c r="AB183" s="159">
        <f>SUMIFS('Future Orders'!$F183, 'Future Orders'!$D183, "3", 'Future Orders'!$C183, "B", 'Future Orders'!$B183, "1")</f>
        <v>0</v>
      </c>
      <c r="AC183" s="159">
        <f>SUMIFS('Future Orders'!$I183, 'Future Orders'!$D183, "3", 'Future Orders'!$C183, "B", 'Future Orders'!$B183, "1")</f>
        <v>0</v>
      </c>
      <c r="AD183" s="159">
        <f>SUMIFS('Future Orders'!$F183, 'Future Orders'!$D183, "3", 'Future Orders'!$C183, "A", 'Future Orders'!$B183, "2")</f>
        <v>0</v>
      </c>
      <c r="AE183" s="159">
        <f>SUMIFS('Future Orders'!$I183, 'Future Orders'!$D183, "3", 'Future Orders'!$C183, "A", 'Future Orders'!$B183, "2")</f>
        <v>0</v>
      </c>
      <c r="AF183" s="159">
        <f>SUMIFS('Future Orders'!$F183, 'Future Orders'!$D183, "3", 'Future Orders'!$C183, "B", 'Future Orders'!$B183, "2")</f>
        <v>0</v>
      </c>
      <c r="AG183" s="157">
        <f>SUMIFS('Future Orders'!$I183, 'Future Orders'!$D183, "3", 'Future Orders'!$C183, "B", 'Future Orders'!$B183, "2")</f>
        <v>0</v>
      </c>
      <c r="AH183" s="157">
        <f>SUMIFS('Future Orders'!$F183, 'Future Orders'!$D183, "4", 'Future Orders'!$C183, "A", 'Future Orders'!$B183, "1")</f>
        <v>0</v>
      </c>
      <c r="AI183" s="157">
        <f>SUMIFS('Future Orders'!$I183, 'Future Orders'!$D183, "4", 'Future Orders'!$C183, "A", 'Future Orders'!$B183, "1")</f>
        <v>0</v>
      </c>
      <c r="AJ183" s="157">
        <f>SUMIFS('Future Orders'!$F183, 'Future Orders'!$D183, "4", 'Future Orders'!$C183, "B", 'Future Orders'!$B183, "1")</f>
        <v>0</v>
      </c>
      <c r="AK183" s="157">
        <f>SUMIFS('Future Orders'!$I183, 'Future Orders'!$D183, "4", 'Future Orders'!$C183, "B", 'Future Orders'!$B183, "1")</f>
        <v>0</v>
      </c>
      <c r="AL183" s="157">
        <f>SUMIFS('Future Orders'!$F183, 'Future Orders'!$D183, "4", 'Future Orders'!$C183, "A", 'Future Orders'!$B183, "2")</f>
        <v>0</v>
      </c>
      <c r="AM183" s="157">
        <f>SUMIFS('Future Orders'!$I183, 'Future Orders'!$D183, "4", 'Future Orders'!$C183, "A", 'Future Orders'!$B183, "2")</f>
        <v>0</v>
      </c>
      <c r="AN183" s="171">
        <f>SUMIFS('Future Orders'!$F183, 'Future Orders'!$D183, "4", 'Future Orders'!$C183, "B", 'Future Orders'!$B183, "2")</f>
        <v>0</v>
      </c>
      <c r="AO183" s="171">
        <f>SUMIFS('Future Orders'!$I183, 'Future Orders'!$D183, "4", 'Future Orders'!$C183, "B", 'Future Orders'!$B183, "2")</f>
        <v>0</v>
      </c>
      <c r="AP183" s="171">
        <f>SUMIFS('Future Orders'!$H183, 'Future Orders'!$C183, "A", 'Future Orders'!$B183, "1")</f>
        <v>6242.4</v>
      </c>
      <c r="AQ183" s="171">
        <f>SUMIFS('Future Orders'!$I183, 'Future Orders'!$C183, "B", 'Future Orders'!$B183, "1")</f>
        <v>0</v>
      </c>
      <c r="AR183" s="171">
        <f>SUMIFS('Future Orders'!$H183, 'Future Orders'!$C183, "A", 'Future Orders'!$B183, "2")</f>
        <v>0</v>
      </c>
      <c r="AS183" s="171">
        <f>SUMIFS('Future Orders'!$I183, 'Future Orders'!$C183, "B", 'Future Orders'!$B183, "2")</f>
        <v>0</v>
      </c>
      <c r="AT183" s="145"/>
      <c r="AU183" s="172"/>
      <c r="AV183" s="172"/>
      <c r="AW183" s="172"/>
      <c r="AX183" s="172"/>
      <c r="AY183" s="172"/>
      <c r="AZ183" s="172"/>
      <c r="BA183" s="172"/>
      <c r="BB183" s="172"/>
      <c r="BC183" s="172"/>
      <c r="BD183" s="172"/>
      <c r="BE183" s="172"/>
      <c r="BF183" s="172"/>
      <c r="BG183" s="172"/>
      <c r="BH183" s="172"/>
      <c r="BI183" s="172"/>
      <c r="BJ183" s="172"/>
      <c r="BK183" s="172"/>
      <c r="BL183" s="172"/>
      <c r="BM183" s="172"/>
      <c r="BN183" s="172"/>
      <c r="BO183" s="172"/>
      <c r="BP183" s="172"/>
      <c r="BQ183" s="172"/>
      <c r="BR183" s="172"/>
      <c r="BS183" s="172"/>
      <c r="BT183" s="172"/>
      <c r="BU183" s="172"/>
      <c r="BV183" s="172"/>
      <c r="BW183" s="172"/>
      <c r="BX183" s="172"/>
      <c r="BY183" s="172"/>
      <c r="BZ183" s="172"/>
      <c r="CA183" s="179"/>
      <c r="CB183" s="179"/>
      <c r="CC183" s="179"/>
      <c r="CD183" s="179"/>
      <c r="CE183" s="179"/>
      <c r="CF183" s="179"/>
      <c r="CG183" s="179"/>
      <c r="CH183" s="179"/>
      <c r="CI183" s="179"/>
      <c r="CJ183" s="179"/>
      <c r="CK183" s="179"/>
      <c r="CL183" s="179"/>
      <c r="CM183" s="179"/>
      <c r="CN183" s="179"/>
      <c r="CO183" s="179"/>
      <c r="CP183" s="179"/>
    </row>
    <row r="184" ht="15.75" customHeight="1">
      <c r="A184" s="151">
        <v>42065.0</v>
      </c>
      <c r="B184" s="152">
        <v>2.0</v>
      </c>
      <c r="C184" s="152" t="s">
        <v>45</v>
      </c>
      <c r="D184" s="152">
        <v>1.0</v>
      </c>
      <c r="E184" s="153">
        <v>2588.0</v>
      </c>
      <c r="F184" s="153">
        <f>SUM(('Future Orders'!$E184) * (1.1))</f>
        <v>2846.8</v>
      </c>
      <c r="G184" s="154">
        <v>2.2</v>
      </c>
      <c r="H184" s="155">
        <v>5693.6</v>
      </c>
      <c r="I184" s="155">
        <f>SUM(('Future Orders'!$H184) * (1.1))</f>
        <v>6262.96</v>
      </c>
      <c r="J184" s="159">
        <f>SUMIFS('Future Orders'!$F184, 'Future Orders'!$D184, "1", 'Future Orders'!$C184, "A", 'Future Orders'!$B184, "1")</f>
        <v>0</v>
      </c>
      <c r="K184" s="157">
        <f>SUMIFS('Future Orders'!$I184, 'Future Orders'!$D184, "1", 'Future Orders'!$C184, "A", 'Future Orders'!$B184, "1")</f>
        <v>0</v>
      </c>
      <c r="L184" s="157">
        <f>SUMIFS('Future Orders'!$F184, 'Future Orders'!$D184, "1", 'Future Orders'!$C184, "B", 'Future Orders'!$B184, "1")</f>
        <v>0</v>
      </c>
      <c r="M184" s="157">
        <f>SUMIFS('Future Orders'!$I184, 'Future Orders'!$D184, "1", 'Future Orders'!$C184, "B", 'Future Orders'!$B184, "1")</f>
        <v>0</v>
      </c>
      <c r="N184" s="159">
        <f>SUMIFS('Future Orders'!$F184, 'Future Orders'!$D184, "1", 'Future Orders'!$C184, "A", 'Future Orders'!$B184, "2")</f>
        <v>2846.8</v>
      </c>
      <c r="O184" s="157">
        <f>SUMIFS('Future Orders'!$I184, 'Future Orders'!$D184, "1", 'Future Orders'!$C184, "A", 'Future Orders'!$B184, "2")</f>
        <v>6262.96</v>
      </c>
      <c r="P184" s="157">
        <f>SUMIFS('Future Orders'!$E184, 'Future Orders'!$D184, "1", 'Future Orders'!$C184, "B", 'Future Orders'!$B184, "2")</f>
        <v>0</v>
      </c>
      <c r="Q184" s="157">
        <f>SUMIFS('Future Orders'!$I184, 'Future Orders'!$D184, "1", 'Future Orders'!$C184, "B", 'Future Orders'!$B184, "2")</f>
        <v>0</v>
      </c>
      <c r="R184" s="159">
        <f>SUMIFS('Future Orders'!$F184, 'Future Orders'!$D184, "2", 'Future Orders'!$C184, "A", 'Future Orders'!$B184, "1")</f>
        <v>0</v>
      </c>
      <c r="S184" s="157">
        <f>SUMIFS('Future Orders'!$I184, 'Future Orders'!$D184, "2", 'Future Orders'!$C184, "A", 'Future Orders'!$B184, "1")</f>
        <v>0</v>
      </c>
      <c r="T184" s="159">
        <f>SUMIFS('Future Orders'!$F184, 'Future Orders'!$D184, "2", 'Future Orders'!$C184, "B", 'Future Orders'!$B184, "1")</f>
        <v>0</v>
      </c>
      <c r="U184" s="157">
        <f>SUMIFS('Future Orders'!$I184, 'Future Orders'!$D184, "2", 'Future Orders'!$C184, "B", 'Future Orders'!$B184, "1")</f>
        <v>0</v>
      </c>
      <c r="V184" s="159">
        <f>SUMIFS('Future Orders'!$F184, 'Future Orders'!$D184, "2", 'Future Orders'!$C184, "A", 'Future Orders'!$B184, "2")</f>
        <v>0</v>
      </c>
      <c r="W184" s="157">
        <f>SUMIFS('Future Orders'!$I184, 'Future Orders'!$D184, "2", 'Future Orders'!$C184, "A", 'Future Orders'!$B184, "2")</f>
        <v>0</v>
      </c>
      <c r="X184" s="159">
        <f>SUMIFS('Future Orders'!$F184, 'Future Orders'!$D184, "2", 'Future Orders'!$C184, "B", 'Future Orders'!$B184, "2")</f>
        <v>0</v>
      </c>
      <c r="Y184" s="159">
        <f>SUMIFS('Future Orders'!$I184, 'Future Orders'!$D184, "2", 'Future Orders'!$C184, "B", 'Future Orders'!$B184, "2")</f>
        <v>0</v>
      </c>
      <c r="Z184" s="159">
        <f>SUMIFS('Future Orders'!$F184, 'Future Orders'!$D184, "3", 'Future Orders'!$C184, "A", 'Future Orders'!$B184, "1")</f>
        <v>0</v>
      </c>
      <c r="AA184" s="159">
        <f>SUMIFS('Future Orders'!$I184, 'Future Orders'!$D184, "3", 'Future Orders'!$C184, "A", 'Future Orders'!$B184, "1")</f>
        <v>0</v>
      </c>
      <c r="AB184" s="159">
        <f>SUMIFS('Future Orders'!$F184, 'Future Orders'!$D184, "3", 'Future Orders'!$C184, "B", 'Future Orders'!$B184, "1")</f>
        <v>0</v>
      </c>
      <c r="AC184" s="159">
        <f>SUMIFS('Future Orders'!$I184, 'Future Orders'!$D184, "3", 'Future Orders'!$C184, "B", 'Future Orders'!$B184, "1")</f>
        <v>0</v>
      </c>
      <c r="AD184" s="159">
        <f>SUMIFS('Future Orders'!$F184, 'Future Orders'!$D184, "3", 'Future Orders'!$C184, "A", 'Future Orders'!$B184, "2")</f>
        <v>0</v>
      </c>
      <c r="AE184" s="159">
        <f>SUMIFS('Future Orders'!$I184, 'Future Orders'!$D184, "3", 'Future Orders'!$C184, "A", 'Future Orders'!$B184, "2")</f>
        <v>0</v>
      </c>
      <c r="AF184" s="159">
        <f>SUMIFS('Future Orders'!$F184, 'Future Orders'!$D184, "3", 'Future Orders'!$C184, "B", 'Future Orders'!$B184, "2")</f>
        <v>0</v>
      </c>
      <c r="AG184" s="157">
        <f>SUMIFS('Future Orders'!$I184, 'Future Orders'!$D184, "3", 'Future Orders'!$C184, "B", 'Future Orders'!$B184, "2")</f>
        <v>0</v>
      </c>
      <c r="AH184" s="157">
        <f>SUMIFS('Future Orders'!$F184, 'Future Orders'!$D184, "4", 'Future Orders'!$C184, "A", 'Future Orders'!$B184, "1")</f>
        <v>0</v>
      </c>
      <c r="AI184" s="157">
        <f>SUMIFS('Future Orders'!$I184, 'Future Orders'!$D184, "4", 'Future Orders'!$C184, "A", 'Future Orders'!$B184, "1")</f>
        <v>0</v>
      </c>
      <c r="AJ184" s="157">
        <f>SUMIFS('Future Orders'!$F184, 'Future Orders'!$D184, "4", 'Future Orders'!$C184, "B", 'Future Orders'!$B184, "1")</f>
        <v>0</v>
      </c>
      <c r="AK184" s="157">
        <f>SUMIFS('Future Orders'!$I184, 'Future Orders'!$D184, "4", 'Future Orders'!$C184, "B", 'Future Orders'!$B184, "1")</f>
        <v>0</v>
      </c>
      <c r="AL184" s="157">
        <f>SUMIFS('Future Orders'!$F184, 'Future Orders'!$D184, "4", 'Future Orders'!$C184, "A", 'Future Orders'!$B184, "2")</f>
        <v>0</v>
      </c>
      <c r="AM184" s="157">
        <f>SUMIFS('Future Orders'!$I184, 'Future Orders'!$D184, "4", 'Future Orders'!$C184, "A", 'Future Orders'!$B184, "2")</f>
        <v>0</v>
      </c>
      <c r="AN184" s="171">
        <f>SUMIFS('Future Orders'!$F184, 'Future Orders'!$D184, "4", 'Future Orders'!$C184, "B", 'Future Orders'!$B184, "2")</f>
        <v>0</v>
      </c>
      <c r="AO184" s="171">
        <f>SUMIFS('Future Orders'!$I184, 'Future Orders'!$D184, "4", 'Future Orders'!$C184, "B", 'Future Orders'!$B184, "2")</f>
        <v>0</v>
      </c>
      <c r="AP184" s="171">
        <f>SUMIFS('Future Orders'!$H184, 'Future Orders'!$C184, "A", 'Future Orders'!$B184, "1")</f>
        <v>0</v>
      </c>
      <c r="AQ184" s="171">
        <f>SUMIFS('Future Orders'!$I184, 'Future Orders'!$C184, "B", 'Future Orders'!$B184, "1")</f>
        <v>0</v>
      </c>
      <c r="AR184" s="171">
        <f>SUMIFS('Future Orders'!$H184, 'Future Orders'!$C184, "A", 'Future Orders'!$B184, "2")</f>
        <v>5693.6</v>
      </c>
      <c r="AS184" s="171">
        <f>SUMIFS('Future Orders'!$I184, 'Future Orders'!$C184, "B", 'Future Orders'!$B184, "2")</f>
        <v>0</v>
      </c>
      <c r="AT184" s="145"/>
      <c r="AU184" s="172"/>
      <c r="AV184" s="172"/>
      <c r="AW184" s="172"/>
      <c r="AX184" s="172"/>
      <c r="AY184" s="172"/>
      <c r="AZ184" s="172"/>
      <c r="BA184" s="172"/>
      <c r="BB184" s="172"/>
      <c r="BC184" s="172"/>
      <c r="BD184" s="172"/>
      <c r="BE184" s="172"/>
      <c r="BF184" s="172"/>
      <c r="BG184" s="172"/>
      <c r="BH184" s="172"/>
      <c r="BI184" s="172"/>
      <c r="BJ184" s="172"/>
      <c r="BK184" s="172"/>
      <c r="BL184" s="172"/>
      <c r="BM184" s="172"/>
      <c r="BN184" s="172"/>
      <c r="BO184" s="172"/>
      <c r="BP184" s="172"/>
      <c r="BQ184" s="172"/>
      <c r="BR184" s="172"/>
      <c r="BS184" s="172"/>
      <c r="BT184" s="172"/>
      <c r="BU184" s="172"/>
      <c r="BV184" s="172"/>
      <c r="BW184" s="172"/>
      <c r="BX184" s="172"/>
      <c r="BY184" s="172"/>
      <c r="BZ184" s="172"/>
      <c r="CA184" s="179"/>
      <c r="CB184" s="179"/>
      <c r="CC184" s="179"/>
      <c r="CD184" s="179"/>
      <c r="CE184" s="179"/>
      <c r="CF184" s="179"/>
      <c r="CG184" s="179"/>
      <c r="CH184" s="179"/>
      <c r="CI184" s="179"/>
      <c r="CJ184" s="179"/>
      <c r="CK184" s="179"/>
      <c r="CL184" s="179"/>
      <c r="CM184" s="179"/>
      <c r="CN184" s="179"/>
      <c r="CO184" s="179"/>
      <c r="CP184" s="179"/>
    </row>
    <row r="185" ht="15.75" customHeight="1">
      <c r="A185" s="151">
        <v>42065.0</v>
      </c>
      <c r="B185" s="152">
        <v>2.0</v>
      </c>
      <c r="C185" s="152" t="s">
        <v>45</v>
      </c>
      <c r="D185" s="152">
        <v>2.0</v>
      </c>
      <c r="E185" s="153">
        <v>5406.0</v>
      </c>
      <c r="F185" s="153">
        <f>SUM(('Future Orders'!$E185) * (1.1))</f>
        <v>5946.6</v>
      </c>
      <c r="G185" s="154">
        <v>1.2</v>
      </c>
      <c r="H185" s="155">
        <v>6487.2</v>
      </c>
      <c r="I185" s="155">
        <f>SUM(('Future Orders'!$H185) * (1.1))</f>
        <v>7135.92</v>
      </c>
      <c r="J185" s="159">
        <f>SUMIFS('Future Orders'!$F185, 'Future Orders'!$D185, "1", 'Future Orders'!$C185, "A", 'Future Orders'!$B185, "1")</f>
        <v>0</v>
      </c>
      <c r="K185" s="157">
        <f>SUMIFS('Future Orders'!$I185, 'Future Orders'!$D185, "1", 'Future Orders'!$C185, "A", 'Future Orders'!$B185, "1")</f>
        <v>0</v>
      </c>
      <c r="L185" s="157">
        <f>SUMIFS('Future Orders'!$F185, 'Future Orders'!$D185, "1", 'Future Orders'!$C185, "B", 'Future Orders'!$B185, "1")</f>
        <v>0</v>
      </c>
      <c r="M185" s="157">
        <f>SUMIFS('Future Orders'!$I185, 'Future Orders'!$D185, "1", 'Future Orders'!$C185, "B", 'Future Orders'!$B185, "1")</f>
        <v>0</v>
      </c>
      <c r="N185" s="159">
        <f>SUMIFS('Future Orders'!$F185, 'Future Orders'!$D185, "1", 'Future Orders'!$C185, "A", 'Future Orders'!$B185, "2")</f>
        <v>0</v>
      </c>
      <c r="O185" s="157">
        <f>SUMIFS('Future Orders'!$I185, 'Future Orders'!$D185, "1", 'Future Orders'!$C185, "A", 'Future Orders'!$B185, "2")</f>
        <v>0</v>
      </c>
      <c r="P185" s="157">
        <f>SUMIFS('Future Orders'!$E185, 'Future Orders'!$D185, "1", 'Future Orders'!$C185, "B", 'Future Orders'!$B185, "2")</f>
        <v>0</v>
      </c>
      <c r="Q185" s="157">
        <f>SUMIFS('Future Orders'!$I185, 'Future Orders'!$D185, "1", 'Future Orders'!$C185, "B", 'Future Orders'!$B185, "2")</f>
        <v>0</v>
      </c>
      <c r="R185" s="159">
        <f>SUMIFS('Future Orders'!$F185, 'Future Orders'!$D185, "2", 'Future Orders'!$C185, "A", 'Future Orders'!$B185, "1")</f>
        <v>0</v>
      </c>
      <c r="S185" s="157">
        <f>SUMIFS('Future Orders'!$I185, 'Future Orders'!$D185, "2", 'Future Orders'!$C185, "A", 'Future Orders'!$B185, "1")</f>
        <v>0</v>
      </c>
      <c r="T185" s="159">
        <f>SUMIFS('Future Orders'!$F185, 'Future Orders'!$D185, "2", 'Future Orders'!$C185, "B", 'Future Orders'!$B185, "1")</f>
        <v>0</v>
      </c>
      <c r="U185" s="157">
        <f>SUMIFS('Future Orders'!$I185, 'Future Orders'!$D185, "2", 'Future Orders'!$C185, "B", 'Future Orders'!$B185, "1")</f>
        <v>0</v>
      </c>
      <c r="V185" s="159">
        <f>SUMIFS('Future Orders'!$F185, 'Future Orders'!$D185, "2", 'Future Orders'!$C185, "A", 'Future Orders'!$B185, "2")</f>
        <v>5946.6</v>
      </c>
      <c r="W185" s="157">
        <f>SUMIFS('Future Orders'!$I185, 'Future Orders'!$D185, "2", 'Future Orders'!$C185, "A", 'Future Orders'!$B185, "2")</f>
        <v>7135.92</v>
      </c>
      <c r="X185" s="159">
        <f>SUMIFS('Future Orders'!$F185, 'Future Orders'!$D185, "2", 'Future Orders'!$C185, "B", 'Future Orders'!$B185, "2")</f>
        <v>0</v>
      </c>
      <c r="Y185" s="159">
        <f>SUMIFS('Future Orders'!$I185, 'Future Orders'!$D185, "2", 'Future Orders'!$C185, "B", 'Future Orders'!$B185, "2")</f>
        <v>0</v>
      </c>
      <c r="Z185" s="159">
        <f>SUMIFS('Future Orders'!$F185, 'Future Orders'!$D185, "3", 'Future Orders'!$C185, "A", 'Future Orders'!$B185, "1")</f>
        <v>0</v>
      </c>
      <c r="AA185" s="159">
        <f>SUMIFS('Future Orders'!$I185, 'Future Orders'!$D185, "3", 'Future Orders'!$C185, "A", 'Future Orders'!$B185, "1")</f>
        <v>0</v>
      </c>
      <c r="AB185" s="159">
        <f>SUMIFS('Future Orders'!$F185, 'Future Orders'!$D185, "3", 'Future Orders'!$C185, "B", 'Future Orders'!$B185, "1")</f>
        <v>0</v>
      </c>
      <c r="AC185" s="159">
        <f>SUMIFS('Future Orders'!$I185, 'Future Orders'!$D185, "3", 'Future Orders'!$C185, "B", 'Future Orders'!$B185, "1")</f>
        <v>0</v>
      </c>
      <c r="AD185" s="159">
        <f>SUMIFS('Future Orders'!$F185, 'Future Orders'!$D185, "3", 'Future Orders'!$C185, "A", 'Future Orders'!$B185, "2")</f>
        <v>0</v>
      </c>
      <c r="AE185" s="159">
        <f>SUMIFS('Future Orders'!$I185, 'Future Orders'!$D185, "3", 'Future Orders'!$C185, "A", 'Future Orders'!$B185, "2")</f>
        <v>0</v>
      </c>
      <c r="AF185" s="159">
        <f>SUMIFS('Future Orders'!$F185, 'Future Orders'!$D185, "3", 'Future Orders'!$C185, "B", 'Future Orders'!$B185, "2")</f>
        <v>0</v>
      </c>
      <c r="AG185" s="157">
        <f>SUMIFS('Future Orders'!$I185, 'Future Orders'!$D185, "3", 'Future Orders'!$C185, "B", 'Future Orders'!$B185, "2")</f>
        <v>0</v>
      </c>
      <c r="AH185" s="157">
        <f>SUMIFS('Future Orders'!$F185, 'Future Orders'!$D185, "4", 'Future Orders'!$C185, "A", 'Future Orders'!$B185, "1")</f>
        <v>0</v>
      </c>
      <c r="AI185" s="157">
        <f>SUMIFS('Future Orders'!$I185, 'Future Orders'!$D185, "4", 'Future Orders'!$C185, "A", 'Future Orders'!$B185, "1")</f>
        <v>0</v>
      </c>
      <c r="AJ185" s="157">
        <f>SUMIFS('Future Orders'!$F185, 'Future Orders'!$D185, "4", 'Future Orders'!$C185, "B", 'Future Orders'!$B185, "1")</f>
        <v>0</v>
      </c>
      <c r="AK185" s="157">
        <f>SUMIFS('Future Orders'!$I185, 'Future Orders'!$D185, "4", 'Future Orders'!$C185, "B", 'Future Orders'!$B185, "1")</f>
        <v>0</v>
      </c>
      <c r="AL185" s="157">
        <f>SUMIFS('Future Orders'!$F185, 'Future Orders'!$D185, "4", 'Future Orders'!$C185, "A", 'Future Orders'!$B185, "2")</f>
        <v>0</v>
      </c>
      <c r="AM185" s="157">
        <f>SUMIFS('Future Orders'!$I185, 'Future Orders'!$D185, "4", 'Future Orders'!$C185, "A", 'Future Orders'!$B185, "2")</f>
        <v>0</v>
      </c>
      <c r="AN185" s="171">
        <f>SUMIFS('Future Orders'!$F185, 'Future Orders'!$D185, "4", 'Future Orders'!$C185, "B", 'Future Orders'!$B185, "2")</f>
        <v>0</v>
      </c>
      <c r="AO185" s="171">
        <f>SUMIFS('Future Orders'!$I185, 'Future Orders'!$D185, "4", 'Future Orders'!$C185, "B", 'Future Orders'!$B185, "2")</f>
        <v>0</v>
      </c>
      <c r="AP185" s="171">
        <f>SUMIFS('Future Orders'!$H185, 'Future Orders'!$C185, "A", 'Future Orders'!$B185, "1")</f>
        <v>0</v>
      </c>
      <c r="AQ185" s="171">
        <f>SUMIFS('Future Orders'!$I185, 'Future Orders'!$C185, "B", 'Future Orders'!$B185, "1")</f>
        <v>0</v>
      </c>
      <c r="AR185" s="171">
        <f>SUMIFS('Future Orders'!$H185, 'Future Orders'!$C185, "A", 'Future Orders'!$B185, "2")</f>
        <v>6487.2</v>
      </c>
      <c r="AS185" s="171">
        <f>SUMIFS('Future Orders'!$I185, 'Future Orders'!$C185, "B", 'Future Orders'!$B185, "2")</f>
        <v>0</v>
      </c>
      <c r="AT185" s="145"/>
      <c r="AU185" s="172"/>
      <c r="AV185" s="172"/>
      <c r="AW185" s="172"/>
      <c r="AX185" s="172"/>
      <c r="AY185" s="172"/>
      <c r="AZ185" s="172"/>
      <c r="BA185" s="172"/>
      <c r="BB185" s="172"/>
      <c r="BC185" s="172"/>
      <c r="BD185" s="172"/>
      <c r="BE185" s="172"/>
      <c r="BF185" s="172"/>
      <c r="BG185" s="172"/>
      <c r="BH185" s="172"/>
      <c r="BI185" s="172"/>
      <c r="BJ185" s="172"/>
      <c r="BK185" s="172"/>
      <c r="BL185" s="172"/>
      <c r="BM185" s="172"/>
      <c r="BN185" s="172"/>
      <c r="BO185" s="172"/>
      <c r="BP185" s="172"/>
      <c r="BQ185" s="172"/>
      <c r="BR185" s="172"/>
      <c r="BS185" s="172"/>
      <c r="BT185" s="172"/>
      <c r="BU185" s="172"/>
      <c r="BV185" s="172"/>
      <c r="BW185" s="172"/>
      <c r="BX185" s="172"/>
      <c r="BY185" s="172"/>
      <c r="BZ185" s="172"/>
      <c r="CA185" s="179"/>
      <c r="CB185" s="179"/>
      <c r="CC185" s="179"/>
      <c r="CD185" s="179"/>
      <c r="CE185" s="179"/>
      <c r="CF185" s="179"/>
      <c r="CG185" s="179"/>
      <c r="CH185" s="179"/>
      <c r="CI185" s="179"/>
      <c r="CJ185" s="179"/>
      <c r="CK185" s="179"/>
      <c r="CL185" s="179"/>
      <c r="CM185" s="179"/>
      <c r="CN185" s="179"/>
      <c r="CO185" s="179"/>
      <c r="CP185" s="179"/>
    </row>
    <row r="186" ht="15.75" customHeight="1">
      <c r="A186" s="151">
        <v>42065.0</v>
      </c>
      <c r="B186" s="152">
        <v>1.0</v>
      </c>
      <c r="C186" s="152" t="s">
        <v>46</v>
      </c>
      <c r="D186" s="152">
        <v>3.0</v>
      </c>
      <c r="E186" s="153">
        <v>2281.0</v>
      </c>
      <c r="F186" s="153">
        <f>SUM(('Future Orders'!$E186) * (1.1))</f>
        <v>2509.1</v>
      </c>
      <c r="G186" s="154">
        <v>8.3</v>
      </c>
      <c r="H186" s="155">
        <v>18932.300000000003</v>
      </c>
      <c r="I186" s="155">
        <f>SUM(('Future Orders'!$H186) * (1.1))</f>
        <v>20825.53</v>
      </c>
      <c r="J186" s="159">
        <f>SUMIFS('Future Orders'!$F186, 'Future Orders'!$D186, "1", 'Future Orders'!$C186, "A", 'Future Orders'!$B186, "1")</f>
        <v>0</v>
      </c>
      <c r="K186" s="157">
        <f>SUMIFS('Future Orders'!$I186, 'Future Orders'!$D186, "1", 'Future Orders'!$C186, "A", 'Future Orders'!$B186, "1")</f>
        <v>0</v>
      </c>
      <c r="L186" s="157">
        <f>SUMIFS('Future Orders'!$F186, 'Future Orders'!$D186, "1", 'Future Orders'!$C186, "B", 'Future Orders'!$B186, "1")</f>
        <v>0</v>
      </c>
      <c r="M186" s="157">
        <f>SUMIFS('Future Orders'!$I186, 'Future Orders'!$D186, "1", 'Future Orders'!$C186, "B", 'Future Orders'!$B186, "1")</f>
        <v>0</v>
      </c>
      <c r="N186" s="159">
        <f>SUMIFS('Future Orders'!$F186, 'Future Orders'!$D186, "1", 'Future Orders'!$C186, "A", 'Future Orders'!$B186, "2")</f>
        <v>0</v>
      </c>
      <c r="O186" s="157">
        <f>SUMIFS('Future Orders'!$I186, 'Future Orders'!$D186, "1", 'Future Orders'!$C186, "A", 'Future Orders'!$B186, "2")</f>
        <v>0</v>
      </c>
      <c r="P186" s="157">
        <f>SUMIFS('Future Orders'!$E186, 'Future Orders'!$D186, "1", 'Future Orders'!$C186, "B", 'Future Orders'!$B186, "2")</f>
        <v>0</v>
      </c>
      <c r="Q186" s="157">
        <f>SUMIFS('Future Orders'!$I186, 'Future Orders'!$D186, "1", 'Future Orders'!$C186, "B", 'Future Orders'!$B186, "2")</f>
        <v>0</v>
      </c>
      <c r="R186" s="159">
        <f>SUMIFS('Future Orders'!$F186, 'Future Orders'!$D186, "2", 'Future Orders'!$C186, "A", 'Future Orders'!$B186, "1")</f>
        <v>0</v>
      </c>
      <c r="S186" s="157">
        <f>SUMIFS('Future Orders'!$I186, 'Future Orders'!$D186, "2", 'Future Orders'!$C186, "A", 'Future Orders'!$B186, "1")</f>
        <v>0</v>
      </c>
      <c r="T186" s="159">
        <f>SUMIFS('Future Orders'!$F186, 'Future Orders'!$D186, "2", 'Future Orders'!$C186, "B", 'Future Orders'!$B186, "1")</f>
        <v>0</v>
      </c>
      <c r="U186" s="157">
        <f>SUMIFS('Future Orders'!$I186, 'Future Orders'!$D186, "2", 'Future Orders'!$C186, "B", 'Future Orders'!$B186, "1")</f>
        <v>0</v>
      </c>
      <c r="V186" s="159">
        <f>SUMIFS('Future Orders'!$F186, 'Future Orders'!$D186, "2", 'Future Orders'!$C186, "A", 'Future Orders'!$B186, "2")</f>
        <v>0</v>
      </c>
      <c r="W186" s="157">
        <f>SUMIFS('Future Orders'!$I186, 'Future Orders'!$D186, "2", 'Future Orders'!$C186, "A", 'Future Orders'!$B186, "2")</f>
        <v>0</v>
      </c>
      <c r="X186" s="159">
        <f>SUMIFS('Future Orders'!$F186, 'Future Orders'!$D186, "2", 'Future Orders'!$C186, "B", 'Future Orders'!$B186, "2")</f>
        <v>0</v>
      </c>
      <c r="Y186" s="159">
        <f>SUMIFS('Future Orders'!$I186, 'Future Orders'!$D186, "2", 'Future Orders'!$C186, "B", 'Future Orders'!$B186, "2")</f>
        <v>0</v>
      </c>
      <c r="Z186" s="159">
        <f>SUMIFS('Future Orders'!$F186, 'Future Orders'!$D186, "3", 'Future Orders'!$C186, "A", 'Future Orders'!$B186, "1")</f>
        <v>0</v>
      </c>
      <c r="AA186" s="159">
        <f>SUMIFS('Future Orders'!$I186, 'Future Orders'!$D186, "3", 'Future Orders'!$C186, "A", 'Future Orders'!$B186, "1")</f>
        <v>0</v>
      </c>
      <c r="AB186" s="159">
        <f>SUMIFS('Future Orders'!$F186, 'Future Orders'!$D186, "3", 'Future Orders'!$C186, "B", 'Future Orders'!$B186, "1")</f>
        <v>2509.1</v>
      </c>
      <c r="AC186" s="159">
        <f>SUMIFS('Future Orders'!$I186, 'Future Orders'!$D186, "3", 'Future Orders'!$C186, "B", 'Future Orders'!$B186, "1")</f>
        <v>20825.53</v>
      </c>
      <c r="AD186" s="159">
        <f>SUMIFS('Future Orders'!$F186, 'Future Orders'!$D186, "3", 'Future Orders'!$C186, "A", 'Future Orders'!$B186, "2")</f>
        <v>0</v>
      </c>
      <c r="AE186" s="159">
        <f>SUMIFS('Future Orders'!$I186, 'Future Orders'!$D186, "3", 'Future Orders'!$C186, "A", 'Future Orders'!$B186, "2")</f>
        <v>0</v>
      </c>
      <c r="AF186" s="159">
        <f>SUMIFS('Future Orders'!$F186, 'Future Orders'!$D186, "3", 'Future Orders'!$C186, "B", 'Future Orders'!$B186, "2")</f>
        <v>0</v>
      </c>
      <c r="AG186" s="157">
        <f>SUMIFS('Future Orders'!$I186, 'Future Orders'!$D186, "3", 'Future Orders'!$C186, "B", 'Future Orders'!$B186, "2")</f>
        <v>0</v>
      </c>
      <c r="AH186" s="157">
        <f>SUMIFS('Future Orders'!$F186, 'Future Orders'!$D186, "4", 'Future Orders'!$C186, "A", 'Future Orders'!$B186, "1")</f>
        <v>0</v>
      </c>
      <c r="AI186" s="157">
        <f>SUMIFS('Future Orders'!$I186, 'Future Orders'!$D186, "4", 'Future Orders'!$C186, "A", 'Future Orders'!$B186, "1")</f>
        <v>0</v>
      </c>
      <c r="AJ186" s="157">
        <f>SUMIFS('Future Orders'!$F186, 'Future Orders'!$D186, "4", 'Future Orders'!$C186, "B", 'Future Orders'!$B186, "1")</f>
        <v>0</v>
      </c>
      <c r="AK186" s="157">
        <f>SUMIFS('Future Orders'!$I186, 'Future Orders'!$D186, "4", 'Future Orders'!$C186, "B", 'Future Orders'!$B186, "1")</f>
        <v>0</v>
      </c>
      <c r="AL186" s="157">
        <f>SUMIFS('Future Orders'!$F186, 'Future Orders'!$D186, "4", 'Future Orders'!$C186, "A", 'Future Orders'!$B186, "2")</f>
        <v>0</v>
      </c>
      <c r="AM186" s="157">
        <f>SUMIFS('Future Orders'!$I186, 'Future Orders'!$D186, "4", 'Future Orders'!$C186, "A", 'Future Orders'!$B186, "2")</f>
        <v>0</v>
      </c>
      <c r="AN186" s="171">
        <f>SUMIFS('Future Orders'!$F186, 'Future Orders'!$D186, "4", 'Future Orders'!$C186, "B", 'Future Orders'!$B186, "2")</f>
        <v>0</v>
      </c>
      <c r="AO186" s="171">
        <f>SUMIFS('Future Orders'!$I186, 'Future Orders'!$D186, "4", 'Future Orders'!$C186, "B", 'Future Orders'!$B186, "2")</f>
        <v>0</v>
      </c>
      <c r="AP186" s="171">
        <f>SUMIFS('Future Orders'!$H186, 'Future Orders'!$C186, "A", 'Future Orders'!$B186, "1")</f>
        <v>0</v>
      </c>
      <c r="AQ186" s="171">
        <f>SUMIFS('Future Orders'!$I186, 'Future Orders'!$C186, "B", 'Future Orders'!$B186, "1")</f>
        <v>20825.53</v>
      </c>
      <c r="AR186" s="171">
        <f>SUMIFS('Future Orders'!$H186, 'Future Orders'!$C186, "A", 'Future Orders'!$B186, "2")</f>
        <v>0</v>
      </c>
      <c r="AS186" s="171">
        <f>SUMIFS('Future Orders'!$I186, 'Future Orders'!$C186, "B", 'Future Orders'!$B186, "2")</f>
        <v>0</v>
      </c>
      <c r="AT186" s="145"/>
      <c r="AU186" s="172"/>
      <c r="AV186" s="172"/>
      <c r="AW186" s="172"/>
      <c r="AX186" s="172"/>
      <c r="AY186" s="172"/>
      <c r="AZ186" s="172"/>
      <c r="BA186" s="172"/>
      <c r="BB186" s="172"/>
      <c r="BC186" s="172"/>
      <c r="BD186" s="172"/>
      <c r="BE186" s="172"/>
      <c r="BF186" s="172"/>
      <c r="BG186" s="172"/>
      <c r="BH186" s="172"/>
      <c r="BI186" s="172"/>
      <c r="BJ186" s="172"/>
      <c r="BK186" s="172"/>
      <c r="BL186" s="172"/>
      <c r="BM186" s="172"/>
      <c r="BN186" s="172"/>
      <c r="BO186" s="172"/>
      <c r="BP186" s="172"/>
      <c r="BQ186" s="172"/>
      <c r="BR186" s="172"/>
      <c r="BS186" s="172"/>
      <c r="BT186" s="172"/>
      <c r="BU186" s="172"/>
      <c r="BV186" s="172"/>
      <c r="BW186" s="172"/>
      <c r="BX186" s="172"/>
      <c r="BY186" s="172"/>
      <c r="BZ186" s="172"/>
      <c r="CA186" s="179"/>
      <c r="CB186" s="179"/>
      <c r="CC186" s="179"/>
      <c r="CD186" s="179"/>
      <c r="CE186" s="179"/>
      <c r="CF186" s="179"/>
      <c r="CG186" s="179"/>
      <c r="CH186" s="179"/>
      <c r="CI186" s="179"/>
      <c r="CJ186" s="179"/>
      <c r="CK186" s="179"/>
      <c r="CL186" s="179"/>
      <c r="CM186" s="179"/>
      <c r="CN186" s="179"/>
      <c r="CO186" s="179"/>
      <c r="CP186" s="179"/>
    </row>
    <row r="187" ht="15.75" customHeight="1">
      <c r="A187" s="151">
        <v>42065.0</v>
      </c>
      <c r="B187" s="152">
        <v>2.0</v>
      </c>
      <c r="C187" s="152" t="s">
        <v>46</v>
      </c>
      <c r="D187" s="152">
        <v>3.0</v>
      </c>
      <c r="E187" s="153">
        <v>3125.0</v>
      </c>
      <c r="F187" s="153">
        <f>SUM(('Future Orders'!$E187) * (1.1))</f>
        <v>3437.5</v>
      </c>
      <c r="G187" s="154">
        <v>8.3</v>
      </c>
      <c r="H187" s="155">
        <v>25937.500000000004</v>
      </c>
      <c r="I187" s="155">
        <f>SUM(('Future Orders'!$H187) * (1.1))</f>
        <v>28531.25</v>
      </c>
      <c r="J187" s="159">
        <f>SUMIFS('Future Orders'!$F187, 'Future Orders'!$D187, "1", 'Future Orders'!$C187, "A", 'Future Orders'!$B187, "1")</f>
        <v>0</v>
      </c>
      <c r="K187" s="157">
        <f>SUMIFS('Future Orders'!$I187, 'Future Orders'!$D187, "1", 'Future Orders'!$C187, "A", 'Future Orders'!$B187, "1")</f>
        <v>0</v>
      </c>
      <c r="L187" s="157">
        <f>SUMIFS('Future Orders'!$F187, 'Future Orders'!$D187, "1", 'Future Orders'!$C187, "B", 'Future Orders'!$B187, "1")</f>
        <v>0</v>
      </c>
      <c r="M187" s="157">
        <f>SUMIFS('Future Orders'!$I187, 'Future Orders'!$D187, "1", 'Future Orders'!$C187, "B", 'Future Orders'!$B187, "1")</f>
        <v>0</v>
      </c>
      <c r="N187" s="159">
        <f>SUMIFS('Future Orders'!$F187, 'Future Orders'!$D187, "1", 'Future Orders'!$C187, "A", 'Future Orders'!$B187, "2")</f>
        <v>0</v>
      </c>
      <c r="O187" s="157">
        <f>SUMIFS('Future Orders'!$I187, 'Future Orders'!$D187, "1", 'Future Orders'!$C187, "A", 'Future Orders'!$B187, "2")</f>
        <v>0</v>
      </c>
      <c r="P187" s="157">
        <f>SUMIFS('Future Orders'!$E187, 'Future Orders'!$D187, "1", 'Future Orders'!$C187, "B", 'Future Orders'!$B187, "2")</f>
        <v>0</v>
      </c>
      <c r="Q187" s="157">
        <f>SUMIFS('Future Orders'!$I187, 'Future Orders'!$D187, "1", 'Future Orders'!$C187, "B", 'Future Orders'!$B187, "2")</f>
        <v>0</v>
      </c>
      <c r="R187" s="159">
        <f>SUMIFS('Future Orders'!$F187, 'Future Orders'!$D187, "2", 'Future Orders'!$C187, "A", 'Future Orders'!$B187, "1")</f>
        <v>0</v>
      </c>
      <c r="S187" s="157">
        <f>SUMIFS('Future Orders'!$I187, 'Future Orders'!$D187, "2", 'Future Orders'!$C187, "A", 'Future Orders'!$B187, "1")</f>
        <v>0</v>
      </c>
      <c r="T187" s="159">
        <f>SUMIFS('Future Orders'!$F187, 'Future Orders'!$D187, "2", 'Future Orders'!$C187, "B", 'Future Orders'!$B187, "1")</f>
        <v>0</v>
      </c>
      <c r="U187" s="157">
        <f>SUMIFS('Future Orders'!$I187, 'Future Orders'!$D187, "2", 'Future Orders'!$C187, "B", 'Future Orders'!$B187, "1")</f>
        <v>0</v>
      </c>
      <c r="V187" s="159">
        <f>SUMIFS('Future Orders'!$F187, 'Future Orders'!$D187, "2", 'Future Orders'!$C187, "A", 'Future Orders'!$B187, "2")</f>
        <v>0</v>
      </c>
      <c r="W187" s="157">
        <f>SUMIFS('Future Orders'!$I187, 'Future Orders'!$D187, "2", 'Future Orders'!$C187, "A", 'Future Orders'!$B187, "2")</f>
        <v>0</v>
      </c>
      <c r="X187" s="159">
        <f>SUMIFS('Future Orders'!$F187, 'Future Orders'!$D187, "2", 'Future Orders'!$C187, "B", 'Future Orders'!$B187, "2")</f>
        <v>0</v>
      </c>
      <c r="Y187" s="159">
        <f>SUMIFS('Future Orders'!$I187, 'Future Orders'!$D187, "2", 'Future Orders'!$C187, "B", 'Future Orders'!$B187, "2")</f>
        <v>0</v>
      </c>
      <c r="Z187" s="159">
        <f>SUMIFS('Future Orders'!$F187, 'Future Orders'!$D187, "3", 'Future Orders'!$C187, "A", 'Future Orders'!$B187, "1")</f>
        <v>0</v>
      </c>
      <c r="AA187" s="159">
        <f>SUMIFS('Future Orders'!$I187, 'Future Orders'!$D187, "3", 'Future Orders'!$C187, "A", 'Future Orders'!$B187, "1")</f>
        <v>0</v>
      </c>
      <c r="AB187" s="159">
        <f>SUMIFS('Future Orders'!$F187, 'Future Orders'!$D187, "3", 'Future Orders'!$C187, "B", 'Future Orders'!$B187, "1")</f>
        <v>0</v>
      </c>
      <c r="AC187" s="159">
        <f>SUMIFS('Future Orders'!$I187, 'Future Orders'!$D187, "3", 'Future Orders'!$C187, "B", 'Future Orders'!$B187, "1")</f>
        <v>0</v>
      </c>
      <c r="AD187" s="159">
        <f>SUMIFS('Future Orders'!$F187, 'Future Orders'!$D187, "3", 'Future Orders'!$C187, "A", 'Future Orders'!$B187, "2")</f>
        <v>0</v>
      </c>
      <c r="AE187" s="159">
        <f>SUMIFS('Future Orders'!$I187, 'Future Orders'!$D187, "3", 'Future Orders'!$C187, "A", 'Future Orders'!$B187, "2")</f>
        <v>0</v>
      </c>
      <c r="AF187" s="159">
        <f>SUMIFS('Future Orders'!$F187, 'Future Orders'!$D187, "3", 'Future Orders'!$C187, "B", 'Future Orders'!$B187, "2")</f>
        <v>3437.5</v>
      </c>
      <c r="AG187" s="157">
        <f>SUMIFS('Future Orders'!$I187, 'Future Orders'!$D187, "3", 'Future Orders'!$C187, "B", 'Future Orders'!$B187, "2")</f>
        <v>28531.25</v>
      </c>
      <c r="AH187" s="157">
        <f>SUMIFS('Future Orders'!$F187, 'Future Orders'!$D187, "4", 'Future Orders'!$C187, "A", 'Future Orders'!$B187, "1")</f>
        <v>0</v>
      </c>
      <c r="AI187" s="157">
        <f>SUMIFS('Future Orders'!$I187, 'Future Orders'!$D187, "4", 'Future Orders'!$C187, "A", 'Future Orders'!$B187, "1")</f>
        <v>0</v>
      </c>
      <c r="AJ187" s="157">
        <f>SUMIFS('Future Orders'!$F187, 'Future Orders'!$D187, "4", 'Future Orders'!$C187, "B", 'Future Orders'!$B187, "1")</f>
        <v>0</v>
      </c>
      <c r="AK187" s="157">
        <f>SUMIFS('Future Orders'!$I187, 'Future Orders'!$D187, "4", 'Future Orders'!$C187, "B", 'Future Orders'!$B187, "1")</f>
        <v>0</v>
      </c>
      <c r="AL187" s="157">
        <f>SUMIFS('Future Orders'!$F187, 'Future Orders'!$D187, "4", 'Future Orders'!$C187, "A", 'Future Orders'!$B187, "2")</f>
        <v>0</v>
      </c>
      <c r="AM187" s="157">
        <f>SUMIFS('Future Orders'!$I187, 'Future Orders'!$D187, "4", 'Future Orders'!$C187, "A", 'Future Orders'!$B187, "2")</f>
        <v>0</v>
      </c>
      <c r="AN187" s="171">
        <f>SUMIFS('Future Orders'!$F187, 'Future Orders'!$D187, "4", 'Future Orders'!$C187, "B", 'Future Orders'!$B187, "2")</f>
        <v>0</v>
      </c>
      <c r="AO187" s="171">
        <f>SUMIFS('Future Orders'!$I187, 'Future Orders'!$D187, "4", 'Future Orders'!$C187, "B", 'Future Orders'!$B187, "2")</f>
        <v>0</v>
      </c>
      <c r="AP187" s="171">
        <f>SUMIFS('Future Orders'!$H187, 'Future Orders'!$C187, "A", 'Future Orders'!$B187, "1")</f>
        <v>0</v>
      </c>
      <c r="AQ187" s="171">
        <f>SUMIFS('Future Orders'!$I187, 'Future Orders'!$C187, "B", 'Future Orders'!$B187, "1")</f>
        <v>0</v>
      </c>
      <c r="AR187" s="171">
        <f>SUMIFS('Future Orders'!$H187, 'Future Orders'!$C187, "A", 'Future Orders'!$B187, "2")</f>
        <v>0</v>
      </c>
      <c r="AS187" s="171">
        <f>SUMIFS('Future Orders'!$I187, 'Future Orders'!$C187, "B", 'Future Orders'!$B187, "2")</f>
        <v>28531.25</v>
      </c>
      <c r="AT187" s="145"/>
      <c r="AU187" s="172"/>
      <c r="AV187" s="172"/>
      <c r="AW187" s="172"/>
      <c r="AX187" s="172"/>
      <c r="AY187" s="172"/>
      <c r="AZ187" s="172"/>
      <c r="BA187" s="172"/>
      <c r="BB187" s="172"/>
      <c r="BC187" s="172"/>
      <c r="BD187" s="172"/>
      <c r="BE187" s="172"/>
      <c r="BF187" s="172"/>
      <c r="BG187" s="172"/>
      <c r="BH187" s="172"/>
      <c r="BI187" s="172"/>
      <c r="BJ187" s="172"/>
      <c r="BK187" s="172"/>
      <c r="BL187" s="172"/>
      <c r="BM187" s="172"/>
      <c r="BN187" s="172"/>
      <c r="BO187" s="172"/>
      <c r="BP187" s="172"/>
      <c r="BQ187" s="172"/>
      <c r="BR187" s="172"/>
      <c r="BS187" s="172"/>
      <c r="BT187" s="172"/>
      <c r="BU187" s="172"/>
      <c r="BV187" s="172"/>
      <c r="BW187" s="172"/>
      <c r="BX187" s="172"/>
      <c r="BY187" s="172"/>
      <c r="BZ187" s="172"/>
      <c r="CA187" s="179"/>
      <c r="CB187" s="179"/>
      <c r="CC187" s="179"/>
      <c r="CD187" s="179"/>
      <c r="CE187" s="179"/>
      <c r="CF187" s="179"/>
      <c r="CG187" s="179"/>
      <c r="CH187" s="179"/>
      <c r="CI187" s="179"/>
      <c r="CJ187" s="179"/>
      <c r="CK187" s="179"/>
      <c r="CL187" s="179"/>
      <c r="CM187" s="179"/>
      <c r="CN187" s="179"/>
      <c r="CO187" s="179"/>
      <c r="CP187" s="179"/>
    </row>
    <row r="188" ht="15.75" customHeight="1">
      <c r="A188" s="151">
        <v>42072.0</v>
      </c>
      <c r="B188" s="152">
        <v>1.0</v>
      </c>
      <c r="C188" s="152" t="s">
        <v>45</v>
      </c>
      <c r="D188" s="152">
        <v>1.0</v>
      </c>
      <c r="E188" s="153">
        <v>6055.0</v>
      </c>
      <c r="F188" s="153">
        <f>SUM(('Future Orders'!$E188) * (1.1))</f>
        <v>6660.5</v>
      </c>
      <c r="G188" s="154">
        <v>2.2</v>
      </c>
      <c r="H188" s="155">
        <v>13321.000000000002</v>
      </c>
      <c r="I188" s="155">
        <f>SUM(('Future Orders'!$H188) * (1.1))</f>
        <v>14653.1</v>
      </c>
      <c r="J188" s="159">
        <f>SUMIFS('Future Orders'!$F188, 'Future Orders'!$D188, "1", 'Future Orders'!$C188, "A", 'Future Orders'!$B188, "1")</f>
        <v>6660.5</v>
      </c>
      <c r="K188" s="157">
        <f>SUMIFS('Future Orders'!$I188, 'Future Orders'!$D188, "1", 'Future Orders'!$C188, "A", 'Future Orders'!$B188, "1")</f>
        <v>14653.1</v>
      </c>
      <c r="L188" s="157">
        <f>SUMIFS('Future Orders'!$F188, 'Future Orders'!$D188, "1", 'Future Orders'!$C188, "B", 'Future Orders'!$B188, "1")</f>
        <v>0</v>
      </c>
      <c r="M188" s="157">
        <f>SUMIFS('Future Orders'!$I188, 'Future Orders'!$D188, "1", 'Future Orders'!$C188, "B", 'Future Orders'!$B188, "1")</f>
        <v>0</v>
      </c>
      <c r="N188" s="159">
        <f>SUMIFS('Future Orders'!$F188, 'Future Orders'!$D188, "1", 'Future Orders'!$C188, "A", 'Future Orders'!$B188, "2")</f>
        <v>0</v>
      </c>
      <c r="O188" s="157">
        <f>SUMIFS('Future Orders'!$I188, 'Future Orders'!$D188, "1", 'Future Orders'!$C188, "A", 'Future Orders'!$B188, "2")</f>
        <v>0</v>
      </c>
      <c r="P188" s="157">
        <f>SUMIFS('Future Orders'!$E188, 'Future Orders'!$D188, "1", 'Future Orders'!$C188, "B", 'Future Orders'!$B188, "2")</f>
        <v>0</v>
      </c>
      <c r="Q188" s="157">
        <f>SUMIFS('Future Orders'!$I188, 'Future Orders'!$D188, "1", 'Future Orders'!$C188, "B", 'Future Orders'!$B188, "2")</f>
        <v>0</v>
      </c>
      <c r="R188" s="159">
        <f>SUMIFS('Future Orders'!$F188, 'Future Orders'!$D188, "2", 'Future Orders'!$C188, "A", 'Future Orders'!$B188, "1")</f>
        <v>0</v>
      </c>
      <c r="S188" s="157">
        <f>SUMIFS('Future Orders'!$I188, 'Future Orders'!$D188, "2", 'Future Orders'!$C188, "A", 'Future Orders'!$B188, "1")</f>
        <v>0</v>
      </c>
      <c r="T188" s="159">
        <f>SUMIFS('Future Orders'!$F188, 'Future Orders'!$D188, "2", 'Future Orders'!$C188, "B", 'Future Orders'!$B188, "1")</f>
        <v>0</v>
      </c>
      <c r="U188" s="157">
        <f>SUMIFS('Future Orders'!$I188, 'Future Orders'!$D188, "2", 'Future Orders'!$C188, "B", 'Future Orders'!$B188, "1")</f>
        <v>0</v>
      </c>
      <c r="V188" s="159">
        <f>SUMIFS('Future Orders'!$F188, 'Future Orders'!$D188, "2", 'Future Orders'!$C188, "A", 'Future Orders'!$B188, "2")</f>
        <v>0</v>
      </c>
      <c r="W188" s="157">
        <f>SUMIFS('Future Orders'!$I188, 'Future Orders'!$D188, "2", 'Future Orders'!$C188, "A", 'Future Orders'!$B188, "2")</f>
        <v>0</v>
      </c>
      <c r="X188" s="159">
        <f>SUMIFS('Future Orders'!$F188, 'Future Orders'!$D188, "2", 'Future Orders'!$C188, "B", 'Future Orders'!$B188, "2")</f>
        <v>0</v>
      </c>
      <c r="Y188" s="159">
        <f>SUMIFS('Future Orders'!$I188, 'Future Orders'!$D188, "2", 'Future Orders'!$C188, "B", 'Future Orders'!$B188, "2")</f>
        <v>0</v>
      </c>
      <c r="Z188" s="159">
        <f>SUMIFS('Future Orders'!$F188, 'Future Orders'!$D188, "3", 'Future Orders'!$C188, "A", 'Future Orders'!$B188, "1")</f>
        <v>0</v>
      </c>
      <c r="AA188" s="159">
        <f>SUMIFS('Future Orders'!$I188, 'Future Orders'!$D188, "3", 'Future Orders'!$C188, "A", 'Future Orders'!$B188, "1")</f>
        <v>0</v>
      </c>
      <c r="AB188" s="159">
        <f>SUMIFS('Future Orders'!$F188, 'Future Orders'!$D188, "3", 'Future Orders'!$C188, "B", 'Future Orders'!$B188, "1")</f>
        <v>0</v>
      </c>
      <c r="AC188" s="159">
        <f>SUMIFS('Future Orders'!$I188, 'Future Orders'!$D188, "3", 'Future Orders'!$C188, "B", 'Future Orders'!$B188, "1")</f>
        <v>0</v>
      </c>
      <c r="AD188" s="159">
        <f>SUMIFS('Future Orders'!$F188, 'Future Orders'!$D188, "3", 'Future Orders'!$C188, "A", 'Future Orders'!$B188, "2")</f>
        <v>0</v>
      </c>
      <c r="AE188" s="159">
        <f>SUMIFS('Future Orders'!$I188, 'Future Orders'!$D188, "3", 'Future Orders'!$C188, "A", 'Future Orders'!$B188, "2")</f>
        <v>0</v>
      </c>
      <c r="AF188" s="159">
        <f>SUMIFS('Future Orders'!$F188, 'Future Orders'!$D188, "3", 'Future Orders'!$C188, "B", 'Future Orders'!$B188, "2")</f>
        <v>0</v>
      </c>
      <c r="AG188" s="157">
        <f>SUMIFS('Future Orders'!$I188, 'Future Orders'!$D188, "3", 'Future Orders'!$C188, "B", 'Future Orders'!$B188, "2")</f>
        <v>0</v>
      </c>
      <c r="AH188" s="157">
        <f>SUMIFS('Future Orders'!$F188, 'Future Orders'!$D188, "4", 'Future Orders'!$C188, "A", 'Future Orders'!$B188, "1")</f>
        <v>0</v>
      </c>
      <c r="AI188" s="157">
        <f>SUMIFS('Future Orders'!$I188, 'Future Orders'!$D188, "4", 'Future Orders'!$C188, "A", 'Future Orders'!$B188, "1")</f>
        <v>0</v>
      </c>
      <c r="AJ188" s="157">
        <f>SUMIFS('Future Orders'!$F188, 'Future Orders'!$D188, "4", 'Future Orders'!$C188, "B", 'Future Orders'!$B188, "1")</f>
        <v>0</v>
      </c>
      <c r="AK188" s="157">
        <f>SUMIFS('Future Orders'!$I188, 'Future Orders'!$D188, "4", 'Future Orders'!$C188, "B", 'Future Orders'!$B188, "1")</f>
        <v>0</v>
      </c>
      <c r="AL188" s="157">
        <f>SUMIFS('Future Orders'!$F188, 'Future Orders'!$D188, "4", 'Future Orders'!$C188, "A", 'Future Orders'!$B188, "2")</f>
        <v>0</v>
      </c>
      <c r="AM188" s="157">
        <f>SUMIFS('Future Orders'!$I188, 'Future Orders'!$D188, "4", 'Future Orders'!$C188, "A", 'Future Orders'!$B188, "2")</f>
        <v>0</v>
      </c>
      <c r="AN188" s="171">
        <f>SUMIFS('Future Orders'!$F188, 'Future Orders'!$D188, "4", 'Future Orders'!$C188, "B", 'Future Orders'!$B188, "2")</f>
        <v>0</v>
      </c>
      <c r="AO188" s="171">
        <f>SUMIFS('Future Orders'!$I188, 'Future Orders'!$D188, "4", 'Future Orders'!$C188, "B", 'Future Orders'!$B188, "2")</f>
        <v>0</v>
      </c>
      <c r="AP188" s="171">
        <f>SUMIFS('Future Orders'!$H188, 'Future Orders'!$C188, "A", 'Future Orders'!$B188, "1")</f>
        <v>13321</v>
      </c>
      <c r="AQ188" s="171">
        <f>SUMIFS('Future Orders'!$I188, 'Future Orders'!$C188, "B", 'Future Orders'!$B188, "1")</f>
        <v>0</v>
      </c>
      <c r="AR188" s="171">
        <f>SUMIFS('Future Orders'!$H188, 'Future Orders'!$C188, "A", 'Future Orders'!$B188, "2")</f>
        <v>0</v>
      </c>
      <c r="AS188" s="171">
        <f>SUMIFS('Future Orders'!$I188, 'Future Orders'!$C188, "B", 'Future Orders'!$B188, "2")</f>
        <v>0</v>
      </c>
      <c r="AT188" s="145"/>
      <c r="AU188" s="172"/>
      <c r="AV188" s="172"/>
      <c r="AW188" s="172"/>
      <c r="AX188" s="172"/>
      <c r="AY188" s="172"/>
      <c r="AZ188" s="172"/>
      <c r="BA188" s="172"/>
      <c r="BB188" s="172"/>
      <c r="BC188" s="172"/>
      <c r="BD188" s="172"/>
      <c r="BE188" s="172"/>
      <c r="BF188" s="172"/>
      <c r="BG188" s="172"/>
      <c r="BH188" s="172"/>
      <c r="BI188" s="172"/>
      <c r="BJ188" s="172"/>
      <c r="BK188" s="172"/>
      <c r="BL188" s="172"/>
      <c r="BM188" s="172"/>
      <c r="BN188" s="172"/>
      <c r="BO188" s="172"/>
      <c r="BP188" s="172"/>
      <c r="BQ188" s="172"/>
      <c r="BR188" s="172"/>
      <c r="BS188" s="172"/>
      <c r="BT188" s="172"/>
      <c r="BU188" s="172"/>
      <c r="BV188" s="172"/>
      <c r="BW188" s="172"/>
      <c r="BX188" s="172"/>
      <c r="BY188" s="172"/>
      <c r="BZ188" s="172"/>
      <c r="CA188" s="179"/>
      <c r="CB188" s="179"/>
      <c r="CC188" s="179"/>
      <c r="CD188" s="179"/>
      <c r="CE188" s="179"/>
      <c r="CF188" s="179"/>
      <c r="CG188" s="179"/>
      <c r="CH188" s="179"/>
      <c r="CI188" s="179"/>
      <c r="CJ188" s="179"/>
      <c r="CK188" s="179"/>
      <c r="CL188" s="179"/>
      <c r="CM188" s="179"/>
      <c r="CN188" s="179"/>
      <c r="CO188" s="179"/>
      <c r="CP188" s="179"/>
    </row>
    <row r="189" ht="15.75" customHeight="1">
      <c r="A189" s="151">
        <v>42072.0</v>
      </c>
      <c r="B189" s="152">
        <v>1.0</v>
      </c>
      <c r="C189" s="152" t="s">
        <v>45</v>
      </c>
      <c r="D189" s="152">
        <v>2.0</v>
      </c>
      <c r="E189" s="153">
        <v>6192.0</v>
      </c>
      <c r="F189" s="153">
        <f>SUM(('Future Orders'!$E189) * (1.1))</f>
        <v>6811.2</v>
      </c>
      <c r="G189" s="154">
        <v>1.2</v>
      </c>
      <c r="H189" s="155">
        <v>7430.4</v>
      </c>
      <c r="I189" s="155">
        <f>SUM(('Future Orders'!$H189) * (1.1))</f>
        <v>8173.44</v>
      </c>
      <c r="J189" s="159">
        <f>SUMIFS('Future Orders'!$F189, 'Future Orders'!$D189, "1", 'Future Orders'!$C189, "A", 'Future Orders'!$B189, "1")</f>
        <v>0</v>
      </c>
      <c r="K189" s="157">
        <f>SUMIFS('Future Orders'!$I189, 'Future Orders'!$D189, "1", 'Future Orders'!$C189, "A", 'Future Orders'!$B189, "1")</f>
        <v>0</v>
      </c>
      <c r="L189" s="157">
        <f>SUMIFS('Future Orders'!$F189, 'Future Orders'!$D189, "1", 'Future Orders'!$C189, "B", 'Future Orders'!$B189, "1")</f>
        <v>0</v>
      </c>
      <c r="M189" s="157">
        <f>SUMIFS('Future Orders'!$I189, 'Future Orders'!$D189, "1", 'Future Orders'!$C189, "B", 'Future Orders'!$B189, "1")</f>
        <v>0</v>
      </c>
      <c r="N189" s="159">
        <f>SUMIFS('Future Orders'!$F189, 'Future Orders'!$D189, "1", 'Future Orders'!$C189, "A", 'Future Orders'!$B189, "2")</f>
        <v>0</v>
      </c>
      <c r="O189" s="157">
        <f>SUMIFS('Future Orders'!$I189, 'Future Orders'!$D189, "1", 'Future Orders'!$C189, "A", 'Future Orders'!$B189, "2")</f>
        <v>0</v>
      </c>
      <c r="P189" s="157">
        <f>SUMIFS('Future Orders'!$E189, 'Future Orders'!$D189, "1", 'Future Orders'!$C189, "B", 'Future Orders'!$B189, "2")</f>
        <v>0</v>
      </c>
      <c r="Q189" s="157">
        <f>SUMIFS('Future Orders'!$I189, 'Future Orders'!$D189, "1", 'Future Orders'!$C189, "B", 'Future Orders'!$B189, "2")</f>
        <v>0</v>
      </c>
      <c r="R189" s="159">
        <f>SUMIFS('Future Orders'!$F189, 'Future Orders'!$D189, "2", 'Future Orders'!$C189, "A", 'Future Orders'!$B189, "1")</f>
        <v>6811.2</v>
      </c>
      <c r="S189" s="157">
        <f>SUMIFS('Future Orders'!$I189, 'Future Orders'!$D189, "2", 'Future Orders'!$C189, "A", 'Future Orders'!$B189, "1")</f>
        <v>8173.44</v>
      </c>
      <c r="T189" s="159">
        <f>SUMIFS('Future Orders'!$F189, 'Future Orders'!$D189, "2", 'Future Orders'!$C189, "B", 'Future Orders'!$B189, "1")</f>
        <v>0</v>
      </c>
      <c r="U189" s="157">
        <f>SUMIFS('Future Orders'!$I189, 'Future Orders'!$D189, "2", 'Future Orders'!$C189, "B", 'Future Orders'!$B189, "1")</f>
        <v>0</v>
      </c>
      <c r="V189" s="159">
        <f>SUMIFS('Future Orders'!$F189, 'Future Orders'!$D189, "2", 'Future Orders'!$C189, "A", 'Future Orders'!$B189, "2")</f>
        <v>0</v>
      </c>
      <c r="W189" s="157">
        <f>SUMIFS('Future Orders'!$I189, 'Future Orders'!$D189, "2", 'Future Orders'!$C189, "A", 'Future Orders'!$B189, "2")</f>
        <v>0</v>
      </c>
      <c r="X189" s="159">
        <f>SUMIFS('Future Orders'!$F189, 'Future Orders'!$D189, "2", 'Future Orders'!$C189, "B", 'Future Orders'!$B189, "2")</f>
        <v>0</v>
      </c>
      <c r="Y189" s="159">
        <f>SUMIFS('Future Orders'!$I189, 'Future Orders'!$D189, "2", 'Future Orders'!$C189, "B", 'Future Orders'!$B189, "2")</f>
        <v>0</v>
      </c>
      <c r="Z189" s="159">
        <f>SUMIFS('Future Orders'!$F189, 'Future Orders'!$D189, "3", 'Future Orders'!$C189, "A", 'Future Orders'!$B189, "1")</f>
        <v>0</v>
      </c>
      <c r="AA189" s="159">
        <f>SUMIFS('Future Orders'!$I189, 'Future Orders'!$D189, "3", 'Future Orders'!$C189, "A", 'Future Orders'!$B189, "1")</f>
        <v>0</v>
      </c>
      <c r="AB189" s="159">
        <f>SUMIFS('Future Orders'!$F189, 'Future Orders'!$D189, "3", 'Future Orders'!$C189, "B", 'Future Orders'!$B189, "1")</f>
        <v>0</v>
      </c>
      <c r="AC189" s="159">
        <f>SUMIFS('Future Orders'!$I189, 'Future Orders'!$D189, "3", 'Future Orders'!$C189, "B", 'Future Orders'!$B189, "1")</f>
        <v>0</v>
      </c>
      <c r="AD189" s="159">
        <f>SUMIFS('Future Orders'!$F189, 'Future Orders'!$D189, "3", 'Future Orders'!$C189, "A", 'Future Orders'!$B189, "2")</f>
        <v>0</v>
      </c>
      <c r="AE189" s="159">
        <f>SUMIFS('Future Orders'!$I189, 'Future Orders'!$D189, "3", 'Future Orders'!$C189, "A", 'Future Orders'!$B189, "2")</f>
        <v>0</v>
      </c>
      <c r="AF189" s="159">
        <f>SUMIFS('Future Orders'!$F189, 'Future Orders'!$D189, "3", 'Future Orders'!$C189, "B", 'Future Orders'!$B189, "2")</f>
        <v>0</v>
      </c>
      <c r="AG189" s="157">
        <f>SUMIFS('Future Orders'!$I189, 'Future Orders'!$D189, "3", 'Future Orders'!$C189, "B", 'Future Orders'!$B189, "2")</f>
        <v>0</v>
      </c>
      <c r="AH189" s="157">
        <f>SUMIFS('Future Orders'!$F189, 'Future Orders'!$D189, "4", 'Future Orders'!$C189, "A", 'Future Orders'!$B189, "1")</f>
        <v>0</v>
      </c>
      <c r="AI189" s="157">
        <f>SUMIFS('Future Orders'!$I189, 'Future Orders'!$D189, "4", 'Future Orders'!$C189, "A", 'Future Orders'!$B189, "1")</f>
        <v>0</v>
      </c>
      <c r="AJ189" s="157">
        <f>SUMIFS('Future Orders'!$F189, 'Future Orders'!$D189, "4", 'Future Orders'!$C189, "B", 'Future Orders'!$B189, "1")</f>
        <v>0</v>
      </c>
      <c r="AK189" s="157">
        <f>SUMIFS('Future Orders'!$I189, 'Future Orders'!$D189, "4", 'Future Orders'!$C189, "B", 'Future Orders'!$B189, "1")</f>
        <v>0</v>
      </c>
      <c r="AL189" s="157">
        <f>SUMIFS('Future Orders'!$F189, 'Future Orders'!$D189, "4", 'Future Orders'!$C189, "A", 'Future Orders'!$B189, "2")</f>
        <v>0</v>
      </c>
      <c r="AM189" s="157">
        <f>SUMIFS('Future Orders'!$I189, 'Future Orders'!$D189, "4", 'Future Orders'!$C189, "A", 'Future Orders'!$B189, "2")</f>
        <v>0</v>
      </c>
      <c r="AN189" s="171">
        <f>SUMIFS('Future Orders'!$F189, 'Future Orders'!$D189, "4", 'Future Orders'!$C189, "B", 'Future Orders'!$B189, "2")</f>
        <v>0</v>
      </c>
      <c r="AO189" s="171">
        <f>SUMIFS('Future Orders'!$I189, 'Future Orders'!$D189, "4", 'Future Orders'!$C189, "B", 'Future Orders'!$B189, "2")</f>
        <v>0</v>
      </c>
      <c r="AP189" s="171">
        <f>SUMIFS('Future Orders'!$H189, 'Future Orders'!$C189, "A", 'Future Orders'!$B189, "1")</f>
        <v>7430.4</v>
      </c>
      <c r="AQ189" s="171">
        <f>SUMIFS('Future Orders'!$I189, 'Future Orders'!$C189, "B", 'Future Orders'!$B189, "1")</f>
        <v>0</v>
      </c>
      <c r="AR189" s="171">
        <f>SUMIFS('Future Orders'!$H189, 'Future Orders'!$C189, "A", 'Future Orders'!$B189, "2")</f>
        <v>0</v>
      </c>
      <c r="AS189" s="171">
        <f>SUMIFS('Future Orders'!$I189, 'Future Orders'!$C189, "B", 'Future Orders'!$B189, "2")</f>
        <v>0</v>
      </c>
      <c r="AT189" s="145"/>
      <c r="AU189" s="172"/>
      <c r="AV189" s="172"/>
      <c r="AW189" s="172"/>
      <c r="AX189" s="172"/>
      <c r="AY189" s="172"/>
      <c r="AZ189" s="172"/>
      <c r="BA189" s="172"/>
      <c r="BB189" s="172"/>
      <c r="BC189" s="172"/>
      <c r="BD189" s="172"/>
      <c r="BE189" s="172"/>
      <c r="BF189" s="172"/>
      <c r="BG189" s="172"/>
      <c r="BH189" s="172"/>
      <c r="BI189" s="172"/>
      <c r="BJ189" s="172"/>
      <c r="BK189" s="172"/>
      <c r="BL189" s="172"/>
      <c r="BM189" s="172"/>
      <c r="BN189" s="172"/>
      <c r="BO189" s="172"/>
      <c r="BP189" s="172"/>
      <c r="BQ189" s="172"/>
      <c r="BR189" s="172"/>
      <c r="BS189" s="172"/>
      <c r="BT189" s="172"/>
      <c r="BU189" s="172"/>
      <c r="BV189" s="172"/>
      <c r="BW189" s="172"/>
      <c r="BX189" s="172"/>
      <c r="BY189" s="172"/>
      <c r="BZ189" s="172"/>
      <c r="CA189" s="179"/>
      <c r="CB189" s="179"/>
      <c r="CC189" s="179"/>
      <c r="CD189" s="179"/>
      <c r="CE189" s="179"/>
      <c r="CF189" s="179"/>
      <c r="CG189" s="179"/>
      <c r="CH189" s="179"/>
      <c r="CI189" s="179"/>
      <c r="CJ189" s="179"/>
      <c r="CK189" s="179"/>
      <c r="CL189" s="179"/>
      <c r="CM189" s="179"/>
      <c r="CN189" s="179"/>
      <c r="CO189" s="179"/>
      <c r="CP189" s="179"/>
    </row>
    <row r="190" ht="15.75" customHeight="1">
      <c r="A190" s="151">
        <v>42072.0</v>
      </c>
      <c r="B190" s="152">
        <v>2.0</v>
      </c>
      <c r="C190" s="152" t="s">
        <v>45</v>
      </c>
      <c r="D190" s="152">
        <v>1.0</v>
      </c>
      <c r="E190" s="153">
        <v>5147.0</v>
      </c>
      <c r="F190" s="153">
        <f>SUM(('Future Orders'!$E190) * (1.1))</f>
        <v>5661.7</v>
      </c>
      <c r="G190" s="154">
        <v>2.2</v>
      </c>
      <c r="H190" s="155">
        <v>11323.400000000001</v>
      </c>
      <c r="I190" s="155">
        <f>SUM(('Future Orders'!$H190) * (1.1))</f>
        <v>12455.74</v>
      </c>
      <c r="J190" s="159">
        <f>SUMIFS('Future Orders'!$F190, 'Future Orders'!$D190, "1", 'Future Orders'!$C190, "A", 'Future Orders'!$B190, "1")</f>
        <v>0</v>
      </c>
      <c r="K190" s="157">
        <f>SUMIFS('Future Orders'!$I190, 'Future Orders'!$D190, "1", 'Future Orders'!$C190, "A", 'Future Orders'!$B190, "1")</f>
        <v>0</v>
      </c>
      <c r="L190" s="157">
        <f>SUMIFS('Future Orders'!$F190, 'Future Orders'!$D190, "1", 'Future Orders'!$C190, "B", 'Future Orders'!$B190, "1")</f>
        <v>0</v>
      </c>
      <c r="M190" s="157">
        <f>SUMIFS('Future Orders'!$I190, 'Future Orders'!$D190, "1", 'Future Orders'!$C190, "B", 'Future Orders'!$B190, "1")</f>
        <v>0</v>
      </c>
      <c r="N190" s="159">
        <f>SUMIFS('Future Orders'!$F190, 'Future Orders'!$D190, "1", 'Future Orders'!$C190, "A", 'Future Orders'!$B190, "2")</f>
        <v>5661.7</v>
      </c>
      <c r="O190" s="157">
        <f>SUMIFS('Future Orders'!$I190, 'Future Orders'!$D190, "1", 'Future Orders'!$C190, "A", 'Future Orders'!$B190, "2")</f>
        <v>12455.74</v>
      </c>
      <c r="P190" s="157">
        <f>SUMIFS('Future Orders'!$E190, 'Future Orders'!$D190, "1", 'Future Orders'!$C190, "B", 'Future Orders'!$B190, "2")</f>
        <v>0</v>
      </c>
      <c r="Q190" s="157">
        <f>SUMIFS('Future Orders'!$I190, 'Future Orders'!$D190, "1", 'Future Orders'!$C190, "B", 'Future Orders'!$B190, "2")</f>
        <v>0</v>
      </c>
      <c r="R190" s="159">
        <f>SUMIFS('Future Orders'!$F190, 'Future Orders'!$D190, "2", 'Future Orders'!$C190, "A", 'Future Orders'!$B190, "1")</f>
        <v>0</v>
      </c>
      <c r="S190" s="157">
        <f>SUMIFS('Future Orders'!$I190, 'Future Orders'!$D190, "2", 'Future Orders'!$C190, "A", 'Future Orders'!$B190, "1")</f>
        <v>0</v>
      </c>
      <c r="T190" s="159">
        <f>SUMIFS('Future Orders'!$F190, 'Future Orders'!$D190, "2", 'Future Orders'!$C190, "B", 'Future Orders'!$B190, "1")</f>
        <v>0</v>
      </c>
      <c r="U190" s="157">
        <f>SUMIFS('Future Orders'!$I190, 'Future Orders'!$D190, "2", 'Future Orders'!$C190, "B", 'Future Orders'!$B190, "1")</f>
        <v>0</v>
      </c>
      <c r="V190" s="159">
        <f>SUMIFS('Future Orders'!$F190, 'Future Orders'!$D190, "2", 'Future Orders'!$C190, "A", 'Future Orders'!$B190, "2")</f>
        <v>0</v>
      </c>
      <c r="W190" s="157">
        <f>SUMIFS('Future Orders'!$I190, 'Future Orders'!$D190, "2", 'Future Orders'!$C190, "A", 'Future Orders'!$B190, "2")</f>
        <v>0</v>
      </c>
      <c r="X190" s="159">
        <f>SUMIFS('Future Orders'!$F190, 'Future Orders'!$D190, "2", 'Future Orders'!$C190, "B", 'Future Orders'!$B190, "2")</f>
        <v>0</v>
      </c>
      <c r="Y190" s="159">
        <f>SUMIFS('Future Orders'!$I190, 'Future Orders'!$D190, "2", 'Future Orders'!$C190, "B", 'Future Orders'!$B190, "2")</f>
        <v>0</v>
      </c>
      <c r="Z190" s="159">
        <f>SUMIFS('Future Orders'!$F190, 'Future Orders'!$D190, "3", 'Future Orders'!$C190, "A", 'Future Orders'!$B190, "1")</f>
        <v>0</v>
      </c>
      <c r="AA190" s="159">
        <f>SUMIFS('Future Orders'!$I190, 'Future Orders'!$D190, "3", 'Future Orders'!$C190, "A", 'Future Orders'!$B190, "1")</f>
        <v>0</v>
      </c>
      <c r="AB190" s="159">
        <f>SUMIFS('Future Orders'!$F190, 'Future Orders'!$D190, "3", 'Future Orders'!$C190, "B", 'Future Orders'!$B190, "1")</f>
        <v>0</v>
      </c>
      <c r="AC190" s="159">
        <f>SUMIFS('Future Orders'!$I190, 'Future Orders'!$D190, "3", 'Future Orders'!$C190, "B", 'Future Orders'!$B190, "1")</f>
        <v>0</v>
      </c>
      <c r="AD190" s="159">
        <f>SUMIFS('Future Orders'!$F190, 'Future Orders'!$D190, "3", 'Future Orders'!$C190, "A", 'Future Orders'!$B190, "2")</f>
        <v>0</v>
      </c>
      <c r="AE190" s="159">
        <f>SUMIFS('Future Orders'!$I190, 'Future Orders'!$D190, "3", 'Future Orders'!$C190, "A", 'Future Orders'!$B190, "2")</f>
        <v>0</v>
      </c>
      <c r="AF190" s="159">
        <f>SUMIFS('Future Orders'!$F190, 'Future Orders'!$D190, "3", 'Future Orders'!$C190, "B", 'Future Orders'!$B190, "2")</f>
        <v>0</v>
      </c>
      <c r="AG190" s="157">
        <f>SUMIFS('Future Orders'!$I190, 'Future Orders'!$D190, "3", 'Future Orders'!$C190, "B", 'Future Orders'!$B190, "2")</f>
        <v>0</v>
      </c>
      <c r="AH190" s="157">
        <f>SUMIFS('Future Orders'!$F190, 'Future Orders'!$D190, "4", 'Future Orders'!$C190, "A", 'Future Orders'!$B190, "1")</f>
        <v>0</v>
      </c>
      <c r="AI190" s="157">
        <f>SUMIFS('Future Orders'!$I190, 'Future Orders'!$D190, "4", 'Future Orders'!$C190, "A", 'Future Orders'!$B190, "1")</f>
        <v>0</v>
      </c>
      <c r="AJ190" s="157">
        <f>SUMIFS('Future Orders'!$F190, 'Future Orders'!$D190, "4", 'Future Orders'!$C190, "B", 'Future Orders'!$B190, "1")</f>
        <v>0</v>
      </c>
      <c r="AK190" s="157">
        <f>SUMIFS('Future Orders'!$I190, 'Future Orders'!$D190, "4", 'Future Orders'!$C190, "B", 'Future Orders'!$B190, "1")</f>
        <v>0</v>
      </c>
      <c r="AL190" s="157">
        <f>SUMIFS('Future Orders'!$F190, 'Future Orders'!$D190, "4", 'Future Orders'!$C190, "A", 'Future Orders'!$B190, "2")</f>
        <v>0</v>
      </c>
      <c r="AM190" s="157">
        <f>SUMIFS('Future Orders'!$I190, 'Future Orders'!$D190, "4", 'Future Orders'!$C190, "A", 'Future Orders'!$B190, "2")</f>
        <v>0</v>
      </c>
      <c r="AN190" s="171">
        <f>SUMIFS('Future Orders'!$F190, 'Future Orders'!$D190, "4", 'Future Orders'!$C190, "B", 'Future Orders'!$B190, "2")</f>
        <v>0</v>
      </c>
      <c r="AO190" s="171">
        <f>SUMIFS('Future Orders'!$I190, 'Future Orders'!$D190, "4", 'Future Orders'!$C190, "B", 'Future Orders'!$B190, "2")</f>
        <v>0</v>
      </c>
      <c r="AP190" s="171">
        <f>SUMIFS('Future Orders'!$H190, 'Future Orders'!$C190, "A", 'Future Orders'!$B190, "1")</f>
        <v>0</v>
      </c>
      <c r="AQ190" s="171">
        <f>SUMIFS('Future Orders'!$I190, 'Future Orders'!$C190, "B", 'Future Orders'!$B190, "1")</f>
        <v>0</v>
      </c>
      <c r="AR190" s="171">
        <f>SUMIFS('Future Orders'!$H190, 'Future Orders'!$C190, "A", 'Future Orders'!$B190, "2")</f>
        <v>11323.4</v>
      </c>
      <c r="AS190" s="171">
        <f>SUMIFS('Future Orders'!$I190, 'Future Orders'!$C190, "B", 'Future Orders'!$B190, "2")</f>
        <v>0</v>
      </c>
      <c r="AT190" s="145"/>
      <c r="AU190" s="172"/>
      <c r="AV190" s="172"/>
      <c r="AW190" s="172"/>
      <c r="AX190" s="172"/>
      <c r="AY190" s="172"/>
      <c r="AZ190" s="172"/>
      <c r="BA190" s="172"/>
      <c r="BB190" s="172"/>
      <c r="BC190" s="172"/>
      <c r="BD190" s="172"/>
      <c r="BE190" s="172"/>
      <c r="BF190" s="172"/>
      <c r="BG190" s="172"/>
      <c r="BH190" s="172"/>
      <c r="BI190" s="172"/>
      <c r="BJ190" s="172"/>
      <c r="BK190" s="172"/>
      <c r="BL190" s="172"/>
      <c r="BM190" s="172"/>
      <c r="BN190" s="172"/>
      <c r="BO190" s="172"/>
      <c r="BP190" s="172"/>
      <c r="BQ190" s="172"/>
      <c r="BR190" s="172"/>
      <c r="BS190" s="172"/>
      <c r="BT190" s="172"/>
      <c r="BU190" s="172"/>
      <c r="BV190" s="172"/>
      <c r="BW190" s="172"/>
      <c r="BX190" s="172"/>
      <c r="BY190" s="172"/>
      <c r="BZ190" s="172"/>
      <c r="CA190" s="179"/>
      <c r="CB190" s="179"/>
      <c r="CC190" s="179"/>
      <c r="CD190" s="179"/>
      <c r="CE190" s="179"/>
      <c r="CF190" s="179"/>
      <c r="CG190" s="179"/>
      <c r="CH190" s="179"/>
      <c r="CI190" s="179"/>
      <c r="CJ190" s="179"/>
      <c r="CK190" s="179"/>
      <c r="CL190" s="179"/>
      <c r="CM190" s="179"/>
      <c r="CN190" s="179"/>
      <c r="CO190" s="179"/>
      <c r="CP190" s="179"/>
    </row>
    <row r="191" ht="15.75" customHeight="1">
      <c r="A191" s="151">
        <v>42072.0</v>
      </c>
      <c r="B191" s="152">
        <v>2.0</v>
      </c>
      <c r="C191" s="152" t="s">
        <v>45</v>
      </c>
      <c r="D191" s="152">
        <v>2.0</v>
      </c>
      <c r="E191" s="153">
        <v>6004.0</v>
      </c>
      <c r="F191" s="153">
        <f>SUM(('Future Orders'!$E191) * (1.1))</f>
        <v>6604.4</v>
      </c>
      <c r="G191" s="154">
        <v>1.2</v>
      </c>
      <c r="H191" s="155">
        <v>7204.8</v>
      </c>
      <c r="I191" s="155">
        <f>SUM(('Future Orders'!$H191) * (1.1))</f>
        <v>7925.28</v>
      </c>
      <c r="J191" s="159">
        <f>SUMIFS('Future Orders'!$F191, 'Future Orders'!$D191, "1", 'Future Orders'!$C191, "A", 'Future Orders'!$B191, "1")</f>
        <v>0</v>
      </c>
      <c r="K191" s="157">
        <f>SUMIFS('Future Orders'!$I191, 'Future Orders'!$D191, "1", 'Future Orders'!$C191, "A", 'Future Orders'!$B191, "1")</f>
        <v>0</v>
      </c>
      <c r="L191" s="157">
        <f>SUMIFS('Future Orders'!$F191, 'Future Orders'!$D191, "1", 'Future Orders'!$C191, "B", 'Future Orders'!$B191, "1")</f>
        <v>0</v>
      </c>
      <c r="M191" s="157">
        <f>SUMIFS('Future Orders'!$I191, 'Future Orders'!$D191, "1", 'Future Orders'!$C191, "B", 'Future Orders'!$B191, "1")</f>
        <v>0</v>
      </c>
      <c r="N191" s="159">
        <f>SUMIFS('Future Orders'!$F191, 'Future Orders'!$D191, "1", 'Future Orders'!$C191, "A", 'Future Orders'!$B191, "2")</f>
        <v>0</v>
      </c>
      <c r="O191" s="157">
        <f>SUMIFS('Future Orders'!$I191, 'Future Orders'!$D191, "1", 'Future Orders'!$C191, "A", 'Future Orders'!$B191, "2")</f>
        <v>0</v>
      </c>
      <c r="P191" s="157">
        <f>SUMIFS('Future Orders'!$E191, 'Future Orders'!$D191, "1", 'Future Orders'!$C191, "B", 'Future Orders'!$B191, "2")</f>
        <v>0</v>
      </c>
      <c r="Q191" s="157">
        <f>SUMIFS('Future Orders'!$I191, 'Future Orders'!$D191, "1", 'Future Orders'!$C191, "B", 'Future Orders'!$B191, "2")</f>
        <v>0</v>
      </c>
      <c r="R191" s="159">
        <f>SUMIFS('Future Orders'!$F191, 'Future Orders'!$D191, "2", 'Future Orders'!$C191, "A", 'Future Orders'!$B191, "1")</f>
        <v>0</v>
      </c>
      <c r="S191" s="157">
        <f>SUMIFS('Future Orders'!$I191, 'Future Orders'!$D191, "2", 'Future Orders'!$C191, "A", 'Future Orders'!$B191, "1")</f>
        <v>0</v>
      </c>
      <c r="T191" s="159">
        <f>SUMIFS('Future Orders'!$F191, 'Future Orders'!$D191, "2", 'Future Orders'!$C191, "B", 'Future Orders'!$B191, "1")</f>
        <v>0</v>
      </c>
      <c r="U191" s="157">
        <f>SUMIFS('Future Orders'!$I191, 'Future Orders'!$D191, "2", 'Future Orders'!$C191, "B", 'Future Orders'!$B191, "1")</f>
        <v>0</v>
      </c>
      <c r="V191" s="159">
        <f>SUMIFS('Future Orders'!$F191, 'Future Orders'!$D191, "2", 'Future Orders'!$C191, "A", 'Future Orders'!$B191, "2")</f>
        <v>6604.4</v>
      </c>
      <c r="W191" s="157">
        <f>SUMIFS('Future Orders'!$I191, 'Future Orders'!$D191, "2", 'Future Orders'!$C191, "A", 'Future Orders'!$B191, "2")</f>
        <v>7925.28</v>
      </c>
      <c r="X191" s="159">
        <f>SUMIFS('Future Orders'!$F191, 'Future Orders'!$D191, "2", 'Future Orders'!$C191, "B", 'Future Orders'!$B191, "2")</f>
        <v>0</v>
      </c>
      <c r="Y191" s="159">
        <f>SUMIFS('Future Orders'!$I191, 'Future Orders'!$D191, "2", 'Future Orders'!$C191, "B", 'Future Orders'!$B191, "2")</f>
        <v>0</v>
      </c>
      <c r="Z191" s="159">
        <f>SUMIFS('Future Orders'!$F191, 'Future Orders'!$D191, "3", 'Future Orders'!$C191, "A", 'Future Orders'!$B191, "1")</f>
        <v>0</v>
      </c>
      <c r="AA191" s="159">
        <f>SUMIFS('Future Orders'!$I191, 'Future Orders'!$D191, "3", 'Future Orders'!$C191, "A", 'Future Orders'!$B191, "1")</f>
        <v>0</v>
      </c>
      <c r="AB191" s="159">
        <f>SUMIFS('Future Orders'!$F191, 'Future Orders'!$D191, "3", 'Future Orders'!$C191, "B", 'Future Orders'!$B191, "1")</f>
        <v>0</v>
      </c>
      <c r="AC191" s="159">
        <f>SUMIFS('Future Orders'!$I191, 'Future Orders'!$D191, "3", 'Future Orders'!$C191, "B", 'Future Orders'!$B191, "1")</f>
        <v>0</v>
      </c>
      <c r="AD191" s="159">
        <f>SUMIFS('Future Orders'!$F191, 'Future Orders'!$D191, "3", 'Future Orders'!$C191, "A", 'Future Orders'!$B191, "2")</f>
        <v>0</v>
      </c>
      <c r="AE191" s="159">
        <f>SUMIFS('Future Orders'!$I191, 'Future Orders'!$D191, "3", 'Future Orders'!$C191, "A", 'Future Orders'!$B191, "2")</f>
        <v>0</v>
      </c>
      <c r="AF191" s="159">
        <f>SUMIFS('Future Orders'!$F191, 'Future Orders'!$D191, "3", 'Future Orders'!$C191, "B", 'Future Orders'!$B191, "2")</f>
        <v>0</v>
      </c>
      <c r="AG191" s="157">
        <f>SUMIFS('Future Orders'!$I191, 'Future Orders'!$D191, "3", 'Future Orders'!$C191, "B", 'Future Orders'!$B191, "2")</f>
        <v>0</v>
      </c>
      <c r="AH191" s="157">
        <f>SUMIFS('Future Orders'!$F191, 'Future Orders'!$D191, "4", 'Future Orders'!$C191, "A", 'Future Orders'!$B191, "1")</f>
        <v>0</v>
      </c>
      <c r="AI191" s="157">
        <f>SUMIFS('Future Orders'!$I191, 'Future Orders'!$D191, "4", 'Future Orders'!$C191, "A", 'Future Orders'!$B191, "1")</f>
        <v>0</v>
      </c>
      <c r="AJ191" s="157">
        <f>SUMIFS('Future Orders'!$F191, 'Future Orders'!$D191, "4", 'Future Orders'!$C191, "B", 'Future Orders'!$B191, "1")</f>
        <v>0</v>
      </c>
      <c r="AK191" s="157">
        <f>SUMIFS('Future Orders'!$I191, 'Future Orders'!$D191, "4", 'Future Orders'!$C191, "B", 'Future Orders'!$B191, "1")</f>
        <v>0</v>
      </c>
      <c r="AL191" s="157">
        <f>SUMIFS('Future Orders'!$F191, 'Future Orders'!$D191, "4", 'Future Orders'!$C191, "A", 'Future Orders'!$B191, "2")</f>
        <v>0</v>
      </c>
      <c r="AM191" s="157">
        <f>SUMIFS('Future Orders'!$I191, 'Future Orders'!$D191, "4", 'Future Orders'!$C191, "A", 'Future Orders'!$B191, "2")</f>
        <v>0</v>
      </c>
      <c r="AN191" s="171">
        <f>SUMIFS('Future Orders'!$F191, 'Future Orders'!$D191, "4", 'Future Orders'!$C191, "B", 'Future Orders'!$B191, "2")</f>
        <v>0</v>
      </c>
      <c r="AO191" s="171">
        <f>SUMIFS('Future Orders'!$I191, 'Future Orders'!$D191, "4", 'Future Orders'!$C191, "B", 'Future Orders'!$B191, "2")</f>
        <v>0</v>
      </c>
      <c r="AP191" s="171">
        <f>SUMIFS('Future Orders'!$H191, 'Future Orders'!$C191, "A", 'Future Orders'!$B191, "1")</f>
        <v>0</v>
      </c>
      <c r="AQ191" s="171">
        <f>SUMIFS('Future Orders'!$I191, 'Future Orders'!$C191, "B", 'Future Orders'!$B191, "1")</f>
        <v>0</v>
      </c>
      <c r="AR191" s="171">
        <f>SUMIFS('Future Orders'!$H191, 'Future Orders'!$C191, "A", 'Future Orders'!$B191, "2")</f>
        <v>7204.8</v>
      </c>
      <c r="AS191" s="171">
        <f>SUMIFS('Future Orders'!$I191, 'Future Orders'!$C191, "B", 'Future Orders'!$B191, "2")</f>
        <v>0</v>
      </c>
      <c r="AT191" s="145"/>
      <c r="AU191" s="172"/>
      <c r="AV191" s="172"/>
      <c r="AW191" s="172"/>
      <c r="AX191" s="172"/>
      <c r="AY191" s="172"/>
      <c r="AZ191" s="172"/>
      <c r="BA191" s="172"/>
      <c r="BB191" s="172"/>
      <c r="BC191" s="172"/>
      <c r="BD191" s="172"/>
      <c r="BE191" s="172"/>
      <c r="BF191" s="172"/>
      <c r="BG191" s="172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  <c r="BT191" s="172"/>
      <c r="BU191" s="172"/>
      <c r="BV191" s="172"/>
      <c r="BW191" s="172"/>
      <c r="BX191" s="172"/>
      <c r="BY191" s="172"/>
      <c r="BZ191" s="172"/>
      <c r="CA191" s="179"/>
      <c r="CB191" s="179"/>
      <c r="CC191" s="179"/>
      <c r="CD191" s="179"/>
      <c r="CE191" s="179"/>
      <c r="CF191" s="179"/>
      <c r="CG191" s="179"/>
      <c r="CH191" s="179"/>
      <c r="CI191" s="179"/>
      <c r="CJ191" s="179"/>
      <c r="CK191" s="179"/>
      <c r="CL191" s="179"/>
      <c r="CM191" s="179"/>
      <c r="CN191" s="179"/>
      <c r="CO191" s="179"/>
      <c r="CP191" s="179"/>
    </row>
    <row r="192" ht="15.75" customHeight="1">
      <c r="A192" s="151">
        <v>42072.0</v>
      </c>
      <c r="B192" s="152">
        <v>1.0</v>
      </c>
      <c r="C192" s="152" t="s">
        <v>46</v>
      </c>
      <c r="D192" s="152">
        <v>3.0</v>
      </c>
      <c r="E192" s="153">
        <v>1816.0</v>
      </c>
      <c r="F192" s="153">
        <f>SUM(('Future Orders'!$E192) * (1.1))</f>
        <v>1997.6</v>
      </c>
      <c r="G192" s="154">
        <v>8.3</v>
      </c>
      <c r="H192" s="155">
        <v>15072.800000000001</v>
      </c>
      <c r="I192" s="155">
        <f>SUM(('Future Orders'!$H192) * (1.1))</f>
        <v>16580.08</v>
      </c>
      <c r="J192" s="159">
        <f>SUMIFS('Future Orders'!$F192, 'Future Orders'!$D192, "1", 'Future Orders'!$C192, "A", 'Future Orders'!$B192, "1")</f>
        <v>0</v>
      </c>
      <c r="K192" s="157">
        <f>SUMIFS('Future Orders'!$I192, 'Future Orders'!$D192, "1", 'Future Orders'!$C192, "A", 'Future Orders'!$B192, "1")</f>
        <v>0</v>
      </c>
      <c r="L192" s="157">
        <f>SUMIFS('Future Orders'!$F192, 'Future Orders'!$D192, "1", 'Future Orders'!$C192, "B", 'Future Orders'!$B192, "1")</f>
        <v>0</v>
      </c>
      <c r="M192" s="157">
        <f>SUMIFS('Future Orders'!$I192, 'Future Orders'!$D192, "1", 'Future Orders'!$C192, "B", 'Future Orders'!$B192, "1")</f>
        <v>0</v>
      </c>
      <c r="N192" s="159">
        <f>SUMIFS('Future Orders'!$F192, 'Future Orders'!$D192, "1", 'Future Orders'!$C192, "A", 'Future Orders'!$B192, "2")</f>
        <v>0</v>
      </c>
      <c r="O192" s="157">
        <f>SUMIFS('Future Orders'!$I192, 'Future Orders'!$D192, "1", 'Future Orders'!$C192, "A", 'Future Orders'!$B192, "2")</f>
        <v>0</v>
      </c>
      <c r="P192" s="157">
        <f>SUMIFS('Future Orders'!$E192, 'Future Orders'!$D192, "1", 'Future Orders'!$C192, "B", 'Future Orders'!$B192, "2")</f>
        <v>0</v>
      </c>
      <c r="Q192" s="157">
        <f>SUMIFS('Future Orders'!$I192, 'Future Orders'!$D192, "1", 'Future Orders'!$C192, "B", 'Future Orders'!$B192, "2")</f>
        <v>0</v>
      </c>
      <c r="R192" s="159">
        <f>SUMIFS('Future Orders'!$F192, 'Future Orders'!$D192, "2", 'Future Orders'!$C192, "A", 'Future Orders'!$B192, "1")</f>
        <v>0</v>
      </c>
      <c r="S192" s="157">
        <f>SUMIFS('Future Orders'!$I192, 'Future Orders'!$D192, "2", 'Future Orders'!$C192, "A", 'Future Orders'!$B192, "1")</f>
        <v>0</v>
      </c>
      <c r="T192" s="159">
        <f>SUMIFS('Future Orders'!$F192, 'Future Orders'!$D192, "2", 'Future Orders'!$C192, "B", 'Future Orders'!$B192, "1")</f>
        <v>0</v>
      </c>
      <c r="U192" s="157">
        <f>SUMIFS('Future Orders'!$I192, 'Future Orders'!$D192, "2", 'Future Orders'!$C192, "B", 'Future Orders'!$B192, "1")</f>
        <v>0</v>
      </c>
      <c r="V192" s="159">
        <f>SUMIFS('Future Orders'!$F192, 'Future Orders'!$D192, "2", 'Future Orders'!$C192, "A", 'Future Orders'!$B192, "2")</f>
        <v>0</v>
      </c>
      <c r="W192" s="157">
        <f>SUMIFS('Future Orders'!$I192, 'Future Orders'!$D192, "2", 'Future Orders'!$C192, "A", 'Future Orders'!$B192, "2")</f>
        <v>0</v>
      </c>
      <c r="X192" s="159">
        <f>SUMIFS('Future Orders'!$F192, 'Future Orders'!$D192, "2", 'Future Orders'!$C192, "B", 'Future Orders'!$B192, "2")</f>
        <v>0</v>
      </c>
      <c r="Y192" s="159">
        <f>SUMIFS('Future Orders'!$I192, 'Future Orders'!$D192, "2", 'Future Orders'!$C192, "B", 'Future Orders'!$B192, "2")</f>
        <v>0</v>
      </c>
      <c r="Z192" s="159">
        <f>SUMIFS('Future Orders'!$F192, 'Future Orders'!$D192, "3", 'Future Orders'!$C192, "A", 'Future Orders'!$B192, "1")</f>
        <v>0</v>
      </c>
      <c r="AA192" s="159">
        <f>SUMIFS('Future Orders'!$I192, 'Future Orders'!$D192, "3", 'Future Orders'!$C192, "A", 'Future Orders'!$B192, "1")</f>
        <v>0</v>
      </c>
      <c r="AB192" s="159">
        <f>SUMIFS('Future Orders'!$F192, 'Future Orders'!$D192, "3", 'Future Orders'!$C192, "B", 'Future Orders'!$B192, "1")</f>
        <v>1997.6</v>
      </c>
      <c r="AC192" s="159">
        <f>SUMIFS('Future Orders'!$I192, 'Future Orders'!$D192, "3", 'Future Orders'!$C192, "B", 'Future Orders'!$B192, "1")</f>
        <v>16580.08</v>
      </c>
      <c r="AD192" s="159">
        <f>SUMIFS('Future Orders'!$F192, 'Future Orders'!$D192, "3", 'Future Orders'!$C192, "A", 'Future Orders'!$B192, "2")</f>
        <v>0</v>
      </c>
      <c r="AE192" s="159">
        <f>SUMIFS('Future Orders'!$I192, 'Future Orders'!$D192, "3", 'Future Orders'!$C192, "A", 'Future Orders'!$B192, "2")</f>
        <v>0</v>
      </c>
      <c r="AF192" s="159">
        <f>SUMIFS('Future Orders'!$F192, 'Future Orders'!$D192, "3", 'Future Orders'!$C192, "B", 'Future Orders'!$B192, "2")</f>
        <v>0</v>
      </c>
      <c r="AG192" s="157">
        <f>SUMIFS('Future Orders'!$I192, 'Future Orders'!$D192, "3", 'Future Orders'!$C192, "B", 'Future Orders'!$B192, "2")</f>
        <v>0</v>
      </c>
      <c r="AH192" s="157">
        <f>SUMIFS('Future Orders'!$F192, 'Future Orders'!$D192, "4", 'Future Orders'!$C192, "A", 'Future Orders'!$B192, "1")</f>
        <v>0</v>
      </c>
      <c r="AI192" s="157">
        <f>SUMIFS('Future Orders'!$I192, 'Future Orders'!$D192, "4", 'Future Orders'!$C192, "A", 'Future Orders'!$B192, "1")</f>
        <v>0</v>
      </c>
      <c r="AJ192" s="157">
        <f>SUMIFS('Future Orders'!$F192, 'Future Orders'!$D192, "4", 'Future Orders'!$C192, "B", 'Future Orders'!$B192, "1")</f>
        <v>0</v>
      </c>
      <c r="AK192" s="157">
        <f>SUMIFS('Future Orders'!$I192, 'Future Orders'!$D192, "4", 'Future Orders'!$C192, "B", 'Future Orders'!$B192, "1")</f>
        <v>0</v>
      </c>
      <c r="AL192" s="157">
        <f>SUMIFS('Future Orders'!$F192, 'Future Orders'!$D192, "4", 'Future Orders'!$C192, "A", 'Future Orders'!$B192, "2")</f>
        <v>0</v>
      </c>
      <c r="AM192" s="157">
        <f>SUMIFS('Future Orders'!$I192, 'Future Orders'!$D192, "4", 'Future Orders'!$C192, "A", 'Future Orders'!$B192, "2")</f>
        <v>0</v>
      </c>
      <c r="AN192" s="171">
        <f>SUMIFS('Future Orders'!$F192, 'Future Orders'!$D192, "4", 'Future Orders'!$C192, "B", 'Future Orders'!$B192, "2")</f>
        <v>0</v>
      </c>
      <c r="AO192" s="171">
        <f>SUMIFS('Future Orders'!$I192, 'Future Orders'!$D192, "4", 'Future Orders'!$C192, "B", 'Future Orders'!$B192, "2")</f>
        <v>0</v>
      </c>
      <c r="AP192" s="171">
        <f>SUMIFS('Future Orders'!$H192, 'Future Orders'!$C192, "A", 'Future Orders'!$B192, "1")</f>
        <v>0</v>
      </c>
      <c r="AQ192" s="171">
        <f>SUMIFS('Future Orders'!$I192, 'Future Orders'!$C192, "B", 'Future Orders'!$B192, "1")</f>
        <v>16580.08</v>
      </c>
      <c r="AR192" s="171">
        <f>SUMIFS('Future Orders'!$H192, 'Future Orders'!$C192, "A", 'Future Orders'!$B192, "2")</f>
        <v>0</v>
      </c>
      <c r="AS192" s="171">
        <f>SUMIFS('Future Orders'!$I192, 'Future Orders'!$C192, "B", 'Future Orders'!$B192, "2")</f>
        <v>0</v>
      </c>
      <c r="AT192" s="145"/>
      <c r="AU192" s="172"/>
      <c r="AV192" s="172"/>
      <c r="AW192" s="172"/>
      <c r="AX192" s="172"/>
      <c r="AY192" s="172"/>
      <c r="AZ192" s="172"/>
      <c r="BA192" s="172"/>
      <c r="BB192" s="172"/>
      <c r="BC192" s="172"/>
      <c r="BD192" s="172"/>
      <c r="BE192" s="172"/>
      <c r="BF192" s="172"/>
      <c r="BG192" s="172"/>
      <c r="BH192" s="172"/>
      <c r="BI192" s="172"/>
      <c r="BJ192" s="172"/>
      <c r="BK192" s="172"/>
      <c r="BL192" s="172"/>
      <c r="BM192" s="172"/>
      <c r="BN192" s="172"/>
      <c r="BO192" s="172"/>
      <c r="BP192" s="172"/>
      <c r="BQ192" s="172"/>
      <c r="BR192" s="172"/>
      <c r="BS192" s="172"/>
      <c r="BT192" s="172"/>
      <c r="BU192" s="172"/>
      <c r="BV192" s="172"/>
      <c r="BW192" s="172"/>
      <c r="BX192" s="172"/>
      <c r="BY192" s="172"/>
      <c r="BZ192" s="172"/>
      <c r="CA192" s="179"/>
      <c r="CB192" s="179"/>
      <c r="CC192" s="179"/>
      <c r="CD192" s="179"/>
      <c r="CE192" s="179"/>
      <c r="CF192" s="179"/>
      <c r="CG192" s="179"/>
      <c r="CH192" s="179"/>
      <c r="CI192" s="179"/>
      <c r="CJ192" s="179"/>
      <c r="CK192" s="179"/>
      <c r="CL192" s="179"/>
      <c r="CM192" s="179"/>
      <c r="CN192" s="179"/>
      <c r="CO192" s="179"/>
      <c r="CP192" s="179"/>
    </row>
    <row r="193" ht="15.75" customHeight="1">
      <c r="A193" s="151">
        <v>42072.0</v>
      </c>
      <c r="B193" s="152">
        <v>2.0</v>
      </c>
      <c r="C193" s="152" t="s">
        <v>46</v>
      </c>
      <c r="D193" s="152">
        <v>3.0</v>
      </c>
      <c r="E193" s="153">
        <v>2126.0</v>
      </c>
      <c r="F193" s="153">
        <f>SUM(('Future Orders'!$E193) * (1.1))</f>
        <v>2338.6</v>
      </c>
      <c r="G193" s="154">
        <v>8.3</v>
      </c>
      <c r="H193" s="155">
        <v>17645.800000000003</v>
      </c>
      <c r="I193" s="155">
        <f>SUM(('Future Orders'!$H193) * (1.1))</f>
        <v>19410.38</v>
      </c>
      <c r="J193" s="159">
        <f>SUMIFS('Future Orders'!$F193, 'Future Orders'!$D193, "1", 'Future Orders'!$C193, "A", 'Future Orders'!$B193, "1")</f>
        <v>0</v>
      </c>
      <c r="K193" s="157">
        <f>SUMIFS('Future Orders'!$I193, 'Future Orders'!$D193, "1", 'Future Orders'!$C193, "A", 'Future Orders'!$B193, "1")</f>
        <v>0</v>
      </c>
      <c r="L193" s="157">
        <f>SUMIFS('Future Orders'!$F193, 'Future Orders'!$D193, "1", 'Future Orders'!$C193, "B", 'Future Orders'!$B193, "1")</f>
        <v>0</v>
      </c>
      <c r="M193" s="157">
        <f>SUMIFS('Future Orders'!$I193, 'Future Orders'!$D193, "1", 'Future Orders'!$C193, "B", 'Future Orders'!$B193, "1")</f>
        <v>0</v>
      </c>
      <c r="N193" s="159">
        <f>SUMIFS('Future Orders'!$F193, 'Future Orders'!$D193, "1", 'Future Orders'!$C193, "A", 'Future Orders'!$B193, "2")</f>
        <v>0</v>
      </c>
      <c r="O193" s="157">
        <f>SUMIFS('Future Orders'!$I193, 'Future Orders'!$D193, "1", 'Future Orders'!$C193, "A", 'Future Orders'!$B193, "2")</f>
        <v>0</v>
      </c>
      <c r="P193" s="157">
        <f>SUMIFS('Future Orders'!$E193, 'Future Orders'!$D193, "1", 'Future Orders'!$C193, "B", 'Future Orders'!$B193, "2")</f>
        <v>0</v>
      </c>
      <c r="Q193" s="157">
        <f>SUMIFS('Future Orders'!$I193, 'Future Orders'!$D193, "1", 'Future Orders'!$C193, "B", 'Future Orders'!$B193, "2")</f>
        <v>0</v>
      </c>
      <c r="R193" s="159">
        <f>SUMIFS('Future Orders'!$F193, 'Future Orders'!$D193, "2", 'Future Orders'!$C193, "A", 'Future Orders'!$B193, "1")</f>
        <v>0</v>
      </c>
      <c r="S193" s="157">
        <f>SUMIFS('Future Orders'!$I193, 'Future Orders'!$D193, "2", 'Future Orders'!$C193, "A", 'Future Orders'!$B193, "1")</f>
        <v>0</v>
      </c>
      <c r="T193" s="159">
        <f>SUMIFS('Future Orders'!$F193, 'Future Orders'!$D193, "2", 'Future Orders'!$C193, "B", 'Future Orders'!$B193, "1")</f>
        <v>0</v>
      </c>
      <c r="U193" s="157">
        <f>SUMIFS('Future Orders'!$I193, 'Future Orders'!$D193, "2", 'Future Orders'!$C193, "B", 'Future Orders'!$B193, "1")</f>
        <v>0</v>
      </c>
      <c r="V193" s="159">
        <f>SUMIFS('Future Orders'!$F193, 'Future Orders'!$D193, "2", 'Future Orders'!$C193, "A", 'Future Orders'!$B193, "2")</f>
        <v>0</v>
      </c>
      <c r="W193" s="157">
        <f>SUMIFS('Future Orders'!$I193, 'Future Orders'!$D193, "2", 'Future Orders'!$C193, "A", 'Future Orders'!$B193, "2")</f>
        <v>0</v>
      </c>
      <c r="X193" s="159">
        <f>SUMIFS('Future Orders'!$F193, 'Future Orders'!$D193, "2", 'Future Orders'!$C193, "B", 'Future Orders'!$B193, "2")</f>
        <v>0</v>
      </c>
      <c r="Y193" s="159">
        <f>SUMIFS('Future Orders'!$I193, 'Future Orders'!$D193, "2", 'Future Orders'!$C193, "B", 'Future Orders'!$B193, "2")</f>
        <v>0</v>
      </c>
      <c r="Z193" s="159">
        <f>SUMIFS('Future Orders'!$F193, 'Future Orders'!$D193, "3", 'Future Orders'!$C193, "A", 'Future Orders'!$B193, "1")</f>
        <v>0</v>
      </c>
      <c r="AA193" s="159">
        <f>SUMIFS('Future Orders'!$I193, 'Future Orders'!$D193, "3", 'Future Orders'!$C193, "A", 'Future Orders'!$B193, "1")</f>
        <v>0</v>
      </c>
      <c r="AB193" s="159">
        <f>SUMIFS('Future Orders'!$F193, 'Future Orders'!$D193, "3", 'Future Orders'!$C193, "B", 'Future Orders'!$B193, "1")</f>
        <v>0</v>
      </c>
      <c r="AC193" s="159">
        <f>SUMIFS('Future Orders'!$I193, 'Future Orders'!$D193, "3", 'Future Orders'!$C193, "B", 'Future Orders'!$B193, "1")</f>
        <v>0</v>
      </c>
      <c r="AD193" s="159">
        <f>SUMIFS('Future Orders'!$F193, 'Future Orders'!$D193, "3", 'Future Orders'!$C193, "A", 'Future Orders'!$B193, "2")</f>
        <v>0</v>
      </c>
      <c r="AE193" s="159">
        <f>SUMIFS('Future Orders'!$I193, 'Future Orders'!$D193, "3", 'Future Orders'!$C193, "A", 'Future Orders'!$B193, "2")</f>
        <v>0</v>
      </c>
      <c r="AF193" s="159">
        <f>SUMIFS('Future Orders'!$F193, 'Future Orders'!$D193, "3", 'Future Orders'!$C193, "B", 'Future Orders'!$B193, "2")</f>
        <v>2338.6</v>
      </c>
      <c r="AG193" s="157">
        <f>SUMIFS('Future Orders'!$I193, 'Future Orders'!$D193, "3", 'Future Orders'!$C193, "B", 'Future Orders'!$B193, "2")</f>
        <v>19410.38</v>
      </c>
      <c r="AH193" s="157">
        <f>SUMIFS('Future Orders'!$F193, 'Future Orders'!$D193, "4", 'Future Orders'!$C193, "A", 'Future Orders'!$B193, "1")</f>
        <v>0</v>
      </c>
      <c r="AI193" s="157">
        <f>SUMIFS('Future Orders'!$I193, 'Future Orders'!$D193, "4", 'Future Orders'!$C193, "A", 'Future Orders'!$B193, "1")</f>
        <v>0</v>
      </c>
      <c r="AJ193" s="157">
        <f>SUMIFS('Future Orders'!$F193, 'Future Orders'!$D193, "4", 'Future Orders'!$C193, "B", 'Future Orders'!$B193, "1")</f>
        <v>0</v>
      </c>
      <c r="AK193" s="157">
        <f>SUMIFS('Future Orders'!$I193, 'Future Orders'!$D193, "4", 'Future Orders'!$C193, "B", 'Future Orders'!$B193, "1")</f>
        <v>0</v>
      </c>
      <c r="AL193" s="157">
        <f>SUMIFS('Future Orders'!$F193, 'Future Orders'!$D193, "4", 'Future Orders'!$C193, "A", 'Future Orders'!$B193, "2")</f>
        <v>0</v>
      </c>
      <c r="AM193" s="157">
        <f>SUMIFS('Future Orders'!$I193, 'Future Orders'!$D193, "4", 'Future Orders'!$C193, "A", 'Future Orders'!$B193, "2")</f>
        <v>0</v>
      </c>
      <c r="AN193" s="171">
        <f>SUMIFS('Future Orders'!$F193, 'Future Orders'!$D193, "4", 'Future Orders'!$C193, "B", 'Future Orders'!$B193, "2")</f>
        <v>0</v>
      </c>
      <c r="AO193" s="171">
        <f>SUMIFS('Future Orders'!$I193, 'Future Orders'!$D193, "4", 'Future Orders'!$C193, "B", 'Future Orders'!$B193, "2")</f>
        <v>0</v>
      </c>
      <c r="AP193" s="171">
        <f>SUMIFS('Future Orders'!$H193, 'Future Orders'!$C193, "A", 'Future Orders'!$B193, "1")</f>
        <v>0</v>
      </c>
      <c r="AQ193" s="171">
        <f>SUMIFS('Future Orders'!$I193, 'Future Orders'!$C193, "B", 'Future Orders'!$B193, "1")</f>
        <v>0</v>
      </c>
      <c r="AR193" s="171">
        <f>SUMIFS('Future Orders'!$H193, 'Future Orders'!$C193, "A", 'Future Orders'!$B193, "2")</f>
        <v>0</v>
      </c>
      <c r="AS193" s="171">
        <f>SUMIFS('Future Orders'!$I193, 'Future Orders'!$C193, "B", 'Future Orders'!$B193, "2")</f>
        <v>19410.38</v>
      </c>
      <c r="AT193" s="145"/>
      <c r="AU193" s="172"/>
      <c r="AV193" s="172"/>
      <c r="AW193" s="172"/>
      <c r="AX193" s="172"/>
      <c r="AY193" s="172"/>
      <c r="AZ193" s="172"/>
      <c r="BA193" s="172"/>
      <c r="BB193" s="172"/>
      <c r="BC193" s="172"/>
      <c r="BD193" s="172"/>
      <c r="BE193" s="172"/>
      <c r="BF193" s="172"/>
      <c r="BG193" s="172"/>
      <c r="BH193" s="172"/>
      <c r="BI193" s="172"/>
      <c r="BJ193" s="172"/>
      <c r="BK193" s="172"/>
      <c r="BL193" s="172"/>
      <c r="BM193" s="172"/>
      <c r="BN193" s="172"/>
      <c r="BO193" s="172"/>
      <c r="BP193" s="172"/>
      <c r="BQ193" s="172"/>
      <c r="BR193" s="172"/>
      <c r="BS193" s="172"/>
      <c r="BT193" s="172"/>
      <c r="BU193" s="172"/>
      <c r="BV193" s="172"/>
      <c r="BW193" s="172"/>
      <c r="BX193" s="172"/>
      <c r="BY193" s="172"/>
      <c r="BZ193" s="172"/>
      <c r="CA193" s="179"/>
      <c r="CB193" s="179"/>
      <c r="CC193" s="179"/>
      <c r="CD193" s="179"/>
      <c r="CE193" s="179"/>
      <c r="CF193" s="179"/>
      <c r="CG193" s="179"/>
      <c r="CH193" s="179"/>
      <c r="CI193" s="179"/>
      <c r="CJ193" s="179"/>
      <c r="CK193" s="179"/>
      <c r="CL193" s="179"/>
      <c r="CM193" s="179"/>
      <c r="CN193" s="179"/>
      <c r="CO193" s="179"/>
      <c r="CP193" s="179"/>
    </row>
    <row r="194" ht="15.75" customHeight="1">
      <c r="A194" s="151">
        <v>42079.0</v>
      </c>
      <c r="B194" s="152">
        <v>1.0</v>
      </c>
      <c r="C194" s="152" t="s">
        <v>45</v>
      </c>
      <c r="D194" s="152">
        <v>1.0</v>
      </c>
      <c r="E194" s="153">
        <v>5042.0</v>
      </c>
      <c r="F194" s="153">
        <f>SUM(('Future Orders'!$E194) * (1.1))</f>
        <v>5546.2</v>
      </c>
      <c r="G194" s="154">
        <v>2.2</v>
      </c>
      <c r="H194" s="155">
        <v>11092.400000000001</v>
      </c>
      <c r="I194" s="155">
        <f>SUM(('Future Orders'!$H194) * (1.1))</f>
        <v>12201.64</v>
      </c>
      <c r="J194" s="159">
        <f>SUMIFS('Future Orders'!$F194, 'Future Orders'!$D194, "1", 'Future Orders'!$C194, "A", 'Future Orders'!$B194, "1")</f>
        <v>5546.2</v>
      </c>
      <c r="K194" s="157">
        <f>SUMIFS('Future Orders'!$I194, 'Future Orders'!$D194, "1", 'Future Orders'!$C194, "A", 'Future Orders'!$B194, "1")</f>
        <v>12201.64</v>
      </c>
      <c r="L194" s="157">
        <f>SUMIFS('Future Orders'!$F194, 'Future Orders'!$D194, "1", 'Future Orders'!$C194, "B", 'Future Orders'!$B194, "1")</f>
        <v>0</v>
      </c>
      <c r="M194" s="157">
        <f>SUMIFS('Future Orders'!$I194, 'Future Orders'!$D194, "1", 'Future Orders'!$C194, "B", 'Future Orders'!$B194, "1")</f>
        <v>0</v>
      </c>
      <c r="N194" s="159">
        <f>SUMIFS('Future Orders'!$F194, 'Future Orders'!$D194, "1", 'Future Orders'!$C194, "A", 'Future Orders'!$B194, "2")</f>
        <v>0</v>
      </c>
      <c r="O194" s="157">
        <f>SUMIFS('Future Orders'!$I194, 'Future Orders'!$D194, "1", 'Future Orders'!$C194, "A", 'Future Orders'!$B194, "2")</f>
        <v>0</v>
      </c>
      <c r="P194" s="157">
        <f>SUMIFS('Future Orders'!$E194, 'Future Orders'!$D194, "1", 'Future Orders'!$C194, "B", 'Future Orders'!$B194, "2")</f>
        <v>0</v>
      </c>
      <c r="Q194" s="157">
        <f>SUMIFS('Future Orders'!$I194, 'Future Orders'!$D194, "1", 'Future Orders'!$C194, "B", 'Future Orders'!$B194, "2")</f>
        <v>0</v>
      </c>
      <c r="R194" s="159">
        <f>SUMIFS('Future Orders'!$F194, 'Future Orders'!$D194, "2", 'Future Orders'!$C194, "A", 'Future Orders'!$B194, "1")</f>
        <v>0</v>
      </c>
      <c r="S194" s="157">
        <f>SUMIFS('Future Orders'!$I194, 'Future Orders'!$D194, "2", 'Future Orders'!$C194, "A", 'Future Orders'!$B194, "1")</f>
        <v>0</v>
      </c>
      <c r="T194" s="159">
        <f>SUMIFS('Future Orders'!$F194, 'Future Orders'!$D194, "2", 'Future Orders'!$C194, "B", 'Future Orders'!$B194, "1")</f>
        <v>0</v>
      </c>
      <c r="U194" s="157">
        <f>SUMIFS('Future Orders'!$I194, 'Future Orders'!$D194, "2", 'Future Orders'!$C194, "B", 'Future Orders'!$B194, "1")</f>
        <v>0</v>
      </c>
      <c r="V194" s="159">
        <f>SUMIFS('Future Orders'!$F194, 'Future Orders'!$D194, "2", 'Future Orders'!$C194, "A", 'Future Orders'!$B194, "2")</f>
        <v>0</v>
      </c>
      <c r="W194" s="157">
        <f>SUMIFS('Future Orders'!$I194, 'Future Orders'!$D194, "2", 'Future Orders'!$C194, "A", 'Future Orders'!$B194, "2")</f>
        <v>0</v>
      </c>
      <c r="X194" s="159">
        <f>SUMIFS('Future Orders'!$F194, 'Future Orders'!$D194, "2", 'Future Orders'!$C194, "B", 'Future Orders'!$B194, "2")</f>
        <v>0</v>
      </c>
      <c r="Y194" s="159">
        <f>SUMIFS('Future Orders'!$I194, 'Future Orders'!$D194, "2", 'Future Orders'!$C194, "B", 'Future Orders'!$B194, "2")</f>
        <v>0</v>
      </c>
      <c r="Z194" s="159">
        <f>SUMIFS('Future Orders'!$F194, 'Future Orders'!$D194, "3", 'Future Orders'!$C194, "A", 'Future Orders'!$B194, "1")</f>
        <v>0</v>
      </c>
      <c r="AA194" s="159">
        <f>SUMIFS('Future Orders'!$I194, 'Future Orders'!$D194, "3", 'Future Orders'!$C194, "A", 'Future Orders'!$B194, "1")</f>
        <v>0</v>
      </c>
      <c r="AB194" s="159">
        <f>SUMIFS('Future Orders'!$F194, 'Future Orders'!$D194, "3", 'Future Orders'!$C194, "B", 'Future Orders'!$B194, "1")</f>
        <v>0</v>
      </c>
      <c r="AC194" s="159">
        <f>SUMIFS('Future Orders'!$I194, 'Future Orders'!$D194, "3", 'Future Orders'!$C194, "B", 'Future Orders'!$B194, "1")</f>
        <v>0</v>
      </c>
      <c r="AD194" s="159">
        <f>SUMIFS('Future Orders'!$F194, 'Future Orders'!$D194, "3", 'Future Orders'!$C194, "A", 'Future Orders'!$B194, "2")</f>
        <v>0</v>
      </c>
      <c r="AE194" s="159">
        <f>SUMIFS('Future Orders'!$I194, 'Future Orders'!$D194, "3", 'Future Orders'!$C194, "A", 'Future Orders'!$B194, "2")</f>
        <v>0</v>
      </c>
      <c r="AF194" s="159">
        <f>SUMIFS('Future Orders'!$F194, 'Future Orders'!$D194, "3", 'Future Orders'!$C194, "B", 'Future Orders'!$B194, "2")</f>
        <v>0</v>
      </c>
      <c r="AG194" s="157">
        <f>SUMIFS('Future Orders'!$I194, 'Future Orders'!$D194, "3", 'Future Orders'!$C194, "B", 'Future Orders'!$B194, "2")</f>
        <v>0</v>
      </c>
      <c r="AH194" s="157">
        <f>SUMIFS('Future Orders'!$F194, 'Future Orders'!$D194, "4", 'Future Orders'!$C194, "A", 'Future Orders'!$B194, "1")</f>
        <v>0</v>
      </c>
      <c r="AI194" s="157">
        <f>SUMIFS('Future Orders'!$I194, 'Future Orders'!$D194, "4", 'Future Orders'!$C194, "A", 'Future Orders'!$B194, "1")</f>
        <v>0</v>
      </c>
      <c r="AJ194" s="157">
        <f>SUMIFS('Future Orders'!$F194, 'Future Orders'!$D194, "4", 'Future Orders'!$C194, "B", 'Future Orders'!$B194, "1")</f>
        <v>0</v>
      </c>
      <c r="AK194" s="157">
        <f>SUMIFS('Future Orders'!$I194, 'Future Orders'!$D194, "4", 'Future Orders'!$C194, "B", 'Future Orders'!$B194, "1")</f>
        <v>0</v>
      </c>
      <c r="AL194" s="157">
        <f>SUMIFS('Future Orders'!$F194, 'Future Orders'!$D194, "4", 'Future Orders'!$C194, "A", 'Future Orders'!$B194, "2")</f>
        <v>0</v>
      </c>
      <c r="AM194" s="157">
        <f>SUMIFS('Future Orders'!$I194, 'Future Orders'!$D194, "4", 'Future Orders'!$C194, "A", 'Future Orders'!$B194, "2")</f>
        <v>0</v>
      </c>
      <c r="AN194" s="171">
        <f>SUMIFS('Future Orders'!$F194, 'Future Orders'!$D194, "4", 'Future Orders'!$C194, "B", 'Future Orders'!$B194, "2")</f>
        <v>0</v>
      </c>
      <c r="AO194" s="171">
        <f>SUMIFS('Future Orders'!$I194, 'Future Orders'!$D194, "4", 'Future Orders'!$C194, "B", 'Future Orders'!$B194, "2")</f>
        <v>0</v>
      </c>
      <c r="AP194" s="171">
        <f>SUMIFS('Future Orders'!$H194, 'Future Orders'!$C194, "A", 'Future Orders'!$B194, "1")</f>
        <v>11092.4</v>
      </c>
      <c r="AQ194" s="171">
        <f>SUMIFS('Future Orders'!$I194, 'Future Orders'!$C194, "B", 'Future Orders'!$B194, "1")</f>
        <v>0</v>
      </c>
      <c r="AR194" s="171">
        <f>SUMIFS('Future Orders'!$H194, 'Future Orders'!$C194, "A", 'Future Orders'!$B194, "2")</f>
        <v>0</v>
      </c>
      <c r="AS194" s="171">
        <f>SUMIFS('Future Orders'!$I194, 'Future Orders'!$C194, "B", 'Future Orders'!$B194, "2")</f>
        <v>0</v>
      </c>
      <c r="AT194" s="145"/>
      <c r="AU194" s="172"/>
      <c r="AV194" s="172"/>
      <c r="AW194" s="172"/>
      <c r="AX194" s="172"/>
      <c r="AY194" s="172"/>
      <c r="AZ194" s="172"/>
      <c r="BA194" s="172"/>
      <c r="BB194" s="172"/>
      <c r="BC194" s="172"/>
      <c r="BD194" s="172"/>
      <c r="BE194" s="172"/>
      <c r="BF194" s="172"/>
      <c r="BG194" s="172"/>
      <c r="BH194" s="172"/>
      <c r="BI194" s="172"/>
      <c r="BJ194" s="172"/>
      <c r="BK194" s="172"/>
      <c r="BL194" s="172"/>
      <c r="BM194" s="172"/>
      <c r="BN194" s="172"/>
      <c r="BO194" s="172"/>
      <c r="BP194" s="172"/>
      <c r="BQ194" s="172"/>
      <c r="BR194" s="172"/>
      <c r="BS194" s="172"/>
      <c r="BT194" s="172"/>
      <c r="BU194" s="172"/>
      <c r="BV194" s="172"/>
      <c r="BW194" s="172"/>
      <c r="BX194" s="172"/>
      <c r="BY194" s="172"/>
      <c r="BZ194" s="172"/>
      <c r="CA194" s="179"/>
      <c r="CB194" s="179"/>
      <c r="CC194" s="179"/>
      <c r="CD194" s="179"/>
      <c r="CE194" s="179"/>
      <c r="CF194" s="179"/>
      <c r="CG194" s="179"/>
      <c r="CH194" s="179"/>
      <c r="CI194" s="179"/>
      <c r="CJ194" s="179"/>
      <c r="CK194" s="179"/>
      <c r="CL194" s="179"/>
      <c r="CM194" s="179"/>
      <c r="CN194" s="179"/>
      <c r="CO194" s="179"/>
      <c r="CP194" s="179"/>
    </row>
    <row r="195" ht="15.75" customHeight="1">
      <c r="A195" s="151">
        <v>42079.0</v>
      </c>
      <c r="B195" s="152">
        <v>1.0</v>
      </c>
      <c r="C195" s="152" t="s">
        <v>45</v>
      </c>
      <c r="D195" s="152">
        <v>2.0</v>
      </c>
      <c r="E195" s="153">
        <v>4854.0</v>
      </c>
      <c r="F195" s="153">
        <f>SUM(('Future Orders'!$E195) * (1.1))</f>
        <v>5339.4</v>
      </c>
      <c r="G195" s="154">
        <v>1.2</v>
      </c>
      <c r="H195" s="155">
        <v>5824.8</v>
      </c>
      <c r="I195" s="155">
        <f>SUM(('Future Orders'!$H195) * (1.1))</f>
        <v>6407.28</v>
      </c>
      <c r="J195" s="159">
        <f>SUMIFS('Future Orders'!$F195, 'Future Orders'!$D195, "1", 'Future Orders'!$C195, "A", 'Future Orders'!$B195, "1")</f>
        <v>0</v>
      </c>
      <c r="K195" s="157">
        <f>SUMIFS('Future Orders'!$I195, 'Future Orders'!$D195, "1", 'Future Orders'!$C195, "A", 'Future Orders'!$B195, "1")</f>
        <v>0</v>
      </c>
      <c r="L195" s="157">
        <f>SUMIFS('Future Orders'!$F195, 'Future Orders'!$D195, "1", 'Future Orders'!$C195, "B", 'Future Orders'!$B195, "1")</f>
        <v>0</v>
      </c>
      <c r="M195" s="157">
        <f>SUMIFS('Future Orders'!$I195, 'Future Orders'!$D195, "1", 'Future Orders'!$C195, "B", 'Future Orders'!$B195, "1")</f>
        <v>0</v>
      </c>
      <c r="N195" s="159">
        <f>SUMIFS('Future Orders'!$F195, 'Future Orders'!$D195, "1", 'Future Orders'!$C195, "A", 'Future Orders'!$B195, "2")</f>
        <v>0</v>
      </c>
      <c r="O195" s="157">
        <f>SUMIFS('Future Orders'!$I195, 'Future Orders'!$D195, "1", 'Future Orders'!$C195, "A", 'Future Orders'!$B195, "2")</f>
        <v>0</v>
      </c>
      <c r="P195" s="157">
        <f>SUMIFS('Future Orders'!$E195, 'Future Orders'!$D195, "1", 'Future Orders'!$C195, "B", 'Future Orders'!$B195, "2")</f>
        <v>0</v>
      </c>
      <c r="Q195" s="157">
        <f>SUMIFS('Future Orders'!$I195, 'Future Orders'!$D195, "1", 'Future Orders'!$C195, "B", 'Future Orders'!$B195, "2")</f>
        <v>0</v>
      </c>
      <c r="R195" s="159">
        <f>SUMIFS('Future Orders'!$F195, 'Future Orders'!$D195, "2", 'Future Orders'!$C195, "A", 'Future Orders'!$B195, "1")</f>
        <v>5339.4</v>
      </c>
      <c r="S195" s="157">
        <f>SUMIFS('Future Orders'!$I195, 'Future Orders'!$D195, "2", 'Future Orders'!$C195, "A", 'Future Orders'!$B195, "1")</f>
        <v>6407.28</v>
      </c>
      <c r="T195" s="159">
        <f>SUMIFS('Future Orders'!$F195, 'Future Orders'!$D195, "2", 'Future Orders'!$C195, "B", 'Future Orders'!$B195, "1")</f>
        <v>0</v>
      </c>
      <c r="U195" s="157">
        <f>SUMIFS('Future Orders'!$I195, 'Future Orders'!$D195, "2", 'Future Orders'!$C195, "B", 'Future Orders'!$B195, "1")</f>
        <v>0</v>
      </c>
      <c r="V195" s="159">
        <f>SUMIFS('Future Orders'!$F195, 'Future Orders'!$D195, "2", 'Future Orders'!$C195, "A", 'Future Orders'!$B195, "2")</f>
        <v>0</v>
      </c>
      <c r="W195" s="157">
        <f>SUMIFS('Future Orders'!$I195, 'Future Orders'!$D195, "2", 'Future Orders'!$C195, "A", 'Future Orders'!$B195, "2")</f>
        <v>0</v>
      </c>
      <c r="X195" s="159">
        <f>SUMIFS('Future Orders'!$F195, 'Future Orders'!$D195, "2", 'Future Orders'!$C195, "B", 'Future Orders'!$B195, "2")</f>
        <v>0</v>
      </c>
      <c r="Y195" s="159">
        <f>SUMIFS('Future Orders'!$I195, 'Future Orders'!$D195, "2", 'Future Orders'!$C195, "B", 'Future Orders'!$B195, "2")</f>
        <v>0</v>
      </c>
      <c r="Z195" s="159">
        <f>SUMIFS('Future Orders'!$F195, 'Future Orders'!$D195, "3", 'Future Orders'!$C195, "A", 'Future Orders'!$B195, "1")</f>
        <v>0</v>
      </c>
      <c r="AA195" s="159">
        <f>SUMIFS('Future Orders'!$I195, 'Future Orders'!$D195, "3", 'Future Orders'!$C195, "A", 'Future Orders'!$B195, "1")</f>
        <v>0</v>
      </c>
      <c r="AB195" s="159">
        <f>SUMIFS('Future Orders'!$F195, 'Future Orders'!$D195, "3", 'Future Orders'!$C195, "B", 'Future Orders'!$B195, "1")</f>
        <v>0</v>
      </c>
      <c r="AC195" s="159">
        <f>SUMIFS('Future Orders'!$I195, 'Future Orders'!$D195, "3", 'Future Orders'!$C195, "B", 'Future Orders'!$B195, "1")</f>
        <v>0</v>
      </c>
      <c r="AD195" s="159">
        <f>SUMIFS('Future Orders'!$F195, 'Future Orders'!$D195, "3", 'Future Orders'!$C195, "A", 'Future Orders'!$B195, "2")</f>
        <v>0</v>
      </c>
      <c r="AE195" s="159">
        <f>SUMIFS('Future Orders'!$I195, 'Future Orders'!$D195, "3", 'Future Orders'!$C195, "A", 'Future Orders'!$B195, "2")</f>
        <v>0</v>
      </c>
      <c r="AF195" s="159">
        <f>SUMIFS('Future Orders'!$F195, 'Future Orders'!$D195, "3", 'Future Orders'!$C195, "B", 'Future Orders'!$B195, "2")</f>
        <v>0</v>
      </c>
      <c r="AG195" s="157">
        <f>SUMIFS('Future Orders'!$I195, 'Future Orders'!$D195, "3", 'Future Orders'!$C195, "B", 'Future Orders'!$B195, "2")</f>
        <v>0</v>
      </c>
      <c r="AH195" s="157">
        <f>SUMIFS('Future Orders'!$F195, 'Future Orders'!$D195, "4", 'Future Orders'!$C195, "A", 'Future Orders'!$B195, "1")</f>
        <v>0</v>
      </c>
      <c r="AI195" s="157">
        <f>SUMIFS('Future Orders'!$I195, 'Future Orders'!$D195, "4", 'Future Orders'!$C195, "A", 'Future Orders'!$B195, "1")</f>
        <v>0</v>
      </c>
      <c r="AJ195" s="157">
        <f>SUMIFS('Future Orders'!$F195, 'Future Orders'!$D195, "4", 'Future Orders'!$C195, "B", 'Future Orders'!$B195, "1")</f>
        <v>0</v>
      </c>
      <c r="AK195" s="157">
        <f>SUMIFS('Future Orders'!$I195, 'Future Orders'!$D195, "4", 'Future Orders'!$C195, "B", 'Future Orders'!$B195, "1")</f>
        <v>0</v>
      </c>
      <c r="AL195" s="157">
        <f>SUMIFS('Future Orders'!$F195, 'Future Orders'!$D195, "4", 'Future Orders'!$C195, "A", 'Future Orders'!$B195, "2")</f>
        <v>0</v>
      </c>
      <c r="AM195" s="157">
        <f>SUMIFS('Future Orders'!$I195, 'Future Orders'!$D195, "4", 'Future Orders'!$C195, "A", 'Future Orders'!$B195, "2")</f>
        <v>0</v>
      </c>
      <c r="AN195" s="171">
        <f>SUMIFS('Future Orders'!$F195, 'Future Orders'!$D195, "4", 'Future Orders'!$C195, "B", 'Future Orders'!$B195, "2")</f>
        <v>0</v>
      </c>
      <c r="AO195" s="171">
        <f>SUMIFS('Future Orders'!$I195, 'Future Orders'!$D195, "4", 'Future Orders'!$C195, "B", 'Future Orders'!$B195, "2")</f>
        <v>0</v>
      </c>
      <c r="AP195" s="171">
        <f>SUMIFS('Future Orders'!$H195, 'Future Orders'!$C195, "A", 'Future Orders'!$B195, "1")</f>
        <v>5824.8</v>
      </c>
      <c r="AQ195" s="171">
        <f>SUMIFS('Future Orders'!$I195, 'Future Orders'!$C195, "B", 'Future Orders'!$B195, "1")</f>
        <v>0</v>
      </c>
      <c r="AR195" s="171">
        <f>SUMIFS('Future Orders'!$H195, 'Future Orders'!$C195, "A", 'Future Orders'!$B195, "2")</f>
        <v>0</v>
      </c>
      <c r="AS195" s="171">
        <f>SUMIFS('Future Orders'!$I195, 'Future Orders'!$C195, "B", 'Future Orders'!$B195, "2")</f>
        <v>0</v>
      </c>
      <c r="AT195" s="145"/>
      <c r="AU195" s="172"/>
      <c r="AV195" s="172"/>
      <c r="AW195" s="172"/>
      <c r="AX195" s="172"/>
      <c r="AY195" s="172"/>
      <c r="AZ195" s="172"/>
      <c r="BA195" s="172"/>
      <c r="BB195" s="172"/>
      <c r="BC195" s="172"/>
      <c r="BD195" s="172"/>
      <c r="BE195" s="172"/>
      <c r="BF195" s="172"/>
      <c r="BG195" s="172"/>
      <c r="BH195" s="172"/>
      <c r="BI195" s="172"/>
      <c r="BJ195" s="172"/>
      <c r="BK195" s="172"/>
      <c r="BL195" s="172"/>
      <c r="BM195" s="172"/>
      <c r="BN195" s="172"/>
      <c r="BO195" s="172"/>
      <c r="BP195" s="172"/>
      <c r="BQ195" s="172"/>
      <c r="BR195" s="172"/>
      <c r="BS195" s="172"/>
      <c r="BT195" s="172"/>
      <c r="BU195" s="172"/>
      <c r="BV195" s="172"/>
      <c r="BW195" s="172"/>
      <c r="BX195" s="172"/>
      <c r="BY195" s="172"/>
      <c r="BZ195" s="172"/>
      <c r="CA195" s="179"/>
      <c r="CB195" s="179"/>
      <c r="CC195" s="179"/>
      <c r="CD195" s="179"/>
      <c r="CE195" s="179"/>
      <c r="CF195" s="179"/>
      <c r="CG195" s="179"/>
      <c r="CH195" s="179"/>
      <c r="CI195" s="179"/>
      <c r="CJ195" s="179"/>
      <c r="CK195" s="179"/>
      <c r="CL195" s="179"/>
      <c r="CM195" s="179"/>
      <c r="CN195" s="179"/>
      <c r="CO195" s="179"/>
      <c r="CP195" s="179"/>
    </row>
    <row r="196" ht="15.75" customHeight="1">
      <c r="A196" s="151">
        <v>42079.0</v>
      </c>
      <c r="B196" s="152">
        <v>2.0</v>
      </c>
      <c r="C196" s="152" t="s">
        <v>45</v>
      </c>
      <c r="D196" s="152">
        <v>1.0</v>
      </c>
      <c r="E196" s="153">
        <v>4232.0</v>
      </c>
      <c r="F196" s="153">
        <f>SUM(('Future Orders'!$E196) * (1.1))</f>
        <v>4655.2</v>
      </c>
      <c r="G196" s="154">
        <v>2.2</v>
      </c>
      <c r="H196" s="155">
        <v>9310.400000000001</v>
      </c>
      <c r="I196" s="155">
        <f>SUM(('Future Orders'!$H196) * (1.1))</f>
        <v>10241.44</v>
      </c>
      <c r="J196" s="159">
        <f>SUMIFS('Future Orders'!$F196, 'Future Orders'!$D196, "1", 'Future Orders'!$C196, "A", 'Future Orders'!$B196, "1")</f>
        <v>0</v>
      </c>
      <c r="K196" s="157">
        <f>SUMIFS('Future Orders'!$I196, 'Future Orders'!$D196, "1", 'Future Orders'!$C196, "A", 'Future Orders'!$B196, "1")</f>
        <v>0</v>
      </c>
      <c r="L196" s="157">
        <f>SUMIFS('Future Orders'!$F196, 'Future Orders'!$D196, "1", 'Future Orders'!$C196, "B", 'Future Orders'!$B196, "1")</f>
        <v>0</v>
      </c>
      <c r="M196" s="157">
        <f>SUMIFS('Future Orders'!$I196, 'Future Orders'!$D196, "1", 'Future Orders'!$C196, "B", 'Future Orders'!$B196, "1")</f>
        <v>0</v>
      </c>
      <c r="N196" s="159">
        <f>SUMIFS('Future Orders'!$F196, 'Future Orders'!$D196, "1", 'Future Orders'!$C196, "A", 'Future Orders'!$B196, "2")</f>
        <v>4655.2</v>
      </c>
      <c r="O196" s="157">
        <f>SUMIFS('Future Orders'!$I196, 'Future Orders'!$D196, "1", 'Future Orders'!$C196, "A", 'Future Orders'!$B196, "2")</f>
        <v>10241.44</v>
      </c>
      <c r="P196" s="157">
        <f>SUMIFS('Future Orders'!$E196, 'Future Orders'!$D196, "1", 'Future Orders'!$C196, "B", 'Future Orders'!$B196, "2")</f>
        <v>0</v>
      </c>
      <c r="Q196" s="157">
        <f>SUMIFS('Future Orders'!$I196, 'Future Orders'!$D196, "1", 'Future Orders'!$C196, "B", 'Future Orders'!$B196, "2")</f>
        <v>0</v>
      </c>
      <c r="R196" s="159">
        <f>SUMIFS('Future Orders'!$F196, 'Future Orders'!$D196, "2", 'Future Orders'!$C196, "A", 'Future Orders'!$B196, "1")</f>
        <v>0</v>
      </c>
      <c r="S196" s="157">
        <f>SUMIFS('Future Orders'!$I196, 'Future Orders'!$D196, "2", 'Future Orders'!$C196, "A", 'Future Orders'!$B196, "1")</f>
        <v>0</v>
      </c>
      <c r="T196" s="159">
        <f>SUMIFS('Future Orders'!$F196, 'Future Orders'!$D196, "2", 'Future Orders'!$C196, "B", 'Future Orders'!$B196, "1")</f>
        <v>0</v>
      </c>
      <c r="U196" s="157">
        <f>SUMIFS('Future Orders'!$I196, 'Future Orders'!$D196, "2", 'Future Orders'!$C196, "B", 'Future Orders'!$B196, "1")</f>
        <v>0</v>
      </c>
      <c r="V196" s="159">
        <f>SUMIFS('Future Orders'!$F196, 'Future Orders'!$D196, "2", 'Future Orders'!$C196, "A", 'Future Orders'!$B196, "2")</f>
        <v>0</v>
      </c>
      <c r="W196" s="157">
        <f>SUMIFS('Future Orders'!$I196, 'Future Orders'!$D196, "2", 'Future Orders'!$C196, "A", 'Future Orders'!$B196, "2")</f>
        <v>0</v>
      </c>
      <c r="X196" s="159">
        <f>SUMIFS('Future Orders'!$F196, 'Future Orders'!$D196, "2", 'Future Orders'!$C196, "B", 'Future Orders'!$B196, "2")</f>
        <v>0</v>
      </c>
      <c r="Y196" s="159">
        <f>SUMIFS('Future Orders'!$I196, 'Future Orders'!$D196, "2", 'Future Orders'!$C196, "B", 'Future Orders'!$B196, "2")</f>
        <v>0</v>
      </c>
      <c r="Z196" s="159">
        <f>SUMIFS('Future Orders'!$F196, 'Future Orders'!$D196, "3", 'Future Orders'!$C196, "A", 'Future Orders'!$B196, "1")</f>
        <v>0</v>
      </c>
      <c r="AA196" s="159">
        <f>SUMIFS('Future Orders'!$I196, 'Future Orders'!$D196, "3", 'Future Orders'!$C196, "A", 'Future Orders'!$B196, "1")</f>
        <v>0</v>
      </c>
      <c r="AB196" s="159">
        <f>SUMIFS('Future Orders'!$F196, 'Future Orders'!$D196, "3", 'Future Orders'!$C196, "B", 'Future Orders'!$B196, "1")</f>
        <v>0</v>
      </c>
      <c r="AC196" s="159">
        <f>SUMIFS('Future Orders'!$I196, 'Future Orders'!$D196, "3", 'Future Orders'!$C196, "B", 'Future Orders'!$B196, "1")</f>
        <v>0</v>
      </c>
      <c r="AD196" s="159">
        <f>SUMIFS('Future Orders'!$F196, 'Future Orders'!$D196, "3", 'Future Orders'!$C196, "A", 'Future Orders'!$B196, "2")</f>
        <v>0</v>
      </c>
      <c r="AE196" s="159">
        <f>SUMIFS('Future Orders'!$I196, 'Future Orders'!$D196, "3", 'Future Orders'!$C196, "A", 'Future Orders'!$B196, "2")</f>
        <v>0</v>
      </c>
      <c r="AF196" s="159">
        <f>SUMIFS('Future Orders'!$F196, 'Future Orders'!$D196, "3", 'Future Orders'!$C196, "B", 'Future Orders'!$B196, "2")</f>
        <v>0</v>
      </c>
      <c r="AG196" s="157">
        <f>SUMIFS('Future Orders'!$I196, 'Future Orders'!$D196, "3", 'Future Orders'!$C196, "B", 'Future Orders'!$B196, "2")</f>
        <v>0</v>
      </c>
      <c r="AH196" s="157">
        <f>SUMIFS('Future Orders'!$F196, 'Future Orders'!$D196, "4", 'Future Orders'!$C196, "A", 'Future Orders'!$B196, "1")</f>
        <v>0</v>
      </c>
      <c r="AI196" s="157">
        <f>SUMIFS('Future Orders'!$I196, 'Future Orders'!$D196, "4", 'Future Orders'!$C196, "A", 'Future Orders'!$B196, "1")</f>
        <v>0</v>
      </c>
      <c r="AJ196" s="157">
        <f>SUMIFS('Future Orders'!$F196, 'Future Orders'!$D196, "4", 'Future Orders'!$C196, "B", 'Future Orders'!$B196, "1")</f>
        <v>0</v>
      </c>
      <c r="AK196" s="157">
        <f>SUMIFS('Future Orders'!$I196, 'Future Orders'!$D196, "4", 'Future Orders'!$C196, "B", 'Future Orders'!$B196, "1")</f>
        <v>0</v>
      </c>
      <c r="AL196" s="157">
        <f>SUMIFS('Future Orders'!$F196, 'Future Orders'!$D196, "4", 'Future Orders'!$C196, "A", 'Future Orders'!$B196, "2")</f>
        <v>0</v>
      </c>
      <c r="AM196" s="157">
        <f>SUMIFS('Future Orders'!$I196, 'Future Orders'!$D196, "4", 'Future Orders'!$C196, "A", 'Future Orders'!$B196, "2")</f>
        <v>0</v>
      </c>
      <c r="AN196" s="171">
        <f>SUMIFS('Future Orders'!$F196, 'Future Orders'!$D196, "4", 'Future Orders'!$C196, "B", 'Future Orders'!$B196, "2")</f>
        <v>0</v>
      </c>
      <c r="AO196" s="171">
        <f>SUMIFS('Future Orders'!$I196, 'Future Orders'!$D196, "4", 'Future Orders'!$C196, "B", 'Future Orders'!$B196, "2")</f>
        <v>0</v>
      </c>
      <c r="AP196" s="171">
        <f>SUMIFS('Future Orders'!$H196, 'Future Orders'!$C196, "A", 'Future Orders'!$B196, "1")</f>
        <v>0</v>
      </c>
      <c r="AQ196" s="171">
        <f>SUMIFS('Future Orders'!$I196, 'Future Orders'!$C196, "B", 'Future Orders'!$B196, "1")</f>
        <v>0</v>
      </c>
      <c r="AR196" s="171">
        <f>SUMIFS('Future Orders'!$H196, 'Future Orders'!$C196, "A", 'Future Orders'!$B196, "2")</f>
        <v>9310.4</v>
      </c>
      <c r="AS196" s="171">
        <f>SUMIFS('Future Orders'!$I196, 'Future Orders'!$C196, "B", 'Future Orders'!$B196, "2")</f>
        <v>0</v>
      </c>
      <c r="AT196" s="145"/>
      <c r="AU196" s="172"/>
      <c r="AV196" s="172"/>
      <c r="AW196" s="172"/>
      <c r="AX196" s="172"/>
      <c r="AY196" s="172"/>
      <c r="AZ196" s="172"/>
      <c r="BA196" s="172"/>
      <c r="BB196" s="172"/>
      <c r="BC196" s="172"/>
      <c r="BD196" s="172"/>
      <c r="BE196" s="172"/>
      <c r="BF196" s="172"/>
      <c r="BG196" s="172"/>
      <c r="BH196" s="172"/>
      <c r="BI196" s="172"/>
      <c r="BJ196" s="172"/>
      <c r="BK196" s="172"/>
      <c r="BL196" s="172"/>
      <c r="BM196" s="172"/>
      <c r="BN196" s="172"/>
      <c r="BO196" s="172"/>
      <c r="BP196" s="172"/>
      <c r="BQ196" s="172"/>
      <c r="BR196" s="172"/>
      <c r="BS196" s="172"/>
      <c r="BT196" s="172"/>
      <c r="BU196" s="172"/>
      <c r="BV196" s="172"/>
      <c r="BW196" s="172"/>
      <c r="BX196" s="172"/>
      <c r="BY196" s="172"/>
      <c r="BZ196" s="172"/>
      <c r="CA196" s="179"/>
      <c r="CB196" s="179"/>
      <c r="CC196" s="179"/>
      <c r="CD196" s="179"/>
      <c r="CE196" s="179"/>
      <c r="CF196" s="179"/>
      <c r="CG196" s="179"/>
      <c r="CH196" s="179"/>
      <c r="CI196" s="179"/>
      <c r="CJ196" s="179"/>
      <c r="CK196" s="179"/>
      <c r="CL196" s="179"/>
      <c r="CM196" s="179"/>
      <c r="CN196" s="179"/>
      <c r="CO196" s="179"/>
      <c r="CP196" s="179"/>
    </row>
    <row r="197" ht="15.75" customHeight="1">
      <c r="A197" s="151">
        <v>42079.0</v>
      </c>
      <c r="B197" s="152">
        <v>2.0</v>
      </c>
      <c r="C197" s="152" t="s">
        <v>45</v>
      </c>
      <c r="D197" s="152">
        <v>2.0</v>
      </c>
      <c r="E197" s="153">
        <v>4936.0</v>
      </c>
      <c r="F197" s="153">
        <f>SUM(('Future Orders'!$E197) * (1.1))</f>
        <v>5429.6</v>
      </c>
      <c r="G197" s="154">
        <v>1.2</v>
      </c>
      <c r="H197" s="155">
        <v>5923.2</v>
      </c>
      <c r="I197" s="155">
        <f>SUM(('Future Orders'!$H197) * (1.1))</f>
        <v>6515.52</v>
      </c>
      <c r="J197" s="159">
        <f>SUMIFS('Future Orders'!$F197, 'Future Orders'!$D197, "1", 'Future Orders'!$C197, "A", 'Future Orders'!$B197, "1")</f>
        <v>0</v>
      </c>
      <c r="K197" s="157">
        <f>SUMIFS('Future Orders'!$I197, 'Future Orders'!$D197, "1", 'Future Orders'!$C197, "A", 'Future Orders'!$B197, "1")</f>
        <v>0</v>
      </c>
      <c r="L197" s="157">
        <f>SUMIFS('Future Orders'!$F197, 'Future Orders'!$D197, "1", 'Future Orders'!$C197, "B", 'Future Orders'!$B197, "1")</f>
        <v>0</v>
      </c>
      <c r="M197" s="157">
        <f>SUMIFS('Future Orders'!$I197, 'Future Orders'!$D197, "1", 'Future Orders'!$C197, "B", 'Future Orders'!$B197, "1")</f>
        <v>0</v>
      </c>
      <c r="N197" s="159">
        <f>SUMIFS('Future Orders'!$F197, 'Future Orders'!$D197, "1", 'Future Orders'!$C197, "A", 'Future Orders'!$B197, "2")</f>
        <v>0</v>
      </c>
      <c r="O197" s="157">
        <f>SUMIFS('Future Orders'!$I197, 'Future Orders'!$D197, "1", 'Future Orders'!$C197, "A", 'Future Orders'!$B197, "2")</f>
        <v>0</v>
      </c>
      <c r="P197" s="157">
        <f>SUMIFS('Future Orders'!$E197, 'Future Orders'!$D197, "1", 'Future Orders'!$C197, "B", 'Future Orders'!$B197, "2")</f>
        <v>0</v>
      </c>
      <c r="Q197" s="157">
        <f>SUMIFS('Future Orders'!$I197, 'Future Orders'!$D197, "1", 'Future Orders'!$C197, "B", 'Future Orders'!$B197, "2")</f>
        <v>0</v>
      </c>
      <c r="R197" s="159">
        <f>SUMIFS('Future Orders'!$F197, 'Future Orders'!$D197, "2", 'Future Orders'!$C197, "A", 'Future Orders'!$B197, "1")</f>
        <v>0</v>
      </c>
      <c r="S197" s="157">
        <f>SUMIFS('Future Orders'!$I197, 'Future Orders'!$D197, "2", 'Future Orders'!$C197, "A", 'Future Orders'!$B197, "1")</f>
        <v>0</v>
      </c>
      <c r="T197" s="159">
        <f>SUMIFS('Future Orders'!$F197, 'Future Orders'!$D197, "2", 'Future Orders'!$C197, "B", 'Future Orders'!$B197, "1")</f>
        <v>0</v>
      </c>
      <c r="U197" s="157">
        <f>SUMIFS('Future Orders'!$I197, 'Future Orders'!$D197, "2", 'Future Orders'!$C197, "B", 'Future Orders'!$B197, "1")</f>
        <v>0</v>
      </c>
      <c r="V197" s="159">
        <f>SUMIFS('Future Orders'!$F197, 'Future Orders'!$D197, "2", 'Future Orders'!$C197, "A", 'Future Orders'!$B197, "2")</f>
        <v>5429.6</v>
      </c>
      <c r="W197" s="157">
        <f>SUMIFS('Future Orders'!$I197, 'Future Orders'!$D197, "2", 'Future Orders'!$C197, "A", 'Future Orders'!$B197, "2")</f>
        <v>6515.52</v>
      </c>
      <c r="X197" s="159">
        <f>SUMIFS('Future Orders'!$F197, 'Future Orders'!$D197, "2", 'Future Orders'!$C197, "B", 'Future Orders'!$B197, "2")</f>
        <v>0</v>
      </c>
      <c r="Y197" s="159">
        <f>SUMIFS('Future Orders'!$I197, 'Future Orders'!$D197, "2", 'Future Orders'!$C197, "B", 'Future Orders'!$B197, "2")</f>
        <v>0</v>
      </c>
      <c r="Z197" s="159">
        <f>SUMIFS('Future Orders'!$F197, 'Future Orders'!$D197, "3", 'Future Orders'!$C197, "A", 'Future Orders'!$B197, "1")</f>
        <v>0</v>
      </c>
      <c r="AA197" s="159">
        <f>SUMIFS('Future Orders'!$I197, 'Future Orders'!$D197, "3", 'Future Orders'!$C197, "A", 'Future Orders'!$B197, "1")</f>
        <v>0</v>
      </c>
      <c r="AB197" s="159">
        <f>SUMIFS('Future Orders'!$F197, 'Future Orders'!$D197, "3", 'Future Orders'!$C197, "B", 'Future Orders'!$B197, "1")</f>
        <v>0</v>
      </c>
      <c r="AC197" s="159">
        <f>SUMIFS('Future Orders'!$I197, 'Future Orders'!$D197, "3", 'Future Orders'!$C197, "B", 'Future Orders'!$B197, "1")</f>
        <v>0</v>
      </c>
      <c r="AD197" s="159">
        <f>SUMIFS('Future Orders'!$F197, 'Future Orders'!$D197, "3", 'Future Orders'!$C197, "A", 'Future Orders'!$B197, "2")</f>
        <v>0</v>
      </c>
      <c r="AE197" s="159">
        <f>SUMIFS('Future Orders'!$I197, 'Future Orders'!$D197, "3", 'Future Orders'!$C197, "A", 'Future Orders'!$B197, "2")</f>
        <v>0</v>
      </c>
      <c r="AF197" s="159">
        <f>SUMIFS('Future Orders'!$F197, 'Future Orders'!$D197, "3", 'Future Orders'!$C197, "B", 'Future Orders'!$B197, "2")</f>
        <v>0</v>
      </c>
      <c r="AG197" s="157">
        <f>SUMIFS('Future Orders'!$I197, 'Future Orders'!$D197, "3", 'Future Orders'!$C197, "B", 'Future Orders'!$B197, "2")</f>
        <v>0</v>
      </c>
      <c r="AH197" s="157">
        <f>SUMIFS('Future Orders'!$F197, 'Future Orders'!$D197, "4", 'Future Orders'!$C197, "A", 'Future Orders'!$B197, "1")</f>
        <v>0</v>
      </c>
      <c r="AI197" s="157">
        <f>SUMIFS('Future Orders'!$I197, 'Future Orders'!$D197, "4", 'Future Orders'!$C197, "A", 'Future Orders'!$B197, "1")</f>
        <v>0</v>
      </c>
      <c r="AJ197" s="157">
        <f>SUMIFS('Future Orders'!$F197, 'Future Orders'!$D197, "4", 'Future Orders'!$C197, "B", 'Future Orders'!$B197, "1")</f>
        <v>0</v>
      </c>
      <c r="AK197" s="157">
        <f>SUMIFS('Future Orders'!$I197, 'Future Orders'!$D197, "4", 'Future Orders'!$C197, "B", 'Future Orders'!$B197, "1")</f>
        <v>0</v>
      </c>
      <c r="AL197" s="157">
        <f>SUMIFS('Future Orders'!$F197, 'Future Orders'!$D197, "4", 'Future Orders'!$C197, "A", 'Future Orders'!$B197, "2")</f>
        <v>0</v>
      </c>
      <c r="AM197" s="157">
        <f>SUMIFS('Future Orders'!$I197, 'Future Orders'!$D197, "4", 'Future Orders'!$C197, "A", 'Future Orders'!$B197, "2")</f>
        <v>0</v>
      </c>
      <c r="AN197" s="171">
        <f>SUMIFS('Future Orders'!$F197, 'Future Orders'!$D197, "4", 'Future Orders'!$C197, "B", 'Future Orders'!$B197, "2")</f>
        <v>0</v>
      </c>
      <c r="AO197" s="171">
        <f>SUMIFS('Future Orders'!$I197, 'Future Orders'!$D197, "4", 'Future Orders'!$C197, "B", 'Future Orders'!$B197, "2")</f>
        <v>0</v>
      </c>
      <c r="AP197" s="171">
        <f>SUMIFS('Future Orders'!$H197, 'Future Orders'!$C197, "A", 'Future Orders'!$B197, "1")</f>
        <v>0</v>
      </c>
      <c r="AQ197" s="171">
        <f>SUMIFS('Future Orders'!$I197, 'Future Orders'!$C197, "B", 'Future Orders'!$B197, "1")</f>
        <v>0</v>
      </c>
      <c r="AR197" s="171">
        <f>SUMIFS('Future Orders'!$H197, 'Future Orders'!$C197, "A", 'Future Orders'!$B197, "2")</f>
        <v>5923.2</v>
      </c>
      <c r="AS197" s="171">
        <f>SUMIFS('Future Orders'!$I197, 'Future Orders'!$C197, "B", 'Future Orders'!$B197, "2")</f>
        <v>0</v>
      </c>
      <c r="AT197" s="145"/>
      <c r="AU197" s="172"/>
      <c r="AV197" s="172"/>
      <c r="AW197" s="172"/>
      <c r="AX197" s="172"/>
      <c r="AY197" s="172"/>
      <c r="AZ197" s="172"/>
      <c r="BA197" s="172"/>
      <c r="BB197" s="172"/>
      <c r="BC197" s="172"/>
      <c r="BD197" s="172"/>
      <c r="BE197" s="172"/>
      <c r="BF197" s="172"/>
      <c r="BG197" s="172"/>
      <c r="BH197" s="172"/>
      <c r="BI197" s="172"/>
      <c r="BJ197" s="172"/>
      <c r="BK197" s="172"/>
      <c r="BL197" s="172"/>
      <c r="BM197" s="172"/>
      <c r="BN197" s="172"/>
      <c r="BO197" s="172"/>
      <c r="BP197" s="172"/>
      <c r="BQ197" s="172"/>
      <c r="BR197" s="172"/>
      <c r="BS197" s="172"/>
      <c r="BT197" s="172"/>
      <c r="BU197" s="172"/>
      <c r="BV197" s="172"/>
      <c r="BW197" s="172"/>
      <c r="BX197" s="172"/>
      <c r="BY197" s="172"/>
      <c r="BZ197" s="172"/>
      <c r="CA197" s="179"/>
      <c r="CB197" s="179"/>
      <c r="CC197" s="179"/>
      <c r="CD197" s="179"/>
      <c r="CE197" s="179"/>
      <c r="CF197" s="179"/>
      <c r="CG197" s="179"/>
      <c r="CH197" s="179"/>
      <c r="CI197" s="179"/>
      <c r="CJ197" s="179"/>
      <c r="CK197" s="179"/>
      <c r="CL197" s="179"/>
      <c r="CM197" s="179"/>
      <c r="CN197" s="179"/>
      <c r="CO197" s="179"/>
      <c r="CP197" s="179"/>
    </row>
    <row r="198" ht="15.75" customHeight="1">
      <c r="A198" s="151">
        <v>42079.0</v>
      </c>
      <c r="B198" s="152">
        <v>1.0</v>
      </c>
      <c r="C198" s="152" t="s">
        <v>46</v>
      </c>
      <c r="D198" s="152">
        <v>3.0</v>
      </c>
      <c r="E198" s="153">
        <v>2028.0</v>
      </c>
      <c r="F198" s="153">
        <f>SUM(('Future Orders'!$E198) * (1.1))</f>
        <v>2230.8</v>
      </c>
      <c r="G198" s="154">
        <v>8.3</v>
      </c>
      <c r="H198" s="155">
        <v>16832.4</v>
      </c>
      <c r="I198" s="155">
        <f>SUM(('Future Orders'!$H198) * (1.1))</f>
        <v>18515.64</v>
      </c>
      <c r="J198" s="159">
        <f>SUMIFS('Future Orders'!$F198, 'Future Orders'!$D198, "1", 'Future Orders'!$C198, "A", 'Future Orders'!$B198, "1")</f>
        <v>0</v>
      </c>
      <c r="K198" s="157">
        <f>SUMIFS('Future Orders'!$I198, 'Future Orders'!$D198, "1", 'Future Orders'!$C198, "A", 'Future Orders'!$B198, "1")</f>
        <v>0</v>
      </c>
      <c r="L198" s="157">
        <f>SUMIFS('Future Orders'!$F198, 'Future Orders'!$D198, "1", 'Future Orders'!$C198, "B", 'Future Orders'!$B198, "1")</f>
        <v>0</v>
      </c>
      <c r="M198" s="157">
        <f>SUMIFS('Future Orders'!$I198, 'Future Orders'!$D198, "1", 'Future Orders'!$C198, "B", 'Future Orders'!$B198, "1")</f>
        <v>0</v>
      </c>
      <c r="N198" s="159">
        <f>SUMIFS('Future Orders'!$F198, 'Future Orders'!$D198, "1", 'Future Orders'!$C198, "A", 'Future Orders'!$B198, "2")</f>
        <v>0</v>
      </c>
      <c r="O198" s="157">
        <f>SUMIFS('Future Orders'!$I198, 'Future Orders'!$D198, "1", 'Future Orders'!$C198, "A", 'Future Orders'!$B198, "2")</f>
        <v>0</v>
      </c>
      <c r="P198" s="157">
        <f>SUMIFS('Future Orders'!$E198, 'Future Orders'!$D198, "1", 'Future Orders'!$C198, "B", 'Future Orders'!$B198, "2")</f>
        <v>0</v>
      </c>
      <c r="Q198" s="157">
        <f>SUMIFS('Future Orders'!$I198, 'Future Orders'!$D198, "1", 'Future Orders'!$C198, "B", 'Future Orders'!$B198, "2")</f>
        <v>0</v>
      </c>
      <c r="R198" s="159">
        <f>SUMIFS('Future Orders'!$F198, 'Future Orders'!$D198, "2", 'Future Orders'!$C198, "A", 'Future Orders'!$B198, "1")</f>
        <v>0</v>
      </c>
      <c r="S198" s="157">
        <f>SUMIFS('Future Orders'!$I198, 'Future Orders'!$D198, "2", 'Future Orders'!$C198, "A", 'Future Orders'!$B198, "1")</f>
        <v>0</v>
      </c>
      <c r="T198" s="159">
        <f>SUMIFS('Future Orders'!$F198, 'Future Orders'!$D198, "2", 'Future Orders'!$C198, "B", 'Future Orders'!$B198, "1")</f>
        <v>0</v>
      </c>
      <c r="U198" s="157">
        <f>SUMIFS('Future Orders'!$I198, 'Future Orders'!$D198, "2", 'Future Orders'!$C198, "B", 'Future Orders'!$B198, "1")</f>
        <v>0</v>
      </c>
      <c r="V198" s="159">
        <f>SUMIFS('Future Orders'!$F198, 'Future Orders'!$D198, "2", 'Future Orders'!$C198, "A", 'Future Orders'!$B198, "2")</f>
        <v>0</v>
      </c>
      <c r="W198" s="157">
        <f>SUMIFS('Future Orders'!$I198, 'Future Orders'!$D198, "2", 'Future Orders'!$C198, "A", 'Future Orders'!$B198, "2")</f>
        <v>0</v>
      </c>
      <c r="X198" s="159">
        <f>SUMIFS('Future Orders'!$F198, 'Future Orders'!$D198, "2", 'Future Orders'!$C198, "B", 'Future Orders'!$B198, "2")</f>
        <v>0</v>
      </c>
      <c r="Y198" s="159">
        <f>SUMIFS('Future Orders'!$I198, 'Future Orders'!$D198, "2", 'Future Orders'!$C198, "B", 'Future Orders'!$B198, "2")</f>
        <v>0</v>
      </c>
      <c r="Z198" s="159">
        <f>SUMIFS('Future Orders'!$F198, 'Future Orders'!$D198, "3", 'Future Orders'!$C198, "A", 'Future Orders'!$B198, "1")</f>
        <v>0</v>
      </c>
      <c r="AA198" s="159">
        <f>SUMIFS('Future Orders'!$I198, 'Future Orders'!$D198, "3", 'Future Orders'!$C198, "A", 'Future Orders'!$B198, "1")</f>
        <v>0</v>
      </c>
      <c r="AB198" s="159">
        <f>SUMIFS('Future Orders'!$F198, 'Future Orders'!$D198, "3", 'Future Orders'!$C198, "B", 'Future Orders'!$B198, "1")</f>
        <v>2230.8</v>
      </c>
      <c r="AC198" s="159">
        <f>SUMIFS('Future Orders'!$I198, 'Future Orders'!$D198, "3", 'Future Orders'!$C198, "B", 'Future Orders'!$B198, "1")</f>
        <v>18515.64</v>
      </c>
      <c r="AD198" s="159">
        <f>SUMIFS('Future Orders'!$F198, 'Future Orders'!$D198, "3", 'Future Orders'!$C198, "A", 'Future Orders'!$B198, "2")</f>
        <v>0</v>
      </c>
      <c r="AE198" s="159">
        <f>SUMIFS('Future Orders'!$I198, 'Future Orders'!$D198, "3", 'Future Orders'!$C198, "A", 'Future Orders'!$B198, "2")</f>
        <v>0</v>
      </c>
      <c r="AF198" s="159">
        <f>SUMIFS('Future Orders'!$F198, 'Future Orders'!$D198, "3", 'Future Orders'!$C198, "B", 'Future Orders'!$B198, "2")</f>
        <v>0</v>
      </c>
      <c r="AG198" s="157">
        <f>SUMIFS('Future Orders'!$I198, 'Future Orders'!$D198, "3", 'Future Orders'!$C198, "B", 'Future Orders'!$B198, "2")</f>
        <v>0</v>
      </c>
      <c r="AH198" s="157">
        <f>SUMIFS('Future Orders'!$F198, 'Future Orders'!$D198, "4", 'Future Orders'!$C198, "A", 'Future Orders'!$B198, "1")</f>
        <v>0</v>
      </c>
      <c r="AI198" s="157">
        <f>SUMIFS('Future Orders'!$I198, 'Future Orders'!$D198, "4", 'Future Orders'!$C198, "A", 'Future Orders'!$B198, "1")</f>
        <v>0</v>
      </c>
      <c r="AJ198" s="157">
        <f>SUMIFS('Future Orders'!$F198, 'Future Orders'!$D198, "4", 'Future Orders'!$C198, "B", 'Future Orders'!$B198, "1")</f>
        <v>0</v>
      </c>
      <c r="AK198" s="157">
        <f>SUMIFS('Future Orders'!$I198, 'Future Orders'!$D198, "4", 'Future Orders'!$C198, "B", 'Future Orders'!$B198, "1")</f>
        <v>0</v>
      </c>
      <c r="AL198" s="157">
        <f>SUMIFS('Future Orders'!$F198, 'Future Orders'!$D198, "4", 'Future Orders'!$C198, "A", 'Future Orders'!$B198, "2")</f>
        <v>0</v>
      </c>
      <c r="AM198" s="157">
        <f>SUMIFS('Future Orders'!$I198, 'Future Orders'!$D198, "4", 'Future Orders'!$C198, "A", 'Future Orders'!$B198, "2")</f>
        <v>0</v>
      </c>
      <c r="AN198" s="171">
        <f>SUMIFS('Future Orders'!$F198, 'Future Orders'!$D198, "4", 'Future Orders'!$C198, "B", 'Future Orders'!$B198, "2")</f>
        <v>0</v>
      </c>
      <c r="AO198" s="171">
        <f>SUMIFS('Future Orders'!$I198, 'Future Orders'!$D198, "4", 'Future Orders'!$C198, "B", 'Future Orders'!$B198, "2")</f>
        <v>0</v>
      </c>
      <c r="AP198" s="171">
        <f>SUMIFS('Future Orders'!$H198, 'Future Orders'!$C198, "A", 'Future Orders'!$B198, "1")</f>
        <v>0</v>
      </c>
      <c r="AQ198" s="171">
        <f>SUMIFS('Future Orders'!$I198, 'Future Orders'!$C198, "B", 'Future Orders'!$B198, "1")</f>
        <v>18515.64</v>
      </c>
      <c r="AR198" s="171">
        <f>SUMIFS('Future Orders'!$H198, 'Future Orders'!$C198, "A", 'Future Orders'!$B198, "2")</f>
        <v>0</v>
      </c>
      <c r="AS198" s="171">
        <f>SUMIFS('Future Orders'!$I198, 'Future Orders'!$C198, "B", 'Future Orders'!$B198, "2")</f>
        <v>0</v>
      </c>
      <c r="AT198" s="145"/>
      <c r="AU198" s="172"/>
      <c r="AV198" s="172"/>
      <c r="AW198" s="172"/>
      <c r="AX198" s="172"/>
      <c r="AY198" s="172"/>
      <c r="AZ198" s="172"/>
      <c r="BA198" s="172"/>
      <c r="BB198" s="172"/>
      <c r="BC198" s="172"/>
      <c r="BD198" s="172"/>
      <c r="BE198" s="172"/>
      <c r="BF198" s="172"/>
      <c r="BG198" s="172"/>
      <c r="BH198" s="172"/>
      <c r="BI198" s="172"/>
      <c r="BJ198" s="172"/>
      <c r="BK198" s="172"/>
      <c r="BL198" s="172"/>
      <c r="BM198" s="172"/>
      <c r="BN198" s="172"/>
      <c r="BO198" s="172"/>
      <c r="BP198" s="172"/>
      <c r="BQ198" s="172"/>
      <c r="BR198" s="172"/>
      <c r="BS198" s="172"/>
      <c r="BT198" s="172"/>
      <c r="BU198" s="172"/>
      <c r="BV198" s="172"/>
      <c r="BW198" s="172"/>
      <c r="BX198" s="172"/>
      <c r="BY198" s="172"/>
      <c r="BZ198" s="172"/>
      <c r="CA198" s="179"/>
      <c r="CB198" s="179"/>
      <c r="CC198" s="179"/>
      <c r="CD198" s="179"/>
      <c r="CE198" s="179"/>
      <c r="CF198" s="179"/>
      <c r="CG198" s="179"/>
      <c r="CH198" s="179"/>
      <c r="CI198" s="179"/>
      <c r="CJ198" s="179"/>
      <c r="CK198" s="179"/>
      <c r="CL198" s="179"/>
      <c r="CM198" s="179"/>
      <c r="CN198" s="179"/>
      <c r="CO198" s="179"/>
      <c r="CP198" s="179"/>
    </row>
    <row r="199" ht="15.75" customHeight="1">
      <c r="A199" s="151">
        <v>42079.0</v>
      </c>
      <c r="B199" s="152">
        <v>2.0</v>
      </c>
      <c r="C199" s="152" t="s">
        <v>46</v>
      </c>
      <c r="D199" s="152">
        <v>3.0</v>
      </c>
      <c r="E199" s="153">
        <v>2742.0</v>
      </c>
      <c r="F199" s="153">
        <f>SUM(('Future Orders'!$E199) * (1.1))</f>
        <v>3016.2</v>
      </c>
      <c r="G199" s="154">
        <v>8.3</v>
      </c>
      <c r="H199" s="155">
        <v>22758.600000000002</v>
      </c>
      <c r="I199" s="155">
        <f>SUM(('Future Orders'!$H199) * (1.1))</f>
        <v>25034.46</v>
      </c>
      <c r="J199" s="159">
        <f>SUMIFS('Future Orders'!$F199, 'Future Orders'!$D199, "1", 'Future Orders'!$C199, "A", 'Future Orders'!$B199, "1")</f>
        <v>0</v>
      </c>
      <c r="K199" s="157">
        <f>SUMIFS('Future Orders'!$I199, 'Future Orders'!$D199, "1", 'Future Orders'!$C199, "A", 'Future Orders'!$B199, "1")</f>
        <v>0</v>
      </c>
      <c r="L199" s="157">
        <f>SUMIFS('Future Orders'!$F199, 'Future Orders'!$D199, "1", 'Future Orders'!$C199, "B", 'Future Orders'!$B199, "1")</f>
        <v>0</v>
      </c>
      <c r="M199" s="157">
        <f>SUMIFS('Future Orders'!$I199, 'Future Orders'!$D199, "1", 'Future Orders'!$C199, "B", 'Future Orders'!$B199, "1")</f>
        <v>0</v>
      </c>
      <c r="N199" s="159">
        <f>SUMIFS('Future Orders'!$F199, 'Future Orders'!$D199, "1", 'Future Orders'!$C199, "A", 'Future Orders'!$B199, "2")</f>
        <v>0</v>
      </c>
      <c r="O199" s="157">
        <f>SUMIFS('Future Orders'!$I199, 'Future Orders'!$D199, "1", 'Future Orders'!$C199, "A", 'Future Orders'!$B199, "2")</f>
        <v>0</v>
      </c>
      <c r="P199" s="157">
        <f>SUMIFS('Future Orders'!$E199, 'Future Orders'!$D199, "1", 'Future Orders'!$C199, "B", 'Future Orders'!$B199, "2")</f>
        <v>0</v>
      </c>
      <c r="Q199" s="157">
        <f>SUMIFS('Future Orders'!$I199, 'Future Orders'!$D199, "1", 'Future Orders'!$C199, "B", 'Future Orders'!$B199, "2")</f>
        <v>0</v>
      </c>
      <c r="R199" s="159">
        <f>SUMIFS('Future Orders'!$F199, 'Future Orders'!$D199, "2", 'Future Orders'!$C199, "A", 'Future Orders'!$B199, "1")</f>
        <v>0</v>
      </c>
      <c r="S199" s="157">
        <f>SUMIFS('Future Orders'!$I199, 'Future Orders'!$D199, "2", 'Future Orders'!$C199, "A", 'Future Orders'!$B199, "1")</f>
        <v>0</v>
      </c>
      <c r="T199" s="159">
        <f>SUMIFS('Future Orders'!$F199, 'Future Orders'!$D199, "2", 'Future Orders'!$C199, "B", 'Future Orders'!$B199, "1")</f>
        <v>0</v>
      </c>
      <c r="U199" s="157">
        <f>SUMIFS('Future Orders'!$I199, 'Future Orders'!$D199, "2", 'Future Orders'!$C199, "B", 'Future Orders'!$B199, "1")</f>
        <v>0</v>
      </c>
      <c r="V199" s="159">
        <f>SUMIFS('Future Orders'!$F199, 'Future Orders'!$D199, "2", 'Future Orders'!$C199, "A", 'Future Orders'!$B199, "2")</f>
        <v>0</v>
      </c>
      <c r="W199" s="157">
        <f>SUMIFS('Future Orders'!$I199, 'Future Orders'!$D199, "2", 'Future Orders'!$C199, "A", 'Future Orders'!$B199, "2")</f>
        <v>0</v>
      </c>
      <c r="X199" s="159">
        <f>SUMIFS('Future Orders'!$F199, 'Future Orders'!$D199, "2", 'Future Orders'!$C199, "B", 'Future Orders'!$B199, "2")</f>
        <v>0</v>
      </c>
      <c r="Y199" s="159">
        <f>SUMIFS('Future Orders'!$I199, 'Future Orders'!$D199, "2", 'Future Orders'!$C199, "B", 'Future Orders'!$B199, "2")</f>
        <v>0</v>
      </c>
      <c r="Z199" s="159">
        <f>SUMIFS('Future Orders'!$F199, 'Future Orders'!$D199, "3", 'Future Orders'!$C199, "A", 'Future Orders'!$B199, "1")</f>
        <v>0</v>
      </c>
      <c r="AA199" s="159">
        <f>SUMIFS('Future Orders'!$I199, 'Future Orders'!$D199, "3", 'Future Orders'!$C199, "A", 'Future Orders'!$B199, "1")</f>
        <v>0</v>
      </c>
      <c r="AB199" s="159">
        <f>SUMIFS('Future Orders'!$F199, 'Future Orders'!$D199, "3", 'Future Orders'!$C199, "B", 'Future Orders'!$B199, "1")</f>
        <v>0</v>
      </c>
      <c r="AC199" s="159">
        <f>SUMIFS('Future Orders'!$I199, 'Future Orders'!$D199, "3", 'Future Orders'!$C199, "B", 'Future Orders'!$B199, "1")</f>
        <v>0</v>
      </c>
      <c r="AD199" s="159">
        <f>SUMIFS('Future Orders'!$F199, 'Future Orders'!$D199, "3", 'Future Orders'!$C199, "A", 'Future Orders'!$B199, "2")</f>
        <v>0</v>
      </c>
      <c r="AE199" s="159">
        <f>SUMIFS('Future Orders'!$I199, 'Future Orders'!$D199, "3", 'Future Orders'!$C199, "A", 'Future Orders'!$B199, "2")</f>
        <v>0</v>
      </c>
      <c r="AF199" s="159">
        <f>SUMIFS('Future Orders'!$F199, 'Future Orders'!$D199, "3", 'Future Orders'!$C199, "B", 'Future Orders'!$B199, "2")</f>
        <v>3016.2</v>
      </c>
      <c r="AG199" s="157">
        <f>SUMIFS('Future Orders'!$I199, 'Future Orders'!$D199, "3", 'Future Orders'!$C199, "B", 'Future Orders'!$B199, "2")</f>
        <v>25034.46</v>
      </c>
      <c r="AH199" s="157">
        <f>SUMIFS('Future Orders'!$F199, 'Future Orders'!$D199, "4", 'Future Orders'!$C199, "A", 'Future Orders'!$B199, "1")</f>
        <v>0</v>
      </c>
      <c r="AI199" s="157">
        <f>SUMIFS('Future Orders'!$I199, 'Future Orders'!$D199, "4", 'Future Orders'!$C199, "A", 'Future Orders'!$B199, "1")</f>
        <v>0</v>
      </c>
      <c r="AJ199" s="157">
        <f>SUMIFS('Future Orders'!$F199, 'Future Orders'!$D199, "4", 'Future Orders'!$C199, "B", 'Future Orders'!$B199, "1")</f>
        <v>0</v>
      </c>
      <c r="AK199" s="157">
        <f>SUMIFS('Future Orders'!$I199, 'Future Orders'!$D199, "4", 'Future Orders'!$C199, "B", 'Future Orders'!$B199, "1")</f>
        <v>0</v>
      </c>
      <c r="AL199" s="157">
        <f>SUMIFS('Future Orders'!$F199, 'Future Orders'!$D199, "4", 'Future Orders'!$C199, "A", 'Future Orders'!$B199, "2")</f>
        <v>0</v>
      </c>
      <c r="AM199" s="157">
        <f>SUMIFS('Future Orders'!$I199, 'Future Orders'!$D199, "4", 'Future Orders'!$C199, "A", 'Future Orders'!$B199, "2")</f>
        <v>0</v>
      </c>
      <c r="AN199" s="171">
        <f>SUMIFS('Future Orders'!$F199, 'Future Orders'!$D199, "4", 'Future Orders'!$C199, "B", 'Future Orders'!$B199, "2")</f>
        <v>0</v>
      </c>
      <c r="AO199" s="171">
        <f>SUMIFS('Future Orders'!$I199, 'Future Orders'!$D199, "4", 'Future Orders'!$C199, "B", 'Future Orders'!$B199, "2")</f>
        <v>0</v>
      </c>
      <c r="AP199" s="171">
        <f>SUMIFS('Future Orders'!$H199, 'Future Orders'!$C199, "A", 'Future Orders'!$B199, "1")</f>
        <v>0</v>
      </c>
      <c r="AQ199" s="171">
        <f>SUMIFS('Future Orders'!$I199, 'Future Orders'!$C199, "B", 'Future Orders'!$B199, "1")</f>
        <v>0</v>
      </c>
      <c r="AR199" s="171">
        <f>SUMIFS('Future Orders'!$H199, 'Future Orders'!$C199, "A", 'Future Orders'!$B199, "2")</f>
        <v>0</v>
      </c>
      <c r="AS199" s="171">
        <f>SUMIFS('Future Orders'!$I199, 'Future Orders'!$C199, "B", 'Future Orders'!$B199, "2")</f>
        <v>25034.46</v>
      </c>
      <c r="AT199" s="145"/>
      <c r="AU199" s="172"/>
      <c r="AV199" s="172"/>
      <c r="AW199" s="172"/>
      <c r="AX199" s="172"/>
      <c r="AY199" s="172"/>
      <c r="AZ199" s="172"/>
      <c r="BA199" s="172"/>
      <c r="BB199" s="172"/>
      <c r="BC199" s="172"/>
      <c r="BD199" s="172"/>
      <c r="BE199" s="172"/>
      <c r="BF199" s="172"/>
      <c r="BG199" s="172"/>
      <c r="BH199" s="172"/>
      <c r="BI199" s="172"/>
      <c r="BJ199" s="172"/>
      <c r="BK199" s="172"/>
      <c r="BL199" s="172"/>
      <c r="BM199" s="172"/>
      <c r="BN199" s="172"/>
      <c r="BO199" s="172"/>
      <c r="BP199" s="172"/>
      <c r="BQ199" s="172"/>
      <c r="BR199" s="172"/>
      <c r="BS199" s="172"/>
      <c r="BT199" s="172"/>
      <c r="BU199" s="172"/>
      <c r="BV199" s="172"/>
      <c r="BW199" s="172"/>
      <c r="BX199" s="172"/>
      <c r="BY199" s="172"/>
      <c r="BZ199" s="172"/>
      <c r="CA199" s="179"/>
      <c r="CB199" s="179"/>
      <c r="CC199" s="179"/>
      <c r="CD199" s="179"/>
      <c r="CE199" s="179"/>
      <c r="CF199" s="179"/>
      <c r="CG199" s="179"/>
      <c r="CH199" s="179"/>
      <c r="CI199" s="179"/>
      <c r="CJ199" s="179"/>
      <c r="CK199" s="179"/>
      <c r="CL199" s="179"/>
      <c r="CM199" s="179"/>
      <c r="CN199" s="179"/>
      <c r="CO199" s="179"/>
      <c r="CP199" s="179"/>
    </row>
    <row r="200" ht="15.75" customHeight="1">
      <c r="A200" s="151">
        <v>42086.0</v>
      </c>
      <c r="B200" s="152">
        <v>1.0</v>
      </c>
      <c r="C200" s="152" t="s">
        <v>45</v>
      </c>
      <c r="D200" s="152">
        <v>1.0</v>
      </c>
      <c r="E200" s="153">
        <v>3806.0</v>
      </c>
      <c r="F200" s="153">
        <f>SUM(('Future Orders'!$E200) * (1.1))</f>
        <v>4186.6</v>
      </c>
      <c r="G200" s="154">
        <v>2.2</v>
      </c>
      <c r="H200" s="155">
        <v>8373.2</v>
      </c>
      <c r="I200" s="155">
        <f>SUM(('Future Orders'!$H200) * (1.1))</f>
        <v>9210.52</v>
      </c>
      <c r="J200" s="159">
        <f>SUMIFS('Future Orders'!$F200, 'Future Orders'!$D200, "1", 'Future Orders'!$C200, "A", 'Future Orders'!$B200, "1")</f>
        <v>4186.6</v>
      </c>
      <c r="K200" s="157">
        <f>SUMIFS('Future Orders'!$I200, 'Future Orders'!$D200, "1", 'Future Orders'!$C200, "A", 'Future Orders'!$B200, "1")</f>
        <v>9210.52</v>
      </c>
      <c r="L200" s="157">
        <f>SUMIFS('Future Orders'!$F200, 'Future Orders'!$D200, "1", 'Future Orders'!$C200, "B", 'Future Orders'!$B200, "1")</f>
        <v>0</v>
      </c>
      <c r="M200" s="157">
        <f>SUMIFS('Future Orders'!$I200, 'Future Orders'!$D200, "1", 'Future Orders'!$C200, "B", 'Future Orders'!$B200, "1")</f>
        <v>0</v>
      </c>
      <c r="N200" s="159">
        <f>SUMIFS('Future Orders'!$F200, 'Future Orders'!$D200, "1", 'Future Orders'!$C200, "A", 'Future Orders'!$B200, "2")</f>
        <v>0</v>
      </c>
      <c r="O200" s="157">
        <f>SUMIFS('Future Orders'!$I200, 'Future Orders'!$D200, "1", 'Future Orders'!$C200, "A", 'Future Orders'!$B200, "2")</f>
        <v>0</v>
      </c>
      <c r="P200" s="157">
        <f>SUMIFS('Future Orders'!$E200, 'Future Orders'!$D200, "1", 'Future Orders'!$C200, "B", 'Future Orders'!$B200, "2")</f>
        <v>0</v>
      </c>
      <c r="Q200" s="157">
        <f>SUMIFS('Future Orders'!$I200, 'Future Orders'!$D200, "1", 'Future Orders'!$C200, "B", 'Future Orders'!$B200, "2")</f>
        <v>0</v>
      </c>
      <c r="R200" s="159">
        <f>SUMIFS('Future Orders'!$F200, 'Future Orders'!$D200, "2", 'Future Orders'!$C200, "A", 'Future Orders'!$B200, "1")</f>
        <v>0</v>
      </c>
      <c r="S200" s="157">
        <f>SUMIFS('Future Orders'!$I200, 'Future Orders'!$D200, "2", 'Future Orders'!$C200, "A", 'Future Orders'!$B200, "1")</f>
        <v>0</v>
      </c>
      <c r="T200" s="159">
        <f>SUMIFS('Future Orders'!$F200, 'Future Orders'!$D200, "2", 'Future Orders'!$C200, "B", 'Future Orders'!$B200, "1")</f>
        <v>0</v>
      </c>
      <c r="U200" s="157">
        <f>SUMIFS('Future Orders'!$I200, 'Future Orders'!$D200, "2", 'Future Orders'!$C200, "B", 'Future Orders'!$B200, "1")</f>
        <v>0</v>
      </c>
      <c r="V200" s="159">
        <f>SUMIFS('Future Orders'!$F200, 'Future Orders'!$D200, "2", 'Future Orders'!$C200, "A", 'Future Orders'!$B200, "2")</f>
        <v>0</v>
      </c>
      <c r="W200" s="157">
        <f>SUMIFS('Future Orders'!$I200, 'Future Orders'!$D200, "2", 'Future Orders'!$C200, "A", 'Future Orders'!$B200, "2")</f>
        <v>0</v>
      </c>
      <c r="X200" s="159">
        <f>SUMIFS('Future Orders'!$F200, 'Future Orders'!$D200, "2", 'Future Orders'!$C200, "B", 'Future Orders'!$B200, "2")</f>
        <v>0</v>
      </c>
      <c r="Y200" s="159">
        <f>SUMIFS('Future Orders'!$I200, 'Future Orders'!$D200, "2", 'Future Orders'!$C200, "B", 'Future Orders'!$B200, "2")</f>
        <v>0</v>
      </c>
      <c r="Z200" s="159">
        <f>SUMIFS('Future Orders'!$F200, 'Future Orders'!$D200, "3", 'Future Orders'!$C200, "A", 'Future Orders'!$B200, "1")</f>
        <v>0</v>
      </c>
      <c r="AA200" s="159">
        <f>SUMIFS('Future Orders'!$I200, 'Future Orders'!$D200, "3", 'Future Orders'!$C200, "A", 'Future Orders'!$B200, "1")</f>
        <v>0</v>
      </c>
      <c r="AB200" s="159">
        <f>SUMIFS('Future Orders'!$F200, 'Future Orders'!$D200, "3", 'Future Orders'!$C200, "B", 'Future Orders'!$B200, "1")</f>
        <v>0</v>
      </c>
      <c r="AC200" s="159">
        <f>SUMIFS('Future Orders'!$I200, 'Future Orders'!$D200, "3", 'Future Orders'!$C200, "B", 'Future Orders'!$B200, "1")</f>
        <v>0</v>
      </c>
      <c r="AD200" s="159">
        <f>SUMIFS('Future Orders'!$F200, 'Future Orders'!$D200, "3", 'Future Orders'!$C200, "A", 'Future Orders'!$B200, "2")</f>
        <v>0</v>
      </c>
      <c r="AE200" s="159">
        <f>SUMIFS('Future Orders'!$I200, 'Future Orders'!$D200, "3", 'Future Orders'!$C200, "A", 'Future Orders'!$B200, "2")</f>
        <v>0</v>
      </c>
      <c r="AF200" s="159">
        <f>SUMIFS('Future Orders'!$F200, 'Future Orders'!$D200, "3", 'Future Orders'!$C200, "B", 'Future Orders'!$B200, "2")</f>
        <v>0</v>
      </c>
      <c r="AG200" s="157">
        <f>SUMIFS('Future Orders'!$I200, 'Future Orders'!$D200, "3", 'Future Orders'!$C200, "B", 'Future Orders'!$B200, "2")</f>
        <v>0</v>
      </c>
      <c r="AH200" s="157">
        <f>SUMIFS('Future Orders'!$F200, 'Future Orders'!$D200, "4", 'Future Orders'!$C200, "A", 'Future Orders'!$B200, "1")</f>
        <v>0</v>
      </c>
      <c r="AI200" s="157">
        <f>SUMIFS('Future Orders'!$I200, 'Future Orders'!$D200, "4", 'Future Orders'!$C200, "A", 'Future Orders'!$B200, "1")</f>
        <v>0</v>
      </c>
      <c r="AJ200" s="157">
        <f>SUMIFS('Future Orders'!$F200, 'Future Orders'!$D200, "4", 'Future Orders'!$C200, "B", 'Future Orders'!$B200, "1")</f>
        <v>0</v>
      </c>
      <c r="AK200" s="157">
        <f>SUMIFS('Future Orders'!$I200, 'Future Orders'!$D200, "4", 'Future Orders'!$C200, "B", 'Future Orders'!$B200, "1")</f>
        <v>0</v>
      </c>
      <c r="AL200" s="157">
        <f>SUMIFS('Future Orders'!$F200, 'Future Orders'!$D200, "4", 'Future Orders'!$C200, "A", 'Future Orders'!$B200, "2")</f>
        <v>0</v>
      </c>
      <c r="AM200" s="157">
        <f>SUMIFS('Future Orders'!$I200, 'Future Orders'!$D200, "4", 'Future Orders'!$C200, "A", 'Future Orders'!$B200, "2")</f>
        <v>0</v>
      </c>
      <c r="AN200" s="171">
        <f>SUMIFS('Future Orders'!$F200, 'Future Orders'!$D200, "4", 'Future Orders'!$C200, "B", 'Future Orders'!$B200, "2")</f>
        <v>0</v>
      </c>
      <c r="AO200" s="171">
        <f>SUMIFS('Future Orders'!$I200, 'Future Orders'!$D200, "4", 'Future Orders'!$C200, "B", 'Future Orders'!$B200, "2")</f>
        <v>0</v>
      </c>
      <c r="AP200" s="171">
        <f>SUMIFS('Future Orders'!$H200, 'Future Orders'!$C200, "A", 'Future Orders'!$B200, "1")</f>
        <v>8373.2</v>
      </c>
      <c r="AQ200" s="171">
        <f>SUMIFS('Future Orders'!$I200, 'Future Orders'!$C200, "B", 'Future Orders'!$B200, "1")</f>
        <v>0</v>
      </c>
      <c r="AR200" s="171">
        <f>SUMIFS('Future Orders'!$H200, 'Future Orders'!$C200, "A", 'Future Orders'!$B200, "2")</f>
        <v>0</v>
      </c>
      <c r="AS200" s="171">
        <f>SUMIFS('Future Orders'!$I200, 'Future Orders'!$C200, "B", 'Future Orders'!$B200, "2")</f>
        <v>0</v>
      </c>
      <c r="AT200" s="145"/>
      <c r="AU200" s="172"/>
      <c r="AV200" s="172"/>
      <c r="AW200" s="172"/>
      <c r="AX200" s="172"/>
      <c r="AY200" s="172"/>
      <c r="AZ200" s="172"/>
      <c r="BA200" s="172"/>
      <c r="BB200" s="172"/>
      <c r="BC200" s="172"/>
      <c r="BD200" s="172"/>
      <c r="BE200" s="172"/>
      <c r="BF200" s="172"/>
      <c r="BG200" s="172"/>
      <c r="BH200" s="172"/>
      <c r="BI200" s="172"/>
      <c r="BJ200" s="172"/>
      <c r="BK200" s="172"/>
      <c r="BL200" s="172"/>
      <c r="BM200" s="172"/>
      <c r="BN200" s="172"/>
      <c r="BO200" s="172"/>
      <c r="BP200" s="172"/>
      <c r="BQ200" s="172"/>
      <c r="BR200" s="172"/>
      <c r="BS200" s="172"/>
      <c r="BT200" s="172"/>
      <c r="BU200" s="172"/>
      <c r="BV200" s="172"/>
      <c r="BW200" s="172"/>
      <c r="BX200" s="172"/>
      <c r="BY200" s="172"/>
      <c r="BZ200" s="172"/>
      <c r="CA200" s="179"/>
      <c r="CB200" s="179"/>
      <c r="CC200" s="179"/>
      <c r="CD200" s="179"/>
      <c r="CE200" s="179"/>
      <c r="CF200" s="179"/>
      <c r="CG200" s="179"/>
      <c r="CH200" s="179"/>
      <c r="CI200" s="179"/>
      <c r="CJ200" s="179"/>
      <c r="CK200" s="179"/>
      <c r="CL200" s="179"/>
      <c r="CM200" s="179"/>
      <c r="CN200" s="179"/>
      <c r="CO200" s="179"/>
      <c r="CP200" s="179"/>
    </row>
    <row r="201" ht="15.75" customHeight="1">
      <c r="A201" s="151">
        <v>42086.0</v>
      </c>
      <c r="B201" s="152">
        <v>1.0</v>
      </c>
      <c r="C201" s="152" t="s">
        <v>45</v>
      </c>
      <c r="D201" s="152">
        <v>2.0</v>
      </c>
      <c r="E201" s="153">
        <v>5686.0</v>
      </c>
      <c r="F201" s="153">
        <f>SUM(('Future Orders'!$E201) * (1.1))</f>
        <v>6254.6</v>
      </c>
      <c r="G201" s="154">
        <v>1.2</v>
      </c>
      <c r="H201" s="155">
        <v>6823.2</v>
      </c>
      <c r="I201" s="155">
        <f>SUM(('Future Orders'!$H201) * (1.1))</f>
        <v>7505.52</v>
      </c>
      <c r="J201" s="159">
        <f>SUMIFS('Future Orders'!$F201, 'Future Orders'!$D201, "1", 'Future Orders'!$C201, "A", 'Future Orders'!$B201, "1")</f>
        <v>0</v>
      </c>
      <c r="K201" s="157">
        <f>SUMIFS('Future Orders'!$I201, 'Future Orders'!$D201, "1", 'Future Orders'!$C201, "A", 'Future Orders'!$B201, "1")</f>
        <v>0</v>
      </c>
      <c r="L201" s="157">
        <f>SUMIFS('Future Orders'!$F201, 'Future Orders'!$D201, "1", 'Future Orders'!$C201, "B", 'Future Orders'!$B201, "1")</f>
        <v>0</v>
      </c>
      <c r="M201" s="157">
        <f>SUMIFS('Future Orders'!$I201, 'Future Orders'!$D201, "1", 'Future Orders'!$C201, "B", 'Future Orders'!$B201, "1")</f>
        <v>0</v>
      </c>
      <c r="N201" s="159">
        <f>SUMIFS('Future Orders'!$F201, 'Future Orders'!$D201, "1", 'Future Orders'!$C201, "A", 'Future Orders'!$B201, "2")</f>
        <v>0</v>
      </c>
      <c r="O201" s="157">
        <f>SUMIFS('Future Orders'!$I201, 'Future Orders'!$D201, "1", 'Future Orders'!$C201, "A", 'Future Orders'!$B201, "2")</f>
        <v>0</v>
      </c>
      <c r="P201" s="157">
        <f>SUMIFS('Future Orders'!$E201, 'Future Orders'!$D201, "1", 'Future Orders'!$C201, "B", 'Future Orders'!$B201, "2")</f>
        <v>0</v>
      </c>
      <c r="Q201" s="157">
        <f>SUMIFS('Future Orders'!$I201, 'Future Orders'!$D201, "1", 'Future Orders'!$C201, "B", 'Future Orders'!$B201, "2")</f>
        <v>0</v>
      </c>
      <c r="R201" s="159">
        <f>SUMIFS('Future Orders'!$F201, 'Future Orders'!$D201, "2", 'Future Orders'!$C201, "A", 'Future Orders'!$B201, "1")</f>
        <v>6254.6</v>
      </c>
      <c r="S201" s="157">
        <f>SUMIFS('Future Orders'!$I201, 'Future Orders'!$D201, "2", 'Future Orders'!$C201, "A", 'Future Orders'!$B201, "1")</f>
        <v>7505.52</v>
      </c>
      <c r="T201" s="159">
        <f>SUMIFS('Future Orders'!$F201, 'Future Orders'!$D201, "2", 'Future Orders'!$C201, "B", 'Future Orders'!$B201, "1")</f>
        <v>0</v>
      </c>
      <c r="U201" s="157">
        <f>SUMIFS('Future Orders'!$I201, 'Future Orders'!$D201, "2", 'Future Orders'!$C201, "B", 'Future Orders'!$B201, "1")</f>
        <v>0</v>
      </c>
      <c r="V201" s="159">
        <f>SUMIFS('Future Orders'!$F201, 'Future Orders'!$D201, "2", 'Future Orders'!$C201, "A", 'Future Orders'!$B201, "2")</f>
        <v>0</v>
      </c>
      <c r="W201" s="157">
        <f>SUMIFS('Future Orders'!$I201, 'Future Orders'!$D201, "2", 'Future Orders'!$C201, "A", 'Future Orders'!$B201, "2")</f>
        <v>0</v>
      </c>
      <c r="X201" s="159">
        <f>SUMIFS('Future Orders'!$F201, 'Future Orders'!$D201, "2", 'Future Orders'!$C201, "B", 'Future Orders'!$B201, "2")</f>
        <v>0</v>
      </c>
      <c r="Y201" s="159">
        <f>SUMIFS('Future Orders'!$I201, 'Future Orders'!$D201, "2", 'Future Orders'!$C201, "B", 'Future Orders'!$B201, "2")</f>
        <v>0</v>
      </c>
      <c r="Z201" s="159">
        <f>SUMIFS('Future Orders'!$F201, 'Future Orders'!$D201, "3", 'Future Orders'!$C201, "A", 'Future Orders'!$B201, "1")</f>
        <v>0</v>
      </c>
      <c r="AA201" s="159">
        <f>SUMIFS('Future Orders'!$I201, 'Future Orders'!$D201, "3", 'Future Orders'!$C201, "A", 'Future Orders'!$B201, "1")</f>
        <v>0</v>
      </c>
      <c r="AB201" s="159">
        <f>SUMIFS('Future Orders'!$F201, 'Future Orders'!$D201, "3", 'Future Orders'!$C201, "B", 'Future Orders'!$B201, "1")</f>
        <v>0</v>
      </c>
      <c r="AC201" s="159">
        <f>SUMIFS('Future Orders'!$I201, 'Future Orders'!$D201, "3", 'Future Orders'!$C201, "B", 'Future Orders'!$B201, "1")</f>
        <v>0</v>
      </c>
      <c r="AD201" s="159">
        <f>SUMIFS('Future Orders'!$F201, 'Future Orders'!$D201, "3", 'Future Orders'!$C201, "A", 'Future Orders'!$B201, "2")</f>
        <v>0</v>
      </c>
      <c r="AE201" s="159">
        <f>SUMIFS('Future Orders'!$I201, 'Future Orders'!$D201, "3", 'Future Orders'!$C201, "A", 'Future Orders'!$B201, "2")</f>
        <v>0</v>
      </c>
      <c r="AF201" s="159">
        <f>SUMIFS('Future Orders'!$F201, 'Future Orders'!$D201, "3", 'Future Orders'!$C201, "B", 'Future Orders'!$B201, "2")</f>
        <v>0</v>
      </c>
      <c r="AG201" s="157">
        <f>SUMIFS('Future Orders'!$I201, 'Future Orders'!$D201, "3", 'Future Orders'!$C201, "B", 'Future Orders'!$B201, "2")</f>
        <v>0</v>
      </c>
      <c r="AH201" s="157">
        <f>SUMIFS('Future Orders'!$F201, 'Future Orders'!$D201, "4", 'Future Orders'!$C201, "A", 'Future Orders'!$B201, "1")</f>
        <v>0</v>
      </c>
      <c r="AI201" s="157">
        <f>SUMIFS('Future Orders'!$I201, 'Future Orders'!$D201, "4", 'Future Orders'!$C201, "A", 'Future Orders'!$B201, "1")</f>
        <v>0</v>
      </c>
      <c r="AJ201" s="157">
        <f>SUMIFS('Future Orders'!$F201, 'Future Orders'!$D201, "4", 'Future Orders'!$C201, "B", 'Future Orders'!$B201, "1")</f>
        <v>0</v>
      </c>
      <c r="AK201" s="157">
        <f>SUMIFS('Future Orders'!$I201, 'Future Orders'!$D201, "4", 'Future Orders'!$C201, "B", 'Future Orders'!$B201, "1")</f>
        <v>0</v>
      </c>
      <c r="AL201" s="157">
        <f>SUMIFS('Future Orders'!$F201, 'Future Orders'!$D201, "4", 'Future Orders'!$C201, "A", 'Future Orders'!$B201, "2")</f>
        <v>0</v>
      </c>
      <c r="AM201" s="157">
        <f>SUMIFS('Future Orders'!$I201, 'Future Orders'!$D201, "4", 'Future Orders'!$C201, "A", 'Future Orders'!$B201, "2")</f>
        <v>0</v>
      </c>
      <c r="AN201" s="171">
        <f>SUMIFS('Future Orders'!$F201, 'Future Orders'!$D201, "4", 'Future Orders'!$C201, "B", 'Future Orders'!$B201, "2")</f>
        <v>0</v>
      </c>
      <c r="AO201" s="171">
        <f>SUMIFS('Future Orders'!$I201, 'Future Orders'!$D201, "4", 'Future Orders'!$C201, "B", 'Future Orders'!$B201, "2")</f>
        <v>0</v>
      </c>
      <c r="AP201" s="171">
        <f>SUMIFS('Future Orders'!$H201, 'Future Orders'!$C201, "A", 'Future Orders'!$B201, "1")</f>
        <v>6823.2</v>
      </c>
      <c r="AQ201" s="171">
        <f>SUMIFS('Future Orders'!$I201, 'Future Orders'!$C201, "B", 'Future Orders'!$B201, "1")</f>
        <v>0</v>
      </c>
      <c r="AR201" s="171">
        <f>SUMIFS('Future Orders'!$H201, 'Future Orders'!$C201, "A", 'Future Orders'!$B201, "2")</f>
        <v>0</v>
      </c>
      <c r="AS201" s="171">
        <f>SUMIFS('Future Orders'!$I201, 'Future Orders'!$C201, "B", 'Future Orders'!$B201, "2")</f>
        <v>0</v>
      </c>
      <c r="AT201" s="145"/>
      <c r="AU201" s="172"/>
      <c r="AV201" s="172"/>
      <c r="AW201" s="172"/>
      <c r="AX201" s="172"/>
      <c r="AY201" s="172"/>
      <c r="AZ201" s="172"/>
      <c r="BA201" s="172"/>
      <c r="BB201" s="172"/>
      <c r="BC201" s="172"/>
      <c r="BD201" s="172"/>
      <c r="BE201" s="172"/>
      <c r="BF201" s="172"/>
      <c r="BG201" s="172"/>
      <c r="BH201" s="172"/>
      <c r="BI201" s="172"/>
      <c r="BJ201" s="172"/>
      <c r="BK201" s="172"/>
      <c r="BL201" s="172"/>
      <c r="BM201" s="172"/>
      <c r="BN201" s="172"/>
      <c r="BO201" s="172"/>
      <c r="BP201" s="172"/>
      <c r="BQ201" s="172"/>
      <c r="BR201" s="172"/>
      <c r="BS201" s="172"/>
      <c r="BT201" s="172"/>
      <c r="BU201" s="172"/>
      <c r="BV201" s="172"/>
      <c r="BW201" s="172"/>
      <c r="BX201" s="172"/>
      <c r="BY201" s="172"/>
      <c r="BZ201" s="172"/>
      <c r="CA201" s="179"/>
      <c r="CB201" s="179"/>
      <c r="CC201" s="179"/>
      <c r="CD201" s="179"/>
      <c r="CE201" s="179"/>
      <c r="CF201" s="179"/>
      <c r="CG201" s="179"/>
      <c r="CH201" s="179"/>
      <c r="CI201" s="179"/>
      <c r="CJ201" s="179"/>
      <c r="CK201" s="179"/>
      <c r="CL201" s="179"/>
      <c r="CM201" s="179"/>
      <c r="CN201" s="179"/>
      <c r="CO201" s="179"/>
      <c r="CP201" s="179"/>
    </row>
    <row r="202" ht="15.75" customHeight="1">
      <c r="A202" s="151">
        <v>42086.0</v>
      </c>
      <c r="B202" s="152">
        <v>2.0</v>
      </c>
      <c r="C202" s="152" t="s">
        <v>45</v>
      </c>
      <c r="D202" s="152">
        <v>1.0</v>
      </c>
      <c r="E202" s="153">
        <v>2819.0</v>
      </c>
      <c r="F202" s="153">
        <f>SUM(('Future Orders'!$E202) * (1.1))</f>
        <v>3100.9</v>
      </c>
      <c r="G202" s="154">
        <v>2.2</v>
      </c>
      <c r="H202" s="155">
        <v>6201.8</v>
      </c>
      <c r="I202" s="155">
        <f>SUM(('Future Orders'!$H202) * (1.1))</f>
        <v>6821.98</v>
      </c>
      <c r="J202" s="159">
        <f>SUMIFS('Future Orders'!$F202, 'Future Orders'!$D202, "1", 'Future Orders'!$C202, "A", 'Future Orders'!$B202, "1")</f>
        <v>0</v>
      </c>
      <c r="K202" s="157">
        <f>SUMIFS('Future Orders'!$I202, 'Future Orders'!$D202, "1", 'Future Orders'!$C202, "A", 'Future Orders'!$B202, "1")</f>
        <v>0</v>
      </c>
      <c r="L202" s="157">
        <f>SUMIFS('Future Orders'!$F202, 'Future Orders'!$D202, "1", 'Future Orders'!$C202, "B", 'Future Orders'!$B202, "1")</f>
        <v>0</v>
      </c>
      <c r="M202" s="157">
        <f>SUMIFS('Future Orders'!$I202, 'Future Orders'!$D202, "1", 'Future Orders'!$C202, "B", 'Future Orders'!$B202, "1")</f>
        <v>0</v>
      </c>
      <c r="N202" s="159">
        <f>SUMIFS('Future Orders'!$F202, 'Future Orders'!$D202, "1", 'Future Orders'!$C202, "A", 'Future Orders'!$B202, "2")</f>
        <v>3100.9</v>
      </c>
      <c r="O202" s="157">
        <f>SUMIFS('Future Orders'!$I202, 'Future Orders'!$D202, "1", 'Future Orders'!$C202, "A", 'Future Orders'!$B202, "2")</f>
        <v>6821.98</v>
      </c>
      <c r="P202" s="157">
        <f>SUMIFS('Future Orders'!$E202, 'Future Orders'!$D202, "1", 'Future Orders'!$C202, "B", 'Future Orders'!$B202, "2")</f>
        <v>0</v>
      </c>
      <c r="Q202" s="157">
        <f>SUMIFS('Future Orders'!$I202, 'Future Orders'!$D202, "1", 'Future Orders'!$C202, "B", 'Future Orders'!$B202, "2")</f>
        <v>0</v>
      </c>
      <c r="R202" s="159">
        <f>SUMIFS('Future Orders'!$F202, 'Future Orders'!$D202, "2", 'Future Orders'!$C202, "A", 'Future Orders'!$B202, "1")</f>
        <v>0</v>
      </c>
      <c r="S202" s="157">
        <f>SUMIFS('Future Orders'!$I202, 'Future Orders'!$D202, "2", 'Future Orders'!$C202, "A", 'Future Orders'!$B202, "1")</f>
        <v>0</v>
      </c>
      <c r="T202" s="159">
        <f>SUMIFS('Future Orders'!$F202, 'Future Orders'!$D202, "2", 'Future Orders'!$C202, "B", 'Future Orders'!$B202, "1")</f>
        <v>0</v>
      </c>
      <c r="U202" s="157">
        <f>SUMIFS('Future Orders'!$I202, 'Future Orders'!$D202, "2", 'Future Orders'!$C202, "B", 'Future Orders'!$B202, "1")</f>
        <v>0</v>
      </c>
      <c r="V202" s="159">
        <f>SUMIFS('Future Orders'!$F202, 'Future Orders'!$D202, "2", 'Future Orders'!$C202, "A", 'Future Orders'!$B202, "2")</f>
        <v>0</v>
      </c>
      <c r="W202" s="157">
        <f>SUMIFS('Future Orders'!$I202, 'Future Orders'!$D202, "2", 'Future Orders'!$C202, "A", 'Future Orders'!$B202, "2")</f>
        <v>0</v>
      </c>
      <c r="X202" s="159">
        <f>SUMIFS('Future Orders'!$F202, 'Future Orders'!$D202, "2", 'Future Orders'!$C202, "B", 'Future Orders'!$B202, "2")</f>
        <v>0</v>
      </c>
      <c r="Y202" s="159">
        <f>SUMIFS('Future Orders'!$I202, 'Future Orders'!$D202, "2", 'Future Orders'!$C202, "B", 'Future Orders'!$B202, "2")</f>
        <v>0</v>
      </c>
      <c r="Z202" s="159">
        <f>SUMIFS('Future Orders'!$F202, 'Future Orders'!$D202, "3", 'Future Orders'!$C202, "A", 'Future Orders'!$B202, "1")</f>
        <v>0</v>
      </c>
      <c r="AA202" s="159">
        <f>SUMIFS('Future Orders'!$I202, 'Future Orders'!$D202, "3", 'Future Orders'!$C202, "A", 'Future Orders'!$B202, "1")</f>
        <v>0</v>
      </c>
      <c r="AB202" s="159">
        <f>SUMIFS('Future Orders'!$F202, 'Future Orders'!$D202, "3", 'Future Orders'!$C202, "B", 'Future Orders'!$B202, "1")</f>
        <v>0</v>
      </c>
      <c r="AC202" s="159">
        <f>SUMIFS('Future Orders'!$I202, 'Future Orders'!$D202, "3", 'Future Orders'!$C202, "B", 'Future Orders'!$B202, "1")</f>
        <v>0</v>
      </c>
      <c r="AD202" s="159">
        <f>SUMIFS('Future Orders'!$F202, 'Future Orders'!$D202, "3", 'Future Orders'!$C202, "A", 'Future Orders'!$B202, "2")</f>
        <v>0</v>
      </c>
      <c r="AE202" s="159">
        <f>SUMIFS('Future Orders'!$I202, 'Future Orders'!$D202, "3", 'Future Orders'!$C202, "A", 'Future Orders'!$B202, "2")</f>
        <v>0</v>
      </c>
      <c r="AF202" s="159">
        <f>SUMIFS('Future Orders'!$F202, 'Future Orders'!$D202, "3", 'Future Orders'!$C202, "B", 'Future Orders'!$B202, "2")</f>
        <v>0</v>
      </c>
      <c r="AG202" s="157">
        <f>SUMIFS('Future Orders'!$I202, 'Future Orders'!$D202, "3", 'Future Orders'!$C202, "B", 'Future Orders'!$B202, "2")</f>
        <v>0</v>
      </c>
      <c r="AH202" s="157">
        <f>SUMIFS('Future Orders'!$F202, 'Future Orders'!$D202, "4", 'Future Orders'!$C202, "A", 'Future Orders'!$B202, "1")</f>
        <v>0</v>
      </c>
      <c r="AI202" s="157">
        <f>SUMIFS('Future Orders'!$I202, 'Future Orders'!$D202, "4", 'Future Orders'!$C202, "A", 'Future Orders'!$B202, "1")</f>
        <v>0</v>
      </c>
      <c r="AJ202" s="157">
        <f>SUMIFS('Future Orders'!$F202, 'Future Orders'!$D202, "4", 'Future Orders'!$C202, "B", 'Future Orders'!$B202, "1")</f>
        <v>0</v>
      </c>
      <c r="AK202" s="157">
        <f>SUMIFS('Future Orders'!$I202, 'Future Orders'!$D202, "4", 'Future Orders'!$C202, "B", 'Future Orders'!$B202, "1")</f>
        <v>0</v>
      </c>
      <c r="AL202" s="157">
        <f>SUMIFS('Future Orders'!$F202, 'Future Orders'!$D202, "4", 'Future Orders'!$C202, "A", 'Future Orders'!$B202, "2")</f>
        <v>0</v>
      </c>
      <c r="AM202" s="157">
        <f>SUMIFS('Future Orders'!$I202, 'Future Orders'!$D202, "4", 'Future Orders'!$C202, "A", 'Future Orders'!$B202, "2")</f>
        <v>0</v>
      </c>
      <c r="AN202" s="171">
        <f>SUMIFS('Future Orders'!$F202, 'Future Orders'!$D202, "4", 'Future Orders'!$C202, "B", 'Future Orders'!$B202, "2")</f>
        <v>0</v>
      </c>
      <c r="AO202" s="171">
        <f>SUMIFS('Future Orders'!$I202, 'Future Orders'!$D202, "4", 'Future Orders'!$C202, "B", 'Future Orders'!$B202, "2")</f>
        <v>0</v>
      </c>
      <c r="AP202" s="171">
        <f>SUMIFS('Future Orders'!$H202, 'Future Orders'!$C202, "A", 'Future Orders'!$B202, "1")</f>
        <v>0</v>
      </c>
      <c r="AQ202" s="171">
        <f>SUMIFS('Future Orders'!$I202, 'Future Orders'!$C202, "B", 'Future Orders'!$B202, "1")</f>
        <v>0</v>
      </c>
      <c r="AR202" s="171">
        <f>SUMIFS('Future Orders'!$H202, 'Future Orders'!$C202, "A", 'Future Orders'!$B202, "2")</f>
        <v>6201.8</v>
      </c>
      <c r="AS202" s="171">
        <f>SUMIFS('Future Orders'!$I202, 'Future Orders'!$C202, "B", 'Future Orders'!$B202, "2")</f>
        <v>0</v>
      </c>
      <c r="AT202" s="145"/>
      <c r="AU202" s="172"/>
      <c r="AV202" s="172"/>
      <c r="AW202" s="172"/>
      <c r="AX202" s="172"/>
      <c r="AY202" s="172"/>
      <c r="AZ202" s="172"/>
      <c r="BA202" s="172"/>
      <c r="BB202" s="172"/>
      <c r="BC202" s="172"/>
      <c r="BD202" s="172"/>
      <c r="BE202" s="172"/>
      <c r="BF202" s="172"/>
      <c r="BG202" s="172"/>
      <c r="BH202" s="172"/>
      <c r="BI202" s="172"/>
      <c r="BJ202" s="172"/>
      <c r="BK202" s="172"/>
      <c r="BL202" s="172"/>
      <c r="BM202" s="172"/>
      <c r="BN202" s="172"/>
      <c r="BO202" s="172"/>
      <c r="BP202" s="172"/>
      <c r="BQ202" s="172"/>
      <c r="BR202" s="172"/>
      <c r="BS202" s="172"/>
      <c r="BT202" s="172"/>
      <c r="BU202" s="172"/>
      <c r="BV202" s="172"/>
      <c r="BW202" s="172"/>
      <c r="BX202" s="172"/>
      <c r="BY202" s="172"/>
      <c r="BZ202" s="172"/>
      <c r="CA202" s="179"/>
      <c r="CB202" s="179"/>
      <c r="CC202" s="179"/>
      <c r="CD202" s="179"/>
      <c r="CE202" s="179"/>
      <c r="CF202" s="179"/>
      <c r="CG202" s="179"/>
      <c r="CH202" s="179"/>
      <c r="CI202" s="179"/>
      <c r="CJ202" s="179"/>
      <c r="CK202" s="179"/>
      <c r="CL202" s="179"/>
      <c r="CM202" s="179"/>
      <c r="CN202" s="179"/>
      <c r="CO202" s="179"/>
      <c r="CP202" s="179"/>
    </row>
    <row r="203" ht="15.75" customHeight="1">
      <c r="A203" s="151">
        <v>42086.0</v>
      </c>
      <c r="B203" s="152">
        <v>2.0</v>
      </c>
      <c r="C203" s="152" t="s">
        <v>45</v>
      </c>
      <c r="D203" s="152">
        <v>2.0</v>
      </c>
      <c r="E203" s="153">
        <v>6756.0</v>
      </c>
      <c r="F203" s="153">
        <f>SUM(('Future Orders'!$E203) * (1.1))</f>
        <v>7431.6</v>
      </c>
      <c r="G203" s="154">
        <v>1.2</v>
      </c>
      <c r="H203" s="155">
        <v>8107.2</v>
      </c>
      <c r="I203" s="155">
        <f>SUM(('Future Orders'!$H203) * (1.1))</f>
        <v>8917.92</v>
      </c>
      <c r="J203" s="159">
        <f>SUMIFS('Future Orders'!$F203, 'Future Orders'!$D203, "1", 'Future Orders'!$C203, "A", 'Future Orders'!$B203, "1")</f>
        <v>0</v>
      </c>
      <c r="K203" s="157">
        <f>SUMIFS('Future Orders'!$I203, 'Future Orders'!$D203, "1", 'Future Orders'!$C203, "A", 'Future Orders'!$B203, "1")</f>
        <v>0</v>
      </c>
      <c r="L203" s="157">
        <f>SUMIFS('Future Orders'!$F203, 'Future Orders'!$D203, "1", 'Future Orders'!$C203, "B", 'Future Orders'!$B203, "1")</f>
        <v>0</v>
      </c>
      <c r="M203" s="157">
        <f>SUMIFS('Future Orders'!$I203, 'Future Orders'!$D203, "1", 'Future Orders'!$C203, "B", 'Future Orders'!$B203, "1")</f>
        <v>0</v>
      </c>
      <c r="N203" s="159">
        <f>SUMIFS('Future Orders'!$F203, 'Future Orders'!$D203, "1", 'Future Orders'!$C203, "A", 'Future Orders'!$B203, "2")</f>
        <v>0</v>
      </c>
      <c r="O203" s="157">
        <f>SUMIFS('Future Orders'!$I203, 'Future Orders'!$D203, "1", 'Future Orders'!$C203, "A", 'Future Orders'!$B203, "2")</f>
        <v>0</v>
      </c>
      <c r="P203" s="157">
        <f>SUMIFS('Future Orders'!$E203, 'Future Orders'!$D203, "1", 'Future Orders'!$C203, "B", 'Future Orders'!$B203, "2")</f>
        <v>0</v>
      </c>
      <c r="Q203" s="157">
        <f>SUMIFS('Future Orders'!$I203, 'Future Orders'!$D203, "1", 'Future Orders'!$C203, "B", 'Future Orders'!$B203, "2")</f>
        <v>0</v>
      </c>
      <c r="R203" s="159">
        <f>SUMIFS('Future Orders'!$F203, 'Future Orders'!$D203, "2", 'Future Orders'!$C203, "A", 'Future Orders'!$B203, "1")</f>
        <v>0</v>
      </c>
      <c r="S203" s="157">
        <f>SUMIFS('Future Orders'!$I203, 'Future Orders'!$D203, "2", 'Future Orders'!$C203, "A", 'Future Orders'!$B203, "1")</f>
        <v>0</v>
      </c>
      <c r="T203" s="159">
        <f>SUMIFS('Future Orders'!$F203, 'Future Orders'!$D203, "2", 'Future Orders'!$C203, "B", 'Future Orders'!$B203, "1")</f>
        <v>0</v>
      </c>
      <c r="U203" s="157">
        <f>SUMIFS('Future Orders'!$I203, 'Future Orders'!$D203, "2", 'Future Orders'!$C203, "B", 'Future Orders'!$B203, "1")</f>
        <v>0</v>
      </c>
      <c r="V203" s="159">
        <f>SUMIFS('Future Orders'!$F203, 'Future Orders'!$D203, "2", 'Future Orders'!$C203, "A", 'Future Orders'!$B203, "2")</f>
        <v>7431.6</v>
      </c>
      <c r="W203" s="157">
        <f>SUMIFS('Future Orders'!$I203, 'Future Orders'!$D203, "2", 'Future Orders'!$C203, "A", 'Future Orders'!$B203, "2")</f>
        <v>8917.92</v>
      </c>
      <c r="X203" s="159">
        <f>SUMIFS('Future Orders'!$F203, 'Future Orders'!$D203, "2", 'Future Orders'!$C203, "B", 'Future Orders'!$B203, "2")</f>
        <v>0</v>
      </c>
      <c r="Y203" s="159">
        <f>SUMIFS('Future Orders'!$I203, 'Future Orders'!$D203, "2", 'Future Orders'!$C203, "B", 'Future Orders'!$B203, "2")</f>
        <v>0</v>
      </c>
      <c r="Z203" s="159">
        <f>SUMIFS('Future Orders'!$F203, 'Future Orders'!$D203, "3", 'Future Orders'!$C203, "A", 'Future Orders'!$B203, "1")</f>
        <v>0</v>
      </c>
      <c r="AA203" s="159">
        <f>SUMIFS('Future Orders'!$I203, 'Future Orders'!$D203, "3", 'Future Orders'!$C203, "A", 'Future Orders'!$B203, "1")</f>
        <v>0</v>
      </c>
      <c r="AB203" s="159">
        <f>SUMIFS('Future Orders'!$F203, 'Future Orders'!$D203, "3", 'Future Orders'!$C203, "B", 'Future Orders'!$B203, "1")</f>
        <v>0</v>
      </c>
      <c r="AC203" s="159">
        <f>SUMIFS('Future Orders'!$I203, 'Future Orders'!$D203, "3", 'Future Orders'!$C203, "B", 'Future Orders'!$B203, "1")</f>
        <v>0</v>
      </c>
      <c r="AD203" s="159">
        <f>SUMIFS('Future Orders'!$F203, 'Future Orders'!$D203, "3", 'Future Orders'!$C203, "A", 'Future Orders'!$B203, "2")</f>
        <v>0</v>
      </c>
      <c r="AE203" s="159">
        <f>SUMIFS('Future Orders'!$I203, 'Future Orders'!$D203, "3", 'Future Orders'!$C203, "A", 'Future Orders'!$B203, "2")</f>
        <v>0</v>
      </c>
      <c r="AF203" s="159">
        <f>SUMIFS('Future Orders'!$F203, 'Future Orders'!$D203, "3", 'Future Orders'!$C203, "B", 'Future Orders'!$B203, "2")</f>
        <v>0</v>
      </c>
      <c r="AG203" s="157">
        <f>SUMIFS('Future Orders'!$I203, 'Future Orders'!$D203, "3", 'Future Orders'!$C203, "B", 'Future Orders'!$B203, "2")</f>
        <v>0</v>
      </c>
      <c r="AH203" s="157">
        <f>SUMIFS('Future Orders'!$F203, 'Future Orders'!$D203, "4", 'Future Orders'!$C203, "A", 'Future Orders'!$B203, "1")</f>
        <v>0</v>
      </c>
      <c r="AI203" s="157">
        <f>SUMIFS('Future Orders'!$I203, 'Future Orders'!$D203, "4", 'Future Orders'!$C203, "A", 'Future Orders'!$B203, "1")</f>
        <v>0</v>
      </c>
      <c r="AJ203" s="157">
        <f>SUMIFS('Future Orders'!$F203, 'Future Orders'!$D203, "4", 'Future Orders'!$C203, "B", 'Future Orders'!$B203, "1")</f>
        <v>0</v>
      </c>
      <c r="AK203" s="157">
        <f>SUMIFS('Future Orders'!$I203, 'Future Orders'!$D203, "4", 'Future Orders'!$C203, "B", 'Future Orders'!$B203, "1")</f>
        <v>0</v>
      </c>
      <c r="AL203" s="157">
        <f>SUMIFS('Future Orders'!$F203, 'Future Orders'!$D203, "4", 'Future Orders'!$C203, "A", 'Future Orders'!$B203, "2")</f>
        <v>0</v>
      </c>
      <c r="AM203" s="157">
        <f>SUMIFS('Future Orders'!$I203, 'Future Orders'!$D203, "4", 'Future Orders'!$C203, "A", 'Future Orders'!$B203, "2")</f>
        <v>0</v>
      </c>
      <c r="AN203" s="171">
        <f>SUMIFS('Future Orders'!$F203, 'Future Orders'!$D203, "4", 'Future Orders'!$C203, "B", 'Future Orders'!$B203, "2")</f>
        <v>0</v>
      </c>
      <c r="AO203" s="171">
        <f>SUMIFS('Future Orders'!$I203, 'Future Orders'!$D203, "4", 'Future Orders'!$C203, "B", 'Future Orders'!$B203, "2")</f>
        <v>0</v>
      </c>
      <c r="AP203" s="171">
        <f>SUMIFS('Future Orders'!$H203, 'Future Orders'!$C203, "A", 'Future Orders'!$B203, "1")</f>
        <v>0</v>
      </c>
      <c r="AQ203" s="171">
        <f>SUMIFS('Future Orders'!$I203, 'Future Orders'!$C203, "B", 'Future Orders'!$B203, "1")</f>
        <v>0</v>
      </c>
      <c r="AR203" s="171">
        <f>SUMIFS('Future Orders'!$H203, 'Future Orders'!$C203, "A", 'Future Orders'!$B203, "2")</f>
        <v>8107.2</v>
      </c>
      <c r="AS203" s="171">
        <f>SUMIFS('Future Orders'!$I203, 'Future Orders'!$C203, "B", 'Future Orders'!$B203, "2")</f>
        <v>0</v>
      </c>
      <c r="AT203" s="145"/>
      <c r="AU203" s="172"/>
      <c r="AV203" s="172"/>
      <c r="AW203" s="172"/>
      <c r="AX203" s="172"/>
      <c r="AY203" s="172"/>
      <c r="AZ203" s="172"/>
      <c r="BA203" s="172"/>
      <c r="BB203" s="172"/>
      <c r="BC203" s="172"/>
      <c r="BD203" s="172"/>
      <c r="BE203" s="172"/>
      <c r="BF203" s="172"/>
      <c r="BG203" s="172"/>
      <c r="BH203" s="172"/>
      <c r="BI203" s="172"/>
      <c r="BJ203" s="172"/>
      <c r="BK203" s="172"/>
      <c r="BL203" s="172"/>
      <c r="BM203" s="172"/>
      <c r="BN203" s="172"/>
      <c r="BO203" s="172"/>
      <c r="BP203" s="172"/>
      <c r="BQ203" s="172"/>
      <c r="BR203" s="172"/>
      <c r="BS203" s="172"/>
      <c r="BT203" s="172"/>
      <c r="BU203" s="172"/>
      <c r="BV203" s="172"/>
      <c r="BW203" s="172"/>
      <c r="BX203" s="172"/>
      <c r="BY203" s="172"/>
      <c r="BZ203" s="172"/>
      <c r="CA203" s="179"/>
      <c r="CB203" s="179"/>
      <c r="CC203" s="179"/>
      <c r="CD203" s="179"/>
      <c r="CE203" s="179"/>
      <c r="CF203" s="179"/>
      <c r="CG203" s="179"/>
      <c r="CH203" s="179"/>
      <c r="CI203" s="179"/>
      <c r="CJ203" s="179"/>
      <c r="CK203" s="179"/>
      <c r="CL203" s="179"/>
      <c r="CM203" s="179"/>
      <c r="CN203" s="179"/>
      <c r="CO203" s="179"/>
      <c r="CP203" s="179"/>
    </row>
    <row r="204" ht="15.75" customHeight="1">
      <c r="A204" s="151">
        <v>42086.0</v>
      </c>
      <c r="B204" s="152">
        <v>1.0</v>
      </c>
      <c r="C204" s="152" t="s">
        <v>46</v>
      </c>
      <c r="D204" s="152">
        <v>3.0</v>
      </c>
      <c r="E204" s="153">
        <v>2323.0</v>
      </c>
      <c r="F204" s="153">
        <f>SUM(('Future Orders'!$E204) * (1.1))</f>
        <v>2555.3</v>
      </c>
      <c r="G204" s="154">
        <v>8.3</v>
      </c>
      <c r="H204" s="155">
        <v>19280.9</v>
      </c>
      <c r="I204" s="155">
        <f>SUM(('Future Orders'!$H204) * (1.1))</f>
        <v>21208.99</v>
      </c>
      <c r="J204" s="159">
        <f>SUMIFS('Future Orders'!$F204, 'Future Orders'!$D204, "1", 'Future Orders'!$C204, "A", 'Future Orders'!$B204, "1")</f>
        <v>0</v>
      </c>
      <c r="K204" s="157">
        <f>SUMIFS('Future Orders'!$I204, 'Future Orders'!$D204, "1", 'Future Orders'!$C204, "A", 'Future Orders'!$B204, "1")</f>
        <v>0</v>
      </c>
      <c r="L204" s="157">
        <f>SUMIFS('Future Orders'!$F204, 'Future Orders'!$D204, "1", 'Future Orders'!$C204, "B", 'Future Orders'!$B204, "1")</f>
        <v>0</v>
      </c>
      <c r="M204" s="157">
        <f>SUMIFS('Future Orders'!$I204, 'Future Orders'!$D204, "1", 'Future Orders'!$C204, "B", 'Future Orders'!$B204, "1")</f>
        <v>0</v>
      </c>
      <c r="N204" s="159">
        <f>SUMIFS('Future Orders'!$F204, 'Future Orders'!$D204, "1", 'Future Orders'!$C204, "A", 'Future Orders'!$B204, "2")</f>
        <v>0</v>
      </c>
      <c r="O204" s="157">
        <f>SUMIFS('Future Orders'!$I204, 'Future Orders'!$D204, "1", 'Future Orders'!$C204, "A", 'Future Orders'!$B204, "2")</f>
        <v>0</v>
      </c>
      <c r="P204" s="157">
        <f>SUMIFS('Future Orders'!$E204, 'Future Orders'!$D204, "1", 'Future Orders'!$C204, "B", 'Future Orders'!$B204, "2")</f>
        <v>0</v>
      </c>
      <c r="Q204" s="157">
        <f>SUMIFS('Future Orders'!$I204, 'Future Orders'!$D204, "1", 'Future Orders'!$C204, "B", 'Future Orders'!$B204, "2")</f>
        <v>0</v>
      </c>
      <c r="R204" s="159">
        <f>SUMIFS('Future Orders'!$F204, 'Future Orders'!$D204, "2", 'Future Orders'!$C204, "A", 'Future Orders'!$B204, "1")</f>
        <v>0</v>
      </c>
      <c r="S204" s="157">
        <f>SUMIFS('Future Orders'!$I204, 'Future Orders'!$D204, "2", 'Future Orders'!$C204, "A", 'Future Orders'!$B204, "1")</f>
        <v>0</v>
      </c>
      <c r="T204" s="159">
        <f>SUMIFS('Future Orders'!$F204, 'Future Orders'!$D204, "2", 'Future Orders'!$C204, "B", 'Future Orders'!$B204, "1")</f>
        <v>0</v>
      </c>
      <c r="U204" s="157">
        <f>SUMIFS('Future Orders'!$I204, 'Future Orders'!$D204, "2", 'Future Orders'!$C204, "B", 'Future Orders'!$B204, "1")</f>
        <v>0</v>
      </c>
      <c r="V204" s="159">
        <f>SUMIFS('Future Orders'!$F204, 'Future Orders'!$D204, "2", 'Future Orders'!$C204, "A", 'Future Orders'!$B204, "2")</f>
        <v>0</v>
      </c>
      <c r="W204" s="157">
        <f>SUMIFS('Future Orders'!$I204, 'Future Orders'!$D204, "2", 'Future Orders'!$C204, "A", 'Future Orders'!$B204, "2")</f>
        <v>0</v>
      </c>
      <c r="X204" s="159">
        <f>SUMIFS('Future Orders'!$F204, 'Future Orders'!$D204, "2", 'Future Orders'!$C204, "B", 'Future Orders'!$B204, "2")</f>
        <v>0</v>
      </c>
      <c r="Y204" s="159">
        <f>SUMIFS('Future Orders'!$I204, 'Future Orders'!$D204, "2", 'Future Orders'!$C204, "B", 'Future Orders'!$B204, "2")</f>
        <v>0</v>
      </c>
      <c r="Z204" s="159">
        <f>SUMIFS('Future Orders'!$F204, 'Future Orders'!$D204, "3", 'Future Orders'!$C204, "A", 'Future Orders'!$B204, "1")</f>
        <v>0</v>
      </c>
      <c r="AA204" s="159">
        <f>SUMIFS('Future Orders'!$I204, 'Future Orders'!$D204, "3", 'Future Orders'!$C204, "A", 'Future Orders'!$B204, "1")</f>
        <v>0</v>
      </c>
      <c r="AB204" s="159">
        <f>SUMIFS('Future Orders'!$F204, 'Future Orders'!$D204, "3", 'Future Orders'!$C204, "B", 'Future Orders'!$B204, "1")</f>
        <v>2555.3</v>
      </c>
      <c r="AC204" s="159">
        <f>SUMIFS('Future Orders'!$I204, 'Future Orders'!$D204, "3", 'Future Orders'!$C204, "B", 'Future Orders'!$B204, "1")</f>
        <v>21208.99</v>
      </c>
      <c r="AD204" s="159">
        <f>SUMIFS('Future Orders'!$F204, 'Future Orders'!$D204, "3", 'Future Orders'!$C204, "A", 'Future Orders'!$B204, "2")</f>
        <v>0</v>
      </c>
      <c r="AE204" s="159">
        <f>SUMIFS('Future Orders'!$I204, 'Future Orders'!$D204, "3", 'Future Orders'!$C204, "A", 'Future Orders'!$B204, "2")</f>
        <v>0</v>
      </c>
      <c r="AF204" s="159">
        <f>SUMIFS('Future Orders'!$F204, 'Future Orders'!$D204, "3", 'Future Orders'!$C204, "B", 'Future Orders'!$B204, "2")</f>
        <v>0</v>
      </c>
      <c r="AG204" s="157">
        <f>SUMIFS('Future Orders'!$I204, 'Future Orders'!$D204, "3", 'Future Orders'!$C204, "B", 'Future Orders'!$B204, "2")</f>
        <v>0</v>
      </c>
      <c r="AH204" s="157">
        <f>SUMIFS('Future Orders'!$F204, 'Future Orders'!$D204, "4", 'Future Orders'!$C204, "A", 'Future Orders'!$B204, "1")</f>
        <v>0</v>
      </c>
      <c r="AI204" s="157">
        <f>SUMIFS('Future Orders'!$I204, 'Future Orders'!$D204, "4", 'Future Orders'!$C204, "A", 'Future Orders'!$B204, "1")</f>
        <v>0</v>
      </c>
      <c r="AJ204" s="157">
        <f>SUMIFS('Future Orders'!$F204, 'Future Orders'!$D204, "4", 'Future Orders'!$C204, "B", 'Future Orders'!$B204, "1")</f>
        <v>0</v>
      </c>
      <c r="AK204" s="157">
        <f>SUMIFS('Future Orders'!$I204, 'Future Orders'!$D204, "4", 'Future Orders'!$C204, "B", 'Future Orders'!$B204, "1")</f>
        <v>0</v>
      </c>
      <c r="AL204" s="157">
        <f>SUMIFS('Future Orders'!$F204, 'Future Orders'!$D204, "4", 'Future Orders'!$C204, "A", 'Future Orders'!$B204, "2")</f>
        <v>0</v>
      </c>
      <c r="AM204" s="157">
        <f>SUMIFS('Future Orders'!$I204, 'Future Orders'!$D204, "4", 'Future Orders'!$C204, "A", 'Future Orders'!$B204, "2")</f>
        <v>0</v>
      </c>
      <c r="AN204" s="171">
        <f>SUMIFS('Future Orders'!$F204, 'Future Orders'!$D204, "4", 'Future Orders'!$C204, "B", 'Future Orders'!$B204, "2")</f>
        <v>0</v>
      </c>
      <c r="AO204" s="171">
        <f>SUMIFS('Future Orders'!$I204, 'Future Orders'!$D204, "4", 'Future Orders'!$C204, "B", 'Future Orders'!$B204, "2")</f>
        <v>0</v>
      </c>
      <c r="AP204" s="171">
        <f>SUMIFS('Future Orders'!$H204, 'Future Orders'!$C204, "A", 'Future Orders'!$B204, "1")</f>
        <v>0</v>
      </c>
      <c r="AQ204" s="171">
        <f>SUMIFS('Future Orders'!$I204, 'Future Orders'!$C204, "B", 'Future Orders'!$B204, "1")</f>
        <v>21208.99</v>
      </c>
      <c r="AR204" s="171">
        <f>SUMIFS('Future Orders'!$H204, 'Future Orders'!$C204, "A", 'Future Orders'!$B204, "2")</f>
        <v>0</v>
      </c>
      <c r="AS204" s="171">
        <f>SUMIFS('Future Orders'!$I204, 'Future Orders'!$C204, "B", 'Future Orders'!$B204, "2")</f>
        <v>0</v>
      </c>
      <c r="AT204" s="145"/>
      <c r="AU204" s="172"/>
      <c r="AV204" s="172"/>
      <c r="AW204" s="172"/>
      <c r="AX204" s="172"/>
      <c r="AY204" s="172"/>
      <c r="AZ204" s="172"/>
      <c r="BA204" s="172"/>
      <c r="BB204" s="172"/>
      <c r="BC204" s="172"/>
      <c r="BD204" s="172"/>
      <c r="BE204" s="172"/>
      <c r="BF204" s="172"/>
      <c r="BG204" s="172"/>
      <c r="BH204" s="172"/>
      <c r="BI204" s="172"/>
      <c r="BJ204" s="172"/>
      <c r="BK204" s="172"/>
      <c r="BL204" s="172"/>
      <c r="BM204" s="172"/>
      <c r="BN204" s="172"/>
      <c r="BO204" s="172"/>
      <c r="BP204" s="172"/>
      <c r="BQ204" s="172"/>
      <c r="BR204" s="172"/>
      <c r="BS204" s="172"/>
      <c r="BT204" s="172"/>
      <c r="BU204" s="172"/>
      <c r="BV204" s="172"/>
      <c r="BW204" s="172"/>
      <c r="BX204" s="172"/>
      <c r="BY204" s="172"/>
      <c r="BZ204" s="172"/>
      <c r="CA204" s="179"/>
      <c r="CB204" s="179"/>
      <c r="CC204" s="179"/>
      <c r="CD204" s="179"/>
      <c r="CE204" s="179"/>
      <c r="CF204" s="179"/>
      <c r="CG204" s="179"/>
      <c r="CH204" s="179"/>
      <c r="CI204" s="179"/>
      <c r="CJ204" s="179"/>
      <c r="CK204" s="179"/>
      <c r="CL204" s="179"/>
      <c r="CM204" s="179"/>
      <c r="CN204" s="179"/>
      <c r="CO204" s="179"/>
      <c r="CP204" s="179"/>
    </row>
    <row r="205" ht="15.75" customHeight="1">
      <c r="A205" s="151">
        <v>42086.0</v>
      </c>
      <c r="B205" s="152">
        <v>2.0</v>
      </c>
      <c r="C205" s="152" t="s">
        <v>46</v>
      </c>
      <c r="D205" s="152">
        <v>3.0</v>
      </c>
      <c r="E205" s="153">
        <v>2892.0</v>
      </c>
      <c r="F205" s="153">
        <f>SUM(('Future Orders'!$E205) * (1.1))</f>
        <v>3181.2</v>
      </c>
      <c r="G205" s="154">
        <v>8.3</v>
      </c>
      <c r="H205" s="155">
        <v>24003.600000000002</v>
      </c>
      <c r="I205" s="155">
        <f>SUM(('Future Orders'!$H205) * (1.1))</f>
        <v>26403.96</v>
      </c>
      <c r="J205" s="159">
        <f>SUMIFS('Future Orders'!$F205, 'Future Orders'!$D205, "1", 'Future Orders'!$C205, "A", 'Future Orders'!$B205, "1")</f>
        <v>0</v>
      </c>
      <c r="K205" s="157">
        <f>SUMIFS('Future Orders'!$I205, 'Future Orders'!$D205, "1", 'Future Orders'!$C205, "A", 'Future Orders'!$B205, "1")</f>
        <v>0</v>
      </c>
      <c r="L205" s="157">
        <f>SUMIFS('Future Orders'!$F205, 'Future Orders'!$D205, "1", 'Future Orders'!$C205, "B", 'Future Orders'!$B205, "1")</f>
        <v>0</v>
      </c>
      <c r="M205" s="157">
        <f>SUMIFS('Future Orders'!$I205, 'Future Orders'!$D205, "1", 'Future Orders'!$C205, "B", 'Future Orders'!$B205, "1")</f>
        <v>0</v>
      </c>
      <c r="N205" s="159">
        <f>SUMIFS('Future Orders'!$F205, 'Future Orders'!$D205, "1", 'Future Orders'!$C205, "A", 'Future Orders'!$B205, "2")</f>
        <v>0</v>
      </c>
      <c r="O205" s="157">
        <f>SUMIFS('Future Orders'!$I205, 'Future Orders'!$D205, "1", 'Future Orders'!$C205, "A", 'Future Orders'!$B205, "2")</f>
        <v>0</v>
      </c>
      <c r="P205" s="157">
        <f>SUMIFS('Future Orders'!$E205, 'Future Orders'!$D205, "1", 'Future Orders'!$C205, "B", 'Future Orders'!$B205, "2")</f>
        <v>0</v>
      </c>
      <c r="Q205" s="157">
        <f>SUMIFS('Future Orders'!$I205, 'Future Orders'!$D205, "1", 'Future Orders'!$C205, "B", 'Future Orders'!$B205, "2")</f>
        <v>0</v>
      </c>
      <c r="R205" s="159">
        <f>SUMIFS('Future Orders'!$F205, 'Future Orders'!$D205, "2", 'Future Orders'!$C205, "A", 'Future Orders'!$B205, "1")</f>
        <v>0</v>
      </c>
      <c r="S205" s="157">
        <f>SUMIFS('Future Orders'!$I205, 'Future Orders'!$D205, "2", 'Future Orders'!$C205, "A", 'Future Orders'!$B205, "1")</f>
        <v>0</v>
      </c>
      <c r="T205" s="159">
        <f>SUMIFS('Future Orders'!$F205, 'Future Orders'!$D205, "2", 'Future Orders'!$C205, "B", 'Future Orders'!$B205, "1")</f>
        <v>0</v>
      </c>
      <c r="U205" s="157">
        <f>SUMIFS('Future Orders'!$I205, 'Future Orders'!$D205, "2", 'Future Orders'!$C205, "B", 'Future Orders'!$B205, "1")</f>
        <v>0</v>
      </c>
      <c r="V205" s="159">
        <f>SUMIFS('Future Orders'!$F205, 'Future Orders'!$D205, "2", 'Future Orders'!$C205, "A", 'Future Orders'!$B205, "2")</f>
        <v>0</v>
      </c>
      <c r="W205" s="157">
        <f>SUMIFS('Future Orders'!$I205, 'Future Orders'!$D205, "2", 'Future Orders'!$C205, "A", 'Future Orders'!$B205, "2")</f>
        <v>0</v>
      </c>
      <c r="X205" s="159">
        <f>SUMIFS('Future Orders'!$F205, 'Future Orders'!$D205, "2", 'Future Orders'!$C205, "B", 'Future Orders'!$B205, "2")</f>
        <v>0</v>
      </c>
      <c r="Y205" s="159">
        <f>SUMIFS('Future Orders'!$I205, 'Future Orders'!$D205, "2", 'Future Orders'!$C205, "B", 'Future Orders'!$B205, "2")</f>
        <v>0</v>
      </c>
      <c r="Z205" s="159">
        <f>SUMIFS('Future Orders'!$F205, 'Future Orders'!$D205, "3", 'Future Orders'!$C205, "A", 'Future Orders'!$B205, "1")</f>
        <v>0</v>
      </c>
      <c r="AA205" s="159">
        <f>SUMIFS('Future Orders'!$I205, 'Future Orders'!$D205, "3", 'Future Orders'!$C205, "A", 'Future Orders'!$B205, "1")</f>
        <v>0</v>
      </c>
      <c r="AB205" s="159">
        <f>SUMIFS('Future Orders'!$F205, 'Future Orders'!$D205, "3", 'Future Orders'!$C205, "B", 'Future Orders'!$B205, "1")</f>
        <v>0</v>
      </c>
      <c r="AC205" s="159">
        <f>SUMIFS('Future Orders'!$I205, 'Future Orders'!$D205, "3", 'Future Orders'!$C205, "B", 'Future Orders'!$B205, "1")</f>
        <v>0</v>
      </c>
      <c r="AD205" s="159">
        <f>SUMIFS('Future Orders'!$F205, 'Future Orders'!$D205, "3", 'Future Orders'!$C205, "A", 'Future Orders'!$B205, "2")</f>
        <v>0</v>
      </c>
      <c r="AE205" s="159">
        <f>SUMIFS('Future Orders'!$I205, 'Future Orders'!$D205, "3", 'Future Orders'!$C205, "A", 'Future Orders'!$B205, "2")</f>
        <v>0</v>
      </c>
      <c r="AF205" s="159">
        <f>SUMIFS('Future Orders'!$F205, 'Future Orders'!$D205, "3", 'Future Orders'!$C205, "B", 'Future Orders'!$B205, "2")</f>
        <v>3181.2</v>
      </c>
      <c r="AG205" s="157">
        <f>SUMIFS('Future Orders'!$I205, 'Future Orders'!$D205, "3", 'Future Orders'!$C205, "B", 'Future Orders'!$B205, "2")</f>
        <v>26403.96</v>
      </c>
      <c r="AH205" s="157">
        <f>SUMIFS('Future Orders'!$F205, 'Future Orders'!$D205, "4", 'Future Orders'!$C205, "A", 'Future Orders'!$B205, "1")</f>
        <v>0</v>
      </c>
      <c r="AI205" s="157">
        <f>SUMIFS('Future Orders'!$I205, 'Future Orders'!$D205, "4", 'Future Orders'!$C205, "A", 'Future Orders'!$B205, "1")</f>
        <v>0</v>
      </c>
      <c r="AJ205" s="157">
        <f>SUMIFS('Future Orders'!$F205, 'Future Orders'!$D205, "4", 'Future Orders'!$C205, "B", 'Future Orders'!$B205, "1")</f>
        <v>0</v>
      </c>
      <c r="AK205" s="157">
        <f>SUMIFS('Future Orders'!$I205, 'Future Orders'!$D205, "4", 'Future Orders'!$C205, "B", 'Future Orders'!$B205, "1")</f>
        <v>0</v>
      </c>
      <c r="AL205" s="157">
        <f>SUMIFS('Future Orders'!$F205, 'Future Orders'!$D205, "4", 'Future Orders'!$C205, "A", 'Future Orders'!$B205, "2")</f>
        <v>0</v>
      </c>
      <c r="AM205" s="157">
        <f>SUMIFS('Future Orders'!$I205, 'Future Orders'!$D205, "4", 'Future Orders'!$C205, "A", 'Future Orders'!$B205, "2")</f>
        <v>0</v>
      </c>
      <c r="AN205" s="171">
        <f>SUMIFS('Future Orders'!$F205, 'Future Orders'!$D205, "4", 'Future Orders'!$C205, "B", 'Future Orders'!$B205, "2")</f>
        <v>0</v>
      </c>
      <c r="AO205" s="171">
        <f>SUMIFS('Future Orders'!$I205, 'Future Orders'!$D205, "4", 'Future Orders'!$C205, "B", 'Future Orders'!$B205, "2")</f>
        <v>0</v>
      </c>
      <c r="AP205" s="171">
        <f>SUMIFS('Future Orders'!$H205, 'Future Orders'!$C205, "A", 'Future Orders'!$B205, "1")</f>
        <v>0</v>
      </c>
      <c r="AQ205" s="171">
        <f>SUMIFS('Future Orders'!$I205, 'Future Orders'!$C205, "B", 'Future Orders'!$B205, "1")</f>
        <v>0</v>
      </c>
      <c r="AR205" s="171">
        <f>SUMIFS('Future Orders'!$H205, 'Future Orders'!$C205, "A", 'Future Orders'!$B205, "2")</f>
        <v>0</v>
      </c>
      <c r="AS205" s="171">
        <f>SUMIFS('Future Orders'!$I205, 'Future Orders'!$C205, "B", 'Future Orders'!$B205, "2")</f>
        <v>26403.96</v>
      </c>
      <c r="AT205" s="145"/>
      <c r="AU205" s="172"/>
      <c r="AV205" s="172"/>
      <c r="AW205" s="172"/>
      <c r="AX205" s="172"/>
      <c r="AY205" s="172"/>
      <c r="AZ205" s="172"/>
      <c r="BA205" s="172"/>
      <c r="BB205" s="172"/>
      <c r="BC205" s="172"/>
      <c r="BD205" s="172"/>
      <c r="BE205" s="172"/>
      <c r="BF205" s="172"/>
      <c r="BG205" s="172"/>
      <c r="BH205" s="172"/>
      <c r="BI205" s="172"/>
      <c r="BJ205" s="172"/>
      <c r="BK205" s="172"/>
      <c r="BL205" s="172"/>
      <c r="BM205" s="172"/>
      <c r="BN205" s="172"/>
      <c r="BO205" s="172"/>
      <c r="BP205" s="172"/>
      <c r="BQ205" s="172"/>
      <c r="BR205" s="172"/>
      <c r="BS205" s="172"/>
      <c r="BT205" s="172"/>
      <c r="BU205" s="172"/>
      <c r="BV205" s="172"/>
      <c r="BW205" s="172"/>
      <c r="BX205" s="172"/>
      <c r="BY205" s="172"/>
      <c r="BZ205" s="172"/>
      <c r="CA205" s="179"/>
      <c r="CB205" s="179"/>
      <c r="CC205" s="179"/>
      <c r="CD205" s="179"/>
      <c r="CE205" s="179"/>
      <c r="CF205" s="179"/>
      <c r="CG205" s="179"/>
      <c r="CH205" s="179"/>
      <c r="CI205" s="179"/>
      <c r="CJ205" s="179"/>
      <c r="CK205" s="179"/>
      <c r="CL205" s="179"/>
      <c r="CM205" s="179"/>
      <c r="CN205" s="179"/>
      <c r="CO205" s="179"/>
      <c r="CP205" s="179"/>
    </row>
    <row r="206" ht="15.75" customHeight="1">
      <c r="A206" s="151">
        <v>42093.0</v>
      </c>
      <c r="B206" s="152">
        <v>1.0</v>
      </c>
      <c r="C206" s="152" t="s">
        <v>45</v>
      </c>
      <c r="D206" s="152">
        <v>1.0</v>
      </c>
      <c r="E206" s="153">
        <v>4470.0</v>
      </c>
      <c r="F206" s="153">
        <f>SUM(('Future Orders'!$E206) * (1.1))</f>
        <v>4917</v>
      </c>
      <c r="G206" s="154">
        <v>2.2</v>
      </c>
      <c r="H206" s="155">
        <v>9834.0</v>
      </c>
      <c r="I206" s="155">
        <f>SUM(('Future Orders'!$H206) * (1.1))</f>
        <v>10817.4</v>
      </c>
      <c r="J206" s="159">
        <f>SUMIFS('Future Orders'!$F206, 'Future Orders'!$D206, "1", 'Future Orders'!$C206, "A", 'Future Orders'!$B206, "1")</f>
        <v>4917</v>
      </c>
      <c r="K206" s="157">
        <f>SUMIFS('Future Orders'!$I206, 'Future Orders'!$D206, "1", 'Future Orders'!$C206, "A", 'Future Orders'!$B206, "1")</f>
        <v>10817.4</v>
      </c>
      <c r="L206" s="157">
        <f>SUMIFS('Future Orders'!$F206, 'Future Orders'!$D206, "1", 'Future Orders'!$C206, "B", 'Future Orders'!$B206, "1")</f>
        <v>0</v>
      </c>
      <c r="M206" s="157">
        <f>SUMIFS('Future Orders'!$I206, 'Future Orders'!$D206, "1", 'Future Orders'!$C206, "B", 'Future Orders'!$B206, "1")</f>
        <v>0</v>
      </c>
      <c r="N206" s="159">
        <f>SUMIFS('Future Orders'!$F206, 'Future Orders'!$D206, "1", 'Future Orders'!$C206, "A", 'Future Orders'!$B206, "2")</f>
        <v>0</v>
      </c>
      <c r="O206" s="157">
        <f>SUMIFS('Future Orders'!$I206, 'Future Orders'!$D206, "1", 'Future Orders'!$C206, "A", 'Future Orders'!$B206, "2")</f>
        <v>0</v>
      </c>
      <c r="P206" s="157">
        <f>SUMIFS('Future Orders'!$E206, 'Future Orders'!$D206, "1", 'Future Orders'!$C206, "B", 'Future Orders'!$B206, "2")</f>
        <v>0</v>
      </c>
      <c r="Q206" s="157">
        <f>SUMIFS('Future Orders'!$I206, 'Future Orders'!$D206, "1", 'Future Orders'!$C206, "B", 'Future Orders'!$B206, "2")</f>
        <v>0</v>
      </c>
      <c r="R206" s="159">
        <f>SUMIFS('Future Orders'!$F206, 'Future Orders'!$D206, "2", 'Future Orders'!$C206, "A", 'Future Orders'!$B206, "1")</f>
        <v>0</v>
      </c>
      <c r="S206" s="157">
        <f>SUMIFS('Future Orders'!$I206, 'Future Orders'!$D206, "2", 'Future Orders'!$C206, "A", 'Future Orders'!$B206, "1")</f>
        <v>0</v>
      </c>
      <c r="T206" s="159">
        <f>SUMIFS('Future Orders'!$F206, 'Future Orders'!$D206, "2", 'Future Orders'!$C206, "B", 'Future Orders'!$B206, "1")</f>
        <v>0</v>
      </c>
      <c r="U206" s="157">
        <f>SUMIFS('Future Orders'!$I206, 'Future Orders'!$D206, "2", 'Future Orders'!$C206, "B", 'Future Orders'!$B206, "1")</f>
        <v>0</v>
      </c>
      <c r="V206" s="159">
        <f>SUMIFS('Future Orders'!$F206, 'Future Orders'!$D206, "2", 'Future Orders'!$C206, "A", 'Future Orders'!$B206, "2")</f>
        <v>0</v>
      </c>
      <c r="W206" s="157">
        <f>SUMIFS('Future Orders'!$I206, 'Future Orders'!$D206, "2", 'Future Orders'!$C206, "A", 'Future Orders'!$B206, "2")</f>
        <v>0</v>
      </c>
      <c r="X206" s="159">
        <f>SUMIFS('Future Orders'!$F206, 'Future Orders'!$D206, "2", 'Future Orders'!$C206, "B", 'Future Orders'!$B206, "2")</f>
        <v>0</v>
      </c>
      <c r="Y206" s="159">
        <f>SUMIFS('Future Orders'!$I206, 'Future Orders'!$D206, "2", 'Future Orders'!$C206, "B", 'Future Orders'!$B206, "2")</f>
        <v>0</v>
      </c>
      <c r="Z206" s="159">
        <f>SUMIFS('Future Orders'!$F206, 'Future Orders'!$D206, "3", 'Future Orders'!$C206, "A", 'Future Orders'!$B206, "1")</f>
        <v>0</v>
      </c>
      <c r="AA206" s="159">
        <f>SUMIFS('Future Orders'!$I206, 'Future Orders'!$D206, "3", 'Future Orders'!$C206, "A", 'Future Orders'!$B206, "1")</f>
        <v>0</v>
      </c>
      <c r="AB206" s="159">
        <f>SUMIFS('Future Orders'!$F206, 'Future Orders'!$D206, "3", 'Future Orders'!$C206, "B", 'Future Orders'!$B206, "1")</f>
        <v>0</v>
      </c>
      <c r="AC206" s="159">
        <f>SUMIFS('Future Orders'!$I206, 'Future Orders'!$D206, "3", 'Future Orders'!$C206, "B", 'Future Orders'!$B206, "1")</f>
        <v>0</v>
      </c>
      <c r="AD206" s="159">
        <f>SUMIFS('Future Orders'!$F206, 'Future Orders'!$D206, "3", 'Future Orders'!$C206, "A", 'Future Orders'!$B206, "2")</f>
        <v>0</v>
      </c>
      <c r="AE206" s="159">
        <f>SUMIFS('Future Orders'!$I206, 'Future Orders'!$D206, "3", 'Future Orders'!$C206, "A", 'Future Orders'!$B206, "2")</f>
        <v>0</v>
      </c>
      <c r="AF206" s="159">
        <f>SUMIFS('Future Orders'!$F206, 'Future Orders'!$D206, "3", 'Future Orders'!$C206, "B", 'Future Orders'!$B206, "2")</f>
        <v>0</v>
      </c>
      <c r="AG206" s="157">
        <f>SUMIFS('Future Orders'!$I206, 'Future Orders'!$D206, "3", 'Future Orders'!$C206, "B", 'Future Orders'!$B206, "2")</f>
        <v>0</v>
      </c>
      <c r="AH206" s="157">
        <f>SUMIFS('Future Orders'!$F206, 'Future Orders'!$D206, "4", 'Future Orders'!$C206, "A", 'Future Orders'!$B206, "1")</f>
        <v>0</v>
      </c>
      <c r="AI206" s="157">
        <f>SUMIFS('Future Orders'!$I206, 'Future Orders'!$D206, "4", 'Future Orders'!$C206, "A", 'Future Orders'!$B206, "1")</f>
        <v>0</v>
      </c>
      <c r="AJ206" s="157">
        <f>SUMIFS('Future Orders'!$F206, 'Future Orders'!$D206, "4", 'Future Orders'!$C206, "B", 'Future Orders'!$B206, "1")</f>
        <v>0</v>
      </c>
      <c r="AK206" s="157">
        <f>SUMIFS('Future Orders'!$I206, 'Future Orders'!$D206, "4", 'Future Orders'!$C206, "B", 'Future Orders'!$B206, "1")</f>
        <v>0</v>
      </c>
      <c r="AL206" s="157">
        <f>SUMIFS('Future Orders'!$F206, 'Future Orders'!$D206, "4", 'Future Orders'!$C206, "A", 'Future Orders'!$B206, "2")</f>
        <v>0</v>
      </c>
      <c r="AM206" s="157">
        <f>SUMIFS('Future Orders'!$I206, 'Future Orders'!$D206, "4", 'Future Orders'!$C206, "A", 'Future Orders'!$B206, "2")</f>
        <v>0</v>
      </c>
      <c r="AN206" s="171">
        <f>SUMIFS('Future Orders'!$F206, 'Future Orders'!$D206, "4", 'Future Orders'!$C206, "B", 'Future Orders'!$B206, "2")</f>
        <v>0</v>
      </c>
      <c r="AO206" s="171">
        <f>SUMIFS('Future Orders'!$I206, 'Future Orders'!$D206, "4", 'Future Orders'!$C206, "B", 'Future Orders'!$B206, "2")</f>
        <v>0</v>
      </c>
      <c r="AP206" s="171">
        <f>SUMIFS('Future Orders'!$H206, 'Future Orders'!$C206, "A", 'Future Orders'!$B206, "1")</f>
        <v>9834</v>
      </c>
      <c r="AQ206" s="171">
        <f>SUMIFS('Future Orders'!$I206, 'Future Orders'!$C206, "B", 'Future Orders'!$B206, "1")</f>
        <v>0</v>
      </c>
      <c r="AR206" s="171">
        <f>SUMIFS('Future Orders'!$H206, 'Future Orders'!$C206, "A", 'Future Orders'!$B206, "2")</f>
        <v>0</v>
      </c>
      <c r="AS206" s="171">
        <f>SUMIFS('Future Orders'!$I206, 'Future Orders'!$C206, "B", 'Future Orders'!$B206, "2")</f>
        <v>0</v>
      </c>
      <c r="AT206" s="145"/>
      <c r="AU206" s="172"/>
      <c r="AV206" s="172"/>
      <c r="AW206" s="172"/>
      <c r="AX206" s="172"/>
      <c r="AY206" s="172"/>
      <c r="AZ206" s="172"/>
      <c r="BA206" s="172"/>
      <c r="BB206" s="172"/>
      <c r="BC206" s="172"/>
      <c r="BD206" s="172"/>
      <c r="BE206" s="172"/>
      <c r="BF206" s="172"/>
      <c r="BG206" s="172"/>
      <c r="BH206" s="172"/>
      <c r="BI206" s="172"/>
      <c r="BJ206" s="172"/>
      <c r="BK206" s="172"/>
      <c r="BL206" s="172"/>
      <c r="BM206" s="172"/>
      <c r="BN206" s="172"/>
      <c r="BO206" s="172"/>
      <c r="BP206" s="172"/>
      <c r="BQ206" s="172"/>
      <c r="BR206" s="172"/>
      <c r="BS206" s="172"/>
      <c r="BT206" s="172"/>
      <c r="BU206" s="172"/>
      <c r="BV206" s="172"/>
      <c r="BW206" s="172"/>
      <c r="BX206" s="172"/>
      <c r="BY206" s="172"/>
      <c r="BZ206" s="172"/>
      <c r="CA206" s="179"/>
      <c r="CB206" s="179"/>
      <c r="CC206" s="179"/>
      <c r="CD206" s="179"/>
      <c r="CE206" s="179"/>
      <c r="CF206" s="179"/>
      <c r="CG206" s="179"/>
      <c r="CH206" s="179"/>
      <c r="CI206" s="179"/>
      <c r="CJ206" s="179"/>
      <c r="CK206" s="179"/>
      <c r="CL206" s="179"/>
      <c r="CM206" s="179"/>
      <c r="CN206" s="179"/>
      <c r="CO206" s="179"/>
      <c r="CP206" s="179"/>
    </row>
    <row r="207" ht="15.75" customHeight="1">
      <c r="A207" s="151">
        <v>42093.0</v>
      </c>
      <c r="B207" s="152">
        <v>1.0</v>
      </c>
      <c r="C207" s="152" t="s">
        <v>45</v>
      </c>
      <c r="D207" s="152">
        <v>2.0</v>
      </c>
      <c r="E207" s="153">
        <v>5517.0</v>
      </c>
      <c r="F207" s="153">
        <f>SUM(('Future Orders'!$E207) * (1.1))</f>
        <v>6068.7</v>
      </c>
      <c r="G207" s="154">
        <v>1.2</v>
      </c>
      <c r="H207" s="155">
        <v>6620.4</v>
      </c>
      <c r="I207" s="155">
        <f>SUM(('Future Orders'!$H207) * (1.1))</f>
        <v>7282.44</v>
      </c>
      <c r="J207" s="159">
        <f>SUMIFS('Future Orders'!$F207, 'Future Orders'!$D207, "1", 'Future Orders'!$C207, "A", 'Future Orders'!$B207, "1")</f>
        <v>0</v>
      </c>
      <c r="K207" s="157">
        <f>SUMIFS('Future Orders'!$I207, 'Future Orders'!$D207, "1", 'Future Orders'!$C207, "A", 'Future Orders'!$B207, "1")</f>
        <v>0</v>
      </c>
      <c r="L207" s="157">
        <f>SUMIFS('Future Orders'!$F207, 'Future Orders'!$D207, "1", 'Future Orders'!$C207, "B", 'Future Orders'!$B207, "1")</f>
        <v>0</v>
      </c>
      <c r="M207" s="157">
        <f>SUMIFS('Future Orders'!$I207, 'Future Orders'!$D207, "1", 'Future Orders'!$C207, "B", 'Future Orders'!$B207, "1")</f>
        <v>0</v>
      </c>
      <c r="N207" s="159">
        <f>SUMIFS('Future Orders'!$F207, 'Future Orders'!$D207, "1", 'Future Orders'!$C207, "A", 'Future Orders'!$B207, "2")</f>
        <v>0</v>
      </c>
      <c r="O207" s="157">
        <f>SUMIFS('Future Orders'!$I207, 'Future Orders'!$D207, "1", 'Future Orders'!$C207, "A", 'Future Orders'!$B207, "2")</f>
        <v>0</v>
      </c>
      <c r="P207" s="157">
        <f>SUMIFS('Future Orders'!$E207, 'Future Orders'!$D207, "1", 'Future Orders'!$C207, "B", 'Future Orders'!$B207, "2")</f>
        <v>0</v>
      </c>
      <c r="Q207" s="157">
        <f>SUMIFS('Future Orders'!$I207, 'Future Orders'!$D207, "1", 'Future Orders'!$C207, "B", 'Future Orders'!$B207, "2")</f>
        <v>0</v>
      </c>
      <c r="R207" s="159">
        <f>SUMIFS('Future Orders'!$F207, 'Future Orders'!$D207, "2", 'Future Orders'!$C207, "A", 'Future Orders'!$B207, "1")</f>
        <v>6068.7</v>
      </c>
      <c r="S207" s="157">
        <f>SUMIFS('Future Orders'!$I207, 'Future Orders'!$D207, "2", 'Future Orders'!$C207, "A", 'Future Orders'!$B207, "1")</f>
        <v>7282.44</v>
      </c>
      <c r="T207" s="159">
        <f>SUMIFS('Future Orders'!$F207, 'Future Orders'!$D207, "2", 'Future Orders'!$C207, "B", 'Future Orders'!$B207, "1")</f>
        <v>0</v>
      </c>
      <c r="U207" s="157">
        <f>SUMIFS('Future Orders'!$I207, 'Future Orders'!$D207, "2", 'Future Orders'!$C207, "B", 'Future Orders'!$B207, "1")</f>
        <v>0</v>
      </c>
      <c r="V207" s="159">
        <f>SUMIFS('Future Orders'!$F207, 'Future Orders'!$D207, "2", 'Future Orders'!$C207, "A", 'Future Orders'!$B207, "2")</f>
        <v>0</v>
      </c>
      <c r="W207" s="157">
        <f>SUMIFS('Future Orders'!$I207, 'Future Orders'!$D207, "2", 'Future Orders'!$C207, "A", 'Future Orders'!$B207, "2")</f>
        <v>0</v>
      </c>
      <c r="X207" s="159">
        <f>SUMIFS('Future Orders'!$F207, 'Future Orders'!$D207, "2", 'Future Orders'!$C207, "B", 'Future Orders'!$B207, "2")</f>
        <v>0</v>
      </c>
      <c r="Y207" s="159">
        <f>SUMIFS('Future Orders'!$I207, 'Future Orders'!$D207, "2", 'Future Orders'!$C207, "B", 'Future Orders'!$B207, "2")</f>
        <v>0</v>
      </c>
      <c r="Z207" s="159">
        <f>SUMIFS('Future Orders'!$F207, 'Future Orders'!$D207, "3", 'Future Orders'!$C207, "A", 'Future Orders'!$B207, "1")</f>
        <v>0</v>
      </c>
      <c r="AA207" s="159">
        <f>SUMIFS('Future Orders'!$I207, 'Future Orders'!$D207, "3", 'Future Orders'!$C207, "A", 'Future Orders'!$B207, "1")</f>
        <v>0</v>
      </c>
      <c r="AB207" s="159">
        <f>SUMIFS('Future Orders'!$F207, 'Future Orders'!$D207, "3", 'Future Orders'!$C207, "B", 'Future Orders'!$B207, "1")</f>
        <v>0</v>
      </c>
      <c r="AC207" s="159">
        <f>SUMIFS('Future Orders'!$I207, 'Future Orders'!$D207, "3", 'Future Orders'!$C207, "B", 'Future Orders'!$B207, "1")</f>
        <v>0</v>
      </c>
      <c r="AD207" s="159">
        <f>SUMIFS('Future Orders'!$F207, 'Future Orders'!$D207, "3", 'Future Orders'!$C207, "A", 'Future Orders'!$B207, "2")</f>
        <v>0</v>
      </c>
      <c r="AE207" s="159">
        <f>SUMIFS('Future Orders'!$I207, 'Future Orders'!$D207, "3", 'Future Orders'!$C207, "A", 'Future Orders'!$B207, "2")</f>
        <v>0</v>
      </c>
      <c r="AF207" s="159">
        <f>SUMIFS('Future Orders'!$F207, 'Future Orders'!$D207, "3", 'Future Orders'!$C207, "B", 'Future Orders'!$B207, "2")</f>
        <v>0</v>
      </c>
      <c r="AG207" s="157">
        <f>SUMIFS('Future Orders'!$I207, 'Future Orders'!$D207, "3", 'Future Orders'!$C207, "B", 'Future Orders'!$B207, "2")</f>
        <v>0</v>
      </c>
      <c r="AH207" s="157">
        <f>SUMIFS('Future Orders'!$F207, 'Future Orders'!$D207, "4", 'Future Orders'!$C207, "A", 'Future Orders'!$B207, "1")</f>
        <v>0</v>
      </c>
      <c r="AI207" s="157">
        <f>SUMIFS('Future Orders'!$I207, 'Future Orders'!$D207, "4", 'Future Orders'!$C207, "A", 'Future Orders'!$B207, "1")</f>
        <v>0</v>
      </c>
      <c r="AJ207" s="157">
        <f>SUMIFS('Future Orders'!$F207, 'Future Orders'!$D207, "4", 'Future Orders'!$C207, "B", 'Future Orders'!$B207, "1")</f>
        <v>0</v>
      </c>
      <c r="AK207" s="157">
        <f>SUMIFS('Future Orders'!$I207, 'Future Orders'!$D207, "4", 'Future Orders'!$C207, "B", 'Future Orders'!$B207, "1")</f>
        <v>0</v>
      </c>
      <c r="AL207" s="157">
        <f>SUMIFS('Future Orders'!$F207, 'Future Orders'!$D207, "4", 'Future Orders'!$C207, "A", 'Future Orders'!$B207, "2")</f>
        <v>0</v>
      </c>
      <c r="AM207" s="157">
        <f>SUMIFS('Future Orders'!$I207, 'Future Orders'!$D207, "4", 'Future Orders'!$C207, "A", 'Future Orders'!$B207, "2")</f>
        <v>0</v>
      </c>
      <c r="AN207" s="171">
        <f>SUMIFS('Future Orders'!$F207, 'Future Orders'!$D207, "4", 'Future Orders'!$C207, "B", 'Future Orders'!$B207, "2")</f>
        <v>0</v>
      </c>
      <c r="AO207" s="171">
        <f>SUMIFS('Future Orders'!$I207, 'Future Orders'!$D207, "4", 'Future Orders'!$C207, "B", 'Future Orders'!$B207, "2")</f>
        <v>0</v>
      </c>
      <c r="AP207" s="171">
        <f>SUMIFS('Future Orders'!$H207, 'Future Orders'!$C207, "A", 'Future Orders'!$B207, "1")</f>
        <v>6620.4</v>
      </c>
      <c r="AQ207" s="171">
        <f>SUMIFS('Future Orders'!$I207, 'Future Orders'!$C207, "B", 'Future Orders'!$B207, "1")</f>
        <v>0</v>
      </c>
      <c r="AR207" s="171">
        <f>SUMIFS('Future Orders'!$H207, 'Future Orders'!$C207, "A", 'Future Orders'!$B207, "2")</f>
        <v>0</v>
      </c>
      <c r="AS207" s="171">
        <f>SUMIFS('Future Orders'!$I207, 'Future Orders'!$C207, "B", 'Future Orders'!$B207, "2")</f>
        <v>0</v>
      </c>
      <c r="AT207" s="145"/>
      <c r="AU207" s="172"/>
      <c r="AV207" s="172"/>
      <c r="AW207" s="172"/>
      <c r="AX207" s="172"/>
      <c r="AY207" s="172"/>
      <c r="AZ207" s="172"/>
      <c r="BA207" s="172"/>
      <c r="BB207" s="172"/>
      <c r="BC207" s="172"/>
      <c r="BD207" s="172"/>
      <c r="BE207" s="172"/>
      <c r="BF207" s="172"/>
      <c r="BG207" s="172"/>
      <c r="BH207" s="172"/>
      <c r="BI207" s="172"/>
      <c r="BJ207" s="172"/>
      <c r="BK207" s="172"/>
      <c r="BL207" s="172"/>
      <c r="BM207" s="172"/>
      <c r="BN207" s="172"/>
      <c r="BO207" s="172"/>
      <c r="BP207" s="172"/>
      <c r="BQ207" s="172"/>
      <c r="BR207" s="172"/>
      <c r="BS207" s="172"/>
      <c r="BT207" s="172"/>
      <c r="BU207" s="172"/>
      <c r="BV207" s="172"/>
      <c r="BW207" s="172"/>
      <c r="BX207" s="172"/>
      <c r="BY207" s="172"/>
      <c r="BZ207" s="172"/>
      <c r="CA207" s="179"/>
      <c r="CB207" s="179"/>
      <c r="CC207" s="179"/>
      <c r="CD207" s="179"/>
      <c r="CE207" s="179"/>
      <c r="CF207" s="179"/>
      <c r="CG207" s="179"/>
      <c r="CH207" s="179"/>
      <c r="CI207" s="179"/>
      <c r="CJ207" s="179"/>
      <c r="CK207" s="179"/>
      <c r="CL207" s="179"/>
      <c r="CM207" s="179"/>
      <c r="CN207" s="179"/>
      <c r="CO207" s="179"/>
      <c r="CP207" s="179"/>
    </row>
    <row r="208" ht="15.75" customHeight="1">
      <c r="A208" s="151">
        <v>42093.0</v>
      </c>
      <c r="B208" s="152">
        <v>2.0</v>
      </c>
      <c r="C208" s="152" t="s">
        <v>45</v>
      </c>
      <c r="D208" s="152">
        <v>1.0</v>
      </c>
      <c r="E208" s="153">
        <v>2809.0</v>
      </c>
      <c r="F208" s="153">
        <f>SUM(('Future Orders'!$E208) * (1.1))</f>
        <v>3089.9</v>
      </c>
      <c r="G208" s="154">
        <v>2.2</v>
      </c>
      <c r="H208" s="155">
        <v>6179.8</v>
      </c>
      <c r="I208" s="155">
        <f>SUM(('Future Orders'!$H208) * (1.1))</f>
        <v>6797.78</v>
      </c>
      <c r="J208" s="159">
        <f>SUMIFS('Future Orders'!$F208, 'Future Orders'!$D208, "1", 'Future Orders'!$C208, "A", 'Future Orders'!$B208, "1")</f>
        <v>0</v>
      </c>
      <c r="K208" s="157">
        <f>SUMIFS('Future Orders'!$I208, 'Future Orders'!$D208, "1", 'Future Orders'!$C208, "A", 'Future Orders'!$B208, "1")</f>
        <v>0</v>
      </c>
      <c r="L208" s="157">
        <f>SUMIFS('Future Orders'!$F208, 'Future Orders'!$D208, "1", 'Future Orders'!$C208, "B", 'Future Orders'!$B208, "1")</f>
        <v>0</v>
      </c>
      <c r="M208" s="157">
        <f>SUMIFS('Future Orders'!$I208, 'Future Orders'!$D208, "1", 'Future Orders'!$C208, "B", 'Future Orders'!$B208, "1")</f>
        <v>0</v>
      </c>
      <c r="N208" s="159">
        <f>SUMIFS('Future Orders'!$F208, 'Future Orders'!$D208, "1", 'Future Orders'!$C208, "A", 'Future Orders'!$B208, "2")</f>
        <v>3089.9</v>
      </c>
      <c r="O208" s="157">
        <f>SUMIFS('Future Orders'!$I208, 'Future Orders'!$D208, "1", 'Future Orders'!$C208, "A", 'Future Orders'!$B208, "2")</f>
        <v>6797.78</v>
      </c>
      <c r="P208" s="157">
        <f>SUMIFS('Future Orders'!$E208, 'Future Orders'!$D208, "1", 'Future Orders'!$C208, "B", 'Future Orders'!$B208, "2")</f>
        <v>0</v>
      </c>
      <c r="Q208" s="157">
        <f>SUMIFS('Future Orders'!$I208, 'Future Orders'!$D208, "1", 'Future Orders'!$C208, "B", 'Future Orders'!$B208, "2")</f>
        <v>0</v>
      </c>
      <c r="R208" s="159">
        <f>SUMIFS('Future Orders'!$F208, 'Future Orders'!$D208, "2", 'Future Orders'!$C208, "A", 'Future Orders'!$B208, "1")</f>
        <v>0</v>
      </c>
      <c r="S208" s="157">
        <f>SUMIFS('Future Orders'!$I208, 'Future Orders'!$D208, "2", 'Future Orders'!$C208, "A", 'Future Orders'!$B208, "1")</f>
        <v>0</v>
      </c>
      <c r="T208" s="159">
        <f>SUMIFS('Future Orders'!$F208, 'Future Orders'!$D208, "2", 'Future Orders'!$C208, "B", 'Future Orders'!$B208, "1")</f>
        <v>0</v>
      </c>
      <c r="U208" s="157">
        <f>SUMIFS('Future Orders'!$I208, 'Future Orders'!$D208, "2", 'Future Orders'!$C208, "B", 'Future Orders'!$B208, "1")</f>
        <v>0</v>
      </c>
      <c r="V208" s="159">
        <f>SUMIFS('Future Orders'!$F208, 'Future Orders'!$D208, "2", 'Future Orders'!$C208, "A", 'Future Orders'!$B208, "2")</f>
        <v>0</v>
      </c>
      <c r="W208" s="157">
        <f>SUMIFS('Future Orders'!$I208, 'Future Orders'!$D208, "2", 'Future Orders'!$C208, "A", 'Future Orders'!$B208, "2")</f>
        <v>0</v>
      </c>
      <c r="X208" s="159">
        <f>SUMIFS('Future Orders'!$F208, 'Future Orders'!$D208, "2", 'Future Orders'!$C208, "B", 'Future Orders'!$B208, "2")</f>
        <v>0</v>
      </c>
      <c r="Y208" s="159">
        <f>SUMIFS('Future Orders'!$I208, 'Future Orders'!$D208, "2", 'Future Orders'!$C208, "B", 'Future Orders'!$B208, "2")</f>
        <v>0</v>
      </c>
      <c r="Z208" s="159">
        <f>SUMIFS('Future Orders'!$F208, 'Future Orders'!$D208, "3", 'Future Orders'!$C208, "A", 'Future Orders'!$B208, "1")</f>
        <v>0</v>
      </c>
      <c r="AA208" s="159">
        <f>SUMIFS('Future Orders'!$I208, 'Future Orders'!$D208, "3", 'Future Orders'!$C208, "A", 'Future Orders'!$B208, "1")</f>
        <v>0</v>
      </c>
      <c r="AB208" s="159">
        <f>SUMIFS('Future Orders'!$F208, 'Future Orders'!$D208, "3", 'Future Orders'!$C208, "B", 'Future Orders'!$B208, "1")</f>
        <v>0</v>
      </c>
      <c r="AC208" s="159">
        <f>SUMIFS('Future Orders'!$I208, 'Future Orders'!$D208, "3", 'Future Orders'!$C208, "B", 'Future Orders'!$B208, "1")</f>
        <v>0</v>
      </c>
      <c r="AD208" s="159">
        <f>SUMIFS('Future Orders'!$F208, 'Future Orders'!$D208, "3", 'Future Orders'!$C208, "A", 'Future Orders'!$B208, "2")</f>
        <v>0</v>
      </c>
      <c r="AE208" s="159">
        <f>SUMIFS('Future Orders'!$I208, 'Future Orders'!$D208, "3", 'Future Orders'!$C208, "A", 'Future Orders'!$B208, "2")</f>
        <v>0</v>
      </c>
      <c r="AF208" s="159">
        <f>SUMIFS('Future Orders'!$F208, 'Future Orders'!$D208, "3", 'Future Orders'!$C208, "B", 'Future Orders'!$B208, "2")</f>
        <v>0</v>
      </c>
      <c r="AG208" s="157">
        <f>SUMIFS('Future Orders'!$I208, 'Future Orders'!$D208, "3", 'Future Orders'!$C208, "B", 'Future Orders'!$B208, "2")</f>
        <v>0</v>
      </c>
      <c r="AH208" s="157">
        <f>SUMIFS('Future Orders'!$F208, 'Future Orders'!$D208, "4", 'Future Orders'!$C208, "A", 'Future Orders'!$B208, "1")</f>
        <v>0</v>
      </c>
      <c r="AI208" s="157">
        <f>SUMIFS('Future Orders'!$I208, 'Future Orders'!$D208, "4", 'Future Orders'!$C208, "A", 'Future Orders'!$B208, "1")</f>
        <v>0</v>
      </c>
      <c r="AJ208" s="157">
        <f>SUMIFS('Future Orders'!$F208, 'Future Orders'!$D208, "4", 'Future Orders'!$C208, "B", 'Future Orders'!$B208, "1")</f>
        <v>0</v>
      </c>
      <c r="AK208" s="157">
        <f>SUMIFS('Future Orders'!$I208, 'Future Orders'!$D208, "4", 'Future Orders'!$C208, "B", 'Future Orders'!$B208, "1")</f>
        <v>0</v>
      </c>
      <c r="AL208" s="157">
        <f>SUMIFS('Future Orders'!$F208, 'Future Orders'!$D208, "4", 'Future Orders'!$C208, "A", 'Future Orders'!$B208, "2")</f>
        <v>0</v>
      </c>
      <c r="AM208" s="157">
        <f>SUMIFS('Future Orders'!$I208, 'Future Orders'!$D208, "4", 'Future Orders'!$C208, "A", 'Future Orders'!$B208, "2")</f>
        <v>0</v>
      </c>
      <c r="AN208" s="171">
        <f>SUMIFS('Future Orders'!$F208, 'Future Orders'!$D208, "4", 'Future Orders'!$C208, "B", 'Future Orders'!$B208, "2")</f>
        <v>0</v>
      </c>
      <c r="AO208" s="171">
        <f>SUMIFS('Future Orders'!$I208, 'Future Orders'!$D208, "4", 'Future Orders'!$C208, "B", 'Future Orders'!$B208, "2")</f>
        <v>0</v>
      </c>
      <c r="AP208" s="171">
        <f>SUMIFS('Future Orders'!$H208, 'Future Orders'!$C208, "A", 'Future Orders'!$B208, "1")</f>
        <v>0</v>
      </c>
      <c r="AQ208" s="171">
        <f>SUMIFS('Future Orders'!$I208, 'Future Orders'!$C208, "B", 'Future Orders'!$B208, "1")</f>
        <v>0</v>
      </c>
      <c r="AR208" s="171">
        <f>SUMIFS('Future Orders'!$H208, 'Future Orders'!$C208, "A", 'Future Orders'!$B208, "2")</f>
        <v>6179.8</v>
      </c>
      <c r="AS208" s="171">
        <f>SUMIFS('Future Orders'!$I208, 'Future Orders'!$C208, "B", 'Future Orders'!$B208, "2")</f>
        <v>0</v>
      </c>
      <c r="AT208" s="145"/>
      <c r="AU208" s="172"/>
      <c r="AV208" s="172"/>
      <c r="AW208" s="172"/>
      <c r="AX208" s="172"/>
      <c r="AY208" s="172"/>
      <c r="AZ208" s="172"/>
      <c r="BA208" s="172"/>
      <c r="BB208" s="172"/>
      <c r="BC208" s="172"/>
      <c r="BD208" s="172"/>
      <c r="BE208" s="172"/>
      <c r="BF208" s="172"/>
      <c r="BG208" s="172"/>
      <c r="BH208" s="172"/>
      <c r="BI208" s="172"/>
      <c r="BJ208" s="172"/>
      <c r="BK208" s="172"/>
      <c r="BL208" s="172"/>
      <c r="BM208" s="172"/>
      <c r="BN208" s="172"/>
      <c r="BO208" s="172"/>
      <c r="BP208" s="172"/>
      <c r="BQ208" s="172"/>
      <c r="BR208" s="172"/>
      <c r="BS208" s="172"/>
      <c r="BT208" s="172"/>
      <c r="BU208" s="172"/>
      <c r="BV208" s="172"/>
      <c r="BW208" s="172"/>
      <c r="BX208" s="172"/>
      <c r="BY208" s="172"/>
      <c r="BZ208" s="172"/>
      <c r="CA208" s="179"/>
      <c r="CB208" s="179"/>
      <c r="CC208" s="179"/>
      <c r="CD208" s="179"/>
      <c r="CE208" s="179"/>
      <c r="CF208" s="179"/>
      <c r="CG208" s="179"/>
      <c r="CH208" s="179"/>
      <c r="CI208" s="179"/>
      <c r="CJ208" s="179"/>
      <c r="CK208" s="179"/>
      <c r="CL208" s="179"/>
      <c r="CM208" s="179"/>
      <c r="CN208" s="179"/>
      <c r="CO208" s="179"/>
      <c r="CP208" s="179"/>
    </row>
    <row r="209" ht="15.75" customHeight="1">
      <c r="A209" s="151">
        <v>42093.0</v>
      </c>
      <c r="B209" s="152">
        <v>2.0</v>
      </c>
      <c r="C209" s="152" t="s">
        <v>45</v>
      </c>
      <c r="D209" s="152">
        <v>2.0</v>
      </c>
      <c r="E209" s="153">
        <v>6551.0</v>
      </c>
      <c r="F209" s="153">
        <f>SUM(('Future Orders'!$E209) * (1.1))</f>
        <v>7206.1</v>
      </c>
      <c r="G209" s="154">
        <v>1.2</v>
      </c>
      <c r="H209" s="155">
        <v>7861.2</v>
      </c>
      <c r="I209" s="155">
        <f>SUM(('Future Orders'!$H209) * (1.1))</f>
        <v>8647.32</v>
      </c>
      <c r="J209" s="159">
        <f>SUMIFS('Future Orders'!$F209, 'Future Orders'!$D209, "1", 'Future Orders'!$C209, "A", 'Future Orders'!$B209, "1")</f>
        <v>0</v>
      </c>
      <c r="K209" s="157">
        <f>SUMIFS('Future Orders'!$I209, 'Future Orders'!$D209, "1", 'Future Orders'!$C209, "A", 'Future Orders'!$B209, "1")</f>
        <v>0</v>
      </c>
      <c r="L209" s="157">
        <f>SUMIFS('Future Orders'!$F209, 'Future Orders'!$D209, "1", 'Future Orders'!$C209, "B", 'Future Orders'!$B209, "1")</f>
        <v>0</v>
      </c>
      <c r="M209" s="157">
        <f>SUMIFS('Future Orders'!$I209, 'Future Orders'!$D209, "1", 'Future Orders'!$C209, "B", 'Future Orders'!$B209, "1")</f>
        <v>0</v>
      </c>
      <c r="N209" s="159">
        <f>SUMIFS('Future Orders'!$F209, 'Future Orders'!$D209, "1", 'Future Orders'!$C209, "A", 'Future Orders'!$B209, "2")</f>
        <v>0</v>
      </c>
      <c r="O209" s="157">
        <f>SUMIFS('Future Orders'!$I209, 'Future Orders'!$D209, "1", 'Future Orders'!$C209, "A", 'Future Orders'!$B209, "2")</f>
        <v>0</v>
      </c>
      <c r="P209" s="157">
        <f>SUMIFS('Future Orders'!$E209, 'Future Orders'!$D209, "1", 'Future Orders'!$C209, "B", 'Future Orders'!$B209, "2")</f>
        <v>0</v>
      </c>
      <c r="Q209" s="157">
        <f>SUMIFS('Future Orders'!$I209, 'Future Orders'!$D209, "1", 'Future Orders'!$C209, "B", 'Future Orders'!$B209, "2")</f>
        <v>0</v>
      </c>
      <c r="R209" s="159">
        <f>SUMIFS('Future Orders'!$F209, 'Future Orders'!$D209, "2", 'Future Orders'!$C209, "A", 'Future Orders'!$B209, "1")</f>
        <v>0</v>
      </c>
      <c r="S209" s="157">
        <f>SUMIFS('Future Orders'!$I209, 'Future Orders'!$D209, "2", 'Future Orders'!$C209, "A", 'Future Orders'!$B209, "1")</f>
        <v>0</v>
      </c>
      <c r="T209" s="159">
        <f>SUMIFS('Future Orders'!$F209, 'Future Orders'!$D209, "2", 'Future Orders'!$C209, "B", 'Future Orders'!$B209, "1")</f>
        <v>0</v>
      </c>
      <c r="U209" s="157">
        <f>SUMIFS('Future Orders'!$I209, 'Future Orders'!$D209, "2", 'Future Orders'!$C209, "B", 'Future Orders'!$B209, "1")</f>
        <v>0</v>
      </c>
      <c r="V209" s="159">
        <f>SUMIFS('Future Orders'!$F209, 'Future Orders'!$D209, "2", 'Future Orders'!$C209, "A", 'Future Orders'!$B209, "2")</f>
        <v>7206.1</v>
      </c>
      <c r="W209" s="157">
        <f>SUMIFS('Future Orders'!$I209, 'Future Orders'!$D209, "2", 'Future Orders'!$C209, "A", 'Future Orders'!$B209, "2")</f>
        <v>8647.32</v>
      </c>
      <c r="X209" s="159">
        <f>SUMIFS('Future Orders'!$F209, 'Future Orders'!$D209, "2", 'Future Orders'!$C209, "B", 'Future Orders'!$B209, "2")</f>
        <v>0</v>
      </c>
      <c r="Y209" s="159">
        <f>SUMIFS('Future Orders'!$I209, 'Future Orders'!$D209, "2", 'Future Orders'!$C209, "B", 'Future Orders'!$B209, "2")</f>
        <v>0</v>
      </c>
      <c r="Z209" s="159">
        <f>SUMIFS('Future Orders'!$F209, 'Future Orders'!$D209, "3", 'Future Orders'!$C209, "A", 'Future Orders'!$B209, "1")</f>
        <v>0</v>
      </c>
      <c r="AA209" s="159">
        <f>SUMIFS('Future Orders'!$I209, 'Future Orders'!$D209, "3", 'Future Orders'!$C209, "A", 'Future Orders'!$B209, "1")</f>
        <v>0</v>
      </c>
      <c r="AB209" s="159">
        <f>SUMIFS('Future Orders'!$F209, 'Future Orders'!$D209, "3", 'Future Orders'!$C209, "B", 'Future Orders'!$B209, "1")</f>
        <v>0</v>
      </c>
      <c r="AC209" s="159">
        <f>SUMIFS('Future Orders'!$I209, 'Future Orders'!$D209, "3", 'Future Orders'!$C209, "B", 'Future Orders'!$B209, "1")</f>
        <v>0</v>
      </c>
      <c r="AD209" s="159">
        <f>SUMIFS('Future Orders'!$F209, 'Future Orders'!$D209, "3", 'Future Orders'!$C209, "A", 'Future Orders'!$B209, "2")</f>
        <v>0</v>
      </c>
      <c r="AE209" s="159">
        <f>SUMIFS('Future Orders'!$I209, 'Future Orders'!$D209, "3", 'Future Orders'!$C209, "A", 'Future Orders'!$B209, "2")</f>
        <v>0</v>
      </c>
      <c r="AF209" s="159">
        <f>SUMIFS('Future Orders'!$F209, 'Future Orders'!$D209, "3", 'Future Orders'!$C209, "B", 'Future Orders'!$B209, "2")</f>
        <v>0</v>
      </c>
      <c r="AG209" s="157">
        <f>SUMIFS('Future Orders'!$I209, 'Future Orders'!$D209, "3", 'Future Orders'!$C209, "B", 'Future Orders'!$B209, "2")</f>
        <v>0</v>
      </c>
      <c r="AH209" s="157">
        <f>SUMIFS('Future Orders'!$F209, 'Future Orders'!$D209, "4", 'Future Orders'!$C209, "A", 'Future Orders'!$B209, "1")</f>
        <v>0</v>
      </c>
      <c r="AI209" s="157">
        <f>SUMIFS('Future Orders'!$I209, 'Future Orders'!$D209, "4", 'Future Orders'!$C209, "A", 'Future Orders'!$B209, "1")</f>
        <v>0</v>
      </c>
      <c r="AJ209" s="157">
        <f>SUMIFS('Future Orders'!$F209, 'Future Orders'!$D209, "4", 'Future Orders'!$C209, "B", 'Future Orders'!$B209, "1")</f>
        <v>0</v>
      </c>
      <c r="AK209" s="157">
        <f>SUMIFS('Future Orders'!$I209, 'Future Orders'!$D209, "4", 'Future Orders'!$C209, "B", 'Future Orders'!$B209, "1")</f>
        <v>0</v>
      </c>
      <c r="AL209" s="157">
        <f>SUMIFS('Future Orders'!$F209, 'Future Orders'!$D209, "4", 'Future Orders'!$C209, "A", 'Future Orders'!$B209, "2")</f>
        <v>0</v>
      </c>
      <c r="AM209" s="157">
        <f>SUMIFS('Future Orders'!$I209, 'Future Orders'!$D209, "4", 'Future Orders'!$C209, "A", 'Future Orders'!$B209, "2")</f>
        <v>0</v>
      </c>
      <c r="AN209" s="171">
        <f>SUMIFS('Future Orders'!$F209, 'Future Orders'!$D209, "4", 'Future Orders'!$C209, "B", 'Future Orders'!$B209, "2")</f>
        <v>0</v>
      </c>
      <c r="AO209" s="171">
        <f>SUMIFS('Future Orders'!$I209, 'Future Orders'!$D209, "4", 'Future Orders'!$C209, "B", 'Future Orders'!$B209, "2")</f>
        <v>0</v>
      </c>
      <c r="AP209" s="171">
        <f>SUMIFS('Future Orders'!$H209, 'Future Orders'!$C209, "A", 'Future Orders'!$B209, "1")</f>
        <v>0</v>
      </c>
      <c r="AQ209" s="171">
        <f>SUMIFS('Future Orders'!$I209, 'Future Orders'!$C209, "B", 'Future Orders'!$B209, "1")</f>
        <v>0</v>
      </c>
      <c r="AR209" s="171">
        <f>SUMIFS('Future Orders'!$H209, 'Future Orders'!$C209, "A", 'Future Orders'!$B209, "2")</f>
        <v>7861.2</v>
      </c>
      <c r="AS209" s="171">
        <f>SUMIFS('Future Orders'!$I209, 'Future Orders'!$C209, "B", 'Future Orders'!$B209, "2")</f>
        <v>0</v>
      </c>
      <c r="AT209" s="145"/>
      <c r="AU209" s="172"/>
      <c r="AV209" s="172"/>
      <c r="AW209" s="172"/>
      <c r="AX209" s="172"/>
      <c r="AY209" s="172"/>
      <c r="AZ209" s="172"/>
      <c r="BA209" s="172"/>
      <c r="BB209" s="172"/>
      <c r="BC209" s="172"/>
      <c r="BD209" s="172"/>
      <c r="BE209" s="172"/>
      <c r="BF209" s="172"/>
      <c r="BG209" s="172"/>
      <c r="BH209" s="172"/>
      <c r="BI209" s="172"/>
      <c r="BJ209" s="172"/>
      <c r="BK209" s="172"/>
      <c r="BL209" s="172"/>
      <c r="BM209" s="172"/>
      <c r="BN209" s="172"/>
      <c r="BO209" s="172"/>
      <c r="BP209" s="172"/>
      <c r="BQ209" s="172"/>
      <c r="BR209" s="172"/>
      <c r="BS209" s="172"/>
      <c r="BT209" s="172"/>
      <c r="BU209" s="172"/>
      <c r="BV209" s="172"/>
      <c r="BW209" s="172"/>
      <c r="BX209" s="172"/>
      <c r="BY209" s="172"/>
      <c r="BZ209" s="172"/>
      <c r="CA209" s="179"/>
      <c r="CB209" s="179"/>
      <c r="CC209" s="179"/>
      <c r="CD209" s="179"/>
      <c r="CE209" s="179"/>
      <c r="CF209" s="179"/>
      <c r="CG209" s="179"/>
      <c r="CH209" s="179"/>
      <c r="CI209" s="179"/>
      <c r="CJ209" s="179"/>
      <c r="CK209" s="179"/>
      <c r="CL209" s="179"/>
      <c r="CM209" s="179"/>
      <c r="CN209" s="179"/>
      <c r="CO209" s="179"/>
      <c r="CP209" s="179"/>
    </row>
    <row r="210" ht="15.75" customHeight="1">
      <c r="A210" s="151">
        <v>42093.0</v>
      </c>
      <c r="B210" s="152">
        <v>1.0</v>
      </c>
      <c r="C210" s="152" t="s">
        <v>46</v>
      </c>
      <c r="D210" s="152">
        <v>3.0</v>
      </c>
      <c r="E210" s="153">
        <v>2174.0</v>
      </c>
      <c r="F210" s="153">
        <f>SUM(('Future Orders'!$E210) * (1.1))</f>
        <v>2391.4</v>
      </c>
      <c r="G210" s="154">
        <v>8.3</v>
      </c>
      <c r="H210" s="155">
        <v>18044.2</v>
      </c>
      <c r="I210" s="155">
        <f>SUM(('Future Orders'!$H210) * (1.1))</f>
        <v>19848.62</v>
      </c>
      <c r="J210" s="159">
        <f>SUMIFS('Future Orders'!$F210, 'Future Orders'!$D210, "1", 'Future Orders'!$C210, "A", 'Future Orders'!$B210, "1")</f>
        <v>0</v>
      </c>
      <c r="K210" s="157">
        <f>SUMIFS('Future Orders'!$I210, 'Future Orders'!$D210, "1", 'Future Orders'!$C210, "A", 'Future Orders'!$B210, "1")</f>
        <v>0</v>
      </c>
      <c r="L210" s="157">
        <f>SUMIFS('Future Orders'!$F210, 'Future Orders'!$D210, "1", 'Future Orders'!$C210, "B", 'Future Orders'!$B210, "1")</f>
        <v>0</v>
      </c>
      <c r="M210" s="157">
        <f>SUMIFS('Future Orders'!$I210, 'Future Orders'!$D210, "1", 'Future Orders'!$C210, "B", 'Future Orders'!$B210, "1")</f>
        <v>0</v>
      </c>
      <c r="N210" s="159">
        <f>SUMIFS('Future Orders'!$F210, 'Future Orders'!$D210, "1", 'Future Orders'!$C210, "A", 'Future Orders'!$B210, "2")</f>
        <v>0</v>
      </c>
      <c r="O210" s="157">
        <f>SUMIFS('Future Orders'!$I210, 'Future Orders'!$D210, "1", 'Future Orders'!$C210, "A", 'Future Orders'!$B210, "2")</f>
        <v>0</v>
      </c>
      <c r="P210" s="157">
        <f>SUMIFS('Future Orders'!$E210, 'Future Orders'!$D210, "1", 'Future Orders'!$C210, "B", 'Future Orders'!$B210, "2")</f>
        <v>0</v>
      </c>
      <c r="Q210" s="157">
        <f>SUMIFS('Future Orders'!$I210, 'Future Orders'!$D210, "1", 'Future Orders'!$C210, "B", 'Future Orders'!$B210, "2")</f>
        <v>0</v>
      </c>
      <c r="R210" s="159">
        <f>SUMIFS('Future Orders'!$F210, 'Future Orders'!$D210, "2", 'Future Orders'!$C210, "A", 'Future Orders'!$B210, "1")</f>
        <v>0</v>
      </c>
      <c r="S210" s="157">
        <f>SUMIFS('Future Orders'!$I210, 'Future Orders'!$D210, "2", 'Future Orders'!$C210, "A", 'Future Orders'!$B210, "1")</f>
        <v>0</v>
      </c>
      <c r="T210" s="159">
        <f>SUMIFS('Future Orders'!$F210, 'Future Orders'!$D210, "2", 'Future Orders'!$C210, "B", 'Future Orders'!$B210, "1")</f>
        <v>0</v>
      </c>
      <c r="U210" s="157">
        <f>SUMIFS('Future Orders'!$I210, 'Future Orders'!$D210, "2", 'Future Orders'!$C210, "B", 'Future Orders'!$B210, "1")</f>
        <v>0</v>
      </c>
      <c r="V210" s="159">
        <f>SUMIFS('Future Orders'!$F210, 'Future Orders'!$D210, "2", 'Future Orders'!$C210, "A", 'Future Orders'!$B210, "2")</f>
        <v>0</v>
      </c>
      <c r="W210" s="157">
        <f>SUMIFS('Future Orders'!$I210, 'Future Orders'!$D210, "2", 'Future Orders'!$C210, "A", 'Future Orders'!$B210, "2")</f>
        <v>0</v>
      </c>
      <c r="X210" s="159">
        <f>SUMIFS('Future Orders'!$F210, 'Future Orders'!$D210, "2", 'Future Orders'!$C210, "B", 'Future Orders'!$B210, "2")</f>
        <v>0</v>
      </c>
      <c r="Y210" s="159">
        <f>SUMIFS('Future Orders'!$I210, 'Future Orders'!$D210, "2", 'Future Orders'!$C210, "B", 'Future Orders'!$B210, "2")</f>
        <v>0</v>
      </c>
      <c r="Z210" s="159">
        <f>SUMIFS('Future Orders'!$F210, 'Future Orders'!$D210, "3", 'Future Orders'!$C210, "A", 'Future Orders'!$B210, "1")</f>
        <v>0</v>
      </c>
      <c r="AA210" s="159">
        <f>SUMIFS('Future Orders'!$I210, 'Future Orders'!$D210, "3", 'Future Orders'!$C210, "A", 'Future Orders'!$B210, "1")</f>
        <v>0</v>
      </c>
      <c r="AB210" s="159">
        <f>SUMIFS('Future Orders'!$F210, 'Future Orders'!$D210, "3", 'Future Orders'!$C210, "B", 'Future Orders'!$B210, "1")</f>
        <v>2391.4</v>
      </c>
      <c r="AC210" s="159">
        <f>SUMIFS('Future Orders'!$I210, 'Future Orders'!$D210, "3", 'Future Orders'!$C210, "B", 'Future Orders'!$B210, "1")</f>
        <v>19848.62</v>
      </c>
      <c r="AD210" s="159">
        <f>SUMIFS('Future Orders'!$F210, 'Future Orders'!$D210, "3", 'Future Orders'!$C210, "A", 'Future Orders'!$B210, "2")</f>
        <v>0</v>
      </c>
      <c r="AE210" s="159">
        <f>SUMIFS('Future Orders'!$I210, 'Future Orders'!$D210, "3", 'Future Orders'!$C210, "A", 'Future Orders'!$B210, "2")</f>
        <v>0</v>
      </c>
      <c r="AF210" s="159">
        <f>SUMIFS('Future Orders'!$F210, 'Future Orders'!$D210, "3", 'Future Orders'!$C210, "B", 'Future Orders'!$B210, "2")</f>
        <v>0</v>
      </c>
      <c r="AG210" s="157">
        <f>SUMIFS('Future Orders'!$I210, 'Future Orders'!$D210, "3", 'Future Orders'!$C210, "B", 'Future Orders'!$B210, "2")</f>
        <v>0</v>
      </c>
      <c r="AH210" s="157">
        <f>SUMIFS('Future Orders'!$F210, 'Future Orders'!$D210, "4", 'Future Orders'!$C210, "A", 'Future Orders'!$B210, "1")</f>
        <v>0</v>
      </c>
      <c r="AI210" s="157">
        <f>SUMIFS('Future Orders'!$I210, 'Future Orders'!$D210, "4", 'Future Orders'!$C210, "A", 'Future Orders'!$B210, "1")</f>
        <v>0</v>
      </c>
      <c r="AJ210" s="157">
        <f>SUMIFS('Future Orders'!$F210, 'Future Orders'!$D210, "4", 'Future Orders'!$C210, "B", 'Future Orders'!$B210, "1")</f>
        <v>0</v>
      </c>
      <c r="AK210" s="157">
        <f>SUMIFS('Future Orders'!$I210, 'Future Orders'!$D210, "4", 'Future Orders'!$C210, "B", 'Future Orders'!$B210, "1")</f>
        <v>0</v>
      </c>
      <c r="AL210" s="157">
        <f>SUMIFS('Future Orders'!$F210, 'Future Orders'!$D210, "4", 'Future Orders'!$C210, "A", 'Future Orders'!$B210, "2")</f>
        <v>0</v>
      </c>
      <c r="AM210" s="157">
        <f>SUMIFS('Future Orders'!$I210, 'Future Orders'!$D210, "4", 'Future Orders'!$C210, "A", 'Future Orders'!$B210, "2")</f>
        <v>0</v>
      </c>
      <c r="AN210" s="171">
        <f>SUMIFS('Future Orders'!$F210, 'Future Orders'!$D210, "4", 'Future Orders'!$C210, "B", 'Future Orders'!$B210, "2")</f>
        <v>0</v>
      </c>
      <c r="AO210" s="171">
        <f>SUMIFS('Future Orders'!$I210, 'Future Orders'!$D210, "4", 'Future Orders'!$C210, "B", 'Future Orders'!$B210, "2")</f>
        <v>0</v>
      </c>
      <c r="AP210" s="171">
        <f>SUMIFS('Future Orders'!$H210, 'Future Orders'!$C210, "A", 'Future Orders'!$B210, "1")</f>
        <v>0</v>
      </c>
      <c r="AQ210" s="171">
        <f>SUMIFS('Future Orders'!$I210, 'Future Orders'!$C210, "B", 'Future Orders'!$B210, "1")</f>
        <v>19848.62</v>
      </c>
      <c r="AR210" s="171">
        <f>SUMIFS('Future Orders'!$H210, 'Future Orders'!$C210, "A", 'Future Orders'!$B210, "2")</f>
        <v>0</v>
      </c>
      <c r="AS210" s="171">
        <f>SUMIFS('Future Orders'!$I210, 'Future Orders'!$C210, "B", 'Future Orders'!$B210, "2")</f>
        <v>0</v>
      </c>
      <c r="AT210" s="145"/>
      <c r="AU210" s="172"/>
      <c r="AV210" s="172"/>
      <c r="AW210" s="172"/>
      <c r="AX210" s="172"/>
      <c r="AY210" s="172"/>
      <c r="AZ210" s="172"/>
      <c r="BA210" s="172"/>
      <c r="BB210" s="172"/>
      <c r="BC210" s="172"/>
      <c r="BD210" s="172"/>
      <c r="BE210" s="172"/>
      <c r="BF210" s="172"/>
      <c r="BG210" s="172"/>
      <c r="BH210" s="172"/>
      <c r="BI210" s="172"/>
      <c r="BJ210" s="172"/>
      <c r="BK210" s="172"/>
      <c r="BL210" s="172"/>
      <c r="BM210" s="172"/>
      <c r="BN210" s="172"/>
      <c r="BO210" s="172"/>
      <c r="BP210" s="172"/>
      <c r="BQ210" s="172"/>
      <c r="BR210" s="172"/>
      <c r="BS210" s="172"/>
      <c r="BT210" s="172"/>
      <c r="BU210" s="172"/>
      <c r="BV210" s="172"/>
      <c r="BW210" s="172"/>
      <c r="BX210" s="172"/>
      <c r="BY210" s="172"/>
      <c r="BZ210" s="172"/>
      <c r="CA210" s="179"/>
      <c r="CB210" s="179"/>
      <c r="CC210" s="179"/>
      <c r="CD210" s="179"/>
      <c r="CE210" s="179"/>
      <c r="CF210" s="179"/>
      <c r="CG210" s="179"/>
      <c r="CH210" s="179"/>
      <c r="CI210" s="179"/>
      <c r="CJ210" s="179"/>
      <c r="CK210" s="179"/>
      <c r="CL210" s="179"/>
      <c r="CM210" s="179"/>
      <c r="CN210" s="179"/>
      <c r="CO210" s="179"/>
      <c r="CP210" s="179"/>
    </row>
    <row r="211" ht="15.75" customHeight="1">
      <c r="A211" s="151">
        <v>42093.0</v>
      </c>
      <c r="B211" s="152">
        <v>2.0</v>
      </c>
      <c r="C211" s="152" t="s">
        <v>46</v>
      </c>
      <c r="D211" s="152">
        <v>3.0</v>
      </c>
      <c r="E211" s="153">
        <v>2965.0</v>
      </c>
      <c r="F211" s="153">
        <f>SUM(('Future Orders'!$E211) * (1.1))</f>
        <v>3261.5</v>
      </c>
      <c r="G211" s="154">
        <v>8.3</v>
      </c>
      <c r="H211" s="155">
        <v>24609.500000000004</v>
      </c>
      <c r="I211" s="155">
        <f>SUM(('Future Orders'!$H211) * (1.1))</f>
        <v>27070.45</v>
      </c>
      <c r="J211" s="159">
        <f>SUMIFS('Future Orders'!$F211, 'Future Orders'!$D211, "1", 'Future Orders'!$C211, "A", 'Future Orders'!$B211, "1")</f>
        <v>0</v>
      </c>
      <c r="K211" s="157">
        <f>SUMIFS('Future Orders'!$I211, 'Future Orders'!$D211, "1", 'Future Orders'!$C211, "A", 'Future Orders'!$B211, "1")</f>
        <v>0</v>
      </c>
      <c r="L211" s="157">
        <f>SUMIFS('Future Orders'!$F211, 'Future Orders'!$D211, "1", 'Future Orders'!$C211, "B", 'Future Orders'!$B211, "1")</f>
        <v>0</v>
      </c>
      <c r="M211" s="157">
        <f>SUMIFS('Future Orders'!$I211, 'Future Orders'!$D211, "1", 'Future Orders'!$C211, "B", 'Future Orders'!$B211, "1")</f>
        <v>0</v>
      </c>
      <c r="N211" s="159">
        <f>SUMIFS('Future Orders'!$F211, 'Future Orders'!$D211, "1", 'Future Orders'!$C211, "A", 'Future Orders'!$B211, "2")</f>
        <v>0</v>
      </c>
      <c r="O211" s="157">
        <f>SUMIFS('Future Orders'!$I211, 'Future Orders'!$D211, "1", 'Future Orders'!$C211, "A", 'Future Orders'!$B211, "2")</f>
        <v>0</v>
      </c>
      <c r="P211" s="157">
        <f>SUMIFS('Future Orders'!$E211, 'Future Orders'!$D211, "1", 'Future Orders'!$C211, "B", 'Future Orders'!$B211, "2")</f>
        <v>0</v>
      </c>
      <c r="Q211" s="157">
        <f>SUMIFS('Future Orders'!$I211, 'Future Orders'!$D211, "1", 'Future Orders'!$C211, "B", 'Future Orders'!$B211, "2")</f>
        <v>0</v>
      </c>
      <c r="R211" s="159">
        <f>SUMIFS('Future Orders'!$F211, 'Future Orders'!$D211, "2", 'Future Orders'!$C211, "A", 'Future Orders'!$B211, "1")</f>
        <v>0</v>
      </c>
      <c r="S211" s="157">
        <f>SUMIFS('Future Orders'!$I211, 'Future Orders'!$D211, "2", 'Future Orders'!$C211, "A", 'Future Orders'!$B211, "1")</f>
        <v>0</v>
      </c>
      <c r="T211" s="159">
        <f>SUMIFS('Future Orders'!$F211, 'Future Orders'!$D211, "2", 'Future Orders'!$C211, "B", 'Future Orders'!$B211, "1")</f>
        <v>0</v>
      </c>
      <c r="U211" s="157">
        <f>SUMIFS('Future Orders'!$I211, 'Future Orders'!$D211, "2", 'Future Orders'!$C211, "B", 'Future Orders'!$B211, "1")</f>
        <v>0</v>
      </c>
      <c r="V211" s="159">
        <f>SUMIFS('Future Orders'!$F211, 'Future Orders'!$D211, "2", 'Future Orders'!$C211, "A", 'Future Orders'!$B211, "2")</f>
        <v>0</v>
      </c>
      <c r="W211" s="157">
        <f>SUMIFS('Future Orders'!$I211, 'Future Orders'!$D211, "2", 'Future Orders'!$C211, "A", 'Future Orders'!$B211, "2")</f>
        <v>0</v>
      </c>
      <c r="X211" s="159">
        <f>SUMIFS('Future Orders'!$F211, 'Future Orders'!$D211, "2", 'Future Orders'!$C211, "B", 'Future Orders'!$B211, "2")</f>
        <v>0</v>
      </c>
      <c r="Y211" s="159">
        <f>SUMIFS('Future Orders'!$I211, 'Future Orders'!$D211, "2", 'Future Orders'!$C211, "B", 'Future Orders'!$B211, "2")</f>
        <v>0</v>
      </c>
      <c r="Z211" s="159">
        <f>SUMIFS('Future Orders'!$F211, 'Future Orders'!$D211, "3", 'Future Orders'!$C211, "A", 'Future Orders'!$B211, "1")</f>
        <v>0</v>
      </c>
      <c r="AA211" s="159">
        <f>SUMIFS('Future Orders'!$I211, 'Future Orders'!$D211, "3", 'Future Orders'!$C211, "A", 'Future Orders'!$B211, "1")</f>
        <v>0</v>
      </c>
      <c r="AB211" s="159">
        <f>SUMIFS('Future Orders'!$F211, 'Future Orders'!$D211, "3", 'Future Orders'!$C211, "B", 'Future Orders'!$B211, "1")</f>
        <v>0</v>
      </c>
      <c r="AC211" s="159">
        <f>SUMIFS('Future Orders'!$I211, 'Future Orders'!$D211, "3", 'Future Orders'!$C211, "B", 'Future Orders'!$B211, "1")</f>
        <v>0</v>
      </c>
      <c r="AD211" s="159">
        <f>SUMIFS('Future Orders'!$F211, 'Future Orders'!$D211, "3", 'Future Orders'!$C211, "A", 'Future Orders'!$B211, "2")</f>
        <v>0</v>
      </c>
      <c r="AE211" s="159">
        <f>SUMIFS('Future Orders'!$I211, 'Future Orders'!$D211, "3", 'Future Orders'!$C211, "A", 'Future Orders'!$B211, "2")</f>
        <v>0</v>
      </c>
      <c r="AF211" s="159">
        <f>SUMIFS('Future Orders'!$F211, 'Future Orders'!$D211, "3", 'Future Orders'!$C211, "B", 'Future Orders'!$B211, "2")</f>
        <v>3261.5</v>
      </c>
      <c r="AG211" s="157">
        <f>SUMIFS('Future Orders'!$I211, 'Future Orders'!$D211, "3", 'Future Orders'!$C211, "B", 'Future Orders'!$B211, "2")</f>
        <v>27070.45</v>
      </c>
      <c r="AH211" s="157">
        <f>SUMIFS('Future Orders'!$F211, 'Future Orders'!$D211, "4", 'Future Orders'!$C211, "A", 'Future Orders'!$B211, "1")</f>
        <v>0</v>
      </c>
      <c r="AI211" s="157">
        <f>SUMIFS('Future Orders'!$I211, 'Future Orders'!$D211, "4", 'Future Orders'!$C211, "A", 'Future Orders'!$B211, "1")</f>
        <v>0</v>
      </c>
      <c r="AJ211" s="157">
        <f>SUMIFS('Future Orders'!$F211, 'Future Orders'!$D211, "4", 'Future Orders'!$C211, "B", 'Future Orders'!$B211, "1")</f>
        <v>0</v>
      </c>
      <c r="AK211" s="157">
        <f>SUMIFS('Future Orders'!$I211, 'Future Orders'!$D211, "4", 'Future Orders'!$C211, "B", 'Future Orders'!$B211, "1")</f>
        <v>0</v>
      </c>
      <c r="AL211" s="157">
        <f>SUMIFS('Future Orders'!$F211, 'Future Orders'!$D211, "4", 'Future Orders'!$C211, "A", 'Future Orders'!$B211, "2")</f>
        <v>0</v>
      </c>
      <c r="AM211" s="157">
        <f>SUMIFS('Future Orders'!$I211, 'Future Orders'!$D211, "4", 'Future Orders'!$C211, "A", 'Future Orders'!$B211, "2")</f>
        <v>0</v>
      </c>
      <c r="AN211" s="171">
        <f>SUMIFS('Future Orders'!$F211, 'Future Orders'!$D211, "4", 'Future Orders'!$C211, "B", 'Future Orders'!$B211, "2")</f>
        <v>0</v>
      </c>
      <c r="AO211" s="171">
        <f>SUMIFS('Future Orders'!$I211, 'Future Orders'!$D211, "4", 'Future Orders'!$C211, "B", 'Future Orders'!$B211, "2")</f>
        <v>0</v>
      </c>
      <c r="AP211" s="171">
        <f>SUMIFS('Future Orders'!$H211, 'Future Orders'!$C211, "A", 'Future Orders'!$B211, "1")</f>
        <v>0</v>
      </c>
      <c r="AQ211" s="171">
        <f>SUMIFS('Future Orders'!$I211, 'Future Orders'!$C211, "B", 'Future Orders'!$B211, "1")</f>
        <v>0</v>
      </c>
      <c r="AR211" s="171">
        <f>SUMIFS('Future Orders'!$H211, 'Future Orders'!$C211, "A", 'Future Orders'!$B211, "2")</f>
        <v>0</v>
      </c>
      <c r="AS211" s="171">
        <f>SUMIFS('Future Orders'!$I211, 'Future Orders'!$C211, "B", 'Future Orders'!$B211, "2")</f>
        <v>27070.45</v>
      </c>
      <c r="AT211" s="145"/>
      <c r="AU211" s="172"/>
      <c r="AV211" s="172"/>
      <c r="AW211" s="172"/>
      <c r="AX211" s="172"/>
      <c r="AY211" s="172"/>
      <c r="AZ211" s="172"/>
      <c r="BA211" s="172"/>
      <c r="BB211" s="172"/>
      <c r="BC211" s="172"/>
      <c r="BD211" s="172"/>
      <c r="BE211" s="172"/>
      <c r="BF211" s="172"/>
      <c r="BG211" s="172"/>
      <c r="BH211" s="172"/>
      <c r="BI211" s="172"/>
      <c r="BJ211" s="172"/>
      <c r="BK211" s="172"/>
      <c r="BL211" s="172"/>
      <c r="BM211" s="172"/>
      <c r="BN211" s="172"/>
      <c r="BO211" s="172"/>
      <c r="BP211" s="172"/>
      <c r="BQ211" s="172"/>
      <c r="BR211" s="172"/>
      <c r="BS211" s="172"/>
      <c r="BT211" s="172"/>
      <c r="BU211" s="172"/>
      <c r="BV211" s="172"/>
      <c r="BW211" s="172"/>
      <c r="BX211" s="172"/>
      <c r="BY211" s="172"/>
      <c r="BZ211" s="172"/>
      <c r="CA211" s="179"/>
      <c r="CB211" s="179"/>
      <c r="CC211" s="179"/>
      <c r="CD211" s="179"/>
      <c r="CE211" s="179"/>
      <c r="CF211" s="179"/>
      <c r="CG211" s="179"/>
      <c r="CH211" s="179"/>
      <c r="CI211" s="179"/>
      <c r="CJ211" s="179"/>
      <c r="CK211" s="179"/>
      <c r="CL211" s="179"/>
      <c r="CM211" s="179"/>
      <c r="CN211" s="179"/>
      <c r="CO211" s="179"/>
      <c r="CP211" s="179"/>
    </row>
    <row r="212" ht="15.75" customHeight="1">
      <c r="A212" s="151">
        <v>42100.0</v>
      </c>
      <c r="B212" s="152">
        <v>1.0</v>
      </c>
      <c r="C212" s="152" t="s">
        <v>45</v>
      </c>
      <c r="D212" s="152">
        <v>1.0</v>
      </c>
      <c r="E212" s="153">
        <v>4799.0</v>
      </c>
      <c r="F212" s="153">
        <f>SUM(('Future Orders'!$E212) * (1.1))</f>
        <v>5278.9</v>
      </c>
      <c r="G212" s="154">
        <v>2.2</v>
      </c>
      <c r="H212" s="155">
        <v>10557.800000000001</v>
      </c>
      <c r="I212" s="155">
        <f>SUM(('Future Orders'!$H212) * (1.1))</f>
        <v>11613.58</v>
      </c>
      <c r="J212" s="159">
        <f>SUMIFS('Future Orders'!$F212, 'Future Orders'!$D212, "1", 'Future Orders'!$C212, "A", 'Future Orders'!$B212, "1")</f>
        <v>5278.9</v>
      </c>
      <c r="K212" s="157">
        <f>SUMIFS('Future Orders'!$I212, 'Future Orders'!$D212, "1", 'Future Orders'!$C212, "A", 'Future Orders'!$B212, "1")</f>
        <v>11613.58</v>
      </c>
      <c r="L212" s="157">
        <f>SUMIFS('Future Orders'!$F212, 'Future Orders'!$D212, "1", 'Future Orders'!$C212, "B", 'Future Orders'!$B212, "1")</f>
        <v>0</v>
      </c>
      <c r="M212" s="157">
        <f>SUMIFS('Future Orders'!$I212, 'Future Orders'!$D212, "1", 'Future Orders'!$C212, "B", 'Future Orders'!$B212, "1")</f>
        <v>0</v>
      </c>
      <c r="N212" s="159">
        <f>SUMIFS('Future Orders'!$F212, 'Future Orders'!$D212, "1", 'Future Orders'!$C212, "A", 'Future Orders'!$B212, "2")</f>
        <v>0</v>
      </c>
      <c r="O212" s="157">
        <f>SUMIFS('Future Orders'!$I212, 'Future Orders'!$D212, "1", 'Future Orders'!$C212, "A", 'Future Orders'!$B212, "2")</f>
        <v>0</v>
      </c>
      <c r="P212" s="157">
        <f>SUMIFS('Future Orders'!$E212, 'Future Orders'!$D212, "1", 'Future Orders'!$C212, "B", 'Future Orders'!$B212, "2")</f>
        <v>0</v>
      </c>
      <c r="Q212" s="157">
        <f>SUMIFS('Future Orders'!$I212, 'Future Orders'!$D212, "1", 'Future Orders'!$C212, "B", 'Future Orders'!$B212, "2")</f>
        <v>0</v>
      </c>
      <c r="R212" s="159">
        <f>SUMIFS('Future Orders'!$F212, 'Future Orders'!$D212, "2", 'Future Orders'!$C212, "A", 'Future Orders'!$B212, "1")</f>
        <v>0</v>
      </c>
      <c r="S212" s="157">
        <f>SUMIFS('Future Orders'!$I212, 'Future Orders'!$D212, "2", 'Future Orders'!$C212, "A", 'Future Orders'!$B212, "1")</f>
        <v>0</v>
      </c>
      <c r="T212" s="159">
        <f>SUMIFS('Future Orders'!$F212, 'Future Orders'!$D212, "2", 'Future Orders'!$C212, "B", 'Future Orders'!$B212, "1")</f>
        <v>0</v>
      </c>
      <c r="U212" s="157">
        <f>SUMIFS('Future Orders'!$I212, 'Future Orders'!$D212, "2", 'Future Orders'!$C212, "B", 'Future Orders'!$B212, "1")</f>
        <v>0</v>
      </c>
      <c r="V212" s="159">
        <f>SUMIFS('Future Orders'!$F212, 'Future Orders'!$D212, "2", 'Future Orders'!$C212, "A", 'Future Orders'!$B212, "2")</f>
        <v>0</v>
      </c>
      <c r="W212" s="157">
        <f>SUMIFS('Future Orders'!$I212, 'Future Orders'!$D212, "2", 'Future Orders'!$C212, "A", 'Future Orders'!$B212, "2")</f>
        <v>0</v>
      </c>
      <c r="X212" s="159">
        <f>SUMIFS('Future Orders'!$F212, 'Future Orders'!$D212, "2", 'Future Orders'!$C212, "B", 'Future Orders'!$B212, "2")</f>
        <v>0</v>
      </c>
      <c r="Y212" s="159">
        <f>SUMIFS('Future Orders'!$I212, 'Future Orders'!$D212, "2", 'Future Orders'!$C212, "B", 'Future Orders'!$B212, "2")</f>
        <v>0</v>
      </c>
      <c r="Z212" s="159">
        <f>SUMIFS('Future Orders'!$F212, 'Future Orders'!$D212, "3", 'Future Orders'!$C212, "A", 'Future Orders'!$B212, "1")</f>
        <v>0</v>
      </c>
      <c r="AA212" s="159">
        <f>SUMIFS('Future Orders'!$I212, 'Future Orders'!$D212, "3", 'Future Orders'!$C212, "A", 'Future Orders'!$B212, "1")</f>
        <v>0</v>
      </c>
      <c r="AB212" s="159">
        <f>SUMIFS('Future Orders'!$F212, 'Future Orders'!$D212, "3", 'Future Orders'!$C212, "B", 'Future Orders'!$B212, "1")</f>
        <v>0</v>
      </c>
      <c r="AC212" s="159">
        <f>SUMIFS('Future Orders'!$I212, 'Future Orders'!$D212, "3", 'Future Orders'!$C212, "B", 'Future Orders'!$B212, "1")</f>
        <v>0</v>
      </c>
      <c r="AD212" s="159">
        <f>SUMIFS('Future Orders'!$F212, 'Future Orders'!$D212, "3", 'Future Orders'!$C212, "A", 'Future Orders'!$B212, "2")</f>
        <v>0</v>
      </c>
      <c r="AE212" s="159">
        <f>SUMIFS('Future Orders'!$I212, 'Future Orders'!$D212, "3", 'Future Orders'!$C212, "A", 'Future Orders'!$B212, "2")</f>
        <v>0</v>
      </c>
      <c r="AF212" s="159">
        <f>SUMIFS('Future Orders'!$F212, 'Future Orders'!$D212, "3", 'Future Orders'!$C212, "B", 'Future Orders'!$B212, "2")</f>
        <v>0</v>
      </c>
      <c r="AG212" s="157">
        <f>SUMIFS('Future Orders'!$I212, 'Future Orders'!$D212, "3", 'Future Orders'!$C212, "B", 'Future Orders'!$B212, "2")</f>
        <v>0</v>
      </c>
      <c r="AH212" s="157">
        <f>SUMIFS('Future Orders'!$F212, 'Future Orders'!$D212, "4", 'Future Orders'!$C212, "A", 'Future Orders'!$B212, "1")</f>
        <v>0</v>
      </c>
      <c r="AI212" s="157">
        <f>SUMIFS('Future Orders'!$I212, 'Future Orders'!$D212, "4", 'Future Orders'!$C212, "A", 'Future Orders'!$B212, "1")</f>
        <v>0</v>
      </c>
      <c r="AJ212" s="157">
        <f>SUMIFS('Future Orders'!$F212, 'Future Orders'!$D212, "4", 'Future Orders'!$C212, "B", 'Future Orders'!$B212, "1")</f>
        <v>0</v>
      </c>
      <c r="AK212" s="157">
        <f>SUMIFS('Future Orders'!$I212, 'Future Orders'!$D212, "4", 'Future Orders'!$C212, "B", 'Future Orders'!$B212, "1")</f>
        <v>0</v>
      </c>
      <c r="AL212" s="157">
        <f>SUMIFS('Future Orders'!$F212, 'Future Orders'!$D212, "4", 'Future Orders'!$C212, "A", 'Future Orders'!$B212, "2")</f>
        <v>0</v>
      </c>
      <c r="AM212" s="157">
        <f>SUMIFS('Future Orders'!$I212, 'Future Orders'!$D212, "4", 'Future Orders'!$C212, "A", 'Future Orders'!$B212, "2")</f>
        <v>0</v>
      </c>
      <c r="AN212" s="171">
        <f>SUMIFS('Future Orders'!$F212, 'Future Orders'!$D212, "4", 'Future Orders'!$C212, "B", 'Future Orders'!$B212, "2")</f>
        <v>0</v>
      </c>
      <c r="AO212" s="171">
        <f>SUMIFS('Future Orders'!$I212, 'Future Orders'!$D212, "4", 'Future Orders'!$C212, "B", 'Future Orders'!$B212, "2")</f>
        <v>0</v>
      </c>
      <c r="AP212" s="171">
        <f>SUMIFS('Future Orders'!$H212, 'Future Orders'!$C212, "A", 'Future Orders'!$B212, "1")</f>
        <v>10557.8</v>
      </c>
      <c r="AQ212" s="171">
        <f>SUMIFS('Future Orders'!$I212, 'Future Orders'!$C212, "B", 'Future Orders'!$B212, "1")</f>
        <v>0</v>
      </c>
      <c r="AR212" s="171">
        <f>SUMIFS('Future Orders'!$H212, 'Future Orders'!$C212, "A", 'Future Orders'!$B212, "2")</f>
        <v>0</v>
      </c>
      <c r="AS212" s="171">
        <f>SUMIFS('Future Orders'!$I212, 'Future Orders'!$C212, "B", 'Future Orders'!$B212, "2")</f>
        <v>0</v>
      </c>
      <c r="AT212" s="145"/>
      <c r="AU212" s="172"/>
      <c r="AV212" s="172"/>
      <c r="AW212" s="172"/>
      <c r="AX212" s="172"/>
      <c r="AY212" s="172"/>
      <c r="AZ212" s="172"/>
      <c r="BA212" s="172"/>
      <c r="BB212" s="172"/>
      <c r="BC212" s="172"/>
      <c r="BD212" s="172"/>
      <c r="BE212" s="172"/>
      <c r="BF212" s="172"/>
      <c r="BG212" s="172"/>
      <c r="BH212" s="172"/>
      <c r="BI212" s="172"/>
      <c r="BJ212" s="172"/>
      <c r="BK212" s="172"/>
      <c r="BL212" s="172"/>
      <c r="BM212" s="172"/>
      <c r="BN212" s="172"/>
      <c r="BO212" s="172"/>
      <c r="BP212" s="172"/>
      <c r="BQ212" s="172"/>
      <c r="BR212" s="172"/>
      <c r="BS212" s="172"/>
      <c r="BT212" s="172"/>
      <c r="BU212" s="172"/>
      <c r="BV212" s="172"/>
      <c r="BW212" s="172"/>
      <c r="BX212" s="172"/>
      <c r="BY212" s="172"/>
      <c r="BZ212" s="172"/>
      <c r="CA212" s="179"/>
      <c r="CB212" s="179"/>
      <c r="CC212" s="179"/>
      <c r="CD212" s="179"/>
      <c r="CE212" s="179"/>
      <c r="CF212" s="179"/>
      <c r="CG212" s="179"/>
      <c r="CH212" s="179"/>
      <c r="CI212" s="179"/>
      <c r="CJ212" s="179"/>
      <c r="CK212" s="179"/>
      <c r="CL212" s="179"/>
      <c r="CM212" s="179"/>
      <c r="CN212" s="179"/>
      <c r="CO212" s="179"/>
      <c r="CP212" s="179"/>
    </row>
    <row r="213" ht="15.75" customHeight="1">
      <c r="A213" s="151">
        <v>42100.0</v>
      </c>
      <c r="B213" s="152">
        <v>1.0</v>
      </c>
      <c r="C213" s="152" t="s">
        <v>45</v>
      </c>
      <c r="D213" s="152">
        <v>2.0</v>
      </c>
      <c r="E213" s="153">
        <v>6414.0</v>
      </c>
      <c r="F213" s="153">
        <f>SUM(('Future Orders'!$E213) * (1.1))</f>
        <v>7055.4</v>
      </c>
      <c r="G213" s="154">
        <v>1.2</v>
      </c>
      <c r="H213" s="155">
        <v>7696.799999999999</v>
      </c>
      <c r="I213" s="155">
        <f>SUM(('Future Orders'!$H213) * (1.1))</f>
        <v>8466.48</v>
      </c>
      <c r="J213" s="159">
        <f>SUMIFS('Future Orders'!$F213, 'Future Orders'!$D213, "1", 'Future Orders'!$C213, "A", 'Future Orders'!$B213, "1")</f>
        <v>0</v>
      </c>
      <c r="K213" s="157">
        <f>SUMIFS('Future Orders'!$I213, 'Future Orders'!$D213, "1", 'Future Orders'!$C213, "A", 'Future Orders'!$B213, "1")</f>
        <v>0</v>
      </c>
      <c r="L213" s="157">
        <f>SUMIFS('Future Orders'!$F213, 'Future Orders'!$D213, "1", 'Future Orders'!$C213, "B", 'Future Orders'!$B213, "1")</f>
        <v>0</v>
      </c>
      <c r="M213" s="157">
        <f>SUMIFS('Future Orders'!$I213, 'Future Orders'!$D213, "1", 'Future Orders'!$C213, "B", 'Future Orders'!$B213, "1")</f>
        <v>0</v>
      </c>
      <c r="N213" s="159">
        <f>SUMIFS('Future Orders'!$F213, 'Future Orders'!$D213, "1", 'Future Orders'!$C213, "A", 'Future Orders'!$B213, "2")</f>
        <v>0</v>
      </c>
      <c r="O213" s="157">
        <f>SUMIFS('Future Orders'!$I213, 'Future Orders'!$D213, "1", 'Future Orders'!$C213, "A", 'Future Orders'!$B213, "2")</f>
        <v>0</v>
      </c>
      <c r="P213" s="157">
        <f>SUMIFS('Future Orders'!$E213, 'Future Orders'!$D213, "1", 'Future Orders'!$C213, "B", 'Future Orders'!$B213, "2")</f>
        <v>0</v>
      </c>
      <c r="Q213" s="157">
        <f>SUMIFS('Future Orders'!$I213, 'Future Orders'!$D213, "1", 'Future Orders'!$C213, "B", 'Future Orders'!$B213, "2")</f>
        <v>0</v>
      </c>
      <c r="R213" s="159">
        <f>SUMIFS('Future Orders'!$F213, 'Future Orders'!$D213, "2", 'Future Orders'!$C213, "A", 'Future Orders'!$B213, "1")</f>
        <v>7055.4</v>
      </c>
      <c r="S213" s="157">
        <f>SUMIFS('Future Orders'!$I213, 'Future Orders'!$D213, "2", 'Future Orders'!$C213, "A", 'Future Orders'!$B213, "1")</f>
        <v>8466.48</v>
      </c>
      <c r="T213" s="159">
        <f>SUMIFS('Future Orders'!$F213, 'Future Orders'!$D213, "2", 'Future Orders'!$C213, "B", 'Future Orders'!$B213, "1")</f>
        <v>0</v>
      </c>
      <c r="U213" s="157">
        <f>SUMIFS('Future Orders'!$I213, 'Future Orders'!$D213, "2", 'Future Orders'!$C213, "B", 'Future Orders'!$B213, "1")</f>
        <v>0</v>
      </c>
      <c r="V213" s="159">
        <f>SUMIFS('Future Orders'!$F213, 'Future Orders'!$D213, "2", 'Future Orders'!$C213, "A", 'Future Orders'!$B213, "2")</f>
        <v>0</v>
      </c>
      <c r="W213" s="157">
        <f>SUMIFS('Future Orders'!$I213, 'Future Orders'!$D213, "2", 'Future Orders'!$C213, "A", 'Future Orders'!$B213, "2")</f>
        <v>0</v>
      </c>
      <c r="X213" s="159">
        <f>SUMIFS('Future Orders'!$F213, 'Future Orders'!$D213, "2", 'Future Orders'!$C213, "B", 'Future Orders'!$B213, "2")</f>
        <v>0</v>
      </c>
      <c r="Y213" s="159">
        <f>SUMIFS('Future Orders'!$I213, 'Future Orders'!$D213, "2", 'Future Orders'!$C213, "B", 'Future Orders'!$B213, "2")</f>
        <v>0</v>
      </c>
      <c r="Z213" s="159">
        <f>SUMIFS('Future Orders'!$F213, 'Future Orders'!$D213, "3", 'Future Orders'!$C213, "A", 'Future Orders'!$B213, "1")</f>
        <v>0</v>
      </c>
      <c r="AA213" s="159">
        <f>SUMIFS('Future Orders'!$I213, 'Future Orders'!$D213, "3", 'Future Orders'!$C213, "A", 'Future Orders'!$B213, "1")</f>
        <v>0</v>
      </c>
      <c r="AB213" s="159">
        <f>SUMIFS('Future Orders'!$F213, 'Future Orders'!$D213, "3", 'Future Orders'!$C213, "B", 'Future Orders'!$B213, "1")</f>
        <v>0</v>
      </c>
      <c r="AC213" s="159">
        <f>SUMIFS('Future Orders'!$I213, 'Future Orders'!$D213, "3", 'Future Orders'!$C213, "B", 'Future Orders'!$B213, "1")</f>
        <v>0</v>
      </c>
      <c r="AD213" s="159">
        <f>SUMIFS('Future Orders'!$F213, 'Future Orders'!$D213, "3", 'Future Orders'!$C213, "A", 'Future Orders'!$B213, "2")</f>
        <v>0</v>
      </c>
      <c r="AE213" s="159">
        <f>SUMIFS('Future Orders'!$I213, 'Future Orders'!$D213, "3", 'Future Orders'!$C213, "A", 'Future Orders'!$B213, "2")</f>
        <v>0</v>
      </c>
      <c r="AF213" s="159">
        <f>SUMIFS('Future Orders'!$F213, 'Future Orders'!$D213, "3", 'Future Orders'!$C213, "B", 'Future Orders'!$B213, "2")</f>
        <v>0</v>
      </c>
      <c r="AG213" s="157">
        <f>SUMIFS('Future Orders'!$I213, 'Future Orders'!$D213, "3", 'Future Orders'!$C213, "B", 'Future Orders'!$B213, "2")</f>
        <v>0</v>
      </c>
      <c r="AH213" s="157">
        <f>SUMIFS('Future Orders'!$F213, 'Future Orders'!$D213, "4", 'Future Orders'!$C213, "A", 'Future Orders'!$B213, "1")</f>
        <v>0</v>
      </c>
      <c r="AI213" s="157">
        <f>SUMIFS('Future Orders'!$I213, 'Future Orders'!$D213, "4", 'Future Orders'!$C213, "A", 'Future Orders'!$B213, "1")</f>
        <v>0</v>
      </c>
      <c r="AJ213" s="157">
        <f>SUMIFS('Future Orders'!$F213, 'Future Orders'!$D213, "4", 'Future Orders'!$C213, "B", 'Future Orders'!$B213, "1")</f>
        <v>0</v>
      </c>
      <c r="AK213" s="157">
        <f>SUMIFS('Future Orders'!$I213, 'Future Orders'!$D213, "4", 'Future Orders'!$C213, "B", 'Future Orders'!$B213, "1")</f>
        <v>0</v>
      </c>
      <c r="AL213" s="157">
        <f>SUMIFS('Future Orders'!$F213, 'Future Orders'!$D213, "4", 'Future Orders'!$C213, "A", 'Future Orders'!$B213, "2")</f>
        <v>0</v>
      </c>
      <c r="AM213" s="157">
        <f>SUMIFS('Future Orders'!$I213, 'Future Orders'!$D213, "4", 'Future Orders'!$C213, "A", 'Future Orders'!$B213, "2")</f>
        <v>0</v>
      </c>
      <c r="AN213" s="171">
        <f>SUMIFS('Future Orders'!$F213, 'Future Orders'!$D213, "4", 'Future Orders'!$C213, "B", 'Future Orders'!$B213, "2")</f>
        <v>0</v>
      </c>
      <c r="AO213" s="171">
        <f>SUMIFS('Future Orders'!$I213, 'Future Orders'!$D213, "4", 'Future Orders'!$C213, "B", 'Future Orders'!$B213, "2")</f>
        <v>0</v>
      </c>
      <c r="AP213" s="171">
        <f>SUMIFS('Future Orders'!$H213, 'Future Orders'!$C213, "A", 'Future Orders'!$B213, "1")</f>
        <v>7696.8</v>
      </c>
      <c r="AQ213" s="171">
        <f>SUMIFS('Future Orders'!$I213, 'Future Orders'!$C213, "B", 'Future Orders'!$B213, "1")</f>
        <v>0</v>
      </c>
      <c r="AR213" s="171">
        <f>SUMIFS('Future Orders'!$H213, 'Future Orders'!$C213, "A", 'Future Orders'!$B213, "2")</f>
        <v>0</v>
      </c>
      <c r="AS213" s="171">
        <f>SUMIFS('Future Orders'!$I213, 'Future Orders'!$C213, "B", 'Future Orders'!$B213, "2")</f>
        <v>0</v>
      </c>
      <c r="AT213" s="145"/>
      <c r="AU213" s="172"/>
      <c r="AV213" s="172"/>
      <c r="AW213" s="172"/>
      <c r="AX213" s="172"/>
      <c r="AY213" s="172"/>
      <c r="AZ213" s="172"/>
      <c r="BA213" s="172"/>
      <c r="BB213" s="172"/>
      <c r="BC213" s="172"/>
      <c r="BD213" s="172"/>
      <c r="BE213" s="172"/>
      <c r="BF213" s="172"/>
      <c r="BG213" s="172"/>
      <c r="BH213" s="172"/>
      <c r="BI213" s="172"/>
      <c r="BJ213" s="172"/>
      <c r="BK213" s="172"/>
      <c r="BL213" s="172"/>
      <c r="BM213" s="172"/>
      <c r="BN213" s="172"/>
      <c r="BO213" s="172"/>
      <c r="BP213" s="172"/>
      <c r="BQ213" s="172"/>
      <c r="BR213" s="172"/>
      <c r="BS213" s="172"/>
      <c r="BT213" s="172"/>
      <c r="BU213" s="172"/>
      <c r="BV213" s="172"/>
      <c r="BW213" s="172"/>
      <c r="BX213" s="172"/>
      <c r="BY213" s="172"/>
      <c r="BZ213" s="172"/>
      <c r="CA213" s="179"/>
      <c r="CB213" s="179"/>
      <c r="CC213" s="179"/>
      <c r="CD213" s="179"/>
      <c r="CE213" s="179"/>
      <c r="CF213" s="179"/>
      <c r="CG213" s="179"/>
      <c r="CH213" s="179"/>
      <c r="CI213" s="179"/>
      <c r="CJ213" s="179"/>
      <c r="CK213" s="179"/>
      <c r="CL213" s="179"/>
      <c r="CM213" s="179"/>
      <c r="CN213" s="179"/>
      <c r="CO213" s="179"/>
      <c r="CP213" s="179"/>
    </row>
    <row r="214" ht="15.75" customHeight="1">
      <c r="A214" s="151">
        <v>42100.0</v>
      </c>
      <c r="B214" s="152">
        <v>2.0</v>
      </c>
      <c r="C214" s="152" t="s">
        <v>45</v>
      </c>
      <c r="D214" s="152">
        <v>1.0</v>
      </c>
      <c r="E214" s="153">
        <v>3712.0</v>
      </c>
      <c r="F214" s="153">
        <f>SUM(('Future Orders'!$E214) * (1.1))</f>
        <v>4083.2</v>
      </c>
      <c r="G214" s="154">
        <v>2.2</v>
      </c>
      <c r="H214" s="155">
        <v>8166.400000000001</v>
      </c>
      <c r="I214" s="155">
        <f>SUM(('Future Orders'!$H214) * (1.1))</f>
        <v>8983.04</v>
      </c>
      <c r="J214" s="159">
        <f>SUMIFS('Future Orders'!$F214, 'Future Orders'!$D214, "1", 'Future Orders'!$C214, "A", 'Future Orders'!$B214, "1")</f>
        <v>0</v>
      </c>
      <c r="K214" s="157">
        <f>SUMIFS('Future Orders'!$I214, 'Future Orders'!$D214, "1", 'Future Orders'!$C214, "A", 'Future Orders'!$B214, "1")</f>
        <v>0</v>
      </c>
      <c r="L214" s="157">
        <f>SUMIFS('Future Orders'!$F214, 'Future Orders'!$D214, "1", 'Future Orders'!$C214, "B", 'Future Orders'!$B214, "1")</f>
        <v>0</v>
      </c>
      <c r="M214" s="157">
        <f>SUMIFS('Future Orders'!$I214, 'Future Orders'!$D214, "1", 'Future Orders'!$C214, "B", 'Future Orders'!$B214, "1")</f>
        <v>0</v>
      </c>
      <c r="N214" s="159">
        <f>SUMIFS('Future Orders'!$F214, 'Future Orders'!$D214, "1", 'Future Orders'!$C214, "A", 'Future Orders'!$B214, "2")</f>
        <v>4083.2</v>
      </c>
      <c r="O214" s="157">
        <f>SUMIFS('Future Orders'!$I214, 'Future Orders'!$D214, "1", 'Future Orders'!$C214, "A", 'Future Orders'!$B214, "2")</f>
        <v>8983.04</v>
      </c>
      <c r="P214" s="157">
        <f>SUMIFS('Future Orders'!$E214, 'Future Orders'!$D214, "1", 'Future Orders'!$C214, "B", 'Future Orders'!$B214, "2")</f>
        <v>0</v>
      </c>
      <c r="Q214" s="157">
        <f>SUMIFS('Future Orders'!$I214, 'Future Orders'!$D214, "1", 'Future Orders'!$C214, "B", 'Future Orders'!$B214, "2")</f>
        <v>0</v>
      </c>
      <c r="R214" s="159">
        <f>SUMIFS('Future Orders'!$F214, 'Future Orders'!$D214, "2", 'Future Orders'!$C214, "A", 'Future Orders'!$B214, "1")</f>
        <v>0</v>
      </c>
      <c r="S214" s="157">
        <f>SUMIFS('Future Orders'!$I214, 'Future Orders'!$D214, "2", 'Future Orders'!$C214, "A", 'Future Orders'!$B214, "1")</f>
        <v>0</v>
      </c>
      <c r="T214" s="159">
        <f>SUMIFS('Future Orders'!$F214, 'Future Orders'!$D214, "2", 'Future Orders'!$C214, "B", 'Future Orders'!$B214, "1")</f>
        <v>0</v>
      </c>
      <c r="U214" s="157">
        <f>SUMIFS('Future Orders'!$I214, 'Future Orders'!$D214, "2", 'Future Orders'!$C214, "B", 'Future Orders'!$B214, "1")</f>
        <v>0</v>
      </c>
      <c r="V214" s="159">
        <f>SUMIFS('Future Orders'!$F214, 'Future Orders'!$D214, "2", 'Future Orders'!$C214, "A", 'Future Orders'!$B214, "2")</f>
        <v>0</v>
      </c>
      <c r="W214" s="157">
        <f>SUMIFS('Future Orders'!$I214, 'Future Orders'!$D214, "2", 'Future Orders'!$C214, "A", 'Future Orders'!$B214, "2")</f>
        <v>0</v>
      </c>
      <c r="X214" s="159">
        <f>SUMIFS('Future Orders'!$F214, 'Future Orders'!$D214, "2", 'Future Orders'!$C214, "B", 'Future Orders'!$B214, "2")</f>
        <v>0</v>
      </c>
      <c r="Y214" s="159">
        <f>SUMIFS('Future Orders'!$I214, 'Future Orders'!$D214, "2", 'Future Orders'!$C214, "B", 'Future Orders'!$B214, "2")</f>
        <v>0</v>
      </c>
      <c r="Z214" s="159">
        <f>SUMIFS('Future Orders'!$F214, 'Future Orders'!$D214, "3", 'Future Orders'!$C214, "A", 'Future Orders'!$B214, "1")</f>
        <v>0</v>
      </c>
      <c r="AA214" s="159">
        <f>SUMIFS('Future Orders'!$I214, 'Future Orders'!$D214, "3", 'Future Orders'!$C214, "A", 'Future Orders'!$B214, "1")</f>
        <v>0</v>
      </c>
      <c r="AB214" s="159">
        <f>SUMIFS('Future Orders'!$F214, 'Future Orders'!$D214, "3", 'Future Orders'!$C214, "B", 'Future Orders'!$B214, "1")</f>
        <v>0</v>
      </c>
      <c r="AC214" s="159">
        <f>SUMIFS('Future Orders'!$I214, 'Future Orders'!$D214, "3", 'Future Orders'!$C214, "B", 'Future Orders'!$B214, "1")</f>
        <v>0</v>
      </c>
      <c r="AD214" s="159">
        <f>SUMIFS('Future Orders'!$F214, 'Future Orders'!$D214, "3", 'Future Orders'!$C214, "A", 'Future Orders'!$B214, "2")</f>
        <v>0</v>
      </c>
      <c r="AE214" s="159">
        <f>SUMIFS('Future Orders'!$I214, 'Future Orders'!$D214, "3", 'Future Orders'!$C214, "A", 'Future Orders'!$B214, "2")</f>
        <v>0</v>
      </c>
      <c r="AF214" s="159">
        <f>SUMIFS('Future Orders'!$F214, 'Future Orders'!$D214, "3", 'Future Orders'!$C214, "B", 'Future Orders'!$B214, "2")</f>
        <v>0</v>
      </c>
      <c r="AG214" s="157">
        <f>SUMIFS('Future Orders'!$I214, 'Future Orders'!$D214, "3", 'Future Orders'!$C214, "B", 'Future Orders'!$B214, "2")</f>
        <v>0</v>
      </c>
      <c r="AH214" s="157">
        <f>SUMIFS('Future Orders'!$F214, 'Future Orders'!$D214, "4", 'Future Orders'!$C214, "A", 'Future Orders'!$B214, "1")</f>
        <v>0</v>
      </c>
      <c r="AI214" s="157">
        <f>SUMIFS('Future Orders'!$I214, 'Future Orders'!$D214, "4", 'Future Orders'!$C214, "A", 'Future Orders'!$B214, "1")</f>
        <v>0</v>
      </c>
      <c r="AJ214" s="157">
        <f>SUMIFS('Future Orders'!$F214, 'Future Orders'!$D214, "4", 'Future Orders'!$C214, "B", 'Future Orders'!$B214, "1")</f>
        <v>0</v>
      </c>
      <c r="AK214" s="157">
        <f>SUMIFS('Future Orders'!$I214, 'Future Orders'!$D214, "4", 'Future Orders'!$C214, "B", 'Future Orders'!$B214, "1")</f>
        <v>0</v>
      </c>
      <c r="AL214" s="157">
        <f>SUMIFS('Future Orders'!$F214, 'Future Orders'!$D214, "4", 'Future Orders'!$C214, "A", 'Future Orders'!$B214, "2")</f>
        <v>0</v>
      </c>
      <c r="AM214" s="157">
        <f>SUMIFS('Future Orders'!$I214, 'Future Orders'!$D214, "4", 'Future Orders'!$C214, "A", 'Future Orders'!$B214, "2")</f>
        <v>0</v>
      </c>
      <c r="AN214" s="171">
        <f>SUMIFS('Future Orders'!$F214, 'Future Orders'!$D214, "4", 'Future Orders'!$C214, "B", 'Future Orders'!$B214, "2")</f>
        <v>0</v>
      </c>
      <c r="AO214" s="171">
        <f>SUMIFS('Future Orders'!$I214, 'Future Orders'!$D214, "4", 'Future Orders'!$C214, "B", 'Future Orders'!$B214, "2")</f>
        <v>0</v>
      </c>
      <c r="AP214" s="171">
        <f>SUMIFS('Future Orders'!$H214, 'Future Orders'!$C214, "A", 'Future Orders'!$B214, "1")</f>
        <v>0</v>
      </c>
      <c r="AQ214" s="171">
        <f>SUMIFS('Future Orders'!$I214, 'Future Orders'!$C214, "B", 'Future Orders'!$B214, "1")</f>
        <v>0</v>
      </c>
      <c r="AR214" s="171">
        <f>SUMIFS('Future Orders'!$H214, 'Future Orders'!$C214, "A", 'Future Orders'!$B214, "2")</f>
        <v>8166.4</v>
      </c>
      <c r="AS214" s="171">
        <f>SUMIFS('Future Orders'!$I214, 'Future Orders'!$C214, "B", 'Future Orders'!$B214, "2")</f>
        <v>0</v>
      </c>
      <c r="AT214" s="145"/>
      <c r="AU214" s="172"/>
      <c r="AV214" s="172"/>
      <c r="AW214" s="172"/>
      <c r="AX214" s="172"/>
      <c r="AY214" s="172"/>
      <c r="AZ214" s="172"/>
      <c r="BA214" s="172"/>
      <c r="BB214" s="172"/>
      <c r="BC214" s="172"/>
      <c r="BD214" s="172"/>
      <c r="BE214" s="172"/>
      <c r="BF214" s="172"/>
      <c r="BG214" s="172"/>
      <c r="BH214" s="172"/>
      <c r="BI214" s="172"/>
      <c r="BJ214" s="172"/>
      <c r="BK214" s="172"/>
      <c r="BL214" s="172"/>
      <c r="BM214" s="172"/>
      <c r="BN214" s="172"/>
      <c r="BO214" s="172"/>
      <c r="BP214" s="172"/>
      <c r="BQ214" s="172"/>
      <c r="BR214" s="172"/>
      <c r="BS214" s="172"/>
      <c r="BT214" s="172"/>
      <c r="BU214" s="172"/>
      <c r="BV214" s="172"/>
      <c r="BW214" s="172"/>
      <c r="BX214" s="172"/>
      <c r="BY214" s="172"/>
      <c r="BZ214" s="172"/>
      <c r="CA214" s="179"/>
      <c r="CB214" s="179"/>
      <c r="CC214" s="179"/>
      <c r="CD214" s="179"/>
      <c r="CE214" s="179"/>
      <c r="CF214" s="179"/>
      <c r="CG214" s="179"/>
      <c r="CH214" s="179"/>
      <c r="CI214" s="179"/>
      <c r="CJ214" s="179"/>
      <c r="CK214" s="179"/>
      <c r="CL214" s="179"/>
      <c r="CM214" s="179"/>
      <c r="CN214" s="179"/>
      <c r="CO214" s="179"/>
      <c r="CP214" s="179"/>
    </row>
    <row r="215" ht="15.75" customHeight="1">
      <c r="A215" s="151">
        <v>42100.0</v>
      </c>
      <c r="B215" s="152">
        <v>2.0</v>
      </c>
      <c r="C215" s="152" t="s">
        <v>45</v>
      </c>
      <c r="D215" s="152">
        <v>2.0</v>
      </c>
      <c r="E215" s="153">
        <v>7698.0</v>
      </c>
      <c r="F215" s="153">
        <f>SUM(('Future Orders'!$E215) * (1.1))</f>
        <v>8467.8</v>
      </c>
      <c r="G215" s="154">
        <v>1.2</v>
      </c>
      <c r="H215" s="155">
        <v>9237.6</v>
      </c>
      <c r="I215" s="155">
        <f>SUM(('Future Orders'!$H215) * (1.1))</f>
        <v>10161.36</v>
      </c>
      <c r="J215" s="159">
        <f>SUMIFS('Future Orders'!$F215, 'Future Orders'!$D215, "1", 'Future Orders'!$C215, "A", 'Future Orders'!$B215, "1")</f>
        <v>0</v>
      </c>
      <c r="K215" s="157">
        <f>SUMIFS('Future Orders'!$I215, 'Future Orders'!$D215, "1", 'Future Orders'!$C215, "A", 'Future Orders'!$B215, "1")</f>
        <v>0</v>
      </c>
      <c r="L215" s="157">
        <f>SUMIFS('Future Orders'!$F215, 'Future Orders'!$D215, "1", 'Future Orders'!$C215, "B", 'Future Orders'!$B215, "1")</f>
        <v>0</v>
      </c>
      <c r="M215" s="157">
        <f>SUMIFS('Future Orders'!$I215, 'Future Orders'!$D215, "1", 'Future Orders'!$C215, "B", 'Future Orders'!$B215, "1")</f>
        <v>0</v>
      </c>
      <c r="N215" s="159">
        <f>SUMIFS('Future Orders'!$F215, 'Future Orders'!$D215, "1", 'Future Orders'!$C215, "A", 'Future Orders'!$B215, "2")</f>
        <v>0</v>
      </c>
      <c r="O215" s="157">
        <f>SUMIFS('Future Orders'!$I215, 'Future Orders'!$D215, "1", 'Future Orders'!$C215, "A", 'Future Orders'!$B215, "2")</f>
        <v>0</v>
      </c>
      <c r="P215" s="157">
        <f>SUMIFS('Future Orders'!$E215, 'Future Orders'!$D215, "1", 'Future Orders'!$C215, "B", 'Future Orders'!$B215, "2")</f>
        <v>0</v>
      </c>
      <c r="Q215" s="157">
        <f>SUMIFS('Future Orders'!$I215, 'Future Orders'!$D215, "1", 'Future Orders'!$C215, "B", 'Future Orders'!$B215, "2")</f>
        <v>0</v>
      </c>
      <c r="R215" s="159">
        <f>SUMIFS('Future Orders'!$F215, 'Future Orders'!$D215, "2", 'Future Orders'!$C215, "A", 'Future Orders'!$B215, "1")</f>
        <v>0</v>
      </c>
      <c r="S215" s="157">
        <f>SUMIFS('Future Orders'!$I215, 'Future Orders'!$D215, "2", 'Future Orders'!$C215, "A", 'Future Orders'!$B215, "1")</f>
        <v>0</v>
      </c>
      <c r="T215" s="159">
        <f>SUMIFS('Future Orders'!$F215, 'Future Orders'!$D215, "2", 'Future Orders'!$C215, "B", 'Future Orders'!$B215, "1")</f>
        <v>0</v>
      </c>
      <c r="U215" s="157">
        <f>SUMIFS('Future Orders'!$I215, 'Future Orders'!$D215, "2", 'Future Orders'!$C215, "B", 'Future Orders'!$B215, "1")</f>
        <v>0</v>
      </c>
      <c r="V215" s="159">
        <f>SUMIFS('Future Orders'!$F215, 'Future Orders'!$D215, "2", 'Future Orders'!$C215, "A", 'Future Orders'!$B215, "2")</f>
        <v>8467.8</v>
      </c>
      <c r="W215" s="157">
        <f>SUMIFS('Future Orders'!$I215, 'Future Orders'!$D215, "2", 'Future Orders'!$C215, "A", 'Future Orders'!$B215, "2")</f>
        <v>10161.36</v>
      </c>
      <c r="X215" s="159">
        <f>SUMIFS('Future Orders'!$F215, 'Future Orders'!$D215, "2", 'Future Orders'!$C215, "B", 'Future Orders'!$B215, "2")</f>
        <v>0</v>
      </c>
      <c r="Y215" s="159">
        <f>SUMIFS('Future Orders'!$I215, 'Future Orders'!$D215, "2", 'Future Orders'!$C215, "B", 'Future Orders'!$B215, "2")</f>
        <v>0</v>
      </c>
      <c r="Z215" s="159">
        <f>SUMIFS('Future Orders'!$F215, 'Future Orders'!$D215, "3", 'Future Orders'!$C215, "A", 'Future Orders'!$B215, "1")</f>
        <v>0</v>
      </c>
      <c r="AA215" s="159">
        <f>SUMIFS('Future Orders'!$I215, 'Future Orders'!$D215, "3", 'Future Orders'!$C215, "A", 'Future Orders'!$B215, "1")</f>
        <v>0</v>
      </c>
      <c r="AB215" s="159">
        <f>SUMIFS('Future Orders'!$F215, 'Future Orders'!$D215, "3", 'Future Orders'!$C215, "B", 'Future Orders'!$B215, "1")</f>
        <v>0</v>
      </c>
      <c r="AC215" s="159">
        <f>SUMIFS('Future Orders'!$I215, 'Future Orders'!$D215, "3", 'Future Orders'!$C215, "B", 'Future Orders'!$B215, "1")</f>
        <v>0</v>
      </c>
      <c r="AD215" s="159">
        <f>SUMIFS('Future Orders'!$F215, 'Future Orders'!$D215, "3", 'Future Orders'!$C215, "A", 'Future Orders'!$B215, "2")</f>
        <v>0</v>
      </c>
      <c r="AE215" s="159">
        <f>SUMIFS('Future Orders'!$I215, 'Future Orders'!$D215, "3", 'Future Orders'!$C215, "A", 'Future Orders'!$B215, "2")</f>
        <v>0</v>
      </c>
      <c r="AF215" s="159">
        <f>SUMIFS('Future Orders'!$F215, 'Future Orders'!$D215, "3", 'Future Orders'!$C215, "B", 'Future Orders'!$B215, "2")</f>
        <v>0</v>
      </c>
      <c r="AG215" s="157">
        <f>SUMIFS('Future Orders'!$I215, 'Future Orders'!$D215, "3", 'Future Orders'!$C215, "B", 'Future Orders'!$B215, "2")</f>
        <v>0</v>
      </c>
      <c r="AH215" s="157">
        <f>SUMIFS('Future Orders'!$F215, 'Future Orders'!$D215, "4", 'Future Orders'!$C215, "A", 'Future Orders'!$B215, "1")</f>
        <v>0</v>
      </c>
      <c r="AI215" s="157">
        <f>SUMIFS('Future Orders'!$I215, 'Future Orders'!$D215, "4", 'Future Orders'!$C215, "A", 'Future Orders'!$B215, "1")</f>
        <v>0</v>
      </c>
      <c r="AJ215" s="157">
        <f>SUMIFS('Future Orders'!$F215, 'Future Orders'!$D215, "4", 'Future Orders'!$C215, "B", 'Future Orders'!$B215, "1")</f>
        <v>0</v>
      </c>
      <c r="AK215" s="157">
        <f>SUMIFS('Future Orders'!$I215, 'Future Orders'!$D215, "4", 'Future Orders'!$C215, "B", 'Future Orders'!$B215, "1")</f>
        <v>0</v>
      </c>
      <c r="AL215" s="157">
        <f>SUMIFS('Future Orders'!$F215, 'Future Orders'!$D215, "4", 'Future Orders'!$C215, "A", 'Future Orders'!$B215, "2")</f>
        <v>0</v>
      </c>
      <c r="AM215" s="157">
        <f>SUMIFS('Future Orders'!$I215, 'Future Orders'!$D215, "4", 'Future Orders'!$C215, "A", 'Future Orders'!$B215, "2")</f>
        <v>0</v>
      </c>
      <c r="AN215" s="171">
        <f>SUMIFS('Future Orders'!$F215, 'Future Orders'!$D215, "4", 'Future Orders'!$C215, "B", 'Future Orders'!$B215, "2")</f>
        <v>0</v>
      </c>
      <c r="AO215" s="171">
        <f>SUMIFS('Future Orders'!$I215, 'Future Orders'!$D215, "4", 'Future Orders'!$C215, "B", 'Future Orders'!$B215, "2")</f>
        <v>0</v>
      </c>
      <c r="AP215" s="171">
        <f>SUMIFS('Future Orders'!$H215, 'Future Orders'!$C215, "A", 'Future Orders'!$B215, "1")</f>
        <v>0</v>
      </c>
      <c r="AQ215" s="171">
        <f>SUMIFS('Future Orders'!$I215, 'Future Orders'!$C215, "B", 'Future Orders'!$B215, "1")</f>
        <v>0</v>
      </c>
      <c r="AR215" s="171">
        <f>SUMIFS('Future Orders'!$H215, 'Future Orders'!$C215, "A", 'Future Orders'!$B215, "2")</f>
        <v>9237.6</v>
      </c>
      <c r="AS215" s="171">
        <f>SUMIFS('Future Orders'!$I215, 'Future Orders'!$C215, "B", 'Future Orders'!$B215, "2")</f>
        <v>0</v>
      </c>
      <c r="AT215" s="145"/>
      <c r="AU215" s="172"/>
      <c r="AV215" s="172"/>
      <c r="AW215" s="172"/>
      <c r="AX215" s="172"/>
      <c r="AY215" s="172"/>
      <c r="AZ215" s="172"/>
      <c r="BA215" s="172"/>
      <c r="BB215" s="172"/>
      <c r="BC215" s="172"/>
      <c r="BD215" s="172"/>
      <c r="BE215" s="172"/>
      <c r="BF215" s="172"/>
      <c r="BG215" s="172"/>
      <c r="BH215" s="172"/>
      <c r="BI215" s="172"/>
      <c r="BJ215" s="172"/>
      <c r="BK215" s="172"/>
      <c r="BL215" s="172"/>
      <c r="BM215" s="172"/>
      <c r="BN215" s="172"/>
      <c r="BO215" s="172"/>
      <c r="BP215" s="172"/>
      <c r="BQ215" s="172"/>
      <c r="BR215" s="172"/>
      <c r="BS215" s="172"/>
      <c r="BT215" s="172"/>
      <c r="BU215" s="172"/>
      <c r="BV215" s="172"/>
      <c r="BW215" s="172"/>
      <c r="BX215" s="172"/>
      <c r="BY215" s="172"/>
      <c r="BZ215" s="172"/>
      <c r="CA215" s="179"/>
      <c r="CB215" s="179"/>
      <c r="CC215" s="179"/>
      <c r="CD215" s="179"/>
      <c r="CE215" s="179"/>
      <c r="CF215" s="179"/>
      <c r="CG215" s="179"/>
      <c r="CH215" s="179"/>
      <c r="CI215" s="179"/>
      <c r="CJ215" s="179"/>
      <c r="CK215" s="179"/>
      <c r="CL215" s="179"/>
      <c r="CM215" s="179"/>
      <c r="CN215" s="179"/>
      <c r="CO215" s="179"/>
      <c r="CP215" s="179"/>
    </row>
    <row r="216" ht="15.75" customHeight="1">
      <c r="A216" s="151">
        <v>42100.0</v>
      </c>
      <c r="B216" s="152">
        <v>1.0</v>
      </c>
      <c r="C216" s="152" t="s">
        <v>46</v>
      </c>
      <c r="D216" s="152">
        <v>3.0</v>
      </c>
      <c r="E216" s="153">
        <v>2167.0</v>
      </c>
      <c r="F216" s="153">
        <f>SUM(('Future Orders'!$E216) * (1.1))</f>
        <v>2383.7</v>
      </c>
      <c r="G216" s="154">
        <v>8.3</v>
      </c>
      <c r="H216" s="155">
        <v>17986.100000000002</v>
      </c>
      <c r="I216" s="155">
        <f>SUM(('Future Orders'!$H216) * (1.1))</f>
        <v>19784.71</v>
      </c>
      <c r="J216" s="159">
        <f>SUMIFS('Future Orders'!$F216, 'Future Orders'!$D216, "1", 'Future Orders'!$C216, "A", 'Future Orders'!$B216, "1")</f>
        <v>0</v>
      </c>
      <c r="K216" s="157">
        <f>SUMIFS('Future Orders'!$I216, 'Future Orders'!$D216, "1", 'Future Orders'!$C216, "A", 'Future Orders'!$B216, "1")</f>
        <v>0</v>
      </c>
      <c r="L216" s="157">
        <f>SUMIFS('Future Orders'!$F216, 'Future Orders'!$D216, "1", 'Future Orders'!$C216, "B", 'Future Orders'!$B216, "1")</f>
        <v>0</v>
      </c>
      <c r="M216" s="157">
        <f>SUMIFS('Future Orders'!$I216, 'Future Orders'!$D216, "1", 'Future Orders'!$C216, "B", 'Future Orders'!$B216, "1")</f>
        <v>0</v>
      </c>
      <c r="N216" s="159">
        <f>SUMIFS('Future Orders'!$F216, 'Future Orders'!$D216, "1", 'Future Orders'!$C216, "A", 'Future Orders'!$B216, "2")</f>
        <v>0</v>
      </c>
      <c r="O216" s="157">
        <f>SUMIFS('Future Orders'!$I216, 'Future Orders'!$D216, "1", 'Future Orders'!$C216, "A", 'Future Orders'!$B216, "2")</f>
        <v>0</v>
      </c>
      <c r="P216" s="157">
        <f>SUMIFS('Future Orders'!$E216, 'Future Orders'!$D216, "1", 'Future Orders'!$C216, "B", 'Future Orders'!$B216, "2")</f>
        <v>0</v>
      </c>
      <c r="Q216" s="157">
        <f>SUMIFS('Future Orders'!$I216, 'Future Orders'!$D216, "1", 'Future Orders'!$C216, "B", 'Future Orders'!$B216, "2")</f>
        <v>0</v>
      </c>
      <c r="R216" s="159">
        <f>SUMIFS('Future Orders'!$F216, 'Future Orders'!$D216, "2", 'Future Orders'!$C216, "A", 'Future Orders'!$B216, "1")</f>
        <v>0</v>
      </c>
      <c r="S216" s="157">
        <f>SUMIFS('Future Orders'!$I216, 'Future Orders'!$D216, "2", 'Future Orders'!$C216, "A", 'Future Orders'!$B216, "1")</f>
        <v>0</v>
      </c>
      <c r="T216" s="159">
        <f>SUMIFS('Future Orders'!$F216, 'Future Orders'!$D216, "2", 'Future Orders'!$C216, "B", 'Future Orders'!$B216, "1")</f>
        <v>0</v>
      </c>
      <c r="U216" s="157">
        <f>SUMIFS('Future Orders'!$I216, 'Future Orders'!$D216, "2", 'Future Orders'!$C216, "B", 'Future Orders'!$B216, "1")</f>
        <v>0</v>
      </c>
      <c r="V216" s="159">
        <f>SUMIFS('Future Orders'!$F216, 'Future Orders'!$D216, "2", 'Future Orders'!$C216, "A", 'Future Orders'!$B216, "2")</f>
        <v>0</v>
      </c>
      <c r="W216" s="157">
        <f>SUMIFS('Future Orders'!$I216, 'Future Orders'!$D216, "2", 'Future Orders'!$C216, "A", 'Future Orders'!$B216, "2")</f>
        <v>0</v>
      </c>
      <c r="X216" s="159">
        <f>SUMIFS('Future Orders'!$F216, 'Future Orders'!$D216, "2", 'Future Orders'!$C216, "B", 'Future Orders'!$B216, "2")</f>
        <v>0</v>
      </c>
      <c r="Y216" s="159">
        <f>SUMIFS('Future Orders'!$I216, 'Future Orders'!$D216, "2", 'Future Orders'!$C216, "B", 'Future Orders'!$B216, "2")</f>
        <v>0</v>
      </c>
      <c r="Z216" s="159">
        <f>SUMIFS('Future Orders'!$F216, 'Future Orders'!$D216, "3", 'Future Orders'!$C216, "A", 'Future Orders'!$B216, "1")</f>
        <v>0</v>
      </c>
      <c r="AA216" s="159">
        <f>SUMIFS('Future Orders'!$I216, 'Future Orders'!$D216, "3", 'Future Orders'!$C216, "A", 'Future Orders'!$B216, "1")</f>
        <v>0</v>
      </c>
      <c r="AB216" s="159">
        <f>SUMIFS('Future Orders'!$F216, 'Future Orders'!$D216, "3", 'Future Orders'!$C216, "B", 'Future Orders'!$B216, "1")</f>
        <v>2383.7</v>
      </c>
      <c r="AC216" s="159">
        <f>SUMIFS('Future Orders'!$I216, 'Future Orders'!$D216, "3", 'Future Orders'!$C216, "B", 'Future Orders'!$B216, "1")</f>
        <v>19784.71</v>
      </c>
      <c r="AD216" s="159">
        <f>SUMIFS('Future Orders'!$F216, 'Future Orders'!$D216, "3", 'Future Orders'!$C216, "A", 'Future Orders'!$B216, "2")</f>
        <v>0</v>
      </c>
      <c r="AE216" s="159">
        <f>SUMIFS('Future Orders'!$I216, 'Future Orders'!$D216, "3", 'Future Orders'!$C216, "A", 'Future Orders'!$B216, "2")</f>
        <v>0</v>
      </c>
      <c r="AF216" s="159">
        <f>SUMIFS('Future Orders'!$F216, 'Future Orders'!$D216, "3", 'Future Orders'!$C216, "B", 'Future Orders'!$B216, "2")</f>
        <v>0</v>
      </c>
      <c r="AG216" s="157">
        <f>SUMIFS('Future Orders'!$I216, 'Future Orders'!$D216, "3", 'Future Orders'!$C216, "B", 'Future Orders'!$B216, "2")</f>
        <v>0</v>
      </c>
      <c r="AH216" s="157">
        <f>SUMIFS('Future Orders'!$F216, 'Future Orders'!$D216, "4", 'Future Orders'!$C216, "A", 'Future Orders'!$B216, "1")</f>
        <v>0</v>
      </c>
      <c r="AI216" s="157">
        <f>SUMIFS('Future Orders'!$I216, 'Future Orders'!$D216, "4", 'Future Orders'!$C216, "A", 'Future Orders'!$B216, "1")</f>
        <v>0</v>
      </c>
      <c r="AJ216" s="157">
        <f>SUMIFS('Future Orders'!$F216, 'Future Orders'!$D216, "4", 'Future Orders'!$C216, "B", 'Future Orders'!$B216, "1")</f>
        <v>0</v>
      </c>
      <c r="AK216" s="157">
        <f>SUMIFS('Future Orders'!$I216, 'Future Orders'!$D216, "4", 'Future Orders'!$C216, "B", 'Future Orders'!$B216, "1")</f>
        <v>0</v>
      </c>
      <c r="AL216" s="157">
        <f>SUMIFS('Future Orders'!$F216, 'Future Orders'!$D216, "4", 'Future Orders'!$C216, "A", 'Future Orders'!$B216, "2")</f>
        <v>0</v>
      </c>
      <c r="AM216" s="157">
        <f>SUMIFS('Future Orders'!$I216, 'Future Orders'!$D216, "4", 'Future Orders'!$C216, "A", 'Future Orders'!$B216, "2")</f>
        <v>0</v>
      </c>
      <c r="AN216" s="171">
        <f>SUMIFS('Future Orders'!$F216, 'Future Orders'!$D216, "4", 'Future Orders'!$C216, "B", 'Future Orders'!$B216, "2")</f>
        <v>0</v>
      </c>
      <c r="AO216" s="171">
        <f>SUMIFS('Future Orders'!$I216, 'Future Orders'!$D216, "4", 'Future Orders'!$C216, "B", 'Future Orders'!$B216, "2")</f>
        <v>0</v>
      </c>
      <c r="AP216" s="171">
        <f>SUMIFS('Future Orders'!$H216, 'Future Orders'!$C216, "A", 'Future Orders'!$B216, "1")</f>
        <v>0</v>
      </c>
      <c r="AQ216" s="171">
        <f>SUMIFS('Future Orders'!$I216, 'Future Orders'!$C216, "B", 'Future Orders'!$B216, "1")</f>
        <v>19784.71</v>
      </c>
      <c r="AR216" s="171">
        <f>SUMIFS('Future Orders'!$H216, 'Future Orders'!$C216, "A", 'Future Orders'!$B216, "2")</f>
        <v>0</v>
      </c>
      <c r="AS216" s="171">
        <f>SUMIFS('Future Orders'!$I216, 'Future Orders'!$C216, "B", 'Future Orders'!$B216, "2")</f>
        <v>0</v>
      </c>
      <c r="AT216" s="145"/>
      <c r="AU216" s="172"/>
      <c r="AV216" s="172"/>
      <c r="AW216" s="172"/>
      <c r="AX216" s="172"/>
      <c r="AY216" s="172"/>
      <c r="AZ216" s="172"/>
      <c r="BA216" s="172"/>
      <c r="BB216" s="172"/>
      <c r="BC216" s="172"/>
      <c r="BD216" s="172"/>
      <c r="BE216" s="172"/>
      <c r="BF216" s="172"/>
      <c r="BG216" s="172"/>
      <c r="BH216" s="172"/>
      <c r="BI216" s="172"/>
      <c r="BJ216" s="172"/>
      <c r="BK216" s="172"/>
      <c r="BL216" s="172"/>
      <c r="BM216" s="172"/>
      <c r="BN216" s="172"/>
      <c r="BO216" s="172"/>
      <c r="BP216" s="172"/>
      <c r="BQ216" s="172"/>
      <c r="BR216" s="172"/>
      <c r="BS216" s="172"/>
      <c r="BT216" s="172"/>
      <c r="BU216" s="172"/>
      <c r="BV216" s="172"/>
      <c r="BW216" s="172"/>
      <c r="BX216" s="172"/>
      <c r="BY216" s="172"/>
      <c r="BZ216" s="172"/>
      <c r="CA216" s="179"/>
      <c r="CB216" s="179"/>
      <c r="CC216" s="179"/>
      <c r="CD216" s="179"/>
      <c r="CE216" s="179"/>
      <c r="CF216" s="179"/>
      <c r="CG216" s="179"/>
      <c r="CH216" s="179"/>
      <c r="CI216" s="179"/>
      <c r="CJ216" s="179"/>
      <c r="CK216" s="179"/>
      <c r="CL216" s="179"/>
      <c r="CM216" s="179"/>
      <c r="CN216" s="179"/>
      <c r="CO216" s="179"/>
      <c r="CP216" s="179"/>
    </row>
    <row r="217" ht="15.75" customHeight="1">
      <c r="A217" s="151">
        <v>42100.0</v>
      </c>
      <c r="B217" s="152">
        <v>2.0</v>
      </c>
      <c r="C217" s="152" t="s">
        <v>46</v>
      </c>
      <c r="D217" s="152">
        <v>3.0</v>
      </c>
      <c r="E217" s="153">
        <v>2957.0</v>
      </c>
      <c r="F217" s="153">
        <f>SUM(('Future Orders'!$E217) * (1.1))</f>
        <v>3252.7</v>
      </c>
      <c r="G217" s="154">
        <v>8.3</v>
      </c>
      <c r="H217" s="155">
        <v>24543.100000000002</v>
      </c>
      <c r="I217" s="155">
        <f>SUM(('Future Orders'!$H217) * (1.1))</f>
        <v>26997.41</v>
      </c>
      <c r="J217" s="159">
        <f>SUMIFS('Future Orders'!$F217, 'Future Orders'!$D217, "1", 'Future Orders'!$C217, "A", 'Future Orders'!$B217, "1")</f>
        <v>0</v>
      </c>
      <c r="K217" s="157">
        <f>SUMIFS('Future Orders'!$I217, 'Future Orders'!$D217, "1", 'Future Orders'!$C217, "A", 'Future Orders'!$B217, "1")</f>
        <v>0</v>
      </c>
      <c r="L217" s="157">
        <f>SUMIFS('Future Orders'!$F217, 'Future Orders'!$D217, "1", 'Future Orders'!$C217, "B", 'Future Orders'!$B217, "1")</f>
        <v>0</v>
      </c>
      <c r="M217" s="157">
        <f>SUMIFS('Future Orders'!$I217, 'Future Orders'!$D217, "1", 'Future Orders'!$C217, "B", 'Future Orders'!$B217, "1")</f>
        <v>0</v>
      </c>
      <c r="N217" s="159">
        <f>SUMIFS('Future Orders'!$F217, 'Future Orders'!$D217, "1", 'Future Orders'!$C217, "A", 'Future Orders'!$B217, "2")</f>
        <v>0</v>
      </c>
      <c r="O217" s="157">
        <f>SUMIFS('Future Orders'!$I217, 'Future Orders'!$D217, "1", 'Future Orders'!$C217, "A", 'Future Orders'!$B217, "2")</f>
        <v>0</v>
      </c>
      <c r="P217" s="157">
        <f>SUMIFS('Future Orders'!$E217, 'Future Orders'!$D217, "1", 'Future Orders'!$C217, "B", 'Future Orders'!$B217, "2")</f>
        <v>0</v>
      </c>
      <c r="Q217" s="157">
        <f>SUMIFS('Future Orders'!$I217, 'Future Orders'!$D217, "1", 'Future Orders'!$C217, "B", 'Future Orders'!$B217, "2")</f>
        <v>0</v>
      </c>
      <c r="R217" s="159">
        <f>SUMIFS('Future Orders'!$F217, 'Future Orders'!$D217, "2", 'Future Orders'!$C217, "A", 'Future Orders'!$B217, "1")</f>
        <v>0</v>
      </c>
      <c r="S217" s="157">
        <f>SUMIFS('Future Orders'!$I217, 'Future Orders'!$D217, "2", 'Future Orders'!$C217, "A", 'Future Orders'!$B217, "1")</f>
        <v>0</v>
      </c>
      <c r="T217" s="159">
        <f>SUMIFS('Future Orders'!$F217, 'Future Orders'!$D217, "2", 'Future Orders'!$C217, "B", 'Future Orders'!$B217, "1")</f>
        <v>0</v>
      </c>
      <c r="U217" s="157">
        <f>SUMIFS('Future Orders'!$I217, 'Future Orders'!$D217, "2", 'Future Orders'!$C217, "B", 'Future Orders'!$B217, "1")</f>
        <v>0</v>
      </c>
      <c r="V217" s="159">
        <f>SUMIFS('Future Orders'!$F217, 'Future Orders'!$D217, "2", 'Future Orders'!$C217, "A", 'Future Orders'!$B217, "2")</f>
        <v>0</v>
      </c>
      <c r="W217" s="157">
        <f>SUMIFS('Future Orders'!$I217, 'Future Orders'!$D217, "2", 'Future Orders'!$C217, "A", 'Future Orders'!$B217, "2")</f>
        <v>0</v>
      </c>
      <c r="X217" s="159">
        <f>SUMIFS('Future Orders'!$F217, 'Future Orders'!$D217, "2", 'Future Orders'!$C217, "B", 'Future Orders'!$B217, "2")</f>
        <v>0</v>
      </c>
      <c r="Y217" s="159">
        <f>SUMIFS('Future Orders'!$I217, 'Future Orders'!$D217, "2", 'Future Orders'!$C217, "B", 'Future Orders'!$B217, "2")</f>
        <v>0</v>
      </c>
      <c r="Z217" s="159">
        <f>SUMIFS('Future Orders'!$F217, 'Future Orders'!$D217, "3", 'Future Orders'!$C217, "A", 'Future Orders'!$B217, "1")</f>
        <v>0</v>
      </c>
      <c r="AA217" s="159">
        <f>SUMIFS('Future Orders'!$I217, 'Future Orders'!$D217, "3", 'Future Orders'!$C217, "A", 'Future Orders'!$B217, "1")</f>
        <v>0</v>
      </c>
      <c r="AB217" s="159">
        <f>SUMIFS('Future Orders'!$F217, 'Future Orders'!$D217, "3", 'Future Orders'!$C217, "B", 'Future Orders'!$B217, "1")</f>
        <v>0</v>
      </c>
      <c r="AC217" s="159">
        <f>SUMIFS('Future Orders'!$I217, 'Future Orders'!$D217, "3", 'Future Orders'!$C217, "B", 'Future Orders'!$B217, "1")</f>
        <v>0</v>
      </c>
      <c r="AD217" s="159">
        <f>SUMIFS('Future Orders'!$F217, 'Future Orders'!$D217, "3", 'Future Orders'!$C217, "A", 'Future Orders'!$B217, "2")</f>
        <v>0</v>
      </c>
      <c r="AE217" s="159">
        <f>SUMIFS('Future Orders'!$I217, 'Future Orders'!$D217, "3", 'Future Orders'!$C217, "A", 'Future Orders'!$B217, "2")</f>
        <v>0</v>
      </c>
      <c r="AF217" s="159">
        <f>SUMIFS('Future Orders'!$F217, 'Future Orders'!$D217, "3", 'Future Orders'!$C217, "B", 'Future Orders'!$B217, "2")</f>
        <v>3252.7</v>
      </c>
      <c r="AG217" s="157">
        <f>SUMIFS('Future Orders'!$I217, 'Future Orders'!$D217, "3", 'Future Orders'!$C217, "B", 'Future Orders'!$B217, "2")</f>
        <v>26997.41</v>
      </c>
      <c r="AH217" s="157">
        <f>SUMIFS('Future Orders'!$F217, 'Future Orders'!$D217, "4", 'Future Orders'!$C217, "A", 'Future Orders'!$B217, "1")</f>
        <v>0</v>
      </c>
      <c r="AI217" s="157">
        <f>SUMIFS('Future Orders'!$I217, 'Future Orders'!$D217, "4", 'Future Orders'!$C217, "A", 'Future Orders'!$B217, "1")</f>
        <v>0</v>
      </c>
      <c r="AJ217" s="157">
        <f>SUMIFS('Future Orders'!$F217, 'Future Orders'!$D217, "4", 'Future Orders'!$C217, "B", 'Future Orders'!$B217, "1")</f>
        <v>0</v>
      </c>
      <c r="AK217" s="157">
        <f>SUMIFS('Future Orders'!$I217, 'Future Orders'!$D217, "4", 'Future Orders'!$C217, "B", 'Future Orders'!$B217, "1")</f>
        <v>0</v>
      </c>
      <c r="AL217" s="157">
        <f>SUMIFS('Future Orders'!$F217, 'Future Orders'!$D217, "4", 'Future Orders'!$C217, "A", 'Future Orders'!$B217, "2")</f>
        <v>0</v>
      </c>
      <c r="AM217" s="157">
        <f>SUMIFS('Future Orders'!$I217, 'Future Orders'!$D217, "4", 'Future Orders'!$C217, "A", 'Future Orders'!$B217, "2")</f>
        <v>0</v>
      </c>
      <c r="AN217" s="171">
        <f>SUMIFS('Future Orders'!$F217, 'Future Orders'!$D217, "4", 'Future Orders'!$C217, "B", 'Future Orders'!$B217, "2")</f>
        <v>0</v>
      </c>
      <c r="AO217" s="171">
        <f>SUMIFS('Future Orders'!$I217, 'Future Orders'!$D217, "4", 'Future Orders'!$C217, "B", 'Future Orders'!$B217, "2")</f>
        <v>0</v>
      </c>
      <c r="AP217" s="171">
        <f>SUMIFS('Future Orders'!$H217, 'Future Orders'!$C217, "A", 'Future Orders'!$B217, "1")</f>
        <v>0</v>
      </c>
      <c r="AQ217" s="171">
        <f>SUMIFS('Future Orders'!$I217, 'Future Orders'!$C217, "B", 'Future Orders'!$B217, "1")</f>
        <v>0</v>
      </c>
      <c r="AR217" s="171">
        <f>SUMIFS('Future Orders'!$H217, 'Future Orders'!$C217, "A", 'Future Orders'!$B217, "2")</f>
        <v>0</v>
      </c>
      <c r="AS217" s="171">
        <f>SUMIFS('Future Orders'!$I217, 'Future Orders'!$C217, "B", 'Future Orders'!$B217, "2")</f>
        <v>26997.41</v>
      </c>
      <c r="AT217" s="145"/>
      <c r="AU217" s="172"/>
      <c r="AV217" s="172"/>
      <c r="AW217" s="172"/>
      <c r="AX217" s="172"/>
      <c r="AY217" s="172"/>
      <c r="AZ217" s="172"/>
      <c r="BA217" s="172"/>
      <c r="BB217" s="172"/>
      <c r="BC217" s="172"/>
      <c r="BD217" s="172"/>
      <c r="BE217" s="172"/>
      <c r="BF217" s="172"/>
      <c r="BG217" s="172"/>
      <c r="BH217" s="172"/>
      <c r="BI217" s="172"/>
      <c r="BJ217" s="172"/>
      <c r="BK217" s="172"/>
      <c r="BL217" s="172"/>
      <c r="BM217" s="172"/>
      <c r="BN217" s="172"/>
      <c r="BO217" s="172"/>
      <c r="BP217" s="172"/>
      <c r="BQ217" s="172"/>
      <c r="BR217" s="172"/>
      <c r="BS217" s="172"/>
      <c r="BT217" s="172"/>
      <c r="BU217" s="172"/>
      <c r="BV217" s="172"/>
      <c r="BW217" s="172"/>
      <c r="BX217" s="172"/>
      <c r="BY217" s="172"/>
      <c r="BZ217" s="172"/>
      <c r="CA217" s="179"/>
      <c r="CB217" s="179"/>
      <c r="CC217" s="179"/>
      <c r="CD217" s="179"/>
      <c r="CE217" s="179"/>
      <c r="CF217" s="179"/>
      <c r="CG217" s="179"/>
      <c r="CH217" s="179"/>
      <c r="CI217" s="179"/>
      <c r="CJ217" s="179"/>
      <c r="CK217" s="179"/>
      <c r="CL217" s="179"/>
      <c r="CM217" s="179"/>
      <c r="CN217" s="179"/>
      <c r="CO217" s="179"/>
      <c r="CP217" s="179"/>
    </row>
    <row r="218" ht="15.75" customHeight="1">
      <c r="A218" s="151">
        <v>42107.0</v>
      </c>
      <c r="B218" s="152">
        <v>1.0</v>
      </c>
      <c r="C218" s="152" t="s">
        <v>45</v>
      </c>
      <c r="D218" s="152">
        <v>1.0</v>
      </c>
      <c r="E218" s="153">
        <v>4366.0</v>
      </c>
      <c r="F218" s="153">
        <f>SUM(('Future Orders'!$E218) * (1.1))</f>
        <v>4802.6</v>
      </c>
      <c r="G218" s="154">
        <v>2.2</v>
      </c>
      <c r="H218" s="155">
        <v>9605.2</v>
      </c>
      <c r="I218" s="155">
        <f>SUM(('Future Orders'!$H218) * (1.1))</f>
        <v>10565.72</v>
      </c>
      <c r="J218" s="159">
        <f>SUMIFS('Future Orders'!$F218, 'Future Orders'!$D218, "1", 'Future Orders'!$C218, "A", 'Future Orders'!$B218, "1")</f>
        <v>4802.6</v>
      </c>
      <c r="K218" s="157">
        <f>SUMIFS('Future Orders'!$I218, 'Future Orders'!$D218, "1", 'Future Orders'!$C218, "A", 'Future Orders'!$B218, "1")</f>
        <v>10565.72</v>
      </c>
      <c r="L218" s="157">
        <f>SUMIFS('Future Orders'!$F218, 'Future Orders'!$D218, "1", 'Future Orders'!$C218, "B", 'Future Orders'!$B218, "1")</f>
        <v>0</v>
      </c>
      <c r="M218" s="157">
        <f>SUMIFS('Future Orders'!$I218, 'Future Orders'!$D218, "1", 'Future Orders'!$C218, "B", 'Future Orders'!$B218, "1")</f>
        <v>0</v>
      </c>
      <c r="N218" s="159">
        <f>SUMIFS('Future Orders'!$F218, 'Future Orders'!$D218, "1", 'Future Orders'!$C218, "A", 'Future Orders'!$B218, "2")</f>
        <v>0</v>
      </c>
      <c r="O218" s="157">
        <f>SUMIFS('Future Orders'!$I218, 'Future Orders'!$D218, "1", 'Future Orders'!$C218, "A", 'Future Orders'!$B218, "2")</f>
        <v>0</v>
      </c>
      <c r="P218" s="157">
        <f>SUMIFS('Future Orders'!$E218, 'Future Orders'!$D218, "1", 'Future Orders'!$C218, "B", 'Future Orders'!$B218, "2")</f>
        <v>0</v>
      </c>
      <c r="Q218" s="157">
        <f>SUMIFS('Future Orders'!$I218, 'Future Orders'!$D218, "1", 'Future Orders'!$C218, "B", 'Future Orders'!$B218, "2")</f>
        <v>0</v>
      </c>
      <c r="R218" s="159">
        <f>SUMIFS('Future Orders'!$F218, 'Future Orders'!$D218, "2", 'Future Orders'!$C218, "A", 'Future Orders'!$B218, "1")</f>
        <v>0</v>
      </c>
      <c r="S218" s="157">
        <f>SUMIFS('Future Orders'!$I218, 'Future Orders'!$D218, "2", 'Future Orders'!$C218, "A", 'Future Orders'!$B218, "1")</f>
        <v>0</v>
      </c>
      <c r="T218" s="159">
        <f>SUMIFS('Future Orders'!$F218, 'Future Orders'!$D218, "2", 'Future Orders'!$C218, "B", 'Future Orders'!$B218, "1")</f>
        <v>0</v>
      </c>
      <c r="U218" s="157">
        <f>SUMIFS('Future Orders'!$I218, 'Future Orders'!$D218, "2", 'Future Orders'!$C218, "B", 'Future Orders'!$B218, "1")</f>
        <v>0</v>
      </c>
      <c r="V218" s="159">
        <f>SUMIFS('Future Orders'!$F218, 'Future Orders'!$D218, "2", 'Future Orders'!$C218, "A", 'Future Orders'!$B218, "2")</f>
        <v>0</v>
      </c>
      <c r="W218" s="157">
        <f>SUMIFS('Future Orders'!$I218, 'Future Orders'!$D218, "2", 'Future Orders'!$C218, "A", 'Future Orders'!$B218, "2")</f>
        <v>0</v>
      </c>
      <c r="X218" s="159">
        <f>SUMIFS('Future Orders'!$F218, 'Future Orders'!$D218, "2", 'Future Orders'!$C218, "B", 'Future Orders'!$B218, "2")</f>
        <v>0</v>
      </c>
      <c r="Y218" s="159">
        <f>SUMIFS('Future Orders'!$I218, 'Future Orders'!$D218, "2", 'Future Orders'!$C218, "B", 'Future Orders'!$B218, "2")</f>
        <v>0</v>
      </c>
      <c r="Z218" s="159">
        <f>SUMIFS('Future Orders'!$F218, 'Future Orders'!$D218, "3", 'Future Orders'!$C218, "A", 'Future Orders'!$B218, "1")</f>
        <v>0</v>
      </c>
      <c r="AA218" s="159">
        <f>SUMIFS('Future Orders'!$I218, 'Future Orders'!$D218, "3", 'Future Orders'!$C218, "A", 'Future Orders'!$B218, "1")</f>
        <v>0</v>
      </c>
      <c r="AB218" s="159">
        <f>SUMIFS('Future Orders'!$F218, 'Future Orders'!$D218, "3", 'Future Orders'!$C218, "B", 'Future Orders'!$B218, "1")</f>
        <v>0</v>
      </c>
      <c r="AC218" s="159">
        <f>SUMIFS('Future Orders'!$I218, 'Future Orders'!$D218, "3", 'Future Orders'!$C218, "B", 'Future Orders'!$B218, "1")</f>
        <v>0</v>
      </c>
      <c r="AD218" s="159">
        <f>SUMIFS('Future Orders'!$F218, 'Future Orders'!$D218, "3", 'Future Orders'!$C218, "A", 'Future Orders'!$B218, "2")</f>
        <v>0</v>
      </c>
      <c r="AE218" s="159">
        <f>SUMIFS('Future Orders'!$I218, 'Future Orders'!$D218, "3", 'Future Orders'!$C218, "A", 'Future Orders'!$B218, "2")</f>
        <v>0</v>
      </c>
      <c r="AF218" s="159">
        <f>SUMIFS('Future Orders'!$F218, 'Future Orders'!$D218, "3", 'Future Orders'!$C218, "B", 'Future Orders'!$B218, "2")</f>
        <v>0</v>
      </c>
      <c r="AG218" s="157">
        <f>SUMIFS('Future Orders'!$I218, 'Future Orders'!$D218, "3", 'Future Orders'!$C218, "B", 'Future Orders'!$B218, "2")</f>
        <v>0</v>
      </c>
      <c r="AH218" s="157">
        <f>SUMIFS('Future Orders'!$F218, 'Future Orders'!$D218, "4", 'Future Orders'!$C218, "A", 'Future Orders'!$B218, "1")</f>
        <v>0</v>
      </c>
      <c r="AI218" s="157">
        <f>SUMIFS('Future Orders'!$I218, 'Future Orders'!$D218, "4", 'Future Orders'!$C218, "A", 'Future Orders'!$B218, "1")</f>
        <v>0</v>
      </c>
      <c r="AJ218" s="157">
        <f>SUMIFS('Future Orders'!$F218, 'Future Orders'!$D218, "4", 'Future Orders'!$C218, "B", 'Future Orders'!$B218, "1")</f>
        <v>0</v>
      </c>
      <c r="AK218" s="157">
        <f>SUMIFS('Future Orders'!$I218, 'Future Orders'!$D218, "4", 'Future Orders'!$C218, "B", 'Future Orders'!$B218, "1")</f>
        <v>0</v>
      </c>
      <c r="AL218" s="157">
        <f>SUMIFS('Future Orders'!$F218, 'Future Orders'!$D218, "4", 'Future Orders'!$C218, "A", 'Future Orders'!$B218, "2")</f>
        <v>0</v>
      </c>
      <c r="AM218" s="157">
        <f>SUMIFS('Future Orders'!$I218, 'Future Orders'!$D218, "4", 'Future Orders'!$C218, "A", 'Future Orders'!$B218, "2")</f>
        <v>0</v>
      </c>
      <c r="AN218" s="171">
        <f>SUMIFS('Future Orders'!$F218, 'Future Orders'!$D218, "4", 'Future Orders'!$C218, "B", 'Future Orders'!$B218, "2")</f>
        <v>0</v>
      </c>
      <c r="AO218" s="171">
        <f>SUMIFS('Future Orders'!$I218, 'Future Orders'!$D218, "4", 'Future Orders'!$C218, "B", 'Future Orders'!$B218, "2")</f>
        <v>0</v>
      </c>
      <c r="AP218" s="171">
        <f>SUMIFS('Future Orders'!$H218, 'Future Orders'!$C218, "A", 'Future Orders'!$B218, "1")</f>
        <v>9605.2</v>
      </c>
      <c r="AQ218" s="171">
        <f>SUMIFS('Future Orders'!$I218, 'Future Orders'!$C218, "B", 'Future Orders'!$B218, "1")</f>
        <v>0</v>
      </c>
      <c r="AR218" s="171">
        <f>SUMIFS('Future Orders'!$H218, 'Future Orders'!$C218, "A", 'Future Orders'!$B218, "2")</f>
        <v>0</v>
      </c>
      <c r="AS218" s="171">
        <f>SUMIFS('Future Orders'!$I218, 'Future Orders'!$C218, "B", 'Future Orders'!$B218, "2")</f>
        <v>0</v>
      </c>
      <c r="AT218" s="145"/>
      <c r="AU218" s="172"/>
      <c r="AV218" s="172"/>
      <c r="AW218" s="172"/>
      <c r="AX218" s="172"/>
      <c r="AY218" s="172"/>
      <c r="AZ218" s="172"/>
      <c r="BA218" s="172"/>
      <c r="BB218" s="172"/>
      <c r="BC218" s="172"/>
      <c r="BD218" s="172"/>
      <c r="BE218" s="172"/>
      <c r="BF218" s="172"/>
      <c r="BG218" s="172"/>
      <c r="BH218" s="172"/>
      <c r="BI218" s="172"/>
      <c r="BJ218" s="172"/>
      <c r="BK218" s="172"/>
      <c r="BL218" s="172"/>
      <c r="BM218" s="172"/>
      <c r="BN218" s="172"/>
      <c r="BO218" s="172"/>
      <c r="BP218" s="172"/>
      <c r="BQ218" s="172"/>
      <c r="BR218" s="172"/>
      <c r="BS218" s="172"/>
      <c r="BT218" s="172"/>
      <c r="BU218" s="172"/>
      <c r="BV218" s="172"/>
      <c r="BW218" s="172"/>
      <c r="BX218" s="172"/>
      <c r="BY218" s="172"/>
      <c r="BZ218" s="172"/>
      <c r="CA218" s="179"/>
      <c r="CB218" s="179"/>
      <c r="CC218" s="179"/>
      <c r="CD218" s="179"/>
      <c r="CE218" s="179"/>
      <c r="CF218" s="179"/>
      <c r="CG218" s="179"/>
      <c r="CH218" s="179"/>
      <c r="CI218" s="179"/>
      <c r="CJ218" s="179"/>
      <c r="CK218" s="179"/>
      <c r="CL218" s="179"/>
      <c r="CM218" s="179"/>
      <c r="CN218" s="179"/>
      <c r="CO218" s="179"/>
      <c r="CP218" s="179"/>
    </row>
    <row r="219" ht="15.75" customHeight="1">
      <c r="A219" s="151">
        <v>42107.0</v>
      </c>
      <c r="B219" s="152">
        <v>1.0</v>
      </c>
      <c r="C219" s="152" t="s">
        <v>45</v>
      </c>
      <c r="D219" s="152">
        <v>2.0</v>
      </c>
      <c r="E219" s="153">
        <v>6667.0</v>
      </c>
      <c r="F219" s="153">
        <f>SUM(('Future Orders'!$E219) * (1.1))</f>
        <v>7333.7</v>
      </c>
      <c r="G219" s="154">
        <v>1.2</v>
      </c>
      <c r="H219" s="155">
        <v>8000.4</v>
      </c>
      <c r="I219" s="155">
        <f>SUM(('Future Orders'!$H219) * (1.1))</f>
        <v>8800.44</v>
      </c>
      <c r="J219" s="159">
        <f>SUMIFS('Future Orders'!$F219, 'Future Orders'!$D219, "1", 'Future Orders'!$C219, "A", 'Future Orders'!$B219, "1")</f>
        <v>0</v>
      </c>
      <c r="K219" s="157">
        <f>SUMIFS('Future Orders'!$I219, 'Future Orders'!$D219, "1", 'Future Orders'!$C219, "A", 'Future Orders'!$B219, "1")</f>
        <v>0</v>
      </c>
      <c r="L219" s="157">
        <f>SUMIFS('Future Orders'!$F219, 'Future Orders'!$D219, "1", 'Future Orders'!$C219, "B", 'Future Orders'!$B219, "1")</f>
        <v>0</v>
      </c>
      <c r="M219" s="157">
        <f>SUMIFS('Future Orders'!$I219, 'Future Orders'!$D219, "1", 'Future Orders'!$C219, "B", 'Future Orders'!$B219, "1")</f>
        <v>0</v>
      </c>
      <c r="N219" s="159">
        <f>SUMIFS('Future Orders'!$F219, 'Future Orders'!$D219, "1", 'Future Orders'!$C219, "A", 'Future Orders'!$B219, "2")</f>
        <v>0</v>
      </c>
      <c r="O219" s="157">
        <f>SUMIFS('Future Orders'!$I219, 'Future Orders'!$D219, "1", 'Future Orders'!$C219, "A", 'Future Orders'!$B219, "2")</f>
        <v>0</v>
      </c>
      <c r="P219" s="157">
        <f>SUMIFS('Future Orders'!$E219, 'Future Orders'!$D219, "1", 'Future Orders'!$C219, "B", 'Future Orders'!$B219, "2")</f>
        <v>0</v>
      </c>
      <c r="Q219" s="157">
        <f>SUMIFS('Future Orders'!$I219, 'Future Orders'!$D219, "1", 'Future Orders'!$C219, "B", 'Future Orders'!$B219, "2")</f>
        <v>0</v>
      </c>
      <c r="R219" s="159">
        <f>SUMIFS('Future Orders'!$F219, 'Future Orders'!$D219, "2", 'Future Orders'!$C219, "A", 'Future Orders'!$B219, "1")</f>
        <v>7333.7</v>
      </c>
      <c r="S219" s="157">
        <f>SUMIFS('Future Orders'!$I219, 'Future Orders'!$D219, "2", 'Future Orders'!$C219, "A", 'Future Orders'!$B219, "1")</f>
        <v>8800.44</v>
      </c>
      <c r="T219" s="159">
        <f>SUMIFS('Future Orders'!$F219, 'Future Orders'!$D219, "2", 'Future Orders'!$C219, "B", 'Future Orders'!$B219, "1")</f>
        <v>0</v>
      </c>
      <c r="U219" s="157">
        <f>SUMIFS('Future Orders'!$I219, 'Future Orders'!$D219, "2", 'Future Orders'!$C219, "B", 'Future Orders'!$B219, "1")</f>
        <v>0</v>
      </c>
      <c r="V219" s="159">
        <f>SUMIFS('Future Orders'!$F219, 'Future Orders'!$D219, "2", 'Future Orders'!$C219, "A", 'Future Orders'!$B219, "2")</f>
        <v>0</v>
      </c>
      <c r="W219" s="157">
        <f>SUMIFS('Future Orders'!$I219, 'Future Orders'!$D219, "2", 'Future Orders'!$C219, "A", 'Future Orders'!$B219, "2")</f>
        <v>0</v>
      </c>
      <c r="X219" s="159">
        <f>SUMIFS('Future Orders'!$F219, 'Future Orders'!$D219, "2", 'Future Orders'!$C219, "B", 'Future Orders'!$B219, "2")</f>
        <v>0</v>
      </c>
      <c r="Y219" s="159">
        <f>SUMIFS('Future Orders'!$I219, 'Future Orders'!$D219, "2", 'Future Orders'!$C219, "B", 'Future Orders'!$B219, "2")</f>
        <v>0</v>
      </c>
      <c r="Z219" s="159">
        <f>SUMIFS('Future Orders'!$F219, 'Future Orders'!$D219, "3", 'Future Orders'!$C219, "A", 'Future Orders'!$B219, "1")</f>
        <v>0</v>
      </c>
      <c r="AA219" s="159">
        <f>SUMIFS('Future Orders'!$I219, 'Future Orders'!$D219, "3", 'Future Orders'!$C219, "A", 'Future Orders'!$B219, "1")</f>
        <v>0</v>
      </c>
      <c r="AB219" s="159">
        <f>SUMIFS('Future Orders'!$F219, 'Future Orders'!$D219, "3", 'Future Orders'!$C219, "B", 'Future Orders'!$B219, "1")</f>
        <v>0</v>
      </c>
      <c r="AC219" s="159">
        <f>SUMIFS('Future Orders'!$I219, 'Future Orders'!$D219, "3", 'Future Orders'!$C219, "B", 'Future Orders'!$B219, "1")</f>
        <v>0</v>
      </c>
      <c r="AD219" s="159">
        <f>SUMIFS('Future Orders'!$F219, 'Future Orders'!$D219, "3", 'Future Orders'!$C219, "A", 'Future Orders'!$B219, "2")</f>
        <v>0</v>
      </c>
      <c r="AE219" s="159">
        <f>SUMIFS('Future Orders'!$I219, 'Future Orders'!$D219, "3", 'Future Orders'!$C219, "A", 'Future Orders'!$B219, "2")</f>
        <v>0</v>
      </c>
      <c r="AF219" s="159">
        <f>SUMIFS('Future Orders'!$F219, 'Future Orders'!$D219, "3", 'Future Orders'!$C219, "B", 'Future Orders'!$B219, "2")</f>
        <v>0</v>
      </c>
      <c r="AG219" s="157">
        <f>SUMIFS('Future Orders'!$I219, 'Future Orders'!$D219, "3", 'Future Orders'!$C219, "B", 'Future Orders'!$B219, "2")</f>
        <v>0</v>
      </c>
      <c r="AH219" s="157">
        <f>SUMIFS('Future Orders'!$F219, 'Future Orders'!$D219, "4", 'Future Orders'!$C219, "A", 'Future Orders'!$B219, "1")</f>
        <v>0</v>
      </c>
      <c r="AI219" s="157">
        <f>SUMIFS('Future Orders'!$I219, 'Future Orders'!$D219, "4", 'Future Orders'!$C219, "A", 'Future Orders'!$B219, "1")</f>
        <v>0</v>
      </c>
      <c r="AJ219" s="157">
        <f>SUMIFS('Future Orders'!$F219, 'Future Orders'!$D219, "4", 'Future Orders'!$C219, "B", 'Future Orders'!$B219, "1")</f>
        <v>0</v>
      </c>
      <c r="AK219" s="157">
        <f>SUMIFS('Future Orders'!$I219, 'Future Orders'!$D219, "4", 'Future Orders'!$C219, "B", 'Future Orders'!$B219, "1")</f>
        <v>0</v>
      </c>
      <c r="AL219" s="157">
        <f>SUMIFS('Future Orders'!$F219, 'Future Orders'!$D219, "4", 'Future Orders'!$C219, "A", 'Future Orders'!$B219, "2")</f>
        <v>0</v>
      </c>
      <c r="AM219" s="157">
        <f>SUMIFS('Future Orders'!$I219, 'Future Orders'!$D219, "4", 'Future Orders'!$C219, "A", 'Future Orders'!$B219, "2")</f>
        <v>0</v>
      </c>
      <c r="AN219" s="171">
        <f>SUMIFS('Future Orders'!$F219, 'Future Orders'!$D219, "4", 'Future Orders'!$C219, "B", 'Future Orders'!$B219, "2")</f>
        <v>0</v>
      </c>
      <c r="AO219" s="171">
        <f>SUMIFS('Future Orders'!$I219, 'Future Orders'!$D219, "4", 'Future Orders'!$C219, "B", 'Future Orders'!$B219, "2")</f>
        <v>0</v>
      </c>
      <c r="AP219" s="171">
        <f>SUMIFS('Future Orders'!$H219, 'Future Orders'!$C219, "A", 'Future Orders'!$B219, "1")</f>
        <v>8000.4</v>
      </c>
      <c r="AQ219" s="171">
        <f>SUMIFS('Future Orders'!$I219, 'Future Orders'!$C219, "B", 'Future Orders'!$B219, "1")</f>
        <v>0</v>
      </c>
      <c r="AR219" s="171">
        <f>SUMIFS('Future Orders'!$H219, 'Future Orders'!$C219, "A", 'Future Orders'!$B219, "2")</f>
        <v>0</v>
      </c>
      <c r="AS219" s="171">
        <f>SUMIFS('Future Orders'!$I219, 'Future Orders'!$C219, "B", 'Future Orders'!$B219, "2")</f>
        <v>0</v>
      </c>
      <c r="AT219" s="145"/>
      <c r="AU219" s="172"/>
      <c r="AV219" s="172"/>
      <c r="AW219" s="172"/>
      <c r="AX219" s="172"/>
      <c r="AY219" s="172"/>
      <c r="AZ219" s="172"/>
      <c r="BA219" s="172"/>
      <c r="BB219" s="172"/>
      <c r="BC219" s="172"/>
      <c r="BD219" s="172"/>
      <c r="BE219" s="172"/>
      <c r="BF219" s="172"/>
      <c r="BG219" s="172"/>
      <c r="BH219" s="172"/>
      <c r="BI219" s="172"/>
      <c r="BJ219" s="172"/>
      <c r="BK219" s="172"/>
      <c r="BL219" s="172"/>
      <c r="BM219" s="172"/>
      <c r="BN219" s="172"/>
      <c r="BO219" s="172"/>
      <c r="BP219" s="172"/>
      <c r="BQ219" s="172"/>
      <c r="BR219" s="172"/>
      <c r="BS219" s="172"/>
      <c r="BT219" s="172"/>
      <c r="BU219" s="172"/>
      <c r="BV219" s="172"/>
      <c r="BW219" s="172"/>
      <c r="BX219" s="172"/>
      <c r="BY219" s="172"/>
      <c r="BZ219" s="172"/>
      <c r="CA219" s="179"/>
      <c r="CB219" s="179"/>
      <c r="CC219" s="179"/>
      <c r="CD219" s="179"/>
      <c r="CE219" s="179"/>
      <c r="CF219" s="179"/>
      <c r="CG219" s="179"/>
      <c r="CH219" s="179"/>
      <c r="CI219" s="179"/>
      <c r="CJ219" s="179"/>
      <c r="CK219" s="179"/>
      <c r="CL219" s="179"/>
      <c r="CM219" s="179"/>
      <c r="CN219" s="179"/>
      <c r="CO219" s="179"/>
      <c r="CP219" s="179"/>
    </row>
    <row r="220" ht="15.75" customHeight="1">
      <c r="A220" s="151">
        <v>42107.0</v>
      </c>
      <c r="B220" s="152">
        <v>2.0</v>
      </c>
      <c r="C220" s="152" t="s">
        <v>45</v>
      </c>
      <c r="D220" s="152">
        <v>1.0</v>
      </c>
      <c r="E220" s="153">
        <v>3318.0</v>
      </c>
      <c r="F220" s="153">
        <f>SUM(('Future Orders'!$E220) * (1.1))</f>
        <v>3649.8</v>
      </c>
      <c r="G220" s="154">
        <v>2.2</v>
      </c>
      <c r="H220" s="155">
        <v>7299.6</v>
      </c>
      <c r="I220" s="155">
        <f>SUM(('Future Orders'!$H220) * (1.1))</f>
        <v>8029.56</v>
      </c>
      <c r="J220" s="159">
        <f>SUMIFS('Future Orders'!$F220, 'Future Orders'!$D220, "1", 'Future Orders'!$C220, "A", 'Future Orders'!$B220, "1")</f>
        <v>0</v>
      </c>
      <c r="K220" s="157">
        <f>SUMIFS('Future Orders'!$I220, 'Future Orders'!$D220, "1", 'Future Orders'!$C220, "A", 'Future Orders'!$B220, "1")</f>
        <v>0</v>
      </c>
      <c r="L220" s="157">
        <f>SUMIFS('Future Orders'!$F220, 'Future Orders'!$D220, "1", 'Future Orders'!$C220, "B", 'Future Orders'!$B220, "1")</f>
        <v>0</v>
      </c>
      <c r="M220" s="157">
        <f>SUMIFS('Future Orders'!$I220, 'Future Orders'!$D220, "1", 'Future Orders'!$C220, "B", 'Future Orders'!$B220, "1")</f>
        <v>0</v>
      </c>
      <c r="N220" s="159">
        <f>SUMIFS('Future Orders'!$F220, 'Future Orders'!$D220, "1", 'Future Orders'!$C220, "A", 'Future Orders'!$B220, "2")</f>
        <v>3649.8</v>
      </c>
      <c r="O220" s="157">
        <f>SUMIFS('Future Orders'!$I220, 'Future Orders'!$D220, "1", 'Future Orders'!$C220, "A", 'Future Orders'!$B220, "2")</f>
        <v>8029.56</v>
      </c>
      <c r="P220" s="157">
        <f>SUMIFS('Future Orders'!$E220, 'Future Orders'!$D220, "1", 'Future Orders'!$C220, "B", 'Future Orders'!$B220, "2")</f>
        <v>0</v>
      </c>
      <c r="Q220" s="157">
        <f>SUMIFS('Future Orders'!$I220, 'Future Orders'!$D220, "1", 'Future Orders'!$C220, "B", 'Future Orders'!$B220, "2")</f>
        <v>0</v>
      </c>
      <c r="R220" s="159">
        <f>SUMIFS('Future Orders'!$F220, 'Future Orders'!$D220, "2", 'Future Orders'!$C220, "A", 'Future Orders'!$B220, "1")</f>
        <v>0</v>
      </c>
      <c r="S220" s="157">
        <f>SUMIFS('Future Orders'!$I220, 'Future Orders'!$D220, "2", 'Future Orders'!$C220, "A", 'Future Orders'!$B220, "1")</f>
        <v>0</v>
      </c>
      <c r="T220" s="159">
        <f>SUMIFS('Future Orders'!$F220, 'Future Orders'!$D220, "2", 'Future Orders'!$C220, "B", 'Future Orders'!$B220, "1")</f>
        <v>0</v>
      </c>
      <c r="U220" s="157">
        <f>SUMIFS('Future Orders'!$I220, 'Future Orders'!$D220, "2", 'Future Orders'!$C220, "B", 'Future Orders'!$B220, "1")</f>
        <v>0</v>
      </c>
      <c r="V220" s="159">
        <f>SUMIFS('Future Orders'!$F220, 'Future Orders'!$D220, "2", 'Future Orders'!$C220, "A", 'Future Orders'!$B220, "2")</f>
        <v>0</v>
      </c>
      <c r="W220" s="157">
        <f>SUMIFS('Future Orders'!$I220, 'Future Orders'!$D220, "2", 'Future Orders'!$C220, "A", 'Future Orders'!$B220, "2")</f>
        <v>0</v>
      </c>
      <c r="X220" s="159">
        <f>SUMIFS('Future Orders'!$F220, 'Future Orders'!$D220, "2", 'Future Orders'!$C220, "B", 'Future Orders'!$B220, "2")</f>
        <v>0</v>
      </c>
      <c r="Y220" s="159">
        <f>SUMIFS('Future Orders'!$I220, 'Future Orders'!$D220, "2", 'Future Orders'!$C220, "B", 'Future Orders'!$B220, "2")</f>
        <v>0</v>
      </c>
      <c r="Z220" s="159">
        <f>SUMIFS('Future Orders'!$F220, 'Future Orders'!$D220, "3", 'Future Orders'!$C220, "A", 'Future Orders'!$B220, "1")</f>
        <v>0</v>
      </c>
      <c r="AA220" s="159">
        <f>SUMIFS('Future Orders'!$I220, 'Future Orders'!$D220, "3", 'Future Orders'!$C220, "A", 'Future Orders'!$B220, "1")</f>
        <v>0</v>
      </c>
      <c r="AB220" s="159">
        <f>SUMIFS('Future Orders'!$F220, 'Future Orders'!$D220, "3", 'Future Orders'!$C220, "B", 'Future Orders'!$B220, "1")</f>
        <v>0</v>
      </c>
      <c r="AC220" s="159">
        <f>SUMIFS('Future Orders'!$I220, 'Future Orders'!$D220, "3", 'Future Orders'!$C220, "B", 'Future Orders'!$B220, "1")</f>
        <v>0</v>
      </c>
      <c r="AD220" s="159">
        <f>SUMIFS('Future Orders'!$F220, 'Future Orders'!$D220, "3", 'Future Orders'!$C220, "A", 'Future Orders'!$B220, "2")</f>
        <v>0</v>
      </c>
      <c r="AE220" s="159">
        <f>SUMIFS('Future Orders'!$I220, 'Future Orders'!$D220, "3", 'Future Orders'!$C220, "A", 'Future Orders'!$B220, "2")</f>
        <v>0</v>
      </c>
      <c r="AF220" s="159">
        <f>SUMIFS('Future Orders'!$F220, 'Future Orders'!$D220, "3", 'Future Orders'!$C220, "B", 'Future Orders'!$B220, "2")</f>
        <v>0</v>
      </c>
      <c r="AG220" s="157">
        <f>SUMIFS('Future Orders'!$I220, 'Future Orders'!$D220, "3", 'Future Orders'!$C220, "B", 'Future Orders'!$B220, "2")</f>
        <v>0</v>
      </c>
      <c r="AH220" s="157">
        <f>SUMIFS('Future Orders'!$F220, 'Future Orders'!$D220, "4", 'Future Orders'!$C220, "A", 'Future Orders'!$B220, "1")</f>
        <v>0</v>
      </c>
      <c r="AI220" s="157">
        <f>SUMIFS('Future Orders'!$I220, 'Future Orders'!$D220, "4", 'Future Orders'!$C220, "A", 'Future Orders'!$B220, "1")</f>
        <v>0</v>
      </c>
      <c r="AJ220" s="157">
        <f>SUMIFS('Future Orders'!$F220, 'Future Orders'!$D220, "4", 'Future Orders'!$C220, "B", 'Future Orders'!$B220, "1")</f>
        <v>0</v>
      </c>
      <c r="AK220" s="157">
        <f>SUMIFS('Future Orders'!$I220, 'Future Orders'!$D220, "4", 'Future Orders'!$C220, "B", 'Future Orders'!$B220, "1")</f>
        <v>0</v>
      </c>
      <c r="AL220" s="157">
        <f>SUMIFS('Future Orders'!$F220, 'Future Orders'!$D220, "4", 'Future Orders'!$C220, "A", 'Future Orders'!$B220, "2")</f>
        <v>0</v>
      </c>
      <c r="AM220" s="157">
        <f>SUMIFS('Future Orders'!$I220, 'Future Orders'!$D220, "4", 'Future Orders'!$C220, "A", 'Future Orders'!$B220, "2")</f>
        <v>0</v>
      </c>
      <c r="AN220" s="171">
        <f>SUMIFS('Future Orders'!$F220, 'Future Orders'!$D220, "4", 'Future Orders'!$C220, "B", 'Future Orders'!$B220, "2")</f>
        <v>0</v>
      </c>
      <c r="AO220" s="171">
        <f>SUMIFS('Future Orders'!$I220, 'Future Orders'!$D220, "4", 'Future Orders'!$C220, "B", 'Future Orders'!$B220, "2")</f>
        <v>0</v>
      </c>
      <c r="AP220" s="171">
        <f>SUMIFS('Future Orders'!$H220, 'Future Orders'!$C220, "A", 'Future Orders'!$B220, "1")</f>
        <v>0</v>
      </c>
      <c r="AQ220" s="171">
        <f>SUMIFS('Future Orders'!$I220, 'Future Orders'!$C220, "B", 'Future Orders'!$B220, "1")</f>
        <v>0</v>
      </c>
      <c r="AR220" s="171">
        <f>SUMIFS('Future Orders'!$H220, 'Future Orders'!$C220, "A", 'Future Orders'!$B220, "2")</f>
        <v>7299.6</v>
      </c>
      <c r="AS220" s="171">
        <f>SUMIFS('Future Orders'!$I220, 'Future Orders'!$C220, "B", 'Future Orders'!$B220, "2")</f>
        <v>0</v>
      </c>
      <c r="AT220" s="145"/>
      <c r="AU220" s="172"/>
      <c r="AV220" s="172"/>
      <c r="AW220" s="172"/>
      <c r="AX220" s="172"/>
      <c r="AY220" s="172"/>
      <c r="AZ220" s="172"/>
      <c r="BA220" s="172"/>
      <c r="BB220" s="172"/>
      <c r="BC220" s="172"/>
      <c r="BD220" s="172"/>
      <c r="BE220" s="172"/>
      <c r="BF220" s="172"/>
      <c r="BG220" s="172"/>
      <c r="BH220" s="172"/>
      <c r="BI220" s="172"/>
      <c r="BJ220" s="172"/>
      <c r="BK220" s="172"/>
      <c r="BL220" s="172"/>
      <c r="BM220" s="172"/>
      <c r="BN220" s="172"/>
      <c r="BO220" s="172"/>
      <c r="BP220" s="172"/>
      <c r="BQ220" s="172"/>
      <c r="BR220" s="172"/>
      <c r="BS220" s="172"/>
      <c r="BT220" s="172"/>
      <c r="BU220" s="172"/>
      <c r="BV220" s="172"/>
      <c r="BW220" s="172"/>
      <c r="BX220" s="172"/>
      <c r="BY220" s="172"/>
      <c r="BZ220" s="172"/>
      <c r="CA220" s="179"/>
      <c r="CB220" s="179"/>
      <c r="CC220" s="179"/>
      <c r="CD220" s="179"/>
      <c r="CE220" s="179"/>
      <c r="CF220" s="179"/>
      <c r="CG220" s="179"/>
      <c r="CH220" s="179"/>
      <c r="CI220" s="179"/>
      <c r="CJ220" s="179"/>
      <c r="CK220" s="179"/>
      <c r="CL220" s="179"/>
      <c r="CM220" s="179"/>
      <c r="CN220" s="179"/>
      <c r="CO220" s="179"/>
      <c r="CP220" s="179"/>
    </row>
    <row r="221" ht="15.75" customHeight="1">
      <c r="A221" s="151">
        <v>42107.0</v>
      </c>
      <c r="B221" s="152">
        <v>2.0</v>
      </c>
      <c r="C221" s="152" t="s">
        <v>45</v>
      </c>
      <c r="D221" s="152">
        <v>2.0</v>
      </c>
      <c r="E221" s="153">
        <v>6652.0</v>
      </c>
      <c r="F221" s="153">
        <f>SUM(('Future Orders'!$E221) * (1.1))</f>
        <v>7317.2</v>
      </c>
      <c r="G221" s="154">
        <v>1.2</v>
      </c>
      <c r="H221" s="155">
        <v>7982.4</v>
      </c>
      <c r="I221" s="155">
        <f>SUM(('Future Orders'!$H221) * (1.1))</f>
        <v>8780.64</v>
      </c>
      <c r="J221" s="159">
        <f>SUMIFS('Future Orders'!$F221, 'Future Orders'!$D221, "1", 'Future Orders'!$C221, "A", 'Future Orders'!$B221, "1")</f>
        <v>0</v>
      </c>
      <c r="K221" s="157">
        <f>SUMIFS('Future Orders'!$I221, 'Future Orders'!$D221, "1", 'Future Orders'!$C221, "A", 'Future Orders'!$B221, "1")</f>
        <v>0</v>
      </c>
      <c r="L221" s="157">
        <f>SUMIFS('Future Orders'!$F221, 'Future Orders'!$D221, "1", 'Future Orders'!$C221, "B", 'Future Orders'!$B221, "1")</f>
        <v>0</v>
      </c>
      <c r="M221" s="157">
        <f>SUMIFS('Future Orders'!$I221, 'Future Orders'!$D221, "1", 'Future Orders'!$C221, "B", 'Future Orders'!$B221, "1")</f>
        <v>0</v>
      </c>
      <c r="N221" s="159">
        <f>SUMIFS('Future Orders'!$F221, 'Future Orders'!$D221, "1", 'Future Orders'!$C221, "A", 'Future Orders'!$B221, "2")</f>
        <v>0</v>
      </c>
      <c r="O221" s="157">
        <f>SUMIFS('Future Orders'!$I221, 'Future Orders'!$D221, "1", 'Future Orders'!$C221, "A", 'Future Orders'!$B221, "2")</f>
        <v>0</v>
      </c>
      <c r="P221" s="157">
        <f>SUMIFS('Future Orders'!$E221, 'Future Orders'!$D221, "1", 'Future Orders'!$C221, "B", 'Future Orders'!$B221, "2")</f>
        <v>0</v>
      </c>
      <c r="Q221" s="157">
        <f>SUMIFS('Future Orders'!$I221, 'Future Orders'!$D221, "1", 'Future Orders'!$C221, "B", 'Future Orders'!$B221, "2")</f>
        <v>0</v>
      </c>
      <c r="R221" s="159">
        <f>SUMIFS('Future Orders'!$F221, 'Future Orders'!$D221, "2", 'Future Orders'!$C221, "A", 'Future Orders'!$B221, "1")</f>
        <v>0</v>
      </c>
      <c r="S221" s="157">
        <f>SUMIFS('Future Orders'!$I221, 'Future Orders'!$D221, "2", 'Future Orders'!$C221, "A", 'Future Orders'!$B221, "1")</f>
        <v>0</v>
      </c>
      <c r="T221" s="159">
        <f>SUMIFS('Future Orders'!$F221, 'Future Orders'!$D221, "2", 'Future Orders'!$C221, "B", 'Future Orders'!$B221, "1")</f>
        <v>0</v>
      </c>
      <c r="U221" s="157">
        <f>SUMIFS('Future Orders'!$I221, 'Future Orders'!$D221, "2", 'Future Orders'!$C221, "B", 'Future Orders'!$B221, "1")</f>
        <v>0</v>
      </c>
      <c r="V221" s="159">
        <f>SUMIFS('Future Orders'!$F221, 'Future Orders'!$D221, "2", 'Future Orders'!$C221, "A", 'Future Orders'!$B221, "2")</f>
        <v>7317.2</v>
      </c>
      <c r="W221" s="157">
        <f>SUMIFS('Future Orders'!$I221, 'Future Orders'!$D221, "2", 'Future Orders'!$C221, "A", 'Future Orders'!$B221, "2")</f>
        <v>8780.64</v>
      </c>
      <c r="X221" s="159">
        <f>SUMIFS('Future Orders'!$F221, 'Future Orders'!$D221, "2", 'Future Orders'!$C221, "B", 'Future Orders'!$B221, "2")</f>
        <v>0</v>
      </c>
      <c r="Y221" s="159">
        <f>SUMIFS('Future Orders'!$I221, 'Future Orders'!$D221, "2", 'Future Orders'!$C221, "B", 'Future Orders'!$B221, "2")</f>
        <v>0</v>
      </c>
      <c r="Z221" s="159">
        <f>SUMIFS('Future Orders'!$F221, 'Future Orders'!$D221, "3", 'Future Orders'!$C221, "A", 'Future Orders'!$B221, "1")</f>
        <v>0</v>
      </c>
      <c r="AA221" s="159">
        <f>SUMIFS('Future Orders'!$I221, 'Future Orders'!$D221, "3", 'Future Orders'!$C221, "A", 'Future Orders'!$B221, "1")</f>
        <v>0</v>
      </c>
      <c r="AB221" s="159">
        <f>SUMIFS('Future Orders'!$F221, 'Future Orders'!$D221, "3", 'Future Orders'!$C221, "B", 'Future Orders'!$B221, "1")</f>
        <v>0</v>
      </c>
      <c r="AC221" s="159">
        <f>SUMIFS('Future Orders'!$I221, 'Future Orders'!$D221, "3", 'Future Orders'!$C221, "B", 'Future Orders'!$B221, "1")</f>
        <v>0</v>
      </c>
      <c r="AD221" s="159">
        <f>SUMIFS('Future Orders'!$F221, 'Future Orders'!$D221, "3", 'Future Orders'!$C221, "A", 'Future Orders'!$B221, "2")</f>
        <v>0</v>
      </c>
      <c r="AE221" s="159">
        <f>SUMIFS('Future Orders'!$I221, 'Future Orders'!$D221, "3", 'Future Orders'!$C221, "A", 'Future Orders'!$B221, "2")</f>
        <v>0</v>
      </c>
      <c r="AF221" s="159">
        <f>SUMIFS('Future Orders'!$F221, 'Future Orders'!$D221, "3", 'Future Orders'!$C221, "B", 'Future Orders'!$B221, "2")</f>
        <v>0</v>
      </c>
      <c r="AG221" s="157">
        <f>SUMIFS('Future Orders'!$I221, 'Future Orders'!$D221, "3", 'Future Orders'!$C221, "B", 'Future Orders'!$B221, "2")</f>
        <v>0</v>
      </c>
      <c r="AH221" s="157">
        <f>SUMIFS('Future Orders'!$F221, 'Future Orders'!$D221, "4", 'Future Orders'!$C221, "A", 'Future Orders'!$B221, "1")</f>
        <v>0</v>
      </c>
      <c r="AI221" s="157">
        <f>SUMIFS('Future Orders'!$I221, 'Future Orders'!$D221, "4", 'Future Orders'!$C221, "A", 'Future Orders'!$B221, "1")</f>
        <v>0</v>
      </c>
      <c r="AJ221" s="157">
        <f>SUMIFS('Future Orders'!$F221, 'Future Orders'!$D221, "4", 'Future Orders'!$C221, "B", 'Future Orders'!$B221, "1")</f>
        <v>0</v>
      </c>
      <c r="AK221" s="157">
        <f>SUMIFS('Future Orders'!$I221, 'Future Orders'!$D221, "4", 'Future Orders'!$C221, "B", 'Future Orders'!$B221, "1")</f>
        <v>0</v>
      </c>
      <c r="AL221" s="157">
        <f>SUMIFS('Future Orders'!$F221, 'Future Orders'!$D221, "4", 'Future Orders'!$C221, "A", 'Future Orders'!$B221, "2")</f>
        <v>0</v>
      </c>
      <c r="AM221" s="157">
        <f>SUMIFS('Future Orders'!$I221, 'Future Orders'!$D221, "4", 'Future Orders'!$C221, "A", 'Future Orders'!$B221, "2")</f>
        <v>0</v>
      </c>
      <c r="AN221" s="171">
        <f>SUMIFS('Future Orders'!$F221, 'Future Orders'!$D221, "4", 'Future Orders'!$C221, "B", 'Future Orders'!$B221, "2")</f>
        <v>0</v>
      </c>
      <c r="AO221" s="171">
        <f>SUMIFS('Future Orders'!$I221, 'Future Orders'!$D221, "4", 'Future Orders'!$C221, "B", 'Future Orders'!$B221, "2")</f>
        <v>0</v>
      </c>
      <c r="AP221" s="171">
        <f>SUMIFS('Future Orders'!$H221, 'Future Orders'!$C221, "A", 'Future Orders'!$B221, "1")</f>
        <v>0</v>
      </c>
      <c r="AQ221" s="171">
        <f>SUMIFS('Future Orders'!$I221, 'Future Orders'!$C221, "B", 'Future Orders'!$B221, "1")</f>
        <v>0</v>
      </c>
      <c r="AR221" s="171">
        <f>SUMIFS('Future Orders'!$H221, 'Future Orders'!$C221, "A", 'Future Orders'!$B221, "2")</f>
        <v>7982.4</v>
      </c>
      <c r="AS221" s="171">
        <f>SUMIFS('Future Orders'!$I221, 'Future Orders'!$C221, "B", 'Future Orders'!$B221, "2")</f>
        <v>0</v>
      </c>
      <c r="AT221" s="145"/>
      <c r="AU221" s="172"/>
      <c r="AV221" s="172"/>
      <c r="AW221" s="172"/>
      <c r="AX221" s="172"/>
      <c r="AY221" s="172"/>
      <c r="AZ221" s="172"/>
      <c r="BA221" s="172"/>
      <c r="BB221" s="172"/>
      <c r="BC221" s="172"/>
      <c r="BD221" s="172"/>
      <c r="BE221" s="172"/>
      <c r="BF221" s="172"/>
      <c r="BG221" s="172"/>
      <c r="BH221" s="172"/>
      <c r="BI221" s="172"/>
      <c r="BJ221" s="172"/>
      <c r="BK221" s="172"/>
      <c r="BL221" s="172"/>
      <c r="BM221" s="172"/>
      <c r="BN221" s="172"/>
      <c r="BO221" s="172"/>
      <c r="BP221" s="172"/>
      <c r="BQ221" s="172"/>
      <c r="BR221" s="172"/>
      <c r="BS221" s="172"/>
      <c r="BT221" s="172"/>
      <c r="BU221" s="172"/>
      <c r="BV221" s="172"/>
      <c r="BW221" s="172"/>
      <c r="BX221" s="172"/>
      <c r="BY221" s="172"/>
      <c r="BZ221" s="172"/>
      <c r="CA221" s="179"/>
      <c r="CB221" s="179"/>
      <c r="CC221" s="179"/>
      <c r="CD221" s="179"/>
      <c r="CE221" s="179"/>
      <c r="CF221" s="179"/>
      <c r="CG221" s="179"/>
      <c r="CH221" s="179"/>
      <c r="CI221" s="179"/>
      <c r="CJ221" s="179"/>
      <c r="CK221" s="179"/>
      <c r="CL221" s="179"/>
      <c r="CM221" s="179"/>
      <c r="CN221" s="179"/>
      <c r="CO221" s="179"/>
      <c r="CP221" s="179"/>
    </row>
    <row r="222" ht="15.75" customHeight="1">
      <c r="A222" s="151">
        <v>42107.0</v>
      </c>
      <c r="B222" s="152">
        <v>1.0</v>
      </c>
      <c r="C222" s="152" t="s">
        <v>46</v>
      </c>
      <c r="D222" s="152">
        <v>3.0</v>
      </c>
      <c r="E222" s="153">
        <v>2102.0</v>
      </c>
      <c r="F222" s="153">
        <f>SUM(('Future Orders'!$E222) * (1.1))</f>
        <v>2312.2</v>
      </c>
      <c r="G222" s="154">
        <v>8.3</v>
      </c>
      <c r="H222" s="155">
        <v>17446.600000000002</v>
      </c>
      <c r="I222" s="155">
        <f>SUM(('Future Orders'!$H222) * (1.1))</f>
        <v>19191.26</v>
      </c>
      <c r="J222" s="159">
        <f>SUMIFS('Future Orders'!$F222, 'Future Orders'!$D222, "1", 'Future Orders'!$C222, "A", 'Future Orders'!$B222, "1")</f>
        <v>0</v>
      </c>
      <c r="K222" s="157">
        <f>SUMIFS('Future Orders'!$I222, 'Future Orders'!$D222, "1", 'Future Orders'!$C222, "A", 'Future Orders'!$B222, "1")</f>
        <v>0</v>
      </c>
      <c r="L222" s="157">
        <f>SUMIFS('Future Orders'!$F222, 'Future Orders'!$D222, "1", 'Future Orders'!$C222, "B", 'Future Orders'!$B222, "1")</f>
        <v>0</v>
      </c>
      <c r="M222" s="157">
        <f>SUMIFS('Future Orders'!$I222, 'Future Orders'!$D222, "1", 'Future Orders'!$C222, "B", 'Future Orders'!$B222, "1")</f>
        <v>0</v>
      </c>
      <c r="N222" s="159">
        <f>SUMIFS('Future Orders'!$F222, 'Future Orders'!$D222, "1", 'Future Orders'!$C222, "A", 'Future Orders'!$B222, "2")</f>
        <v>0</v>
      </c>
      <c r="O222" s="157">
        <f>SUMIFS('Future Orders'!$I222, 'Future Orders'!$D222, "1", 'Future Orders'!$C222, "A", 'Future Orders'!$B222, "2")</f>
        <v>0</v>
      </c>
      <c r="P222" s="157">
        <f>SUMIFS('Future Orders'!$E222, 'Future Orders'!$D222, "1", 'Future Orders'!$C222, "B", 'Future Orders'!$B222, "2")</f>
        <v>0</v>
      </c>
      <c r="Q222" s="157">
        <f>SUMIFS('Future Orders'!$I222, 'Future Orders'!$D222, "1", 'Future Orders'!$C222, "B", 'Future Orders'!$B222, "2")</f>
        <v>0</v>
      </c>
      <c r="R222" s="159">
        <f>SUMIFS('Future Orders'!$F222, 'Future Orders'!$D222, "2", 'Future Orders'!$C222, "A", 'Future Orders'!$B222, "1")</f>
        <v>0</v>
      </c>
      <c r="S222" s="157">
        <f>SUMIFS('Future Orders'!$I222, 'Future Orders'!$D222, "2", 'Future Orders'!$C222, "A", 'Future Orders'!$B222, "1")</f>
        <v>0</v>
      </c>
      <c r="T222" s="159">
        <f>SUMIFS('Future Orders'!$F222, 'Future Orders'!$D222, "2", 'Future Orders'!$C222, "B", 'Future Orders'!$B222, "1")</f>
        <v>0</v>
      </c>
      <c r="U222" s="157">
        <f>SUMIFS('Future Orders'!$I222, 'Future Orders'!$D222, "2", 'Future Orders'!$C222, "B", 'Future Orders'!$B222, "1")</f>
        <v>0</v>
      </c>
      <c r="V222" s="159">
        <f>SUMIFS('Future Orders'!$F222, 'Future Orders'!$D222, "2", 'Future Orders'!$C222, "A", 'Future Orders'!$B222, "2")</f>
        <v>0</v>
      </c>
      <c r="W222" s="157">
        <f>SUMIFS('Future Orders'!$I222, 'Future Orders'!$D222, "2", 'Future Orders'!$C222, "A", 'Future Orders'!$B222, "2")</f>
        <v>0</v>
      </c>
      <c r="X222" s="159">
        <f>SUMIFS('Future Orders'!$F222, 'Future Orders'!$D222, "2", 'Future Orders'!$C222, "B", 'Future Orders'!$B222, "2")</f>
        <v>0</v>
      </c>
      <c r="Y222" s="159">
        <f>SUMIFS('Future Orders'!$I222, 'Future Orders'!$D222, "2", 'Future Orders'!$C222, "B", 'Future Orders'!$B222, "2")</f>
        <v>0</v>
      </c>
      <c r="Z222" s="159">
        <f>SUMIFS('Future Orders'!$F222, 'Future Orders'!$D222, "3", 'Future Orders'!$C222, "A", 'Future Orders'!$B222, "1")</f>
        <v>0</v>
      </c>
      <c r="AA222" s="159">
        <f>SUMIFS('Future Orders'!$I222, 'Future Orders'!$D222, "3", 'Future Orders'!$C222, "A", 'Future Orders'!$B222, "1")</f>
        <v>0</v>
      </c>
      <c r="AB222" s="159">
        <f>SUMIFS('Future Orders'!$F222, 'Future Orders'!$D222, "3", 'Future Orders'!$C222, "B", 'Future Orders'!$B222, "1")</f>
        <v>2312.2</v>
      </c>
      <c r="AC222" s="159">
        <f>SUMIFS('Future Orders'!$I222, 'Future Orders'!$D222, "3", 'Future Orders'!$C222, "B", 'Future Orders'!$B222, "1")</f>
        <v>19191.26</v>
      </c>
      <c r="AD222" s="159">
        <f>SUMIFS('Future Orders'!$F222, 'Future Orders'!$D222, "3", 'Future Orders'!$C222, "A", 'Future Orders'!$B222, "2")</f>
        <v>0</v>
      </c>
      <c r="AE222" s="159">
        <f>SUMIFS('Future Orders'!$I222, 'Future Orders'!$D222, "3", 'Future Orders'!$C222, "A", 'Future Orders'!$B222, "2")</f>
        <v>0</v>
      </c>
      <c r="AF222" s="159">
        <f>SUMIFS('Future Orders'!$F222, 'Future Orders'!$D222, "3", 'Future Orders'!$C222, "B", 'Future Orders'!$B222, "2")</f>
        <v>0</v>
      </c>
      <c r="AG222" s="157">
        <f>SUMIFS('Future Orders'!$I222, 'Future Orders'!$D222, "3", 'Future Orders'!$C222, "B", 'Future Orders'!$B222, "2")</f>
        <v>0</v>
      </c>
      <c r="AH222" s="157">
        <f>SUMIFS('Future Orders'!$F222, 'Future Orders'!$D222, "4", 'Future Orders'!$C222, "A", 'Future Orders'!$B222, "1")</f>
        <v>0</v>
      </c>
      <c r="AI222" s="157">
        <f>SUMIFS('Future Orders'!$I222, 'Future Orders'!$D222, "4", 'Future Orders'!$C222, "A", 'Future Orders'!$B222, "1")</f>
        <v>0</v>
      </c>
      <c r="AJ222" s="157">
        <f>SUMIFS('Future Orders'!$F222, 'Future Orders'!$D222, "4", 'Future Orders'!$C222, "B", 'Future Orders'!$B222, "1")</f>
        <v>0</v>
      </c>
      <c r="AK222" s="157">
        <f>SUMIFS('Future Orders'!$I222, 'Future Orders'!$D222, "4", 'Future Orders'!$C222, "B", 'Future Orders'!$B222, "1")</f>
        <v>0</v>
      </c>
      <c r="AL222" s="157">
        <f>SUMIFS('Future Orders'!$F222, 'Future Orders'!$D222, "4", 'Future Orders'!$C222, "A", 'Future Orders'!$B222, "2")</f>
        <v>0</v>
      </c>
      <c r="AM222" s="157">
        <f>SUMIFS('Future Orders'!$I222, 'Future Orders'!$D222, "4", 'Future Orders'!$C222, "A", 'Future Orders'!$B222, "2")</f>
        <v>0</v>
      </c>
      <c r="AN222" s="171">
        <f>SUMIFS('Future Orders'!$F222, 'Future Orders'!$D222, "4", 'Future Orders'!$C222, "B", 'Future Orders'!$B222, "2")</f>
        <v>0</v>
      </c>
      <c r="AO222" s="171">
        <f>SUMIFS('Future Orders'!$I222, 'Future Orders'!$D222, "4", 'Future Orders'!$C222, "B", 'Future Orders'!$B222, "2")</f>
        <v>0</v>
      </c>
      <c r="AP222" s="171">
        <f>SUMIFS('Future Orders'!$H222, 'Future Orders'!$C222, "A", 'Future Orders'!$B222, "1")</f>
        <v>0</v>
      </c>
      <c r="AQ222" s="171">
        <f>SUMIFS('Future Orders'!$I222, 'Future Orders'!$C222, "B", 'Future Orders'!$B222, "1")</f>
        <v>19191.26</v>
      </c>
      <c r="AR222" s="171">
        <f>SUMIFS('Future Orders'!$H222, 'Future Orders'!$C222, "A", 'Future Orders'!$B222, "2")</f>
        <v>0</v>
      </c>
      <c r="AS222" s="171">
        <f>SUMIFS('Future Orders'!$I222, 'Future Orders'!$C222, "B", 'Future Orders'!$B222, "2")</f>
        <v>0</v>
      </c>
      <c r="AT222" s="145"/>
      <c r="AU222" s="172"/>
      <c r="AV222" s="172"/>
      <c r="AW222" s="172"/>
      <c r="AX222" s="172"/>
      <c r="AY222" s="172"/>
      <c r="AZ222" s="172"/>
      <c r="BA222" s="172"/>
      <c r="BB222" s="172"/>
      <c r="BC222" s="172"/>
      <c r="BD222" s="172"/>
      <c r="BE222" s="172"/>
      <c r="BF222" s="172"/>
      <c r="BG222" s="172"/>
      <c r="BH222" s="172"/>
      <c r="BI222" s="172"/>
      <c r="BJ222" s="172"/>
      <c r="BK222" s="172"/>
      <c r="BL222" s="172"/>
      <c r="BM222" s="172"/>
      <c r="BN222" s="172"/>
      <c r="BO222" s="172"/>
      <c r="BP222" s="172"/>
      <c r="BQ222" s="172"/>
      <c r="BR222" s="172"/>
      <c r="BS222" s="172"/>
      <c r="BT222" s="172"/>
      <c r="BU222" s="172"/>
      <c r="BV222" s="172"/>
      <c r="BW222" s="172"/>
      <c r="BX222" s="172"/>
      <c r="BY222" s="172"/>
      <c r="BZ222" s="172"/>
      <c r="CA222" s="179"/>
      <c r="CB222" s="179"/>
      <c r="CC222" s="179"/>
      <c r="CD222" s="179"/>
      <c r="CE222" s="179"/>
      <c r="CF222" s="179"/>
      <c r="CG222" s="179"/>
      <c r="CH222" s="179"/>
      <c r="CI222" s="179"/>
      <c r="CJ222" s="179"/>
      <c r="CK222" s="179"/>
      <c r="CL222" s="179"/>
      <c r="CM222" s="179"/>
      <c r="CN222" s="179"/>
      <c r="CO222" s="179"/>
      <c r="CP222" s="179"/>
    </row>
    <row r="223" ht="15.75" customHeight="1">
      <c r="A223" s="151">
        <v>42107.0</v>
      </c>
      <c r="B223" s="152">
        <v>2.0</v>
      </c>
      <c r="C223" s="152" t="s">
        <v>46</v>
      </c>
      <c r="D223" s="152">
        <v>3.0</v>
      </c>
      <c r="E223" s="153">
        <v>2856.0</v>
      </c>
      <c r="F223" s="153">
        <f>SUM(('Future Orders'!$E223) * (1.1))</f>
        <v>3141.6</v>
      </c>
      <c r="G223" s="154">
        <v>8.3</v>
      </c>
      <c r="H223" s="155">
        <v>23704.800000000003</v>
      </c>
      <c r="I223" s="155">
        <f>SUM(('Future Orders'!$H223) * (1.1))</f>
        <v>26075.28</v>
      </c>
      <c r="J223" s="159">
        <f>SUMIFS('Future Orders'!$F223, 'Future Orders'!$D223, "1", 'Future Orders'!$C223, "A", 'Future Orders'!$B223, "1")</f>
        <v>0</v>
      </c>
      <c r="K223" s="157">
        <f>SUMIFS('Future Orders'!$I223, 'Future Orders'!$D223, "1", 'Future Orders'!$C223, "A", 'Future Orders'!$B223, "1")</f>
        <v>0</v>
      </c>
      <c r="L223" s="157">
        <f>SUMIFS('Future Orders'!$F223, 'Future Orders'!$D223, "1", 'Future Orders'!$C223, "B", 'Future Orders'!$B223, "1")</f>
        <v>0</v>
      </c>
      <c r="M223" s="157">
        <f>SUMIFS('Future Orders'!$I223, 'Future Orders'!$D223, "1", 'Future Orders'!$C223, "B", 'Future Orders'!$B223, "1")</f>
        <v>0</v>
      </c>
      <c r="N223" s="159">
        <f>SUMIFS('Future Orders'!$F223, 'Future Orders'!$D223, "1", 'Future Orders'!$C223, "A", 'Future Orders'!$B223, "2")</f>
        <v>0</v>
      </c>
      <c r="O223" s="157">
        <f>SUMIFS('Future Orders'!$I223, 'Future Orders'!$D223, "1", 'Future Orders'!$C223, "A", 'Future Orders'!$B223, "2")</f>
        <v>0</v>
      </c>
      <c r="P223" s="157">
        <f>SUMIFS('Future Orders'!$E223, 'Future Orders'!$D223, "1", 'Future Orders'!$C223, "B", 'Future Orders'!$B223, "2")</f>
        <v>0</v>
      </c>
      <c r="Q223" s="157">
        <f>SUMIFS('Future Orders'!$I223, 'Future Orders'!$D223, "1", 'Future Orders'!$C223, "B", 'Future Orders'!$B223, "2")</f>
        <v>0</v>
      </c>
      <c r="R223" s="159">
        <f>SUMIFS('Future Orders'!$F223, 'Future Orders'!$D223, "2", 'Future Orders'!$C223, "A", 'Future Orders'!$B223, "1")</f>
        <v>0</v>
      </c>
      <c r="S223" s="157">
        <f>SUMIFS('Future Orders'!$I223, 'Future Orders'!$D223, "2", 'Future Orders'!$C223, "A", 'Future Orders'!$B223, "1")</f>
        <v>0</v>
      </c>
      <c r="T223" s="159">
        <f>SUMIFS('Future Orders'!$F223, 'Future Orders'!$D223, "2", 'Future Orders'!$C223, "B", 'Future Orders'!$B223, "1")</f>
        <v>0</v>
      </c>
      <c r="U223" s="157">
        <f>SUMIFS('Future Orders'!$I223, 'Future Orders'!$D223, "2", 'Future Orders'!$C223, "B", 'Future Orders'!$B223, "1")</f>
        <v>0</v>
      </c>
      <c r="V223" s="159">
        <f>SUMIFS('Future Orders'!$F223, 'Future Orders'!$D223, "2", 'Future Orders'!$C223, "A", 'Future Orders'!$B223, "2")</f>
        <v>0</v>
      </c>
      <c r="W223" s="157">
        <f>SUMIFS('Future Orders'!$I223, 'Future Orders'!$D223, "2", 'Future Orders'!$C223, "A", 'Future Orders'!$B223, "2")</f>
        <v>0</v>
      </c>
      <c r="X223" s="159">
        <f>SUMIFS('Future Orders'!$F223, 'Future Orders'!$D223, "2", 'Future Orders'!$C223, "B", 'Future Orders'!$B223, "2")</f>
        <v>0</v>
      </c>
      <c r="Y223" s="159">
        <f>SUMIFS('Future Orders'!$I223, 'Future Orders'!$D223, "2", 'Future Orders'!$C223, "B", 'Future Orders'!$B223, "2")</f>
        <v>0</v>
      </c>
      <c r="Z223" s="159">
        <f>SUMIFS('Future Orders'!$F223, 'Future Orders'!$D223, "3", 'Future Orders'!$C223, "A", 'Future Orders'!$B223, "1")</f>
        <v>0</v>
      </c>
      <c r="AA223" s="159">
        <f>SUMIFS('Future Orders'!$I223, 'Future Orders'!$D223, "3", 'Future Orders'!$C223, "A", 'Future Orders'!$B223, "1")</f>
        <v>0</v>
      </c>
      <c r="AB223" s="159">
        <f>SUMIFS('Future Orders'!$F223, 'Future Orders'!$D223, "3", 'Future Orders'!$C223, "B", 'Future Orders'!$B223, "1")</f>
        <v>0</v>
      </c>
      <c r="AC223" s="159">
        <f>SUMIFS('Future Orders'!$I223, 'Future Orders'!$D223, "3", 'Future Orders'!$C223, "B", 'Future Orders'!$B223, "1")</f>
        <v>0</v>
      </c>
      <c r="AD223" s="159">
        <f>SUMIFS('Future Orders'!$F223, 'Future Orders'!$D223, "3", 'Future Orders'!$C223, "A", 'Future Orders'!$B223, "2")</f>
        <v>0</v>
      </c>
      <c r="AE223" s="159">
        <f>SUMIFS('Future Orders'!$I223, 'Future Orders'!$D223, "3", 'Future Orders'!$C223, "A", 'Future Orders'!$B223, "2")</f>
        <v>0</v>
      </c>
      <c r="AF223" s="159">
        <f>SUMIFS('Future Orders'!$F223, 'Future Orders'!$D223, "3", 'Future Orders'!$C223, "B", 'Future Orders'!$B223, "2")</f>
        <v>3141.6</v>
      </c>
      <c r="AG223" s="157">
        <f>SUMIFS('Future Orders'!$I223, 'Future Orders'!$D223, "3", 'Future Orders'!$C223, "B", 'Future Orders'!$B223, "2")</f>
        <v>26075.28</v>
      </c>
      <c r="AH223" s="157">
        <f>SUMIFS('Future Orders'!$F223, 'Future Orders'!$D223, "4", 'Future Orders'!$C223, "A", 'Future Orders'!$B223, "1")</f>
        <v>0</v>
      </c>
      <c r="AI223" s="157">
        <f>SUMIFS('Future Orders'!$I223, 'Future Orders'!$D223, "4", 'Future Orders'!$C223, "A", 'Future Orders'!$B223, "1")</f>
        <v>0</v>
      </c>
      <c r="AJ223" s="157">
        <f>SUMIFS('Future Orders'!$F223, 'Future Orders'!$D223, "4", 'Future Orders'!$C223, "B", 'Future Orders'!$B223, "1")</f>
        <v>0</v>
      </c>
      <c r="AK223" s="157">
        <f>SUMIFS('Future Orders'!$I223, 'Future Orders'!$D223, "4", 'Future Orders'!$C223, "B", 'Future Orders'!$B223, "1")</f>
        <v>0</v>
      </c>
      <c r="AL223" s="157">
        <f>SUMIFS('Future Orders'!$F223, 'Future Orders'!$D223, "4", 'Future Orders'!$C223, "A", 'Future Orders'!$B223, "2")</f>
        <v>0</v>
      </c>
      <c r="AM223" s="157">
        <f>SUMIFS('Future Orders'!$I223, 'Future Orders'!$D223, "4", 'Future Orders'!$C223, "A", 'Future Orders'!$B223, "2")</f>
        <v>0</v>
      </c>
      <c r="AN223" s="171">
        <f>SUMIFS('Future Orders'!$F223, 'Future Orders'!$D223, "4", 'Future Orders'!$C223, "B", 'Future Orders'!$B223, "2")</f>
        <v>0</v>
      </c>
      <c r="AO223" s="171">
        <f>SUMIFS('Future Orders'!$I223, 'Future Orders'!$D223, "4", 'Future Orders'!$C223, "B", 'Future Orders'!$B223, "2")</f>
        <v>0</v>
      </c>
      <c r="AP223" s="171">
        <f>SUMIFS('Future Orders'!$H223, 'Future Orders'!$C223, "A", 'Future Orders'!$B223, "1")</f>
        <v>0</v>
      </c>
      <c r="AQ223" s="171">
        <f>SUMIFS('Future Orders'!$I223, 'Future Orders'!$C223, "B", 'Future Orders'!$B223, "1")</f>
        <v>0</v>
      </c>
      <c r="AR223" s="171">
        <f>SUMIFS('Future Orders'!$H223, 'Future Orders'!$C223, "A", 'Future Orders'!$B223, "2")</f>
        <v>0</v>
      </c>
      <c r="AS223" s="171">
        <f>SUMIFS('Future Orders'!$I223, 'Future Orders'!$C223, "B", 'Future Orders'!$B223, "2")</f>
        <v>26075.28</v>
      </c>
      <c r="AT223" s="145"/>
      <c r="AU223" s="172"/>
      <c r="AV223" s="172"/>
      <c r="AW223" s="172"/>
      <c r="AX223" s="172"/>
      <c r="AY223" s="172"/>
      <c r="AZ223" s="172"/>
      <c r="BA223" s="172"/>
      <c r="BB223" s="172"/>
      <c r="BC223" s="172"/>
      <c r="BD223" s="172"/>
      <c r="BE223" s="172"/>
      <c r="BF223" s="172"/>
      <c r="BG223" s="172"/>
      <c r="BH223" s="172"/>
      <c r="BI223" s="172"/>
      <c r="BJ223" s="172"/>
      <c r="BK223" s="172"/>
      <c r="BL223" s="172"/>
      <c r="BM223" s="172"/>
      <c r="BN223" s="172"/>
      <c r="BO223" s="172"/>
      <c r="BP223" s="172"/>
      <c r="BQ223" s="172"/>
      <c r="BR223" s="172"/>
      <c r="BS223" s="172"/>
      <c r="BT223" s="172"/>
      <c r="BU223" s="172"/>
      <c r="BV223" s="172"/>
      <c r="BW223" s="172"/>
      <c r="BX223" s="172"/>
      <c r="BY223" s="172"/>
      <c r="BZ223" s="172"/>
      <c r="CA223" s="179"/>
      <c r="CB223" s="179"/>
      <c r="CC223" s="179"/>
      <c r="CD223" s="179"/>
      <c r="CE223" s="179"/>
      <c r="CF223" s="179"/>
      <c r="CG223" s="179"/>
      <c r="CH223" s="179"/>
      <c r="CI223" s="179"/>
      <c r="CJ223" s="179"/>
      <c r="CK223" s="179"/>
      <c r="CL223" s="179"/>
      <c r="CM223" s="179"/>
      <c r="CN223" s="179"/>
      <c r="CO223" s="179"/>
      <c r="CP223" s="179"/>
    </row>
    <row r="224" ht="15.75" customHeight="1">
      <c r="A224" s="151">
        <v>42114.0</v>
      </c>
      <c r="B224" s="152">
        <v>1.0</v>
      </c>
      <c r="C224" s="152" t="s">
        <v>45</v>
      </c>
      <c r="D224" s="152">
        <v>1.0</v>
      </c>
      <c r="E224" s="153">
        <v>4765.0</v>
      </c>
      <c r="F224" s="153">
        <f>SUM(('Future Orders'!$E224) * (1.1))</f>
        <v>5241.5</v>
      </c>
      <c r="G224" s="154">
        <v>2.2</v>
      </c>
      <c r="H224" s="155">
        <v>10483.0</v>
      </c>
      <c r="I224" s="155">
        <f>SUM(('Future Orders'!$H224) * (1.1))</f>
        <v>11531.3</v>
      </c>
      <c r="J224" s="159">
        <f>SUMIFS('Future Orders'!$F224, 'Future Orders'!$D224, "1", 'Future Orders'!$C224, "A", 'Future Orders'!$B224, "1")</f>
        <v>5241.5</v>
      </c>
      <c r="K224" s="157">
        <f>SUMIFS('Future Orders'!$I224, 'Future Orders'!$D224, "1", 'Future Orders'!$C224, "A", 'Future Orders'!$B224, "1")</f>
        <v>11531.3</v>
      </c>
      <c r="L224" s="157">
        <f>SUMIFS('Future Orders'!$F224, 'Future Orders'!$D224, "1", 'Future Orders'!$C224, "B", 'Future Orders'!$B224, "1")</f>
        <v>0</v>
      </c>
      <c r="M224" s="157">
        <f>SUMIFS('Future Orders'!$I224, 'Future Orders'!$D224, "1", 'Future Orders'!$C224, "B", 'Future Orders'!$B224, "1")</f>
        <v>0</v>
      </c>
      <c r="N224" s="159">
        <f>SUMIFS('Future Orders'!$F224, 'Future Orders'!$D224, "1", 'Future Orders'!$C224, "A", 'Future Orders'!$B224, "2")</f>
        <v>0</v>
      </c>
      <c r="O224" s="157">
        <f>SUMIFS('Future Orders'!$I224, 'Future Orders'!$D224, "1", 'Future Orders'!$C224, "A", 'Future Orders'!$B224, "2")</f>
        <v>0</v>
      </c>
      <c r="P224" s="157">
        <f>SUMIFS('Future Orders'!$E224, 'Future Orders'!$D224, "1", 'Future Orders'!$C224, "B", 'Future Orders'!$B224, "2")</f>
        <v>0</v>
      </c>
      <c r="Q224" s="157">
        <f>SUMIFS('Future Orders'!$I224, 'Future Orders'!$D224, "1", 'Future Orders'!$C224, "B", 'Future Orders'!$B224, "2")</f>
        <v>0</v>
      </c>
      <c r="R224" s="159">
        <f>SUMIFS('Future Orders'!$F224, 'Future Orders'!$D224, "2", 'Future Orders'!$C224, "A", 'Future Orders'!$B224, "1")</f>
        <v>0</v>
      </c>
      <c r="S224" s="157">
        <f>SUMIFS('Future Orders'!$I224, 'Future Orders'!$D224, "2", 'Future Orders'!$C224, "A", 'Future Orders'!$B224, "1")</f>
        <v>0</v>
      </c>
      <c r="T224" s="159">
        <f>SUMIFS('Future Orders'!$F224, 'Future Orders'!$D224, "2", 'Future Orders'!$C224, "B", 'Future Orders'!$B224, "1")</f>
        <v>0</v>
      </c>
      <c r="U224" s="157">
        <f>SUMIFS('Future Orders'!$I224, 'Future Orders'!$D224, "2", 'Future Orders'!$C224, "B", 'Future Orders'!$B224, "1")</f>
        <v>0</v>
      </c>
      <c r="V224" s="159">
        <f>SUMIFS('Future Orders'!$F224, 'Future Orders'!$D224, "2", 'Future Orders'!$C224, "A", 'Future Orders'!$B224, "2")</f>
        <v>0</v>
      </c>
      <c r="W224" s="157">
        <f>SUMIFS('Future Orders'!$I224, 'Future Orders'!$D224, "2", 'Future Orders'!$C224, "A", 'Future Orders'!$B224, "2")</f>
        <v>0</v>
      </c>
      <c r="X224" s="159">
        <f>SUMIFS('Future Orders'!$F224, 'Future Orders'!$D224, "2", 'Future Orders'!$C224, "B", 'Future Orders'!$B224, "2")</f>
        <v>0</v>
      </c>
      <c r="Y224" s="159">
        <f>SUMIFS('Future Orders'!$I224, 'Future Orders'!$D224, "2", 'Future Orders'!$C224, "B", 'Future Orders'!$B224, "2")</f>
        <v>0</v>
      </c>
      <c r="Z224" s="159">
        <f>SUMIFS('Future Orders'!$F224, 'Future Orders'!$D224, "3", 'Future Orders'!$C224, "A", 'Future Orders'!$B224, "1")</f>
        <v>0</v>
      </c>
      <c r="AA224" s="159">
        <f>SUMIFS('Future Orders'!$I224, 'Future Orders'!$D224, "3", 'Future Orders'!$C224, "A", 'Future Orders'!$B224, "1")</f>
        <v>0</v>
      </c>
      <c r="AB224" s="159">
        <f>SUMIFS('Future Orders'!$F224, 'Future Orders'!$D224, "3", 'Future Orders'!$C224, "B", 'Future Orders'!$B224, "1")</f>
        <v>0</v>
      </c>
      <c r="AC224" s="159">
        <f>SUMIFS('Future Orders'!$I224, 'Future Orders'!$D224, "3", 'Future Orders'!$C224, "B", 'Future Orders'!$B224, "1")</f>
        <v>0</v>
      </c>
      <c r="AD224" s="159">
        <f>SUMIFS('Future Orders'!$F224, 'Future Orders'!$D224, "3", 'Future Orders'!$C224, "A", 'Future Orders'!$B224, "2")</f>
        <v>0</v>
      </c>
      <c r="AE224" s="159">
        <f>SUMIFS('Future Orders'!$I224, 'Future Orders'!$D224, "3", 'Future Orders'!$C224, "A", 'Future Orders'!$B224, "2")</f>
        <v>0</v>
      </c>
      <c r="AF224" s="159">
        <f>SUMIFS('Future Orders'!$F224, 'Future Orders'!$D224, "3", 'Future Orders'!$C224, "B", 'Future Orders'!$B224, "2")</f>
        <v>0</v>
      </c>
      <c r="AG224" s="157">
        <f>SUMIFS('Future Orders'!$I224, 'Future Orders'!$D224, "3", 'Future Orders'!$C224, "B", 'Future Orders'!$B224, "2")</f>
        <v>0</v>
      </c>
      <c r="AH224" s="157">
        <f>SUMIFS('Future Orders'!$F224, 'Future Orders'!$D224, "4", 'Future Orders'!$C224, "A", 'Future Orders'!$B224, "1")</f>
        <v>0</v>
      </c>
      <c r="AI224" s="157">
        <f>SUMIFS('Future Orders'!$I224, 'Future Orders'!$D224, "4", 'Future Orders'!$C224, "A", 'Future Orders'!$B224, "1")</f>
        <v>0</v>
      </c>
      <c r="AJ224" s="157">
        <f>SUMIFS('Future Orders'!$F224, 'Future Orders'!$D224, "4", 'Future Orders'!$C224, "B", 'Future Orders'!$B224, "1")</f>
        <v>0</v>
      </c>
      <c r="AK224" s="157">
        <f>SUMIFS('Future Orders'!$I224, 'Future Orders'!$D224, "4", 'Future Orders'!$C224, "B", 'Future Orders'!$B224, "1")</f>
        <v>0</v>
      </c>
      <c r="AL224" s="157">
        <f>SUMIFS('Future Orders'!$F224, 'Future Orders'!$D224, "4", 'Future Orders'!$C224, "A", 'Future Orders'!$B224, "2")</f>
        <v>0</v>
      </c>
      <c r="AM224" s="157">
        <f>SUMIFS('Future Orders'!$I224, 'Future Orders'!$D224, "4", 'Future Orders'!$C224, "A", 'Future Orders'!$B224, "2")</f>
        <v>0</v>
      </c>
      <c r="AN224" s="171">
        <f>SUMIFS('Future Orders'!$F224, 'Future Orders'!$D224, "4", 'Future Orders'!$C224, "B", 'Future Orders'!$B224, "2")</f>
        <v>0</v>
      </c>
      <c r="AO224" s="171">
        <f>SUMIFS('Future Orders'!$I224, 'Future Orders'!$D224, "4", 'Future Orders'!$C224, "B", 'Future Orders'!$B224, "2")</f>
        <v>0</v>
      </c>
      <c r="AP224" s="171">
        <f>SUMIFS('Future Orders'!$H224, 'Future Orders'!$C224, "A", 'Future Orders'!$B224, "1")</f>
        <v>10483</v>
      </c>
      <c r="AQ224" s="171">
        <f>SUMIFS('Future Orders'!$I224, 'Future Orders'!$C224, "B", 'Future Orders'!$B224, "1")</f>
        <v>0</v>
      </c>
      <c r="AR224" s="171">
        <f>SUMIFS('Future Orders'!$H224, 'Future Orders'!$C224, "A", 'Future Orders'!$B224, "2")</f>
        <v>0</v>
      </c>
      <c r="AS224" s="171">
        <f>SUMIFS('Future Orders'!$I224, 'Future Orders'!$C224, "B", 'Future Orders'!$B224, "2")</f>
        <v>0</v>
      </c>
      <c r="AT224" s="145"/>
      <c r="AU224" s="172"/>
      <c r="AV224" s="172"/>
      <c r="AW224" s="172"/>
      <c r="AX224" s="172"/>
      <c r="AY224" s="172"/>
      <c r="AZ224" s="172"/>
      <c r="BA224" s="172"/>
      <c r="BB224" s="172"/>
      <c r="BC224" s="172"/>
      <c r="BD224" s="172"/>
      <c r="BE224" s="172"/>
      <c r="BF224" s="172"/>
      <c r="BG224" s="172"/>
      <c r="BH224" s="172"/>
      <c r="BI224" s="172"/>
      <c r="BJ224" s="172"/>
      <c r="BK224" s="172"/>
      <c r="BL224" s="172"/>
      <c r="BM224" s="172"/>
      <c r="BN224" s="172"/>
      <c r="BO224" s="172"/>
      <c r="BP224" s="172"/>
      <c r="BQ224" s="172"/>
      <c r="BR224" s="172"/>
      <c r="BS224" s="172"/>
      <c r="BT224" s="172"/>
      <c r="BU224" s="172"/>
      <c r="BV224" s="172"/>
      <c r="BW224" s="172"/>
      <c r="BX224" s="172"/>
      <c r="BY224" s="172"/>
      <c r="BZ224" s="172"/>
      <c r="CA224" s="179"/>
      <c r="CB224" s="179"/>
      <c r="CC224" s="179"/>
      <c r="CD224" s="179"/>
      <c r="CE224" s="179"/>
      <c r="CF224" s="179"/>
      <c r="CG224" s="179"/>
      <c r="CH224" s="179"/>
      <c r="CI224" s="179"/>
      <c r="CJ224" s="179"/>
      <c r="CK224" s="179"/>
      <c r="CL224" s="179"/>
      <c r="CM224" s="179"/>
      <c r="CN224" s="179"/>
      <c r="CO224" s="179"/>
      <c r="CP224" s="179"/>
    </row>
    <row r="225" ht="15.75" customHeight="1">
      <c r="A225" s="151">
        <v>42114.0</v>
      </c>
      <c r="B225" s="152">
        <v>1.0</v>
      </c>
      <c r="C225" s="152" t="s">
        <v>45</v>
      </c>
      <c r="D225" s="152">
        <v>2.0</v>
      </c>
      <c r="E225" s="153">
        <v>5806.0</v>
      </c>
      <c r="F225" s="153">
        <f>SUM(('Future Orders'!$E225) * (1.1))</f>
        <v>6386.6</v>
      </c>
      <c r="G225" s="154">
        <v>1.2</v>
      </c>
      <c r="H225" s="155">
        <v>6967.2</v>
      </c>
      <c r="I225" s="155">
        <f>SUM(('Future Orders'!$H225) * (1.1))</f>
        <v>7663.92</v>
      </c>
      <c r="J225" s="159">
        <f>SUMIFS('Future Orders'!$F225, 'Future Orders'!$D225, "1", 'Future Orders'!$C225, "A", 'Future Orders'!$B225, "1")</f>
        <v>0</v>
      </c>
      <c r="K225" s="157">
        <f>SUMIFS('Future Orders'!$I225, 'Future Orders'!$D225, "1", 'Future Orders'!$C225, "A", 'Future Orders'!$B225, "1")</f>
        <v>0</v>
      </c>
      <c r="L225" s="157">
        <f>SUMIFS('Future Orders'!$F225, 'Future Orders'!$D225, "1", 'Future Orders'!$C225, "B", 'Future Orders'!$B225, "1")</f>
        <v>0</v>
      </c>
      <c r="M225" s="157">
        <f>SUMIFS('Future Orders'!$I225, 'Future Orders'!$D225, "1", 'Future Orders'!$C225, "B", 'Future Orders'!$B225, "1")</f>
        <v>0</v>
      </c>
      <c r="N225" s="159">
        <f>SUMIFS('Future Orders'!$F225, 'Future Orders'!$D225, "1", 'Future Orders'!$C225, "A", 'Future Orders'!$B225, "2")</f>
        <v>0</v>
      </c>
      <c r="O225" s="157">
        <f>SUMIFS('Future Orders'!$I225, 'Future Orders'!$D225, "1", 'Future Orders'!$C225, "A", 'Future Orders'!$B225, "2")</f>
        <v>0</v>
      </c>
      <c r="P225" s="157">
        <f>SUMIFS('Future Orders'!$E225, 'Future Orders'!$D225, "1", 'Future Orders'!$C225, "B", 'Future Orders'!$B225, "2")</f>
        <v>0</v>
      </c>
      <c r="Q225" s="157">
        <f>SUMIFS('Future Orders'!$I225, 'Future Orders'!$D225, "1", 'Future Orders'!$C225, "B", 'Future Orders'!$B225, "2")</f>
        <v>0</v>
      </c>
      <c r="R225" s="159">
        <f>SUMIFS('Future Orders'!$F225, 'Future Orders'!$D225, "2", 'Future Orders'!$C225, "A", 'Future Orders'!$B225, "1")</f>
        <v>6386.6</v>
      </c>
      <c r="S225" s="157">
        <f>SUMIFS('Future Orders'!$I225, 'Future Orders'!$D225, "2", 'Future Orders'!$C225, "A", 'Future Orders'!$B225, "1")</f>
        <v>7663.92</v>
      </c>
      <c r="T225" s="159">
        <f>SUMIFS('Future Orders'!$F225, 'Future Orders'!$D225, "2", 'Future Orders'!$C225, "B", 'Future Orders'!$B225, "1")</f>
        <v>0</v>
      </c>
      <c r="U225" s="157">
        <f>SUMIFS('Future Orders'!$I225, 'Future Orders'!$D225, "2", 'Future Orders'!$C225, "B", 'Future Orders'!$B225, "1")</f>
        <v>0</v>
      </c>
      <c r="V225" s="159">
        <f>SUMIFS('Future Orders'!$F225, 'Future Orders'!$D225, "2", 'Future Orders'!$C225, "A", 'Future Orders'!$B225, "2")</f>
        <v>0</v>
      </c>
      <c r="W225" s="157">
        <f>SUMIFS('Future Orders'!$I225, 'Future Orders'!$D225, "2", 'Future Orders'!$C225, "A", 'Future Orders'!$B225, "2")</f>
        <v>0</v>
      </c>
      <c r="X225" s="159">
        <f>SUMIFS('Future Orders'!$F225, 'Future Orders'!$D225, "2", 'Future Orders'!$C225, "B", 'Future Orders'!$B225, "2")</f>
        <v>0</v>
      </c>
      <c r="Y225" s="159">
        <f>SUMIFS('Future Orders'!$I225, 'Future Orders'!$D225, "2", 'Future Orders'!$C225, "B", 'Future Orders'!$B225, "2")</f>
        <v>0</v>
      </c>
      <c r="Z225" s="159">
        <f>SUMIFS('Future Orders'!$F225, 'Future Orders'!$D225, "3", 'Future Orders'!$C225, "A", 'Future Orders'!$B225, "1")</f>
        <v>0</v>
      </c>
      <c r="AA225" s="159">
        <f>SUMIFS('Future Orders'!$I225, 'Future Orders'!$D225, "3", 'Future Orders'!$C225, "A", 'Future Orders'!$B225, "1")</f>
        <v>0</v>
      </c>
      <c r="AB225" s="159">
        <f>SUMIFS('Future Orders'!$F225, 'Future Orders'!$D225, "3", 'Future Orders'!$C225, "B", 'Future Orders'!$B225, "1")</f>
        <v>0</v>
      </c>
      <c r="AC225" s="159">
        <f>SUMIFS('Future Orders'!$I225, 'Future Orders'!$D225, "3", 'Future Orders'!$C225, "B", 'Future Orders'!$B225, "1")</f>
        <v>0</v>
      </c>
      <c r="AD225" s="159">
        <f>SUMIFS('Future Orders'!$F225, 'Future Orders'!$D225, "3", 'Future Orders'!$C225, "A", 'Future Orders'!$B225, "2")</f>
        <v>0</v>
      </c>
      <c r="AE225" s="159">
        <f>SUMIFS('Future Orders'!$I225, 'Future Orders'!$D225, "3", 'Future Orders'!$C225, "A", 'Future Orders'!$B225, "2")</f>
        <v>0</v>
      </c>
      <c r="AF225" s="159">
        <f>SUMIFS('Future Orders'!$F225, 'Future Orders'!$D225, "3", 'Future Orders'!$C225, "B", 'Future Orders'!$B225, "2")</f>
        <v>0</v>
      </c>
      <c r="AG225" s="157">
        <f>SUMIFS('Future Orders'!$I225, 'Future Orders'!$D225, "3", 'Future Orders'!$C225, "B", 'Future Orders'!$B225, "2")</f>
        <v>0</v>
      </c>
      <c r="AH225" s="157">
        <f>SUMIFS('Future Orders'!$F225, 'Future Orders'!$D225, "4", 'Future Orders'!$C225, "A", 'Future Orders'!$B225, "1")</f>
        <v>0</v>
      </c>
      <c r="AI225" s="157">
        <f>SUMIFS('Future Orders'!$I225, 'Future Orders'!$D225, "4", 'Future Orders'!$C225, "A", 'Future Orders'!$B225, "1")</f>
        <v>0</v>
      </c>
      <c r="AJ225" s="157">
        <f>SUMIFS('Future Orders'!$F225, 'Future Orders'!$D225, "4", 'Future Orders'!$C225, "B", 'Future Orders'!$B225, "1")</f>
        <v>0</v>
      </c>
      <c r="AK225" s="157">
        <f>SUMIFS('Future Orders'!$I225, 'Future Orders'!$D225, "4", 'Future Orders'!$C225, "B", 'Future Orders'!$B225, "1")</f>
        <v>0</v>
      </c>
      <c r="AL225" s="157">
        <f>SUMIFS('Future Orders'!$F225, 'Future Orders'!$D225, "4", 'Future Orders'!$C225, "A", 'Future Orders'!$B225, "2")</f>
        <v>0</v>
      </c>
      <c r="AM225" s="157">
        <f>SUMIFS('Future Orders'!$I225, 'Future Orders'!$D225, "4", 'Future Orders'!$C225, "A", 'Future Orders'!$B225, "2")</f>
        <v>0</v>
      </c>
      <c r="AN225" s="171">
        <f>SUMIFS('Future Orders'!$F225, 'Future Orders'!$D225, "4", 'Future Orders'!$C225, "B", 'Future Orders'!$B225, "2")</f>
        <v>0</v>
      </c>
      <c r="AO225" s="171">
        <f>SUMIFS('Future Orders'!$I225, 'Future Orders'!$D225, "4", 'Future Orders'!$C225, "B", 'Future Orders'!$B225, "2")</f>
        <v>0</v>
      </c>
      <c r="AP225" s="171">
        <f>SUMIFS('Future Orders'!$H225, 'Future Orders'!$C225, "A", 'Future Orders'!$B225, "1")</f>
        <v>6967.2</v>
      </c>
      <c r="AQ225" s="171">
        <f>SUMIFS('Future Orders'!$I225, 'Future Orders'!$C225, "B", 'Future Orders'!$B225, "1")</f>
        <v>0</v>
      </c>
      <c r="AR225" s="171">
        <f>SUMIFS('Future Orders'!$H225, 'Future Orders'!$C225, "A", 'Future Orders'!$B225, "2")</f>
        <v>0</v>
      </c>
      <c r="AS225" s="171">
        <f>SUMIFS('Future Orders'!$I225, 'Future Orders'!$C225, "B", 'Future Orders'!$B225, "2")</f>
        <v>0</v>
      </c>
      <c r="AT225" s="145"/>
      <c r="AU225" s="172"/>
      <c r="AV225" s="172"/>
      <c r="AW225" s="172"/>
      <c r="AX225" s="172"/>
      <c r="AY225" s="172"/>
      <c r="AZ225" s="172"/>
      <c r="BA225" s="172"/>
      <c r="BB225" s="172"/>
      <c r="BC225" s="172"/>
      <c r="BD225" s="172"/>
      <c r="BE225" s="172"/>
      <c r="BF225" s="172"/>
      <c r="BG225" s="172"/>
      <c r="BH225" s="172"/>
      <c r="BI225" s="172"/>
      <c r="BJ225" s="172"/>
      <c r="BK225" s="172"/>
      <c r="BL225" s="172"/>
      <c r="BM225" s="172"/>
      <c r="BN225" s="172"/>
      <c r="BO225" s="172"/>
      <c r="BP225" s="172"/>
      <c r="BQ225" s="172"/>
      <c r="BR225" s="172"/>
      <c r="BS225" s="172"/>
      <c r="BT225" s="172"/>
      <c r="BU225" s="172"/>
      <c r="BV225" s="172"/>
      <c r="BW225" s="172"/>
      <c r="BX225" s="172"/>
      <c r="BY225" s="172"/>
      <c r="BZ225" s="172"/>
      <c r="CA225" s="179"/>
      <c r="CB225" s="179"/>
      <c r="CC225" s="179"/>
      <c r="CD225" s="179"/>
      <c r="CE225" s="179"/>
      <c r="CF225" s="179"/>
      <c r="CG225" s="179"/>
      <c r="CH225" s="179"/>
      <c r="CI225" s="179"/>
      <c r="CJ225" s="179"/>
      <c r="CK225" s="179"/>
      <c r="CL225" s="179"/>
      <c r="CM225" s="179"/>
      <c r="CN225" s="179"/>
      <c r="CO225" s="179"/>
      <c r="CP225" s="179"/>
    </row>
    <row r="226" ht="15.75" customHeight="1">
      <c r="A226" s="151">
        <v>42114.0</v>
      </c>
      <c r="B226" s="152">
        <v>2.0</v>
      </c>
      <c r="C226" s="152" t="s">
        <v>45</v>
      </c>
      <c r="D226" s="152">
        <v>1.0</v>
      </c>
      <c r="E226" s="153">
        <v>3689.0</v>
      </c>
      <c r="F226" s="153">
        <f>SUM(('Future Orders'!$E226) * (1.1))</f>
        <v>4057.9</v>
      </c>
      <c r="G226" s="154">
        <v>2.2</v>
      </c>
      <c r="H226" s="155">
        <v>8115.800000000001</v>
      </c>
      <c r="I226" s="155">
        <f>SUM(('Future Orders'!$H226) * (1.1))</f>
        <v>8927.38</v>
      </c>
      <c r="J226" s="159">
        <f>SUMIFS('Future Orders'!$F226, 'Future Orders'!$D226, "1", 'Future Orders'!$C226, "A", 'Future Orders'!$B226, "1")</f>
        <v>0</v>
      </c>
      <c r="K226" s="157">
        <f>SUMIFS('Future Orders'!$I226, 'Future Orders'!$D226, "1", 'Future Orders'!$C226, "A", 'Future Orders'!$B226, "1")</f>
        <v>0</v>
      </c>
      <c r="L226" s="157">
        <f>SUMIFS('Future Orders'!$F226, 'Future Orders'!$D226, "1", 'Future Orders'!$C226, "B", 'Future Orders'!$B226, "1")</f>
        <v>0</v>
      </c>
      <c r="M226" s="157">
        <f>SUMIFS('Future Orders'!$I226, 'Future Orders'!$D226, "1", 'Future Orders'!$C226, "B", 'Future Orders'!$B226, "1")</f>
        <v>0</v>
      </c>
      <c r="N226" s="159">
        <f>SUMIFS('Future Orders'!$F226, 'Future Orders'!$D226, "1", 'Future Orders'!$C226, "A", 'Future Orders'!$B226, "2")</f>
        <v>4057.9</v>
      </c>
      <c r="O226" s="157">
        <f>SUMIFS('Future Orders'!$I226, 'Future Orders'!$D226, "1", 'Future Orders'!$C226, "A", 'Future Orders'!$B226, "2")</f>
        <v>8927.38</v>
      </c>
      <c r="P226" s="157">
        <f>SUMIFS('Future Orders'!$E226, 'Future Orders'!$D226, "1", 'Future Orders'!$C226, "B", 'Future Orders'!$B226, "2")</f>
        <v>0</v>
      </c>
      <c r="Q226" s="157">
        <f>SUMIFS('Future Orders'!$I226, 'Future Orders'!$D226, "1", 'Future Orders'!$C226, "B", 'Future Orders'!$B226, "2")</f>
        <v>0</v>
      </c>
      <c r="R226" s="159">
        <f>SUMIFS('Future Orders'!$F226, 'Future Orders'!$D226, "2", 'Future Orders'!$C226, "A", 'Future Orders'!$B226, "1")</f>
        <v>0</v>
      </c>
      <c r="S226" s="157">
        <f>SUMIFS('Future Orders'!$I226, 'Future Orders'!$D226, "2", 'Future Orders'!$C226, "A", 'Future Orders'!$B226, "1")</f>
        <v>0</v>
      </c>
      <c r="T226" s="159">
        <f>SUMIFS('Future Orders'!$F226, 'Future Orders'!$D226, "2", 'Future Orders'!$C226, "B", 'Future Orders'!$B226, "1")</f>
        <v>0</v>
      </c>
      <c r="U226" s="157">
        <f>SUMIFS('Future Orders'!$I226, 'Future Orders'!$D226, "2", 'Future Orders'!$C226, "B", 'Future Orders'!$B226, "1")</f>
        <v>0</v>
      </c>
      <c r="V226" s="159">
        <f>SUMIFS('Future Orders'!$F226, 'Future Orders'!$D226, "2", 'Future Orders'!$C226, "A", 'Future Orders'!$B226, "2")</f>
        <v>0</v>
      </c>
      <c r="W226" s="157">
        <f>SUMIFS('Future Orders'!$I226, 'Future Orders'!$D226, "2", 'Future Orders'!$C226, "A", 'Future Orders'!$B226, "2")</f>
        <v>0</v>
      </c>
      <c r="X226" s="159">
        <f>SUMIFS('Future Orders'!$F226, 'Future Orders'!$D226, "2", 'Future Orders'!$C226, "B", 'Future Orders'!$B226, "2")</f>
        <v>0</v>
      </c>
      <c r="Y226" s="159">
        <f>SUMIFS('Future Orders'!$I226, 'Future Orders'!$D226, "2", 'Future Orders'!$C226, "B", 'Future Orders'!$B226, "2")</f>
        <v>0</v>
      </c>
      <c r="Z226" s="159">
        <f>SUMIFS('Future Orders'!$F226, 'Future Orders'!$D226, "3", 'Future Orders'!$C226, "A", 'Future Orders'!$B226, "1")</f>
        <v>0</v>
      </c>
      <c r="AA226" s="159">
        <f>SUMIFS('Future Orders'!$I226, 'Future Orders'!$D226, "3", 'Future Orders'!$C226, "A", 'Future Orders'!$B226, "1")</f>
        <v>0</v>
      </c>
      <c r="AB226" s="159">
        <f>SUMIFS('Future Orders'!$F226, 'Future Orders'!$D226, "3", 'Future Orders'!$C226, "B", 'Future Orders'!$B226, "1")</f>
        <v>0</v>
      </c>
      <c r="AC226" s="159">
        <f>SUMIFS('Future Orders'!$I226, 'Future Orders'!$D226, "3", 'Future Orders'!$C226, "B", 'Future Orders'!$B226, "1")</f>
        <v>0</v>
      </c>
      <c r="AD226" s="159">
        <f>SUMIFS('Future Orders'!$F226, 'Future Orders'!$D226, "3", 'Future Orders'!$C226, "A", 'Future Orders'!$B226, "2")</f>
        <v>0</v>
      </c>
      <c r="AE226" s="159">
        <f>SUMIFS('Future Orders'!$I226, 'Future Orders'!$D226, "3", 'Future Orders'!$C226, "A", 'Future Orders'!$B226, "2")</f>
        <v>0</v>
      </c>
      <c r="AF226" s="159">
        <f>SUMIFS('Future Orders'!$F226, 'Future Orders'!$D226, "3", 'Future Orders'!$C226, "B", 'Future Orders'!$B226, "2")</f>
        <v>0</v>
      </c>
      <c r="AG226" s="157">
        <f>SUMIFS('Future Orders'!$I226, 'Future Orders'!$D226, "3", 'Future Orders'!$C226, "B", 'Future Orders'!$B226, "2")</f>
        <v>0</v>
      </c>
      <c r="AH226" s="157">
        <f>SUMIFS('Future Orders'!$F226, 'Future Orders'!$D226, "4", 'Future Orders'!$C226, "A", 'Future Orders'!$B226, "1")</f>
        <v>0</v>
      </c>
      <c r="AI226" s="157">
        <f>SUMIFS('Future Orders'!$I226, 'Future Orders'!$D226, "4", 'Future Orders'!$C226, "A", 'Future Orders'!$B226, "1")</f>
        <v>0</v>
      </c>
      <c r="AJ226" s="157">
        <f>SUMIFS('Future Orders'!$F226, 'Future Orders'!$D226, "4", 'Future Orders'!$C226, "B", 'Future Orders'!$B226, "1")</f>
        <v>0</v>
      </c>
      <c r="AK226" s="157">
        <f>SUMIFS('Future Orders'!$I226, 'Future Orders'!$D226, "4", 'Future Orders'!$C226, "B", 'Future Orders'!$B226, "1")</f>
        <v>0</v>
      </c>
      <c r="AL226" s="157">
        <f>SUMIFS('Future Orders'!$F226, 'Future Orders'!$D226, "4", 'Future Orders'!$C226, "A", 'Future Orders'!$B226, "2")</f>
        <v>0</v>
      </c>
      <c r="AM226" s="157">
        <f>SUMIFS('Future Orders'!$I226, 'Future Orders'!$D226, "4", 'Future Orders'!$C226, "A", 'Future Orders'!$B226, "2")</f>
        <v>0</v>
      </c>
      <c r="AN226" s="171">
        <f>SUMIFS('Future Orders'!$F226, 'Future Orders'!$D226, "4", 'Future Orders'!$C226, "B", 'Future Orders'!$B226, "2")</f>
        <v>0</v>
      </c>
      <c r="AO226" s="171">
        <f>SUMIFS('Future Orders'!$I226, 'Future Orders'!$D226, "4", 'Future Orders'!$C226, "B", 'Future Orders'!$B226, "2")</f>
        <v>0</v>
      </c>
      <c r="AP226" s="171">
        <f>SUMIFS('Future Orders'!$H226, 'Future Orders'!$C226, "A", 'Future Orders'!$B226, "1")</f>
        <v>0</v>
      </c>
      <c r="AQ226" s="171">
        <f>SUMIFS('Future Orders'!$I226, 'Future Orders'!$C226, "B", 'Future Orders'!$B226, "1")</f>
        <v>0</v>
      </c>
      <c r="AR226" s="171">
        <f>SUMIFS('Future Orders'!$H226, 'Future Orders'!$C226, "A", 'Future Orders'!$B226, "2")</f>
        <v>8115.8</v>
      </c>
      <c r="AS226" s="171">
        <f>SUMIFS('Future Orders'!$I226, 'Future Orders'!$C226, "B", 'Future Orders'!$B226, "2")</f>
        <v>0</v>
      </c>
      <c r="AT226" s="145"/>
      <c r="AU226" s="172"/>
      <c r="AV226" s="172"/>
      <c r="AW226" s="172"/>
      <c r="AX226" s="172"/>
      <c r="AY226" s="172"/>
      <c r="AZ226" s="172"/>
      <c r="BA226" s="172"/>
      <c r="BB226" s="172"/>
      <c r="BC226" s="172"/>
      <c r="BD226" s="172"/>
      <c r="BE226" s="172"/>
      <c r="BF226" s="172"/>
      <c r="BG226" s="172"/>
      <c r="BH226" s="172"/>
      <c r="BI226" s="172"/>
      <c r="BJ226" s="172"/>
      <c r="BK226" s="172"/>
      <c r="BL226" s="172"/>
      <c r="BM226" s="172"/>
      <c r="BN226" s="172"/>
      <c r="BO226" s="172"/>
      <c r="BP226" s="172"/>
      <c r="BQ226" s="172"/>
      <c r="BR226" s="172"/>
      <c r="BS226" s="172"/>
      <c r="BT226" s="172"/>
      <c r="BU226" s="172"/>
      <c r="BV226" s="172"/>
      <c r="BW226" s="172"/>
      <c r="BX226" s="172"/>
      <c r="BY226" s="172"/>
      <c r="BZ226" s="172"/>
      <c r="CA226" s="179"/>
      <c r="CB226" s="179"/>
      <c r="CC226" s="179"/>
      <c r="CD226" s="179"/>
      <c r="CE226" s="179"/>
      <c r="CF226" s="179"/>
      <c r="CG226" s="179"/>
      <c r="CH226" s="179"/>
      <c r="CI226" s="179"/>
      <c r="CJ226" s="179"/>
      <c r="CK226" s="179"/>
      <c r="CL226" s="179"/>
      <c r="CM226" s="179"/>
      <c r="CN226" s="179"/>
      <c r="CO226" s="179"/>
      <c r="CP226" s="179"/>
    </row>
    <row r="227" ht="15.75" customHeight="1">
      <c r="A227" s="151">
        <v>42114.0</v>
      </c>
      <c r="B227" s="152">
        <v>2.0</v>
      </c>
      <c r="C227" s="152" t="s">
        <v>45</v>
      </c>
      <c r="D227" s="152">
        <v>2.0</v>
      </c>
      <c r="E227" s="153">
        <v>6898.0</v>
      </c>
      <c r="F227" s="153">
        <f>SUM(('Future Orders'!$E227) * (1.1))</f>
        <v>7587.8</v>
      </c>
      <c r="G227" s="154">
        <v>1.2</v>
      </c>
      <c r="H227" s="155">
        <v>8277.6</v>
      </c>
      <c r="I227" s="155">
        <f>SUM(('Future Orders'!$H227) * (1.1))</f>
        <v>9105.36</v>
      </c>
      <c r="J227" s="159">
        <f>SUMIFS('Future Orders'!$F227, 'Future Orders'!$D227, "1", 'Future Orders'!$C227, "A", 'Future Orders'!$B227, "1")</f>
        <v>0</v>
      </c>
      <c r="K227" s="157">
        <f>SUMIFS('Future Orders'!$I227, 'Future Orders'!$D227, "1", 'Future Orders'!$C227, "A", 'Future Orders'!$B227, "1")</f>
        <v>0</v>
      </c>
      <c r="L227" s="157">
        <f>SUMIFS('Future Orders'!$F227, 'Future Orders'!$D227, "1", 'Future Orders'!$C227, "B", 'Future Orders'!$B227, "1")</f>
        <v>0</v>
      </c>
      <c r="M227" s="157">
        <f>SUMIFS('Future Orders'!$I227, 'Future Orders'!$D227, "1", 'Future Orders'!$C227, "B", 'Future Orders'!$B227, "1")</f>
        <v>0</v>
      </c>
      <c r="N227" s="159">
        <f>SUMIFS('Future Orders'!$F227, 'Future Orders'!$D227, "1", 'Future Orders'!$C227, "A", 'Future Orders'!$B227, "2")</f>
        <v>0</v>
      </c>
      <c r="O227" s="157">
        <f>SUMIFS('Future Orders'!$I227, 'Future Orders'!$D227, "1", 'Future Orders'!$C227, "A", 'Future Orders'!$B227, "2")</f>
        <v>0</v>
      </c>
      <c r="P227" s="157">
        <f>SUMIFS('Future Orders'!$E227, 'Future Orders'!$D227, "1", 'Future Orders'!$C227, "B", 'Future Orders'!$B227, "2")</f>
        <v>0</v>
      </c>
      <c r="Q227" s="157">
        <f>SUMIFS('Future Orders'!$I227, 'Future Orders'!$D227, "1", 'Future Orders'!$C227, "B", 'Future Orders'!$B227, "2")</f>
        <v>0</v>
      </c>
      <c r="R227" s="159">
        <f>SUMIFS('Future Orders'!$F227, 'Future Orders'!$D227, "2", 'Future Orders'!$C227, "A", 'Future Orders'!$B227, "1")</f>
        <v>0</v>
      </c>
      <c r="S227" s="157">
        <f>SUMIFS('Future Orders'!$I227, 'Future Orders'!$D227, "2", 'Future Orders'!$C227, "A", 'Future Orders'!$B227, "1")</f>
        <v>0</v>
      </c>
      <c r="T227" s="159">
        <f>SUMIFS('Future Orders'!$F227, 'Future Orders'!$D227, "2", 'Future Orders'!$C227, "B", 'Future Orders'!$B227, "1")</f>
        <v>0</v>
      </c>
      <c r="U227" s="157">
        <f>SUMIFS('Future Orders'!$I227, 'Future Orders'!$D227, "2", 'Future Orders'!$C227, "B", 'Future Orders'!$B227, "1")</f>
        <v>0</v>
      </c>
      <c r="V227" s="159">
        <f>SUMIFS('Future Orders'!$F227, 'Future Orders'!$D227, "2", 'Future Orders'!$C227, "A", 'Future Orders'!$B227, "2")</f>
        <v>7587.8</v>
      </c>
      <c r="W227" s="157">
        <f>SUMIFS('Future Orders'!$I227, 'Future Orders'!$D227, "2", 'Future Orders'!$C227, "A", 'Future Orders'!$B227, "2")</f>
        <v>9105.36</v>
      </c>
      <c r="X227" s="159">
        <f>SUMIFS('Future Orders'!$F227, 'Future Orders'!$D227, "2", 'Future Orders'!$C227, "B", 'Future Orders'!$B227, "2")</f>
        <v>0</v>
      </c>
      <c r="Y227" s="159">
        <f>SUMIFS('Future Orders'!$I227, 'Future Orders'!$D227, "2", 'Future Orders'!$C227, "B", 'Future Orders'!$B227, "2")</f>
        <v>0</v>
      </c>
      <c r="Z227" s="159">
        <f>SUMIFS('Future Orders'!$F227, 'Future Orders'!$D227, "3", 'Future Orders'!$C227, "A", 'Future Orders'!$B227, "1")</f>
        <v>0</v>
      </c>
      <c r="AA227" s="159">
        <f>SUMIFS('Future Orders'!$I227, 'Future Orders'!$D227, "3", 'Future Orders'!$C227, "A", 'Future Orders'!$B227, "1")</f>
        <v>0</v>
      </c>
      <c r="AB227" s="159">
        <f>SUMIFS('Future Orders'!$F227, 'Future Orders'!$D227, "3", 'Future Orders'!$C227, "B", 'Future Orders'!$B227, "1")</f>
        <v>0</v>
      </c>
      <c r="AC227" s="159">
        <f>SUMIFS('Future Orders'!$I227, 'Future Orders'!$D227, "3", 'Future Orders'!$C227, "B", 'Future Orders'!$B227, "1")</f>
        <v>0</v>
      </c>
      <c r="AD227" s="159">
        <f>SUMIFS('Future Orders'!$F227, 'Future Orders'!$D227, "3", 'Future Orders'!$C227, "A", 'Future Orders'!$B227, "2")</f>
        <v>0</v>
      </c>
      <c r="AE227" s="159">
        <f>SUMIFS('Future Orders'!$I227, 'Future Orders'!$D227, "3", 'Future Orders'!$C227, "A", 'Future Orders'!$B227, "2")</f>
        <v>0</v>
      </c>
      <c r="AF227" s="159">
        <f>SUMIFS('Future Orders'!$F227, 'Future Orders'!$D227, "3", 'Future Orders'!$C227, "B", 'Future Orders'!$B227, "2")</f>
        <v>0</v>
      </c>
      <c r="AG227" s="157">
        <f>SUMIFS('Future Orders'!$I227, 'Future Orders'!$D227, "3", 'Future Orders'!$C227, "B", 'Future Orders'!$B227, "2")</f>
        <v>0</v>
      </c>
      <c r="AH227" s="157">
        <f>SUMIFS('Future Orders'!$F227, 'Future Orders'!$D227, "4", 'Future Orders'!$C227, "A", 'Future Orders'!$B227, "1")</f>
        <v>0</v>
      </c>
      <c r="AI227" s="157">
        <f>SUMIFS('Future Orders'!$I227, 'Future Orders'!$D227, "4", 'Future Orders'!$C227, "A", 'Future Orders'!$B227, "1")</f>
        <v>0</v>
      </c>
      <c r="AJ227" s="157">
        <f>SUMIFS('Future Orders'!$F227, 'Future Orders'!$D227, "4", 'Future Orders'!$C227, "B", 'Future Orders'!$B227, "1")</f>
        <v>0</v>
      </c>
      <c r="AK227" s="157">
        <f>SUMIFS('Future Orders'!$I227, 'Future Orders'!$D227, "4", 'Future Orders'!$C227, "B", 'Future Orders'!$B227, "1")</f>
        <v>0</v>
      </c>
      <c r="AL227" s="157">
        <f>SUMIFS('Future Orders'!$F227, 'Future Orders'!$D227, "4", 'Future Orders'!$C227, "A", 'Future Orders'!$B227, "2")</f>
        <v>0</v>
      </c>
      <c r="AM227" s="157">
        <f>SUMIFS('Future Orders'!$I227, 'Future Orders'!$D227, "4", 'Future Orders'!$C227, "A", 'Future Orders'!$B227, "2")</f>
        <v>0</v>
      </c>
      <c r="AN227" s="171">
        <f>SUMIFS('Future Orders'!$F227, 'Future Orders'!$D227, "4", 'Future Orders'!$C227, "B", 'Future Orders'!$B227, "2")</f>
        <v>0</v>
      </c>
      <c r="AO227" s="171">
        <f>SUMIFS('Future Orders'!$I227, 'Future Orders'!$D227, "4", 'Future Orders'!$C227, "B", 'Future Orders'!$B227, "2")</f>
        <v>0</v>
      </c>
      <c r="AP227" s="171">
        <f>SUMIFS('Future Orders'!$H227, 'Future Orders'!$C227, "A", 'Future Orders'!$B227, "1")</f>
        <v>0</v>
      </c>
      <c r="AQ227" s="171">
        <f>SUMIFS('Future Orders'!$I227, 'Future Orders'!$C227, "B", 'Future Orders'!$B227, "1")</f>
        <v>0</v>
      </c>
      <c r="AR227" s="171">
        <f>SUMIFS('Future Orders'!$H227, 'Future Orders'!$C227, "A", 'Future Orders'!$B227, "2")</f>
        <v>8277.6</v>
      </c>
      <c r="AS227" s="171">
        <f>SUMIFS('Future Orders'!$I227, 'Future Orders'!$C227, "B", 'Future Orders'!$B227, "2")</f>
        <v>0</v>
      </c>
      <c r="AT227" s="145"/>
      <c r="AU227" s="172"/>
      <c r="AV227" s="172"/>
      <c r="AW227" s="172"/>
      <c r="AX227" s="172"/>
      <c r="AY227" s="172"/>
      <c r="AZ227" s="172"/>
      <c r="BA227" s="172"/>
      <c r="BB227" s="172"/>
      <c r="BC227" s="172"/>
      <c r="BD227" s="172"/>
      <c r="BE227" s="172"/>
      <c r="BF227" s="172"/>
      <c r="BG227" s="172"/>
      <c r="BH227" s="172"/>
      <c r="BI227" s="172"/>
      <c r="BJ227" s="172"/>
      <c r="BK227" s="172"/>
      <c r="BL227" s="172"/>
      <c r="BM227" s="172"/>
      <c r="BN227" s="172"/>
      <c r="BO227" s="172"/>
      <c r="BP227" s="172"/>
      <c r="BQ227" s="172"/>
      <c r="BR227" s="172"/>
      <c r="BS227" s="172"/>
      <c r="BT227" s="172"/>
      <c r="BU227" s="172"/>
      <c r="BV227" s="172"/>
      <c r="BW227" s="172"/>
      <c r="BX227" s="172"/>
      <c r="BY227" s="172"/>
      <c r="BZ227" s="172"/>
      <c r="CA227" s="179"/>
      <c r="CB227" s="179"/>
      <c r="CC227" s="179"/>
      <c r="CD227" s="179"/>
      <c r="CE227" s="179"/>
      <c r="CF227" s="179"/>
      <c r="CG227" s="179"/>
      <c r="CH227" s="179"/>
      <c r="CI227" s="179"/>
      <c r="CJ227" s="179"/>
      <c r="CK227" s="179"/>
      <c r="CL227" s="179"/>
      <c r="CM227" s="179"/>
      <c r="CN227" s="179"/>
      <c r="CO227" s="179"/>
      <c r="CP227" s="179"/>
    </row>
    <row r="228" ht="15.75" customHeight="1">
      <c r="A228" s="151">
        <v>42114.0</v>
      </c>
      <c r="B228" s="152">
        <v>1.0</v>
      </c>
      <c r="C228" s="152" t="s">
        <v>46</v>
      </c>
      <c r="D228" s="152">
        <v>3.0</v>
      </c>
      <c r="E228" s="153">
        <v>2072.0</v>
      </c>
      <c r="F228" s="153">
        <f>SUM(('Future Orders'!$E228) * (1.1))</f>
        <v>2279.2</v>
      </c>
      <c r="G228" s="154">
        <v>8.3</v>
      </c>
      <c r="H228" s="155">
        <v>17197.600000000002</v>
      </c>
      <c r="I228" s="155">
        <f>SUM(('Future Orders'!$H228) * (1.1))</f>
        <v>18917.36</v>
      </c>
      <c r="J228" s="159">
        <f>SUMIFS('Future Orders'!$F228, 'Future Orders'!$D228, "1", 'Future Orders'!$C228, "A", 'Future Orders'!$B228, "1")</f>
        <v>0</v>
      </c>
      <c r="K228" s="157">
        <f>SUMIFS('Future Orders'!$I228, 'Future Orders'!$D228, "1", 'Future Orders'!$C228, "A", 'Future Orders'!$B228, "1")</f>
        <v>0</v>
      </c>
      <c r="L228" s="157">
        <f>SUMIFS('Future Orders'!$F228, 'Future Orders'!$D228, "1", 'Future Orders'!$C228, "B", 'Future Orders'!$B228, "1")</f>
        <v>0</v>
      </c>
      <c r="M228" s="157">
        <f>SUMIFS('Future Orders'!$I228, 'Future Orders'!$D228, "1", 'Future Orders'!$C228, "B", 'Future Orders'!$B228, "1")</f>
        <v>0</v>
      </c>
      <c r="N228" s="159">
        <f>SUMIFS('Future Orders'!$F228, 'Future Orders'!$D228, "1", 'Future Orders'!$C228, "A", 'Future Orders'!$B228, "2")</f>
        <v>0</v>
      </c>
      <c r="O228" s="157">
        <f>SUMIFS('Future Orders'!$I228, 'Future Orders'!$D228, "1", 'Future Orders'!$C228, "A", 'Future Orders'!$B228, "2")</f>
        <v>0</v>
      </c>
      <c r="P228" s="157">
        <f>SUMIFS('Future Orders'!$E228, 'Future Orders'!$D228, "1", 'Future Orders'!$C228, "B", 'Future Orders'!$B228, "2")</f>
        <v>0</v>
      </c>
      <c r="Q228" s="157">
        <f>SUMIFS('Future Orders'!$I228, 'Future Orders'!$D228, "1", 'Future Orders'!$C228, "B", 'Future Orders'!$B228, "2")</f>
        <v>0</v>
      </c>
      <c r="R228" s="159">
        <f>SUMIFS('Future Orders'!$F228, 'Future Orders'!$D228, "2", 'Future Orders'!$C228, "A", 'Future Orders'!$B228, "1")</f>
        <v>0</v>
      </c>
      <c r="S228" s="157">
        <f>SUMIFS('Future Orders'!$I228, 'Future Orders'!$D228, "2", 'Future Orders'!$C228, "A", 'Future Orders'!$B228, "1")</f>
        <v>0</v>
      </c>
      <c r="T228" s="159">
        <f>SUMIFS('Future Orders'!$F228, 'Future Orders'!$D228, "2", 'Future Orders'!$C228, "B", 'Future Orders'!$B228, "1")</f>
        <v>0</v>
      </c>
      <c r="U228" s="157">
        <f>SUMIFS('Future Orders'!$I228, 'Future Orders'!$D228, "2", 'Future Orders'!$C228, "B", 'Future Orders'!$B228, "1")</f>
        <v>0</v>
      </c>
      <c r="V228" s="159">
        <f>SUMIFS('Future Orders'!$F228, 'Future Orders'!$D228, "2", 'Future Orders'!$C228, "A", 'Future Orders'!$B228, "2")</f>
        <v>0</v>
      </c>
      <c r="W228" s="157">
        <f>SUMIFS('Future Orders'!$I228, 'Future Orders'!$D228, "2", 'Future Orders'!$C228, "A", 'Future Orders'!$B228, "2")</f>
        <v>0</v>
      </c>
      <c r="X228" s="159">
        <f>SUMIFS('Future Orders'!$F228, 'Future Orders'!$D228, "2", 'Future Orders'!$C228, "B", 'Future Orders'!$B228, "2")</f>
        <v>0</v>
      </c>
      <c r="Y228" s="159">
        <f>SUMIFS('Future Orders'!$I228, 'Future Orders'!$D228, "2", 'Future Orders'!$C228, "B", 'Future Orders'!$B228, "2")</f>
        <v>0</v>
      </c>
      <c r="Z228" s="159">
        <f>SUMIFS('Future Orders'!$F228, 'Future Orders'!$D228, "3", 'Future Orders'!$C228, "A", 'Future Orders'!$B228, "1")</f>
        <v>0</v>
      </c>
      <c r="AA228" s="159">
        <f>SUMIFS('Future Orders'!$I228, 'Future Orders'!$D228, "3", 'Future Orders'!$C228, "A", 'Future Orders'!$B228, "1")</f>
        <v>0</v>
      </c>
      <c r="AB228" s="159">
        <f>SUMIFS('Future Orders'!$F228, 'Future Orders'!$D228, "3", 'Future Orders'!$C228, "B", 'Future Orders'!$B228, "1")</f>
        <v>2279.2</v>
      </c>
      <c r="AC228" s="159">
        <f>SUMIFS('Future Orders'!$I228, 'Future Orders'!$D228, "3", 'Future Orders'!$C228, "B", 'Future Orders'!$B228, "1")</f>
        <v>18917.36</v>
      </c>
      <c r="AD228" s="159">
        <f>SUMIFS('Future Orders'!$F228, 'Future Orders'!$D228, "3", 'Future Orders'!$C228, "A", 'Future Orders'!$B228, "2")</f>
        <v>0</v>
      </c>
      <c r="AE228" s="159">
        <f>SUMIFS('Future Orders'!$I228, 'Future Orders'!$D228, "3", 'Future Orders'!$C228, "A", 'Future Orders'!$B228, "2")</f>
        <v>0</v>
      </c>
      <c r="AF228" s="159">
        <f>SUMIFS('Future Orders'!$F228, 'Future Orders'!$D228, "3", 'Future Orders'!$C228, "B", 'Future Orders'!$B228, "2")</f>
        <v>0</v>
      </c>
      <c r="AG228" s="157">
        <f>SUMIFS('Future Orders'!$I228, 'Future Orders'!$D228, "3", 'Future Orders'!$C228, "B", 'Future Orders'!$B228, "2")</f>
        <v>0</v>
      </c>
      <c r="AH228" s="157">
        <f>SUMIFS('Future Orders'!$F228, 'Future Orders'!$D228, "4", 'Future Orders'!$C228, "A", 'Future Orders'!$B228, "1")</f>
        <v>0</v>
      </c>
      <c r="AI228" s="157">
        <f>SUMIFS('Future Orders'!$I228, 'Future Orders'!$D228, "4", 'Future Orders'!$C228, "A", 'Future Orders'!$B228, "1")</f>
        <v>0</v>
      </c>
      <c r="AJ228" s="157">
        <f>SUMIFS('Future Orders'!$F228, 'Future Orders'!$D228, "4", 'Future Orders'!$C228, "B", 'Future Orders'!$B228, "1")</f>
        <v>0</v>
      </c>
      <c r="AK228" s="157">
        <f>SUMIFS('Future Orders'!$I228, 'Future Orders'!$D228, "4", 'Future Orders'!$C228, "B", 'Future Orders'!$B228, "1")</f>
        <v>0</v>
      </c>
      <c r="AL228" s="157">
        <f>SUMIFS('Future Orders'!$F228, 'Future Orders'!$D228, "4", 'Future Orders'!$C228, "A", 'Future Orders'!$B228, "2")</f>
        <v>0</v>
      </c>
      <c r="AM228" s="157">
        <f>SUMIFS('Future Orders'!$I228, 'Future Orders'!$D228, "4", 'Future Orders'!$C228, "A", 'Future Orders'!$B228, "2")</f>
        <v>0</v>
      </c>
      <c r="AN228" s="171">
        <f>SUMIFS('Future Orders'!$F228, 'Future Orders'!$D228, "4", 'Future Orders'!$C228, "B", 'Future Orders'!$B228, "2")</f>
        <v>0</v>
      </c>
      <c r="AO228" s="171">
        <f>SUMIFS('Future Orders'!$I228, 'Future Orders'!$D228, "4", 'Future Orders'!$C228, "B", 'Future Orders'!$B228, "2")</f>
        <v>0</v>
      </c>
      <c r="AP228" s="171">
        <f>SUMIFS('Future Orders'!$H228, 'Future Orders'!$C228, "A", 'Future Orders'!$B228, "1")</f>
        <v>0</v>
      </c>
      <c r="AQ228" s="171">
        <f>SUMIFS('Future Orders'!$I228, 'Future Orders'!$C228, "B", 'Future Orders'!$B228, "1")</f>
        <v>18917.36</v>
      </c>
      <c r="AR228" s="171">
        <f>SUMIFS('Future Orders'!$H228, 'Future Orders'!$C228, "A", 'Future Orders'!$B228, "2")</f>
        <v>0</v>
      </c>
      <c r="AS228" s="171">
        <f>SUMIFS('Future Orders'!$I228, 'Future Orders'!$C228, "B", 'Future Orders'!$B228, "2")</f>
        <v>0</v>
      </c>
      <c r="AT228" s="145"/>
      <c r="AU228" s="172"/>
      <c r="AV228" s="172"/>
      <c r="AW228" s="172"/>
      <c r="AX228" s="172"/>
      <c r="AY228" s="172"/>
      <c r="AZ228" s="172"/>
      <c r="BA228" s="172"/>
      <c r="BB228" s="172"/>
      <c r="BC228" s="172"/>
      <c r="BD228" s="172"/>
      <c r="BE228" s="172"/>
      <c r="BF228" s="172"/>
      <c r="BG228" s="172"/>
      <c r="BH228" s="172"/>
      <c r="BI228" s="172"/>
      <c r="BJ228" s="172"/>
      <c r="BK228" s="172"/>
      <c r="BL228" s="172"/>
      <c r="BM228" s="172"/>
      <c r="BN228" s="172"/>
      <c r="BO228" s="172"/>
      <c r="BP228" s="172"/>
      <c r="BQ228" s="172"/>
      <c r="BR228" s="172"/>
      <c r="BS228" s="172"/>
      <c r="BT228" s="172"/>
      <c r="BU228" s="172"/>
      <c r="BV228" s="172"/>
      <c r="BW228" s="172"/>
      <c r="BX228" s="172"/>
      <c r="BY228" s="172"/>
      <c r="BZ228" s="172"/>
      <c r="CA228" s="179"/>
      <c r="CB228" s="179"/>
      <c r="CC228" s="179"/>
      <c r="CD228" s="179"/>
      <c r="CE228" s="179"/>
      <c r="CF228" s="179"/>
      <c r="CG228" s="179"/>
      <c r="CH228" s="179"/>
      <c r="CI228" s="179"/>
      <c r="CJ228" s="179"/>
      <c r="CK228" s="179"/>
      <c r="CL228" s="179"/>
      <c r="CM228" s="179"/>
      <c r="CN228" s="179"/>
      <c r="CO228" s="179"/>
      <c r="CP228" s="179"/>
    </row>
    <row r="229" ht="15.75" customHeight="1">
      <c r="A229" s="151">
        <v>42114.0</v>
      </c>
      <c r="B229" s="152">
        <v>2.0</v>
      </c>
      <c r="C229" s="152" t="s">
        <v>46</v>
      </c>
      <c r="D229" s="152">
        <v>3.0</v>
      </c>
      <c r="E229" s="153">
        <v>2813.0</v>
      </c>
      <c r="F229" s="153">
        <f>SUM(('Future Orders'!$E229) * (1.1))</f>
        <v>3094.3</v>
      </c>
      <c r="G229" s="154">
        <v>8.3</v>
      </c>
      <c r="H229" s="155">
        <v>23347.9</v>
      </c>
      <c r="I229" s="155">
        <f>SUM(('Future Orders'!$H229) * (1.1))</f>
        <v>25682.69</v>
      </c>
      <c r="J229" s="159">
        <f>SUMIFS('Future Orders'!$F229, 'Future Orders'!$D229, "1", 'Future Orders'!$C229, "A", 'Future Orders'!$B229, "1")</f>
        <v>0</v>
      </c>
      <c r="K229" s="157">
        <f>SUMIFS('Future Orders'!$I229, 'Future Orders'!$D229, "1", 'Future Orders'!$C229, "A", 'Future Orders'!$B229, "1")</f>
        <v>0</v>
      </c>
      <c r="L229" s="157">
        <f>SUMIFS('Future Orders'!$F229, 'Future Orders'!$D229, "1", 'Future Orders'!$C229, "B", 'Future Orders'!$B229, "1")</f>
        <v>0</v>
      </c>
      <c r="M229" s="157">
        <f>SUMIFS('Future Orders'!$I229, 'Future Orders'!$D229, "1", 'Future Orders'!$C229, "B", 'Future Orders'!$B229, "1")</f>
        <v>0</v>
      </c>
      <c r="N229" s="159">
        <f>SUMIFS('Future Orders'!$F229, 'Future Orders'!$D229, "1", 'Future Orders'!$C229, "A", 'Future Orders'!$B229, "2")</f>
        <v>0</v>
      </c>
      <c r="O229" s="157">
        <f>SUMIFS('Future Orders'!$I229, 'Future Orders'!$D229, "1", 'Future Orders'!$C229, "A", 'Future Orders'!$B229, "2")</f>
        <v>0</v>
      </c>
      <c r="P229" s="157">
        <f>SUMIFS('Future Orders'!$E229, 'Future Orders'!$D229, "1", 'Future Orders'!$C229, "B", 'Future Orders'!$B229, "2")</f>
        <v>0</v>
      </c>
      <c r="Q229" s="157">
        <f>SUMIFS('Future Orders'!$I229, 'Future Orders'!$D229, "1", 'Future Orders'!$C229, "B", 'Future Orders'!$B229, "2")</f>
        <v>0</v>
      </c>
      <c r="R229" s="159">
        <f>SUMIFS('Future Orders'!$F229, 'Future Orders'!$D229, "2", 'Future Orders'!$C229, "A", 'Future Orders'!$B229, "1")</f>
        <v>0</v>
      </c>
      <c r="S229" s="157">
        <f>SUMIFS('Future Orders'!$I229, 'Future Orders'!$D229, "2", 'Future Orders'!$C229, "A", 'Future Orders'!$B229, "1")</f>
        <v>0</v>
      </c>
      <c r="T229" s="159">
        <f>SUMIFS('Future Orders'!$F229, 'Future Orders'!$D229, "2", 'Future Orders'!$C229, "B", 'Future Orders'!$B229, "1")</f>
        <v>0</v>
      </c>
      <c r="U229" s="157">
        <f>SUMIFS('Future Orders'!$I229, 'Future Orders'!$D229, "2", 'Future Orders'!$C229, "B", 'Future Orders'!$B229, "1")</f>
        <v>0</v>
      </c>
      <c r="V229" s="159">
        <f>SUMIFS('Future Orders'!$F229, 'Future Orders'!$D229, "2", 'Future Orders'!$C229, "A", 'Future Orders'!$B229, "2")</f>
        <v>0</v>
      </c>
      <c r="W229" s="157">
        <f>SUMIFS('Future Orders'!$I229, 'Future Orders'!$D229, "2", 'Future Orders'!$C229, "A", 'Future Orders'!$B229, "2")</f>
        <v>0</v>
      </c>
      <c r="X229" s="159">
        <f>SUMIFS('Future Orders'!$F229, 'Future Orders'!$D229, "2", 'Future Orders'!$C229, "B", 'Future Orders'!$B229, "2")</f>
        <v>0</v>
      </c>
      <c r="Y229" s="159">
        <f>SUMIFS('Future Orders'!$I229, 'Future Orders'!$D229, "2", 'Future Orders'!$C229, "B", 'Future Orders'!$B229, "2")</f>
        <v>0</v>
      </c>
      <c r="Z229" s="159">
        <f>SUMIFS('Future Orders'!$F229, 'Future Orders'!$D229, "3", 'Future Orders'!$C229, "A", 'Future Orders'!$B229, "1")</f>
        <v>0</v>
      </c>
      <c r="AA229" s="159">
        <f>SUMIFS('Future Orders'!$I229, 'Future Orders'!$D229, "3", 'Future Orders'!$C229, "A", 'Future Orders'!$B229, "1")</f>
        <v>0</v>
      </c>
      <c r="AB229" s="159">
        <f>SUMIFS('Future Orders'!$F229, 'Future Orders'!$D229, "3", 'Future Orders'!$C229, "B", 'Future Orders'!$B229, "1")</f>
        <v>0</v>
      </c>
      <c r="AC229" s="159">
        <f>SUMIFS('Future Orders'!$I229, 'Future Orders'!$D229, "3", 'Future Orders'!$C229, "B", 'Future Orders'!$B229, "1")</f>
        <v>0</v>
      </c>
      <c r="AD229" s="159">
        <f>SUMIFS('Future Orders'!$F229, 'Future Orders'!$D229, "3", 'Future Orders'!$C229, "A", 'Future Orders'!$B229, "2")</f>
        <v>0</v>
      </c>
      <c r="AE229" s="159">
        <f>SUMIFS('Future Orders'!$I229, 'Future Orders'!$D229, "3", 'Future Orders'!$C229, "A", 'Future Orders'!$B229, "2")</f>
        <v>0</v>
      </c>
      <c r="AF229" s="159">
        <f>SUMIFS('Future Orders'!$F229, 'Future Orders'!$D229, "3", 'Future Orders'!$C229, "B", 'Future Orders'!$B229, "2")</f>
        <v>3094.3</v>
      </c>
      <c r="AG229" s="157">
        <f>SUMIFS('Future Orders'!$I229, 'Future Orders'!$D229, "3", 'Future Orders'!$C229, "B", 'Future Orders'!$B229, "2")</f>
        <v>25682.69</v>
      </c>
      <c r="AH229" s="157">
        <f>SUMIFS('Future Orders'!$F229, 'Future Orders'!$D229, "4", 'Future Orders'!$C229, "A", 'Future Orders'!$B229, "1")</f>
        <v>0</v>
      </c>
      <c r="AI229" s="157">
        <f>SUMIFS('Future Orders'!$I229, 'Future Orders'!$D229, "4", 'Future Orders'!$C229, "A", 'Future Orders'!$B229, "1")</f>
        <v>0</v>
      </c>
      <c r="AJ229" s="157">
        <f>SUMIFS('Future Orders'!$F229, 'Future Orders'!$D229, "4", 'Future Orders'!$C229, "B", 'Future Orders'!$B229, "1")</f>
        <v>0</v>
      </c>
      <c r="AK229" s="157">
        <f>SUMIFS('Future Orders'!$I229, 'Future Orders'!$D229, "4", 'Future Orders'!$C229, "B", 'Future Orders'!$B229, "1")</f>
        <v>0</v>
      </c>
      <c r="AL229" s="157">
        <f>SUMIFS('Future Orders'!$F229, 'Future Orders'!$D229, "4", 'Future Orders'!$C229, "A", 'Future Orders'!$B229, "2")</f>
        <v>0</v>
      </c>
      <c r="AM229" s="157">
        <f>SUMIFS('Future Orders'!$I229, 'Future Orders'!$D229, "4", 'Future Orders'!$C229, "A", 'Future Orders'!$B229, "2")</f>
        <v>0</v>
      </c>
      <c r="AN229" s="171">
        <f>SUMIFS('Future Orders'!$F229, 'Future Orders'!$D229, "4", 'Future Orders'!$C229, "B", 'Future Orders'!$B229, "2")</f>
        <v>0</v>
      </c>
      <c r="AO229" s="171">
        <f>SUMIFS('Future Orders'!$I229, 'Future Orders'!$D229, "4", 'Future Orders'!$C229, "B", 'Future Orders'!$B229, "2")</f>
        <v>0</v>
      </c>
      <c r="AP229" s="171">
        <f>SUMIFS('Future Orders'!$H229, 'Future Orders'!$C229, "A", 'Future Orders'!$B229, "1")</f>
        <v>0</v>
      </c>
      <c r="AQ229" s="171">
        <f>SUMIFS('Future Orders'!$I229, 'Future Orders'!$C229, "B", 'Future Orders'!$B229, "1")</f>
        <v>0</v>
      </c>
      <c r="AR229" s="171">
        <f>SUMIFS('Future Orders'!$H229, 'Future Orders'!$C229, "A", 'Future Orders'!$B229, "2")</f>
        <v>0</v>
      </c>
      <c r="AS229" s="171">
        <f>SUMIFS('Future Orders'!$I229, 'Future Orders'!$C229, "B", 'Future Orders'!$B229, "2")</f>
        <v>25682.69</v>
      </c>
      <c r="AT229" s="145"/>
      <c r="AU229" s="172"/>
      <c r="AV229" s="172"/>
      <c r="AW229" s="172"/>
      <c r="AX229" s="172"/>
      <c r="AY229" s="172"/>
      <c r="AZ229" s="172"/>
      <c r="BA229" s="172"/>
      <c r="BB229" s="172"/>
      <c r="BC229" s="172"/>
      <c r="BD229" s="172"/>
      <c r="BE229" s="172"/>
      <c r="BF229" s="172"/>
      <c r="BG229" s="172"/>
      <c r="BH229" s="172"/>
      <c r="BI229" s="172"/>
      <c r="BJ229" s="172"/>
      <c r="BK229" s="172"/>
      <c r="BL229" s="172"/>
      <c r="BM229" s="172"/>
      <c r="BN229" s="172"/>
      <c r="BO229" s="172"/>
      <c r="BP229" s="172"/>
      <c r="BQ229" s="172"/>
      <c r="BR229" s="172"/>
      <c r="BS229" s="172"/>
      <c r="BT229" s="172"/>
      <c r="BU229" s="172"/>
      <c r="BV229" s="172"/>
      <c r="BW229" s="172"/>
      <c r="BX229" s="172"/>
      <c r="BY229" s="172"/>
      <c r="BZ229" s="172"/>
      <c r="CA229" s="179"/>
      <c r="CB229" s="179"/>
      <c r="CC229" s="179"/>
      <c r="CD229" s="179"/>
      <c r="CE229" s="179"/>
      <c r="CF229" s="179"/>
      <c r="CG229" s="179"/>
      <c r="CH229" s="179"/>
      <c r="CI229" s="179"/>
      <c r="CJ229" s="179"/>
      <c r="CK229" s="179"/>
      <c r="CL229" s="179"/>
      <c r="CM229" s="179"/>
      <c r="CN229" s="179"/>
      <c r="CO229" s="179"/>
      <c r="CP229" s="179"/>
    </row>
    <row r="230" ht="15.75" customHeight="1">
      <c r="A230" s="151">
        <v>42121.0</v>
      </c>
      <c r="B230" s="152">
        <v>1.0</v>
      </c>
      <c r="C230" s="152" t="s">
        <v>45</v>
      </c>
      <c r="D230" s="152">
        <v>1.0</v>
      </c>
      <c r="E230" s="153">
        <v>5134.0</v>
      </c>
      <c r="F230" s="153">
        <f>SUM(('Future Orders'!$E230) * (1.1))</f>
        <v>5647.4</v>
      </c>
      <c r="G230" s="154">
        <v>2.2</v>
      </c>
      <c r="H230" s="155">
        <v>11294.800000000001</v>
      </c>
      <c r="I230" s="155">
        <f>SUM(('Future Orders'!$H230) * (1.1))</f>
        <v>12424.28</v>
      </c>
      <c r="J230" s="159">
        <f>SUMIFS('Future Orders'!$F230, 'Future Orders'!$D230, "1", 'Future Orders'!$C230, "A", 'Future Orders'!$B230, "1")</f>
        <v>5647.4</v>
      </c>
      <c r="K230" s="157">
        <f>SUMIFS('Future Orders'!$I230, 'Future Orders'!$D230, "1", 'Future Orders'!$C230, "A", 'Future Orders'!$B230, "1")</f>
        <v>12424.28</v>
      </c>
      <c r="L230" s="157">
        <f>SUMIFS('Future Orders'!$F230, 'Future Orders'!$D230, "1", 'Future Orders'!$C230, "B", 'Future Orders'!$B230, "1")</f>
        <v>0</v>
      </c>
      <c r="M230" s="157">
        <f>SUMIFS('Future Orders'!$I230, 'Future Orders'!$D230, "1", 'Future Orders'!$C230, "B", 'Future Orders'!$B230, "1")</f>
        <v>0</v>
      </c>
      <c r="N230" s="159">
        <f>SUMIFS('Future Orders'!$F230, 'Future Orders'!$D230, "1", 'Future Orders'!$C230, "A", 'Future Orders'!$B230, "2")</f>
        <v>0</v>
      </c>
      <c r="O230" s="157">
        <f>SUMIFS('Future Orders'!$I230, 'Future Orders'!$D230, "1", 'Future Orders'!$C230, "A", 'Future Orders'!$B230, "2")</f>
        <v>0</v>
      </c>
      <c r="P230" s="157">
        <f>SUMIFS('Future Orders'!$E230, 'Future Orders'!$D230, "1", 'Future Orders'!$C230, "B", 'Future Orders'!$B230, "2")</f>
        <v>0</v>
      </c>
      <c r="Q230" s="157">
        <f>SUMIFS('Future Orders'!$I230, 'Future Orders'!$D230, "1", 'Future Orders'!$C230, "B", 'Future Orders'!$B230, "2")</f>
        <v>0</v>
      </c>
      <c r="R230" s="159">
        <f>SUMIFS('Future Orders'!$F230, 'Future Orders'!$D230, "2", 'Future Orders'!$C230, "A", 'Future Orders'!$B230, "1")</f>
        <v>0</v>
      </c>
      <c r="S230" s="157">
        <f>SUMIFS('Future Orders'!$I230, 'Future Orders'!$D230, "2", 'Future Orders'!$C230, "A", 'Future Orders'!$B230, "1")</f>
        <v>0</v>
      </c>
      <c r="T230" s="159">
        <f>SUMIFS('Future Orders'!$F230, 'Future Orders'!$D230, "2", 'Future Orders'!$C230, "B", 'Future Orders'!$B230, "1")</f>
        <v>0</v>
      </c>
      <c r="U230" s="157">
        <f>SUMIFS('Future Orders'!$I230, 'Future Orders'!$D230, "2", 'Future Orders'!$C230, "B", 'Future Orders'!$B230, "1")</f>
        <v>0</v>
      </c>
      <c r="V230" s="159">
        <f>SUMIFS('Future Orders'!$F230, 'Future Orders'!$D230, "2", 'Future Orders'!$C230, "A", 'Future Orders'!$B230, "2")</f>
        <v>0</v>
      </c>
      <c r="W230" s="157">
        <f>SUMIFS('Future Orders'!$I230, 'Future Orders'!$D230, "2", 'Future Orders'!$C230, "A", 'Future Orders'!$B230, "2")</f>
        <v>0</v>
      </c>
      <c r="X230" s="159">
        <f>SUMIFS('Future Orders'!$F230, 'Future Orders'!$D230, "2", 'Future Orders'!$C230, "B", 'Future Orders'!$B230, "2")</f>
        <v>0</v>
      </c>
      <c r="Y230" s="159">
        <f>SUMIFS('Future Orders'!$I230, 'Future Orders'!$D230, "2", 'Future Orders'!$C230, "B", 'Future Orders'!$B230, "2")</f>
        <v>0</v>
      </c>
      <c r="Z230" s="159">
        <f>SUMIFS('Future Orders'!$F230, 'Future Orders'!$D230, "3", 'Future Orders'!$C230, "A", 'Future Orders'!$B230, "1")</f>
        <v>0</v>
      </c>
      <c r="AA230" s="159">
        <f>SUMIFS('Future Orders'!$I230, 'Future Orders'!$D230, "3", 'Future Orders'!$C230, "A", 'Future Orders'!$B230, "1")</f>
        <v>0</v>
      </c>
      <c r="AB230" s="159">
        <f>SUMIFS('Future Orders'!$F230, 'Future Orders'!$D230, "3", 'Future Orders'!$C230, "B", 'Future Orders'!$B230, "1")</f>
        <v>0</v>
      </c>
      <c r="AC230" s="159">
        <f>SUMIFS('Future Orders'!$I230, 'Future Orders'!$D230, "3", 'Future Orders'!$C230, "B", 'Future Orders'!$B230, "1")</f>
        <v>0</v>
      </c>
      <c r="AD230" s="159">
        <f>SUMIFS('Future Orders'!$F230, 'Future Orders'!$D230, "3", 'Future Orders'!$C230, "A", 'Future Orders'!$B230, "2")</f>
        <v>0</v>
      </c>
      <c r="AE230" s="159">
        <f>SUMIFS('Future Orders'!$I230, 'Future Orders'!$D230, "3", 'Future Orders'!$C230, "A", 'Future Orders'!$B230, "2")</f>
        <v>0</v>
      </c>
      <c r="AF230" s="159">
        <f>SUMIFS('Future Orders'!$F230, 'Future Orders'!$D230, "3", 'Future Orders'!$C230, "B", 'Future Orders'!$B230, "2")</f>
        <v>0</v>
      </c>
      <c r="AG230" s="157">
        <f>SUMIFS('Future Orders'!$I230, 'Future Orders'!$D230, "3", 'Future Orders'!$C230, "B", 'Future Orders'!$B230, "2")</f>
        <v>0</v>
      </c>
      <c r="AH230" s="157">
        <f>SUMIFS('Future Orders'!$F230, 'Future Orders'!$D230, "4", 'Future Orders'!$C230, "A", 'Future Orders'!$B230, "1")</f>
        <v>0</v>
      </c>
      <c r="AI230" s="157">
        <f>SUMIFS('Future Orders'!$I230, 'Future Orders'!$D230, "4", 'Future Orders'!$C230, "A", 'Future Orders'!$B230, "1")</f>
        <v>0</v>
      </c>
      <c r="AJ230" s="157">
        <f>SUMIFS('Future Orders'!$F230, 'Future Orders'!$D230, "4", 'Future Orders'!$C230, "B", 'Future Orders'!$B230, "1")</f>
        <v>0</v>
      </c>
      <c r="AK230" s="157">
        <f>SUMIFS('Future Orders'!$I230, 'Future Orders'!$D230, "4", 'Future Orders'!$C230, "B", 'Future Orders'!$B230, "1")</f>
        <v>0</v>
      </c>
      <c r="AL230" s="157">
        <f>SUMIFS('Future Orders'!$F230, 'Future Orders'!$D230, "4", 'Future Orders'!$C230, "A", 'Future Orders'!$B230, "2")</f>
        <v>0</v>
      </c>
      <c r="AM230" s="157">
        <f>SUMIFS('Future Orders'!$I230, 'Future Orders'!$D230, "4", 'Future Orders'!$C230, "A", 'Future Orders'!$B230, "2")</f>
        <v>0</v>
      </c>
      <c r="AN230" s="171">
        <f>SUMIFS('Future Orders'!$F230, 'Future Orders'!$D230, "4", 'Future Orders'!$C230, "B", 'Future Orders'!$B230, "2")</f>
        <v>0</v>
      </c>
      <c r="AO230" s="171">
        <f>SUMIFS('Future Orders'!$I230, 'Future Orders'!$D230, "4", 'Future Orders'!$C230, "B", 'Future Orders'!$B230, "2")</f>
        <v>0</v>
      </c>
      <c r="AP230" s="171">
        <f>SUMIFS('Future Orders'!$H230, 'Future Orders'!$C230, "A", 'Future Orders'!$B230, "1")</f>
        <v>11294.8</v>
      </c>
      <c r="AQ230" s="171">
        <f>SUMIFS('Future Orders'!$I230, 'Future Orders'!$C230, "B", 'Future Orders'!$B230, "1")</f>
        <v>0</v>
      </c>
      <c r="AR230" s="171">
        <f>SUMIFS('Future Orders'!$H230, 'Future Orders'!$C230, "A", 'Future Orders'!$B230, "2")</f>
        <v>0</v>
      </c>
      <c r="AS230" s="171">
        <f>SUMIFS('Future Orders'!$I230, 'Future Orders'!$C230, "B", 'Future Orders'!$B230, "2")</f>
        <v>0</v>
      </c>
      <c r="AT230" s="145"/>
      <c r="AU230" s="172"/>
      <c r="AV230" s="172"/>
      <c r="AW230" s="172"/>
      <c r="AX230" s="172"/>
      <c r="AY230" s="172"/>
      <c r="AZ230" s="172"/>
      <c r="BA230" s="172"/>
      <c r="BB230" s="172"/>
      <c r="BC230" s="172"/>
      <c r="BD230" s="172"/>
      <c r="BE230" s="172"/>
      <c r="BF230" s="172"/>
      <c r="BG230" s="172"/>
      <c r="BH230" s="172"/>
      <c r="BI230" s="172"/>
      <c r="BJ230" s="172"/>
      <c r="BK230" s="172"/>
      <c r="BL230" s="172"/>
      <c r="BM230" s="172"/>
      <c r="BN230" s="172"/>
      <c r="BO230" s="172"/>
      <c r="BP230" s="172"/>
      <c r="BQ230" s="172"/>
      <c r="BR230" s="172"/>
      <c r="BS230" s="172"/>
      <c r="BT230" s="172"/>
      <c r="BU230" s="172"/>
      <c r="BV230" s="172"/>
      <c r="BW230" s="172"/>
      <c r="BX230" s="172"/>
      <c r="BY230" s="172"/>
      <c r="BZ230" s="172"/>
      <c r="CA230" s="179"/>
      <c r="CB230" s="179"/>
      <c r="CC230" s="179"/>
      <c r="CD230" s="179"/>
      <c r="CE230" s="179"/>
      <c r="CF230" s="179"/>
      <c r="CG230" s="179"/>
      <c r="CH230" s="179"/>
      <c r="CI230" s="179"/>
      <c r="CJ230" s="179"/>
      <c r="CK230" s="179"/>
      <c r="CL230" s="179"/>
      <c r="CM230" s="179"/>
      <c r="CN230" s="179"/>
      <c r="CO230" s="179"/>
      <c r="CP230" s="179"/>
    </row>
    <row r="231" ht="15.75" customHeight="1">
      <c r="A231" s="151">
        <v>42121.0</v>
      </c>
      <c r="B231" s="152">
        <v>1.0</v>
      </c>
      <c r="C231" s="152" t="s">
        <v>45</v>
      </c>
      <c r="D231" s="152">
        <v>2.0</v>
      </c>
      <c r="E231" s="153">
        <v>5773.0</v>
      </c>
      <c r="F231" s="153">
        <f>SUM(('Future Orders'!$E231) * (1.1))</f>
        <v>6350.3</v>
      </c>
      <c r="G231" s="154">
        <v>1.2</v>
      </c>
      <c r="H231" s="155">
        <v>6927.599999999999</v>
      </c>
      <c r="I231" s="155">
        <f>SUM(('Future Orders'!$H231) * (1.1))</f>
        <v>7620.36</v>
      </c>
      <c r="J231" s="159">
        <f>SUMIFS('Future Orders'!$F231, 'Future Orders'!$D231, "1", 'Future Orders'!$C231, "A", 'Future Orders'!$B231, "1")</f>
        <v>0</v>
      </c>
      <c r="K231" s="157">
        <f>SUMIFS('Future Orders'!$I231, 'Future Orders'!$D231, "1", 'Future Orders'!$C231, "A", 'Future Orders'!$B231, "1")</f>
        <v>0</v>
      </c>
      <c r="L231" s="157">
        <f>SUMIFS('Future Orders'!$F231, 'Future Orders'!$D231, "1", 'Future Orders'!$C231, "B", 'Future Orders'!$B231, "1")</f>
        <v>0</v>
      </c>
      <c r="M231" s="157">
        <f>SUMIFS('Future Orders'!$I231, 'Future Orders'!$D231, "1", 'Future Orders'!$C231, "B", 'Future Orders'!$B231, "1")</f>
        <v>0</v>
      </c>
      <c r="N231" s="159">
        <f>SUMIFS('Future Orders'!$F231, 'Future Orders'!$D231, "1", 'Future Orders'!$C231, "A", 'Future Orders'!$B231, "2")</f>
        <v>0</v>
      </c>
      <c r="O231" s="157">
        <f>SUMIFS('Future Orders'!$I231, 'Future Orders'!$D231, "1", 'Future Orders'!$C231, "A", 'Future Orders'!$B231, "2")</f>
        <v>0</v>
      </c>
      <c r="P231" s="157">
        <f>SUMIFS('Future Orders'!$E231, 'Future Orders'!$D231, "1", 'Future Orders'!$C231, "B", 'Future Orders'!$B231, "2")</f>
        <v>0</v>
      </c>
      <c r="Q231" s="157">
        <f>SUMIFS('Future Orders'!$I231, 'Future Orders'!$D231, "1", 'Future Orders'!$C231, "B", 'Future Orders'!$B231, "2")</f>
        <v>0</v>
      </c>
      <c r="R231" s="159">
        <f>SUMIFS('Future Orders'!$F231, 'Future Orders'!$D231, "2", 'Future Orders'!$C231, "A", 'Future Orders'!$B231, "1")</f>
        <v>6350.3</v>
      </c>
      <c r="S231" s="157">
        <f>SUMIFS('Future Orders'!$I231, 'Future Orders'!$D231, "2", 'Future Orders'!$C231, "A", 'Future Orders'!$B231, "1")</f>
        <v>7620.36</v>
      </c>
      <c r="T231" s="159">
        <f>SUMIFS('Future Orders'!$F231, 'Future Orders'!$D231, "2", 'Future Orders'!$C231, "B", 'Future Orders'!$B231, "1")</f>
        <v>0</v>
      </c>
      <c r="U231" s="157">
        <f>SUMIFS('Future Orders'!$I231, 'Future Orders'!$D231, "2", 'Future Orders'!$C231, "B", 'Future Orders'!$B231, "1")</f>
        <v>0</v>
      </c>
      <c r="V231" s="159">
        <f>SUMIFS('Future Orders'!$F231, 'Future Orders'!$D231, "2", 'Future Orders'!$C231, "A", 'Future Orders'!$B231, "2")</f>
        <v>0</v>
      </c>
      <c r="W231" s="157">
        <f>SUMIFS('Future Orders'!$I231, 'Future Orders'!$D231, "2", 'Future Orders'!$C231, "A", 'Future Orders'!$B231, "2")</f>
        <v>0</v>
      </c>
      <c r="X231" s="159">
        <f>SUMIFS('Future Orders'!$F231, 'Future Orders'!$D231, "2", 'Future Orders'!$C231, "B", 'Future Orders'!$B231, "2")</f>
        <v>0</v>
      </c>
      <c r="Y231" s="159">
        <f>SUMIFS('Future Orders'!$I231, 'Future Orders'!$D231, "2", 'Future Orders'!$C231, "B", 'Future Orders'!$B231, "2")</f>
        <v>0</v>
      </c>
      <c r="Z231" s="159">
        <f>SUMIFS('Future Orders'!$F231, 'Future Orders'!$D231, "3", 'Future Orders'!$C231, "A", 'Future Orders'!$B231, "1")</f>
        <v>0</v>
      </c>
      <c r="AA231" s="159">
        <f>SUMIFS('Future Orders'!$I231, 'Future Orders'!$D231, "3", 'Future Orders'!$C231, "A", 'Future Orders'!$B231, "1")</f>
        <v>0</v>
      </c>
      <c r="AB231" s="159">
        <f>SUMIFS('Future Orders'!$F231, 'Future Orders'!$D231, "3", 'Future Orders'!$C231, "B", 'Future Orders'!$B231, "1")</f>
        <v>0</v>
      </c>
      <c r="AC231" s="159">
        <f>SUMIFS('Future Orders'!$I231, 'Future Orders'!$D231, "3", 'Future Orders'!$C231, "B", 'Future Orders'!$B231, "1")</f>
        <v>0</v>
      </c>
      <c r="AD231" s="159">
        <f>SUMIFS('Future Orders'!$F231, 'Future Orders'!$D231, "3", 'Future Orders'!$C231, "A", 'Future Orders'!$B231, "2")</f>
        <v>0</v>
      </c>
      <c r="AE231" s="159">
        <f>SUMIFS('Future Orders'!$I231, 'Future Orders'!$D231, "3", 'Future Orders'!$C231, "A", 'Future Orders'!$B231, "2")</f>
        <v>0</v>
      </c>
      <c r="AF231" s="159">
        <f>SUMIFS('Future Orders'!$F231, 'Future Orders'!$D231, "3", 'Future Orders'!$C231, "B", 'Future Orders'!$B231, "2")</f>
        <v>0</v>
      </c>
      <c r="AG231" s="157">
        <f>SUMIFS('Future Orders'!$I231, 'Future Orders'!$D231, "3", 'Future Orders'!$C231, "B", 'Future Orders'!$B231, "2")</f>
        <v>0</v>
      </c>
      <c r="AH231" s="157">
        <f>SUMIFS('Future Orders'!$F231, 'Future Orders'!$D231, "4", 'Future Orders'!$C231, "A", 'Future Orders'!$B231, "1")</f>
        <v>0</v>
      </c>
      <c r="AI231" s="157">
        <f>SUMIFS('Future Orders'!$I231, 'Future Orders'!$D231, "4", 'Future Orders'!$C231, "A", 'Future Orders'!$B231, "1")</f>
        <v>0</v>
      </c>
      <c r="AJ231" s="157">
        <f>SUMIFS('Future Orders'!$F231, 'Future Orders'!$D231, "4", 'Future Orders'!$C231, "B", 'Future Orders'!$B231, "1")</f>
        <v>0</v>
      </c>
      <c r="AK231" s="157">
        <f>SUMIFS('Future Orders'!$I231, 'Future Orders'!$D231, "4", 'Future Orders'!$C231, "B", 'Future Orders'!$B231, "1")</f>
        <v>0</v>
      </c>
      <c r="AL231" s="157">
        <f>SUMIFS('Future Orders'!$F231, 'Future Orders'!$D231, "4", 'Future Orders'!$C231, "A", 'Future Orders'!$B231, "2")</f>
        <v>0</v>
      </c>
      <c r="AM231" s="157">
        <f>SUMIFS('Future Orders'!$I231, 'Future Orders'!$D231, "4", 'Future Orders'!$C231, "A", 'Future Orders'!$B231, "2")</f>
        <v>0</v>
      </c>
      <c r="AN231" s="171">
        <f>SUMIFS('Future Orders'!$F231, 'Future Orders'!$D231, "4", 'Future Orders'!$C231, "B", 'Future Orders'!$B231, "2")</f>
        <v>0</v>
      </c>
      <c r="AO231" s="171">
        <f>SUMIFS('Future Orders'!$I231, 'Future Orders'!$D231, "4", 'Future Orders'!$C231, "B", 'Future Orders'!$B231, "2")</f>
        <v>0</v>
      </c>
      <c r="AP231" s="171">
        <f>SUMIFS('Future Orders'!$H231, 'Future Orders'!$C231, "A", 'Future Orders'!$B231, "1")</f>
        <v>6927.6</v>
      </c>
      <c r="AQ231" s="171">
        <f>SUMIFS('Future Orders'!$I231, 'Future Orders'!$C231, "B", 'Future Orders'!$B231, "1")</f>
        <v>0</v>
      </c>
      <c r="AR231" s="171">
        <f>SUMIFS('Future Orders'!$H231, 'Future Orders'!$C231, "A", 'Future Orders'!$B231, "2")</f>
        <v>0</v>
      </c>
      <c r="AS231" s="171">
        <f>SUMIFS('Future Orders'!$I231, 'Future Orders'!$C231, "B", 'Future Orders'!$B231, "2")</f>
        <v>0</v>
      </c>
      <c r="AT231" s="145"/>
      <c r="AU231" s="172"/>
      <c r="AV231" s="172"/>
      <c r="AW231" s="172"/>
      <c r="AX231" s="172"/>
      <c r="AY231" s="172"/>
      <c r="AZ231" s="172"/>
      <c r="BA231" s="172"/>
      <c r="BB231" s="172"/>
      <c r="BC231" s="172"/>
      <c r="BD231" s="172"/>
      <c r="BE231" s="172"/>
      <c r="BF231" s="172"/>
      <c r="BG231" s="172"/>
      <c r="BH231" s="172"/>
      <c r="BI231" s="172"/>
      <c r="BJ231" s="172"/>
      <c r="BK231" s="172"/>
      <c r="BL231" s="172"/>
      <c r="BM231" s="172"/>
      <c r="BN231" s="172"/>
      <c r="BO231" s="172"/>
      <c r="BP231" s="172"/>
      <c r="BQ231" s="172"/>
      <c r="BR231" s="172"/>
      <c r="BS231" s="172"/>
      <c r="BT231" s="172"/>
      <c r="BU231" s="172"/>
      <c r="BV231" s="172"/>
      <c r="BW231" s="172"/>
      <c r="BX231" s="172"/>
      <c r="BY231" s="172"/>
      <c r="BZ231" s="172"/>
      <c r="CA231" s="179"/>
      <c r="CB231" s="179"/>
      <c r="CC231" s="179"/>
      <c r="CD231" s="179"/>
      <c r="CE231" s="179"/>
      <c r="CF231" s="179"/>
      <c r="CG231" s="179"/>
      <c r="CH231" s="179"/>
      <c r="CI231" s="179"/>
      <c r="CJ231" s="179"/>
      <c r="CK231" s="179"/>
      <c r="CL231" s="179"/>
      <c r="CM231" s="179"/>
      <c r="CN231" s="179"/>
      <c r="CO231" s="179"/>
      <c r="CP231" s="179"/>
    </row>
    <row r="232" ht="15.75" customHeight="1">
      <c r="A232" s="151">
        <v>42121.0</v>
      </c>
      <c r="B232" s="152">
        <v>2.0</v>
      </c>
      <c r="C232" s="152" t="s">
        <v>45</v>
      </c>
      <c r="D232" s="152">
        <v>1.0</v>
      </c>
      <c r="E232" s="153">
        <v>3406.0</v>
      </c>
      <c r="F232" s="153">
        <f>SUM(('Future Orders'!$E232) * (1.1))</f>
        <v>3746.6</v>
      </c>
      <c r="G232" s="154">
        <v>2.2</v>
      </c>
      <c r="H232" s="155">
        <v>7493.200000000001</v>
      </c>
      <c r="I232" s="155">
        <f>SUM(('Future Orders'!$H232) * (1.1))</f>
        <v>8242.52</v>
      </c>
      <c r="J232" s="159">
        <f>SUMIFS('Future Orders'!$F232, 'Future Orders'!$D232, "1", 'Future Orders'!$C232, "A", 'Future Orders'!$B232, "1")</f>
        <v>0</v>
      </c>
      <c r="K232" s="157">
        <f>SUMIFS('Future Orders'!$I232, 'Future Orders'!$D232, "1", 'Future Orders'!$C232, "A", 'Future Orders'!$B232, "1")</f>
        <v>0</v>
      </c>
      <c r="L232" s="157">
        <f>SUMIFS('Future Orders'!$F232, 'Future Orders'!$D232, "1", 'Future Orders'!$C232, "B", 'Future Orders'!$B232, "1")</f>
        <v>0</v>
      </c>
      <c r="M232" s="157">
        <f>SUMIFS('Future Orders'!$I232, 'Future Orders'!$D232, "1", 'Future Orders'!$C232, "B", 'Future Orders'!$B232, "1")</f>
        <v>0</v>
      </c>
      <c r="N232" s="159">
        <f>SUMIFS('Future Orders'!$F232, 'Future Orders'!$D232, "1", 'Future Orders'!$C232, "A", 'Future Orders'!$B232, "2")</f>
        <v>3746.6</v>
      </c>
      <c r="O232" s="157">
        <f>SUMIFS('Future Orders'!$I232, 'Future Orders'!$D232, "1", 'Future Orders'!$C232, "A", 'Future Orders'!$B232, "2")</f>
        <v>8242.52</v>
      </c>
      <c r="P232" s="157">
        <f>SUMIFS('Future Orders'!$E232, 'Future Orders'!$D232, "1", 'Future Orders'!$C232, "B", 'Future Orders'!$B232, "2")</f>
        <v>0</v>
      </c>
      <c r="Q232" s="157">
        <f>SUMIFS('Future Orders'!$I232, 'Future Orders'!$D232, "1", 'Future Orders'!$C232, "B", 'Future Orders'!$B232, "2")</f>
        <v>0</v>
      </c>
      <c r="R232" s="159">
        <f>SUMIFS('Future Orders'!$F232, 'Future Orders'!$D232, "2", 'Future Orders'!$C232, "A", 'Future Orders'!$B232, "1")</f>
        <v>0</v>
      </c>
      <c r="S232" s="157">
        <f>SUMIFS('Future Orders'!$I232, 'Future Orders'!$D232, "2", 'Future Orders'!$C232, "A", 'Future Orders'!$B232, "1")</f>
        <v>0</v>
      </c>
      <c r="T232" s="159">
        <f>SUMIFS('Future Orders'!$F232, 'Future Orders'!$D232, "2", 'Future Orders'!$C232, "B", 'Future Orders'!$B232, "1")</f>
        <v>0</v>
      </c>
      <c r="U232" s="157">
        <f>SUMIFS('Future Orders'!$I232, 'Future Orders'!$D232, "2", 'Future Orders'!$C232, "B", 'Future Orders'!$B232, "1")</f>
        <v>0</v>
      </c>
      <c r="V232" s="159">
        <f>SUMIFS('Future Orders'!$F232, 'Future Orders'!$D232, "2", 'Future Orders'!$C232, "A", 'Future Orders'!$B232, "2")</f>
        <v>0</v>
      </c>
      <c r="W232" s="157">
        <f>SUMIFS('Future Orders'!$I232, 'Future Orders'!$D232, "2", 'Future Orders'!$C232, "A", 'Future Orders'!$B232, "2")</f>
        <v>0</v>
      </c>
      <c r="X232" s="159">
        <f>SUMIFS('Future Orders'!$F232, 'Future Orders'!$D232, "2", 'Future Orders'!$C232, "B", 'Future Orders'!$B232, "2")</f>
        <v>0</v>
      </c>
      <c r="Y232" s="159">
        <f>SUMIFS('Future Orders'!$I232, 'Future Orders'!$D232, "2", 'Future Orders'!$C232, "B", 'Future Orders'!$B232, "2")</f>
        <v>0</v>
      </c>
      <c r="Z232" s="159">
        <f>SUMIFS('Future Orders'!$F232, 'Future Orders'!$D232, "3", 'Future Orders'!$C232, "A", 'Future Orders'!$B232, "1")</f>
        <v>0</v>
      </c>
      <c r="AA232" s="159">
        <f>SUMIFS('Future Orders'!$I232, 'Future Orders'!$D232, "3", 'Future Orders'!$C232, "A", 'Future Orders'!$B232, "1")</f>
        <v>0</v>
      </c>
      <c r="AB232" s="159">
        <f>SUMIFS('Future Orders'!$F232, 'Future Orders'!$D232, "3", 'Future Orders'!$C232, "B", 'Future Orders'!$B232, "1")</f>
        <v>0</v>
      </c>
      <c r="AC232" s="159">
        <f>SUMIFS('Future Orders'!$I232, 'Future Orders'!$D232, "3", 'Future Orders'!$C232, "B", 'Future Orders'!$B232, "1")</f>
        <v>0</v>
      </c>
      <c r="AD232" s="159">
        <f>SUMIFS('Future Orders'!$F232, 'Future Orders'!$D232, "3", 'Future Orders'!$C232, "A", 'Future Orders'!$B232, "2")</f>
        <v>0</v>
      </c>
      <c r="AE232" s="159">
        <f>SUMIFS('Future Orders'!$I232, 'Future Orders'!$D232, "3", 'Future Orders'!$C232, "A", 'Future Orders'!$B232, "2")</f>
        <v>0</v>
      </c>
      <c r="AF232" s="159">
        <f>SUMIFS('Future Orders'!$F232, 'Future Orders'!$D232, "3", 'Future Orders'!$C232, "B", 'Future Orders'!$B232, "2")</f>
        <v>0</v>
      </c>
      <c r="AG232" s="157">
        <f>SUMIFS('Future Orders'!$I232, 'Future Orders'!$D232, "3", 'Future Orders'!$C232, "B", 'Future Orders'!$B232, "2")</f>
        <v>0</v>
      </c>
      <c r="AH232" s="157">
        <f>SUMIFS('Future Orders'!$F232, 'Future Orders'!$D232, "4", 'Future Orders'!$C232, "A", 'Future Orders'!$B232, "1")</f>
        <v>0</v>
      </c>
      <c r="AI232" s="157">
        <f>SUMIFS('Future Orders'!$I232, 'Future Orders'!$D232, "4", 'Future Orders'!$C232, "A", 'Future Orders'!$B232, "1")</f>
        <v>0</v>
      </c>
      <c r="AJ232" s="157">
        <f>SUMIFS('Future Orders'!$F232, 'Future Orders'!$D232, "4", 'Future Orders'!$C232, "B", 'Future Orders'!$B232, "1")</f>
        <v>0</v>
      </c>
      <c r="AK232" s="157">
        <f>SUMIFS('Future Orders'!$I232, 'Future Orders'!$D232, "4", 'Future Orders'!$C232, "B", 'Future Orders'!$B232, "1")</f>
        <v>0</v>
      </c>
      <c r="AL232" s="157">
        <f>SUMIFS('Future Orders'!$F232, 'Future Orders'!$D232, "4", 'Future Orders'!$C232, "A", 'Future Orders'!$B232, "2")</f>
        <v>0</v>
      </c>
      <c r="AM232" s="157">
        <f>SUMIFS('Future Orders'!$I232, 'Future Orders'!$D232, "4", 'Future Orders'!$C232, "A", 'Future Orders'!$B232, "2")</f>
        <v>0</v>
      </c>
      <c r="AN232" s="171">
        <f>SUMIFS('Future Orders'!$F232, 'Future Orders'!$D232, "4", 'Future Orders'!$C232, "B", 'Future Orders'!$B232, "2")</f>
        <v>0</v>
      </c>
      <c r="AO232" s="171">
        <f>SUMIFS('Future Orders'!$I232, 'Future Orders'!$D232, "4", 'Future Orders'!$C232, "B", 'Future Orders'!$B232, "2")</f>
        <v>0</v>
      </c>
      <c r="AP232" s="171">
        <f>SUMIFS('Future Orders'!$H232, 'Future Orders'!$C232, "A", 'Future Orders'!$B232, "1")</f>
        <v>0</v>
      </c>
      <c r="AQ232" s="171">
        <f>SUMIFS('Future Orders'!$I232, 'Future Orders'!$C232, "B", 'Future Orders'!$B232, "1")</f>
        <v>0</v>
      </c>
      <c r="AR232" s="171">
        <f>SUMIFS('Future Orders'!$H232, 'Future Orders'!$C232, "A", 'Future Orders'!$B232, "2")</f>
        <v>7493.2</v>
      </c>
      <c r="AS232" s="171">
        <f>SUMIFS('Future Orders'!$I232, 'Future Orders'!$C232, "B", 'Future Orders'!$B232, "2")</f>
        <v>0</v>
      </c>
      <c r="AT232" s="145"/>
      <c r="AU232" s="172"/>
      <c r="AV232" s="172"/>
      <c r="AW232" s="172"/>
      <c r="AX232" s="172"/>
      <c r="AY232" s="172"/>
      <c r="AZ232" s="172"/>
      <c r="BA232" s="172"/>
      <c r="BB232" s="172"/>
      <c r="BC232" s="172"/>
      <c r="BD232" s="172"/>
      <c r="BE232" s="172"/>
      <c r="BF232" s="172"/>
      <c r="BG232" s="172"/>
      <c r="BH232" s="172"/>
      <c r="BI232" s="172"/>
      <c r="BJ232" s="172"/>
      <c r="BK232" s="172"/>
      <c r="BL232" s="172"/>
      <c r="BM232" s="172"/>
      <c r="BN232" s="172"/>
      <c r="BO232" s="172"/>
      <c r="BP232" s="172"/>
      <c r="BQ232" s="172"/>
      <c r="BR232" s="172"/>
      <c r="BS232" s="172"/>
      <c r="BT232" s="172"/>
      <c r="BU232" s="172"/>
      <c r="BV232" s="172"/>
      <c r="BW232" s="172"/>
      <c r="BX232" s="172"/>
      <c r="BY232" s="172"/>
      <c r="BZ232" s="172"/>
      <c r="CA232" s="179"/>
      <c r="CB232" s="179"/>
      <c r="CC232" s="179"/>
      <c r="CD232" s="179"/>
      <c r="CE232" s="179"/>
      <c r="CF232" s="179"/>
      <c r="CG232" s="179"/>
      <c r="CH232" s="179"/>
      <c r="CI232" s="179"/>
      <c r="CJ232" s="179"/>
      <c r="CK232" s="179"/>
      <c r="CL232" s="179"/>
      <c r="CM232" s="179"/>
      <c r="CN232" s="179"/>
      <c r="CO232" s="179"/>
      <c r="CP232" s="179"/>
    </row>
    <row r="233" ht="15.75" customHeight="1">
      <c r="A233" s="151">
        <v>42121.0</v>
      </c>
      <c r="B233" s="152">
        <v>2.0</v>
      </c>
      <c r="C233" s="152" t="s">
        <v>45</v>
      </c>
      <c r="D233" s="152">
        <v>2.0</v>
      </c>
      <c r="E233" s="153">
        <v>6162.0</v>
      </c>
      <c r="F233" s="153">
        <f>SUM(('Future Orders'!$E233) * (1.1))</f>
        <v>6778.2</v>
      </c>
      <c r="G233" s="154">
        <v>1.2</v>
      </c>
      <c r="H233" s="155">
        <v>7394.4</v>
      </c>
      <c r="I233" s="155">
        <f>SUM(('Future Orders'!$H233) * (1.1))</f>
        <v>8133.84</v>
      </c>
      <c r="J233" s="159">
        <f>SUMIFS('Future Orders'!$F233, 'Future Orders'!$D233, "1", 'Future Orders'!$C233, "A", 'Future Orders'!$B233, "1")</f>
        <v>0</v>
      </c>
      <c r="K233" s="157">
        <f>SUMIFS('Future Orders'!$I233, 'Future Orders'!$D233, "1", 'Future Orders'!$C233, "A", 'Future Orders'!$B233, "1")</f>
        <v>0</v>
      </c>
      <c r="L233" s="157">
        <f>SUMIFS('Future Orders'!$F233, 'Future Orders'!$D233, "1", 'Future Orders'!$C233, "B", 'Future Orders'!$B233, "1")</f>
        <v>0</v>
      </c>
      <c r="M233" s="157">
        <f>SUMIFS('Future Orders'!$I233, 'Future Orders'!$D233, "1", 'Future Orders'!$C233, "B", 'Future Orders'!$B233, "1")</f>
        <v>0</v>
      </c>
      <c r="N233" s="159">
        <f>SUMIFS('Future Orders'!$F233, 'Future Orders'!$D233, "1", 'Future Orders'!$C233, "A", 'Future Orders'!$B233, "2")</f>
        <v>0</v>
      </c>
      <c r="O233" s="157">
        <f>SUMIFS('Future Orders'!$I233, 'Future Orders'!$D233, "1", 'Future Orders'!$C233, "A", 'Future Orders'!$B233, "2")</f>
        <v>0</v>
      </c>
      <c r="P233" s="157">
        <f>SUMIFS('Future Orders'!$E233, 'Future Orders'!$D233, "1", 'Future Orders'!$C233, "B", 'Future Orders'!$B233, "2")</f>
        <v>0</v>
      </c>
      <c r="Q233" s="157">
        <f>SUMIFS('Future Orders'!$I233, 'Future Orders'!$D233, "1", 'Future Orders'!$C233, "B", 'Future Orders'!$B233, "2")</f>
        <v>0</v>
      </c>
      <c r="R233" s="159">
        <f>SUMIFS('Future Orders'!$F233, 'Future Orders'!$D233, "2", 'Future Orders'!$C233, "A", 'Future Orders'!$B233, "1")</f>
        <v>0</v>
      </c>
      <c r="S233" s="157">
        <f>SUMIFS('Future Orders'!$I233, 'Future Orders'!$D233, "2", 'Future Orders'!$C233, "A", 'Future Orders'!$B233, "1")</f>
        <v>0</v>
      </c>
      <c r="T233" s="159">
        <f>SUMIFS('Future Orders'!$F233, 'Future Orders'!$D233, "2", 'Future Orders'!$C233, "B", 'Future Orders'!$B233, "1")</f>
        <v>0</v>
      </c>
      <c r="U233" s="157">
        <f>SUMIFS('Future Orders'!$I233, 'Future Orders'!$D233, "2", 'Future Orders'!$C233, "B", 'Future Orders'!$B233, "1")</f>
        <v>0</v>
      </c>
      <c r="V233" s="159">
        <f>SUMIFS('Future Orders'!$F233, 'Future Orders'!$D233, "2", 'Future Orders'!$C233, "A", 'Future Orders'!$B233, "2")</f>
        <v>6778.2</v>
      </c>
      <c r="W233" s="157">
        <f>SUMIFS('Future Orders'!$I233, 'Future Orders'!$D233, "2", 'Future Orders'!$C233, "A", 'Future Orders'!$B233, "2")</f>
        <v>8133.84</v>
      </c>
      <c r="X233" s="159">
        <f>SUMIFS('Future Orders'!$F233, 'Future Orders'!$D233, "2", 'Future Orders'!$C233, "B", 'Future Orders'!$B233, "2")</f>
        <v>0</v>
      </c>
      <c r="Y233" s="159">
        <f>SUMIFS('Future Orders'!$I233, 'Future Orders'!$D233, "2", 'Future Orders'!$C233, "B", 'Future Orders'!$B233, "2")</f>
        <v>0</v>
      </c>
      <c r="Z233" s="159">
        <f>SUMIFS('Future Orders'!$F233, 'Future Orders'!$D233, "3", 'Future Orders'!$C233, "A", 'Future Orders'!$B233, "1")</f>
        <v>0</v>
      </c>
      <c r="AA233" s="159">
        <f>SUMIFS('Future Orders'!$I233, 'Future Orders'!$D233, "3", 'Future Orders'!$C233, "A", 'Future Orders'!$B233, "1")</f>
        <v>0</v>
      </c>
      <c r="AB233" s="159">
        <f>SUMIFS('Future Orders'!$F233, 'Future Orders'!$D233, "3", 'Future Orders'!$C233, "B", 'Future Orders'!$B233, "1")</f>
        <v>0</v>
      </c>
      <c r="AC233" s="159">
        <f>SUMIFS('Future Orders'!$I233, 'Future Orders'!$D233, "3", 'Future Orders'!$C233, "B", 'Future Orders'!$B233, "1")</f>
        <v>0</v>
      </c>
      <c r="AD233" s="159">
        <f>SUMIFS('Future Orders'!$F233, 'Future Orders'!$D233, "3", 'Future Orders'!$C233, "A", 'Future Orders'!$B233, "2")</f>
        <v>0</v>
      </c>
      <c r="AE233" s="159">
        <f>SUMIFS('Future Orders'!$I233, 'Future Orders'!$D233, "3", 'Future Orders'!$C233, "A", 'Future Orders'!$B233, "2")</f>
        <v>0</v>
      </c>
      <c r="AF233" s="159">
        <f>SUMIFS('Future Orders'!$F233, 'Future Orders'!$D233, "3", 'Future Orders'!$C233, "B", 'Future Orders'!$B233, "2")</f>
        <v>0</v>
      </c>
      <c r="AG233" s="157">
        <f>SUMIFS('Future Orders'!$I233, 'Future Orders'!$D233, "3", 'Future Orders'!$C233, "B", 'Future Orders'!$B233, "2")</f>
        <v>0</v>
      </c>
      <c r="AH233" s="157">
        <f>SUMIFS('Future Orders'!$F233, 'Future Orders'!$D233, "4", 'Future Orders'!$C233, "A", 'Future Orders'!$B233, "1")</f>
        <v>0</v>
      </c>
      <c r="AI233" s="157">
        <f>SUMIFS('Future Orders'!$I233, 'Future Orders'!$D233, "4", 'Future Orders'!$C233, "A", 'Future Orders'!$B233, "1")</f>
        <v>0</v>
      </c>
      <c r="AJ233" s="157">
        <f>SUMIFS('Future Orders'!$F233, 'Future Orders'!$D233, "4", 'Future Orders'!$C233, "B", 'Future Orders'!$B233, "1")</f>
        <v>0</v>
      </c>
      <c r="AK233" s="157">
        <f>SUMIFS('Future Orders'!$I233, 'Future Orders'!$D233, "4", 'Future Orders'!$C233, "B", 'Future Orders'!$B233, "1")</f>
        <v>0</v>
      </c>
      <c r="AL233" s="157">
        <f>SUMIFS('Future Orders'!$F233, 'Future Orders'!$D233, "4", 'Future Orders'!$C233, "A", 'Future Orders'!$B233, "2")</f>
        <v>0</v>
      </c>
      <c r="AM233" s="157">
        <f>SUMIFS('Future Orders'!$I233, 'Future Orders'!$D233, "4", 'Future Orders'!$C233, "A", 'Future Orders'!$B233, "2")</f>
        <v>0</v>
      </c>
      <c r="AN233" s="171">
        <f>SUMIFS('Future Orders'!$F233, 'Future Orders'!$D233, "4", 'Future Orders'!$C233, "B", 'Future Orders'!$B233, "2")</f>
        <v>0</v>
      </c>
      <c r="AO233" s="171">
        <f>SUMIFS('Future Orders'!$I233, 'Future Orders'!$D233, "4", 'Future Orders'!$C233, "B", 'Future Orders'!$B233, "2")</f>
        <v>0</v>
      </c>
      <c r="AP233" s="171">
        <f>SUMIFS('Future Orders'!$H233, 'Future Orders'!$C233, "A", 'Future Orders'!$B233, "1")</f>
        <v>0</v>
      </c>
      <c r="AQ233" s="171">
        <f>SUMIFS('Future Orders'!$I233, 'Future Orders'!$C233, "B", 'Future Orders'!$B233, "1")</f>
        <v>0</v>
      </c>
      <c r="AR233" s="171">
        <f>SUMIFS('Future Orders'!$H233, 'Future Orders'!$C233, "A", 'Future Orders'!$B233, "2")</f>
        <v>7394.4</v>
      </c>
      <c r="AS233" s="171">
        <f>SUMIFS('Future Orders'!$I233, 'Future Orders'!$C233, "B", 'Future Orders'!$B233, "2")</f>
        <v>0</v>
      </c>
      <c r="AT233" s="145"/>
      <c r="AU233" s="172"/>
      <c r="AV233" s="172"/>
      <c r="AW233" s="172"/>
      <c r="AX233" s="172"/>
      <c r="AY233" s="172"/>
      <c r="AZ233" s="172"/>
      <c r="BA233" s="172"/>
      <c r="BB233" s="172"/>
      <c r="BC233" s="172"/>
      <c r="BD233" s="172"/>
      <c r="BE233" s="172"/>
      <c r="BF233" s="172"/>
      <c r="BG233" s="172"/>
      <c r="BH233" s="172"/>
      <c r="BI233" s="172"/>
      <c r="BJ233" s="172"/>
      <c r="BK233" s="172"/>
      <c r="BL233" s="172"/>
      <c r="BM233" s="172"/>
      <c r="BN233" s="172"/>
      <c r="BO233" s="172"/>
      <c r="BP233" s="172"/>
      <c r="BQ233" s="172"/>
      <c r="BR233" s="172"/>
      <c r="BS233" s="172"/>
      <c r="BT233" s="172"/>
      <c r="BU233" s="172"/>
      <c r="BV233" s="172"/>
      <c r="BW233" s="172"/>
      <c r="BX233" s="172"/>
      <c r="BY233" s="172"/>
      <c r="BZ233" s="172"/>
      <c r="CA233" s="179"/>
      <c r="CB233" s="179"/>
      <c r="CC233" s="179"/>
      <c r="CD233" s="179"/>
      <c r="CE233" s="179"/>
      <c r="CF233" s="179"/>
      <c r="CG233" s="179"/>
      <c r="CH233" s="179"/>
      <c r="CI233" s="179"/>
      <c r="CJ233" s="179"/>
      <c r="CK233" s="179"/>
      <c r="CL233" s="179"/>
      <c r="CM233" s="179"/>
      <c r="CN233" s="179"/>
      <c r="CO233" s="179"/>
      <c r="CP233" s="179"/>
    </row>
    <row r="234" ht="15.75" customHeight="1">
      <c r="A234" s="151">
        <v>42121.0</v>
      </c>
      <c r="B234" s="152">
        <v>1.0</v>
      </c>
      <c r="C234" s="152" t="s">
        <v>46</v>
      </c>
      <c r="D234" s="152">
        <v>3.0</v>
      </c>
      <c r="E234" s="153">
        <v>2019.0</v>
      </c>
      <c r="F234" s="153">
        <f>SUM(('Future Orders'!$E234) * (1.1))</f>
        <v>2220.9</v>
      </c>
      <c r="G234" s="154">
        <v>8.3</v>
      </c>
      <c r="H234" s="155">
        <v>16757.7</v>
      </c>
      <c r="I234" s="155">
        <f>SUM(('Future Orders'!$H234) * (1.1))</f>
        <v>18433.47</v>
      </c>
      <c r="J234" s="159">
        <f>SUMIFS('Future Orders'!$F234, 'Future Orders'!$D234, "1", 'Future Orders'!$C234, "A", 'Future Orders'!$B234, "1")</f>
        <v>0</v>
      </c>
      <c r="K234" s="157">
        <f>SUMIFS('Future Orders'!$I234, 'Future Orders'!$D234, "1", 'Future Orders'!$C234, "A", 'Future Orders'!$B234, "1")</f>
        <v>0</v>
      </c>
      <c r="L234" s="157">
        <f>SUMIFS('Future Orders'!$F234, 'Future Orders'!$D234, "1", 'Future Orders'!$C234, "B", 'Future Orders'!$B234, "1")</f>
        <v>0</v>
      </c>
      <c r="M234" s="157">
        <f>SUMIFS('Future Orders'!$I234, 'Future Orders'!$D234, "1", 'Future Orders'!$C234, "B", 'Future Orders'!$B234, "1")</f>
        <v>0</v>
      </c>
      <c r="N234" s="159">
        <f>SUMIFS('Future Orders'!$F234, 'Future Orders'!$D234, "1", 'Future Orders'!$C234, "A", 'Future Orders'!$B234, "2")</f>
        <v>0</v>
      </c>
      <c r="O234" s="157">
        <f>SUMIFS('Future Orders'!$I234, 'Future Orders'!$D234, "1", 'Future Orders'!$C234, "A", 'Future Orders'!$B234, "2")</f>
        <v>0</v>
      </c>
      <c r="P234" s="157">
        <f>SUMIFS('Future Orders'!$E234, 'Future Orders'!$D234, "1", 'Future Orders'!$C234, "B", 'Future Orders'!$B234, "2")</f>
        <v>0</v>
      </c>
      <c r="Q234" s="157">
        <f>SUMIFS('Future Orders'!$I234, 'Future Orders'!$D234, "1", 'Future Orders'!$C234, "B", 'Future Orders'!$B234, "2")</f>
        <v>0</v>
      </c>
      <c r="R234" s="159">
        <f>SUMIFS('Future Orders'!$F234, 'Future Orders'!$D234, "2", 'Future Orders'!$C234, "A", 'Future Orders'!$B234, "1")</f>
        <v>0</v>
      </c>
      <c r="S234" s="157">
        <f>SUMIFS('Future Orders'!$I234, 'Future Orders'!$D234, "2", 'Future Orders'!$C234, "A", 'Future Orders'!$B234, "1")</f>
        <v>0</v>
      </c>
      <c r="T234" s="159">
        <f>SUMIFS('Future Orders'!$F234, 'Future Orders'!$D234, "2", 'Future Orders'!$C234, "B", 'Future Orders'!$B234, "1")</f>
        <v>0</v>
      </c>
      <c r="U234" s="157">
        <f>SUMIFS('Future Orders'!$I234, 'Future Orders'!$D234, "2", 'Future Orders'!$C234, "B", 'Future Orders'!$B234, "1")</f>
        <v>0</v>
      </c>
      <c r="V234" s="159">
        <f>SUMIFS('Future Orders'!$F234, 'Future Orders'!$D234, "2", 'Future Orders'!$C234, "A", 'Future Orders'!$B234, "2")</f>
        <v>0</v>
      </c>
      <c r="W234" s="157">
        <f>SUMIFS('Future Orders'!$I234, 'Future Orders'!$D234, "2", 'Future Orders'!$C234, "A", 'Future Orders'!$B234, "2")</f>
        <v>0</v>
      </c>
      <c r="X234" s="159">
        <f>SUMIFS('Future Orders'!$F234, 'Future Orders'!$D234, "2", 'Future Orders'!$C234, "B", 'Future Orders'!$B234, "2")</f>
        <v>0</v>
      </c>
      <c r="Y234" s="159">
        <f>SUMIFS('Future Orders'!$I234, 'Future Orders'!$D234, "2", 'Future Orders'!$C234, "B", 'Future Orders'!$B234, "2")</f>
        <v>0</v>
      </c>
      <c r="Z234" s="159">
        <f>SUMIFS('Future Orders'!$F234, 'Future Orders'!$D234, "3", 'Future Orders'!$C234, "A", 'Future Orders'!$B234, "1")</f>
        <v>0</v>
      </c>
      <c r="AA234" s="159">
        <f>SUMIFS('Future Orders'!$I234, 'Future Orders'!$D234, "3", 'Future Orders'!$C234, "A", 'Future Orders'!$B234, "1")</f>
        <v>0</v>
      </c>
      <c r="AB234" s="159">
        <f>SUMIFS('Future Orders'!$F234, 'Future Orders'!$D234, "3", 'Future Orders'!$C234, "B", 'Future Orders'!$B234, "1")</f>
        <v>2220.9</v>
      </c>
      <c r="AC234" s="159">
        <f>SUMIFS('Future Orders'!$I234, 'Future Orders'!$D234, "3", 'Future Orders'!$C234, "B", 'Future Orders'!$B234, "1")</f>
        <v>18433.47</v>
      </c>
      <c r="AD234" s="159">
        <f>SUMIFS('Future Orders'!$F234, 'Future Orders'!$D234, "3", 'Future Orders'!$C234, "A", 'Future Orders'!$B234, "2")</f>
        <v>0</v>
      </c>
      <c r="AE234" s="159">
        <f>SUMIFS('Future Orders'!$I234, 'Future Orders'!$D234, "3", 'Future Orders'!$C234, "A", 'Future Orders'!$B234, "2")</f>
        <v>0</v>
      </c>
      <c r="AF234" s="159">
        <f>SUMIFS('Future Orders'!$F234, 'Future Orders'!$D234, "3", 'Future Orders'!$C234, "B", 'Future Orders'!$B234, "2")</f>
        <v>0</v>
      </c>
      <c r="AG234" s="157">
        <f>SUMIFS('Future Orders'!$I234, 'Future Orders'!$D234, "3", 'Future Orders'!$C234, "B", 'Future Orders'!$B234, "2")</f>
        <v>0</v>
      </c>
      <c r="AH234" s="157">
        <f>SUMIFS('Future Orders'!$F234, 'Future Orders'!$D234, "4", 'Future Orders'!$C234, "A", 'Future Orders'!$B234, "1")</f>
        <v>0</v>
      </c>
      <c r="AI234" s="157">
        <f>SUMIFS('Future Orders'!$I234, 'Future Orders'!$D234, "4", 'Future Orders'!$C234, "A", 'Future Orders'!$B234, "1")</f>
        <v>0</v>
      </c>
      <c r="AJ234" s="157">
        <f>SUMIFS('Future Orders'!$F234, 'Future Orders'!$D234, "4", 'Future Orders'!$C234, "B", 'Future Orders'!$B234, "1")</f>
        <v>0</v>
      </c>
      <c r="AK234" s="157">
        <f>SUMIFS('Future Orders'!$I234, 'Future Orders'!$D234, "4", 'Future Orders'!$C234, "B", 'Future Orders'!$B234, "1")</f>
        <v>0</v>
      </c>
      <c r="AL234" s="157">
        <f>SUMIFS('Future Orders'!$F234, 'Future Orders'!$D234, "4", 'Future Orders'!$C234, "A", 'Future Orders'!$B234, "2")</f>
        <v>0</v>
      </c>
      <c r="AM234" s="157">
        <f>SUMIFS('Future Orders'!$I234, 'Future Orders'!$D234, "4", 'Future Orders'!$C234, "A", 'Future Orders'!$B234, "2")</f>
        <v>0</v>
      </c>
      <c r="AN234" s="171">
        <f>SUMIFS('Future Orders'!$F234, 'Future Orders'!$D234, "4", 'Future Orders'!$C234, "B", 'Future Orders'!$B234, "2")</f>
        <v>0</v>
      </c>
      <c r="AO234" s="171">
        <f>SUMIFS('Future Orders'!$I234, 'Future Orders'!$D234, "4", 'Future Orders'!$C234, "B", 'Future Orders'!$B234, "2")</f>
        <v>0</v>
      </c>
      <c r="AP234" s="171">
        <f>SUMIFS('Future Orders'!$H234, 'Future Orders'!$C234, "A", 'Future Orders'!$B234, "1")</f>
        <v>0</v>
      </c>
      <c r="AQ234" s="171">
        <f>SUMIFS('Future Orders'!$I234, 'Future Orders'!$C234, "B", 'Future Orders'!$B234, "1")</f>
        <v>18433.47</v>
      </c>
      <c r="AR234" s="171">
        <f>SUMIFS('Future Orders'!$H234, 'Future Orders'!$C234, "A", 'Future Orders'!$B234, "2")</f>
        <v>0</v>
      </c>
      <c r="AS234" s="171">
        <f>SUMIFS('Future Orders'!$I234, 'Future Orders'!$C234, "B", 'Future Orders'!$B234, "2")</f>
        <v>0</v>
      </c>
      <c r="AT234" s="145"/>
      <c r="AU234" s="172"/>
      <c r="AV234" s="172"/>
      <c r="AW234" s="172"/>
      <c r="AX234" s="172"/>
      <c r="AY234" s="172"/>
      <c r="AZ234" s="172"/>
      <c r="BA234" s="172"/>
      <c r="BB234" s="172"/>
      <c r="BC234" s="172"/>
      <c r="BD234" s="172"/>
      <c r="BE234" s="172"/>
      <c r="BF234" s="172"/>
      <c r="BG234" s="172"/>
      <c r="BH234" s="172"/>
      <c r="BI234" s="172"/>
      <c r="BJ234" s="172"/>
      <c r="BK234" s="172"/>
      <c r="BL234" s="172"/>
      <c r="BM234" s="172"/>
      <c r="BN234" s="172"/>
      <c r="BO234" s="172"/>
      <c r="BP234" s="172"/>
      <c r="BQ234" s="172"/>
      <c r="BR234" s="172"/>
      <c r="BS234" s="172"/>
      <c r="BT234" s="172"/>
      <c r="BU234" s="172"/>
      <c r="BV234" s="172"/>
      <c r="BW234" s="172"/>
      <c r="BX234" s="172"/>
      <c r="BY234" s="172"/>
      <c r="BZ234" s="172"/>
      <c r="CA234" s="179"/>
      <c r="CB234" s="179"/>
      <c r="CC234" s="179"/>
      <c r="CD234" s="179"/>
      <c r="CE234" s="179"/>
      <c r="CF234" s="179"/>
      <c r="CG234" s="179"/>
      <c r="CH234" s="179"/>
      <c r="CI234" s="179"/>
      <c r="CJ234" s="179"/>
      <c r="CK234" s="179"/>
      <c r="CL234" s="179"/>
      <c r="CM234" s="179"/>
      <c r="CN234" s="179"/>
      <c r="CO234" s="179"/>
      <c r="CP234" s="179"/>
    </row>
    <row r="235" ht="15.75" customHeight="1">
      <c r="A235" s="151">
        <v>42121.0</v>
      </c>
      <c r="B235" s="152">
        <v>2.0</v>
      </c>
      <c r="C235" s="152" t="s">
        <v>46</v>
      </c>
      <c r="D235" s="152">
        <v>3.0</v>
      </c>
      <c r="E235" s="153">
        <v>2435.0</v>
      </c>
      <c r="F235" s="153">
        <f>SUM(('Future Orders'!$E235) * (1.1))</f>
        <v>2678.5</v>
      </c>
      <c r="G235" s="154">
        <v>8.3</v>
      </c>
      <c r="H235" s="155">
        <v>20210.5</v>
      </c>
      <c r="I235" s="155">
        <f>SUM(('Future Orders'!$H235) * (1.1))</f>
        <v>22231.55</v>
      </c>
      <c r="J235" s="159">
        <f>SUMIFS('Future Orders'!$F235, 'Future Orders'!$D235, "1", 'Future Orders'!$C235, "A", 'Future Orders'!$B235, "1")</f>
        <v>0</v>
      </c>
      <c r="K235" s="157">
        <f>SUMIFS('Future Orders'!$I235, 'Future Orders'!$D235, "1", 'Future Orders'!$C235, "A", 'Future Orders'!$B235, "1")</f>
        <v>0</v>
      </c>
      <c r="L235" s="157">
        <f>SUMIFS('Future Orders'!$F235, 'Future Orders'!$D235, "1", 'Future Orders'!$C235, "B", 'Future Orders'!$B235, "1")</f>
        <v>0</v>
      </c>
      <c r="M235" s="157">
        <f>SUMIFS('Future Orders'!$I235, 'Future Orders'!$D235, "1", 'Future Orders'!$C235, "B", 'Future Orders'!$B235, "1")</f>
        <v>0</v>
      </c>
      <c r="N235" s="159">
        <f>SUMIFS('Future Orders'!$F235, 'Future Orders'!$D235, "1", 'Future Orders'!$C235, "A", 'Future Orders'!$B235, "2")</f>
        <v>0</v>
      </c>
      <c r="O235" s="157">
        <f>SUMIFS('Future Orders'!$I235, 'Future Orders'!$D235, "1", 'Future Orders'!$C235, "A", 'Future Orders'!$B235, "2")</f>
        <v>0</v>
      </c>
      <c r="P235" s="157">
        <f>SUMIFS('Future Orders'!$E235, 'Future Orders'!$D235, "1", 'Future Orders'!$C235, "B", 'Future Orders'!$B235, "2")</f>
        <v>0</v>
      </c>
      <c r="Q235" s="157">
        <f>SUMIFS('Future Orders'!$I235, 'Future Orders'!$D235, "1", 'Future Orders'!$C235, "B", 'Future Orders'!$B235, "2")</f>
        <v>0</v>
      </c>
      <c r="R235" s="159">
        <f>SUMIFS('Future Orders'!$F235, 'Future Orders'!$D235, "2", 'Future Orders'!$C235, "A", 'Future Orders'!$B235, "1")</f>
        <v>0</v>
      </c>
      <c r="S235" s="157">
        <f>SUMIFS('Future Orders'!$I235, 'Future Orders'!$D235, "2", 'Future Orders'!$C235, "A", 'Future Orders'!$B235, "1")</f>
        <v>0</v>
      </c>
      <c r="T235" s="159">
        <f>SUMIFS('Future Orders'!$F235, 'Future Orders'!$D235, "2", 'Future Orders'!$C235, "B", 'Future Orders'!$B235, "1")</f>
        <v>0</v>
      </c>
      <c r="U235" s="157">
        <f>SUMIFS('Future Orders'!$I235, 'Future Orders'!$D235, "2", 'Future Orders'!$C235, "B", 'Future Orders'!$B235, "1")</f>
        <v>0</v>
      </c>
      <c r="V235" s="159">
        <f>SUMIFS('Future Orders'!$F235, 'Future Orders'!$D235, "2", 'Future Orders'!$C235, "A", 'Future Orders'!$B235, "2")</f>
        <v>0</v>
      </c>
      <c r="W235" s="157">
        <f>SUMIFS('Future Orders'!$I235, 'Future Orders'!$D235, "2", 'Future Orders'!$C235, "A", 'Future Orders'!$B235, "2")</f>
        <v>0</v>
      </c>
      <c r="X235" s="159">
        <f>SUMIFS('Future Orders'!$F235, 'Future Orders'!$D235, "2", 'Future Orders'!$C235, "B", 'Future Orders'!$B235, "2")</f>
        <v>0</v>
      </c>
      <c r="Y235" s="159">
        <f>SUMIFS('Future Orders'!$I235, 'Future Orders'!$D235, "2", 'Future Orders'!$C235, "B", 'Future Orders'!$B235, "2")</f>
        <v>0</v>
      </c>
      <c r="Z235" s="159">
        <f>SUMIFS('Future Orders'!$F235, 'Future Orders'!$D235, "3", 'Future Orders'!$C235, "A", 'Future Orders'!$B235, "1")</f>
        <v>0</v>
      </c>
      <c r="AA235" s="159">
        <f>SUMIFS('Future Orders'!$I235, 'Future Orders'!$D235, "3", 'Future Orders'!$C235, "A", 'Future Orders'!$B235, "1")</f>
        <v>0</v>
      </c>
      <c r="AB235" s="159">
        <f>SUMIFS('Future Orders'!$F235, 'Future Orders'!$D235, "3", 'Future Orders'!$C235, "B", 'Future Orders'!$B235, "1")</f>
        <v>0</v>
      </c>
      <c r="AC235" s="159">
        <f>SUMIFS('Future Orders'!$I235, 'Future Orders'!$D235, "3", 'Future Orders'!$C235, "B", 'Future Orders'!$B235, "1")</f>
        <v>0</v>
      </c>
      <c r="AD235" s="159">
        <f>SUMIFS('Future Orders'!$F235, 'Future Orders'!$D235, "3", 'Future Orders'!$C235, "A", 'Future Orders'!$B235, "2")</f>
        <v>0</v>
      </c>
      <c r="AE235" s="159">
        <f>SUMIFS('Future Orders'!$I235, 'Future Orders'!$D235, "3", 'Future Orders'!$C235, "A", 'Future Orders'!$B235, "2")</f>
        <v>0</v>
      </c>
      <c r="AF235" s="159">
        <f>SUMIFS('Future Orders'!$F235, 'Future Orders'!$D235, "3", 'Future Orders'!$C235, "B", 'Future Orders'!$B235, "2")</f>
        <v>2678.5</v>
      </c>
      <c r="AG235" s="157">
        <f>SUMIFS('Future Orders'!$I235, 'Future Orders'!$D235, "3", 'Future Orders'!$C235, "B", 'Future Orders'!$B235, "2")</f>
        <v>22231.55</v>
      </c>
      <c r="AH235" s="157">
        <f>SUMIFS('Future Orders'!$F235, 'Future Orders'!$D235, "4", 'Future Orders'!$C235, "A", 'Future Orders'!$B235, "1")</f>
        <v>0</v>
      </c>
      <c r="AI235" s="157">
        <f>SUMIFS('Future Orders'!$I235, 'Future Orders'!$D235, "4", 'Future Orders'!$C235, "A", 'Future Orders'!$B235, "1")</f>
        <v>0</v>
      </c>
      <c r="AJ235" s="157">
        <f>SUMIFS('Future Orders'!$F235, 'Future Orders'!$D235, "4", 'Future Orders'!$C235, "B", 'Future Orders'!$B235, "1")</f>
        <v>0</v>
      </c>
      <c r="AK235" s="157">
        <f>SUMIFS('Future Orders'!$I235, 'Future Orders'!$D235, "4", 'Future Orders'!$C235, "B", 'Future Orders'!$B235, "1")</f>
        <v>0</v>
      </c>
      <c r="AL235" s="157">
        <f>SUMIFS('Future Orders'!$F235, 'Future Orders'!$D235, "4", 'Future Orders'!$C235, "A", 'Future Orders'!$B235, "2")</f>
        <v>0</v>
      </c>
      <c r="AM235" s="157">
        <f>SUMIFS('Future Orders'!$I235, 'Future Orders'!$D235, "4", 'Future Orders'!$C235, "A", 'Future Orders'!$B235, "2")</f>
        <v>0</v>
      </c>
      <c r="AN235" s="171">
        <f>SUMIFS('Future Orders'!$F235, 'Future Orders'!$D235, "4", 'Future Orders'!$C235, "B", 'Future Orders'!$B235, "2")</f>
        <v>0</v>
      </c>
      <c r="AO235" s="171">
        <f>SUMIFS('Future Orders'!$I235, 'Future Orders'!$D235, "4", 'Future Orders'!$C235, "B", 'Future Orders'!$B235, "2")</f>
        <v>0</v>
      </c>
      <c r="AP235" s="171">
        <f>SUMIFS('Future Orders'!$H235, 'Future Orders'!$C235, "A", 'Future Orders'!$B235, "1")</f>
        <v>0</v>
      </c>
      <c r="AQ235" s="171">
        <f>SUMIFS('Future Orders'!$I235, 'Future Orders'!$C235, "B", 'Future Orders'!$B235, "1")</f>
        <v>0</v>
      </c>
      <c r="AR235" s="171">
        <f>SUMIFS('Future Orders'!$H235, 'Future Orders'!$C235, "A", 'Future Orders'!$B235, "2")</f>
        <v>0</v>
      </c>
      <c r="AS235" s="171">
        <f>SUMIFS('Future Orders'!$I235, 'Future Orders'!$C235, "B", 'Future Orders'!$B235, "2")</f>
        <v>22231.55</v>
      </c>
      <c r="AT235" s="145"/>
      <c r="AU235" s="172"/>
      <c r="AV235" s="172"/>
      <c r="AW235" s="172"/>
      <c r="AX235" s="172"/>
      <c r="AY235" s="172"/>
      <c r="AZ235" s="172"/>
      <c r="BA235" s="172"/>
      <c r="BB235" s="172"/>
      <c r="BC235" s="172"/>
      <c r="BD235" s="172"/>
      <c r="BE235" s="172"/>
      <c r="BF235" s="172"/>
      <c r="BG235" s="172"/>
      <c r="BH235" s="172"/>
      <c r="BI235" s="172"/>
      <c r="BJ235" s="172"/>
      <c r="BK235" s="172"/>
      <c r="BL235" s="172"/>
      <c r="BM235" s="172"/>
      <c r="BN235" s="172"/>
      <c r="BO235" s="172"/>
      <c r="BP235" s="172"/>
      <c r="BQ235" s="172"/>
      <c r="BR235" s="172"/>
      <c r="BS235" s="172"/>
      <c r="BT235" s="172"/>
      <c r="BU235" s="172"/>
      <c r="BV235" s="172"/>
      <c r="BW235" s="172"/>
      <c r="BX235" s="172"/>
      <c r="BY235" s="172"/>
      <c r="BZ235" s="172"/>
      <c r="CA235" s="179"/>
      <c r="CB235" s="179"/>
      <c r="CC235" s="179"/>
      <c r="CD235" s="179"/>
      <c r="CE235" s="179"/>
      <c r="CF235" s="179"/>
      <c r="CG235" s="179"/>
      <c r="CH235" s="179"/>
      <c r="CI235" s="179"/>
      <c r="CJ235" s="179"/>
      <c r="CK235" s="179"/>
      <c r="CL235" s="179"/>
      <c r="CM235" s="179"/>
      <c r="CN235" s="179"/>
      <c r="CO235" s="179"/>
      <c r="CP235" s="179"/>
    </row>
    <row r="236" ht="15.75" customHeight="1">
      <c r="A236" s="151">
        <v>42128.0</v>
      </c>
      <c r="B236" s="152">
        <v>1.0</v>
      </c>
      <c r="C236" s="152" t="s">
        <v>45</v>
      </c>
      <c r="D236" s="152">
        <v>1.0</v>
      </c>
      <c r="E236" s="153">
        <v>4802.0</v>
      </c>
      <c r="F236" s="153">
        <f>SUM(('Future Orders'!$E236) * (1.1))</f>
        <v>5282.2</v>
      </c>
      <c r="G236" s="154">
        <v>2.2</v>
      </c>
      <c r="H236" s="155">
        <v>10564.400000000001</v>
      </c>
      <c r="I236" s="155">
        <f>SUM(('Future Orders'!$H236) * (1.1))</f>
        <v>11620.84</v>
      </c>
      <c r="J236" s="159">
        <f>SUMIFS('Future Orders'!$F236, 'Future Orders'!$D236, "1", 'Future Orders'!$C236, "A", 'Future Orders'!$B236, "1")</f>
        <v>5282.2</v>
      </c>
      <c r="K236" s="157">
        <f>SUMIFS('Future Orders'!$I236, 'Future Orders'!$D236, "1", 'Future Orders'!$C236, "A", 'Future Orders'!$B236, "1")</f>
        <v>11620.84</v>
      </c>
      <c r="L236" s="157">
        <f>SUMIFS('Future Orders'!$F236, 'Future Orders'!$D236, "1", 'Future Orders'!$C236, "B", 'Future Orders'!$B236, "1")</f>
        <v>0</v>
      </c>
      <c r="M236" s="157">
        <f>SUMIFS('Future Orders'!$I236, 'Future Orders'!$D236, "1", 'Future Orders'!$C236, "B", 'Future Orders'!$B236, "1")</f>
        <v>0</v>
      </c>
      <c r="N236" s="159">
        <f>SUMIFS('Future Orders'!$F236, 'Future Orders'!$D236, "1", 'Future Orders'!$C236, "A", 'Future Orders'!$B236, "2")</f>
        <v>0</v>
      </c>
      <c r="O236" s="157">
        <f>SUMIFS('Future Orders'!$I236, 'Future Orders'!$D236, "1", 'Future Orders'!$C236, "A", 'Future Orders'!$B236, "2")</f>
        <v>0</v>
      </c>
      <c r="P236" s="157">
        <f>SUMIFS('Future Orders'!$E236, 'Future Orders'!$D236, "1", 'Future Orders'!$C236, "B", 'Future Orders'!$B236, "2")</f>
        <v>0</v>
      </c>
      <c r="Q236" s="157">
        <f>SUMIFS('Future Orders'!$I236, 'Future Orders'!$D236, "1", 'Future Orders'!$C236, "B", 'Future Orders'!$B236, "2")</f>
        <v>0</v>
      </c>
      <c r="R236" s="159">
        <f>SUMIFS('Future Orders'!$F236, 'Future Orders'!$D236, "2", 'Future Orders'!$C236, "A", 'Future Orders'!$B236, "1")</f>
        <v>0</v>
      </c>
      <c r="S236" s="157">
        <f>SUMIFS('Future Orders'!$I236, 'Future Orders'!$D236, "2", 'Future Orders'!$C236, "A", 'Future Orders'!$B236, "1")</f>
        <v>0</v>
      </c>
      <c r="T236" s="159">
        <f>SUMIFS('Future Orders'!$F236, 'Future Orders'!$D236, "2", 'Future Orders'!$C236, "B", 'Future Orders'!$B236, "1")</f>
        <v>0</v>
      </c>
      <c r="U236" s="157">
        <f>SUMIFS('Future Orders'!$I236, 'Future Orders'!$D236, "2", 'Future Orders'!$C236, "B", 'Future Orders'!$B236, "1")</f>
        <v>0</v>
      </c>
      <c r="V236" s="159">
        <f>SUMIFS('Future Orders'!$F236, 'Future Orders'!$D236, "2", 'Future Orders'!$C236, "A", 'Future Orders'!$B236, "2")</f>
        <v>0</v>
      </c>
      <c r="W236" s="157">
        <f>SUMIFS('Future Orders'!$I236, 'Future Orders'!$D236, "2", 'Future Orders'!$C236, "A", 'Future Orders'!$B236, "2")</f>
        <v>0</v>
      </c>
      <c r="X236" s="159">
        <f>SUMIFS('Future Orders'!$F236, 'Future Orders'!$D236, "2", 'Future Orders'!$C236, "B", 'Future Orders'!$B236, "2")</f>
        <v>0</v>
      </c>
      <c r="Y236" s="159">
        <f>SUMIFS('Future Orders'!$I236, 'Future Orders'!$D236, "2", 'Future Orders'!$C236, "B", 'Future Orders'!$B236, "2")</f>
        <v>0</v>
      </c>
      <c r="Z236" s="159">
        <f>SUMIFS('Future Orders'!$F236, 'Future Orders'!$D236, "3", 'Future Orders'!$C236, "A", 'Future Orders'!$B236, "1")</f>
        <v>0</v>
      </c>
      <c r="AA236" s="159">
        <f>SUMIFS('Future Orders'!$I236, 'Future Orders'!$D236, "3", 'Future Orders'!$C236, "A", 'Future Orders'!$B236, "1")</f>
        <v>0</v>
      </c>
      <c r="AB236" s="159">
        <f>SUMIFS('Future Orders'!$F236, 'Future Orders'!$D236, "3", 'Future Orders'!$C236, "B", 'Future Orders'!$B236, "1")</f>
        <v>0</v>
      </c>
      <c r="AC236" s="159">
        <f>SUMIFS('Future Orders'!$I236, 'Future Orders'!$D236, "3", 'Future Orders'!$C236, "B", 'Future Orders'!$B236, "1")</f>
        <v>0</v>
      </c>
      <c r="AD236" s="159">
        <f>SUMIFS('Future Orders'!$F236, 'Future Orders'!$D236, "3", 'Future Orders'!$C236, "A", 'Future Orders'!$B236, "2")</f>
        <v>0</v>
      </c>
      <c r="AE236" s="159">
        <f>SUMIFS('Future Orders'!$I236, 'Future Orders'!$D236, "3", 'Future Orders'!$C236, "A", 'Future Orders'!$B236, "2")</f>
        <v>0</v>
      </c>
      <c r="AF236" s="159">
        <f>SUMIFS('Future Orders'!$F236, 'Future Orders'!$D236, "3", 'Future Orders'!$C236, "B", 'Future Orders'!$B236, "2")</f>
        <v>0</v>
      </c>
      <c r="AG236" s="157">
        <f>SUMIFS('Future Orders'!$I236, 'Future Orders'!$D236, "3", 'Future Orders'!$C236, "B", 'Future Orders'!$B236, "2")</f>
        <v>0</v>
      </c>
      <c r="AH236" s="157">
        <f>SUMIFS('Future Orders'!$F236, 'Future Orders'!$D236, "4", 'Future Orders'!$C236, "A", 'Future Orders'!$B236, "1")</f>
        <v>0</v>
      </c>
      <c r="AI236" s="157">
        <f>SUMIFS('Future Orders'!$I236, 'Future Orders'!$D236, "4", 'Future Orders'!$C236, "A", 'Future Orders'!$B236, "1")</f>
        <v>0</v>
      </c>
      <c r="AJ236" s="157">
        <f>SUMIFS('Future Orders'!$F236, 'Future Orders'!$D236, "4", 'Future Orders'!$C236, "B", 'Future Orders'!$B236, "1")</f>
        <v>0</v>
      </c>
      <c r="AK236" s="157">
        <f>SUMIFS('Future Orders'!$I236, 'Future Orders'!$D236, "4", 'Future Orders'!$C236, "B", 'Future Orders'!$B236, "1")</f>
        <v>0</v>
      </c>
      <c r="AL236" s="157">
        <f>SUMIFS('Future Orders'!$F236, 'Future Orders'!$D236, "4", 'Future Orders'!$C236, "A", 'Future Orders'!$B236, "2")</f>
        <v>0</v>
      </c>
      <c r="AM236" s="157">
        <f>SUMIFS('Future Orders'!$I236, 'Future Orders'!$D236, "4", 'Future Orders'!$C236, "A", 'Future Orders'!$B236, "2")</f>
        <v>0</v>
      </c>
      <c r="AN236" s="171">
        <f>SUMIFS('Future Orders'!$F236, 'Future Orders'!$D236, "4", 'Future Orders'!$C236, "B", 'Future Orders'!$B236, "2")</f>
        <v>0</v>
      </c>
      <c r="AO236" s="171">
        <f>SUMIFS('Future Orders'!$I236, 'Future Orders'!$D236, "4", 'Future Orders'!$C236, "B", 'Future Orders'!$B236, "2")</f>
        <v>0</v>
      </c>
      <c r="AP236" s="171">
        <f>SUMIFS('Future Orders'!$H236, 'Future Orders'!$C236, "A", 'Future Orders'!$B236, "1")</f>
        <v>10564.4</v>
      </c>
      <c r="AQ236" s="171">
        <f>SUMIFS('Future Orders'!$I236, 'Future Orders'!$C236, "B", 'Future Orders'!$B236, "1")</f>
        <v>0</v>
      </c>
      <c r="AR236" s="171">
        <f>SUMIFS('Future Orders'!$H236, 'Future Orders'!$C236, "A", 'Future Orders'!$B236, "2")</f>
        <v>0</v>
      </c>
      <c r="AS236" s="171">
        <f>SUMIFS('Future Orders'!$I236, 'Future Orders'!$C236, "B", 'Future Orders'!$B236, "2")</f>
        <v>0</v>
      </c>
      <c r="AT236" s="145"/>
      <c r="AU236" s="172"/>
      <c r="AV236" s="172"/>
      <c r="AW236" s="172"/>
      <c r="AX236" s="172"/>
      <c r="AY236" s="172"/>
      <c r="AZ236" s="172"/>
      <c r="BA236" s="172"/>
      <c r="BB236" s="172"/>
      <c r="BC236" s="172"/>
      <c r="BD236" s="172"/>
      <c r="BE236" s="172"/>
      <c r="BF236" s="172"/>
      <c r="BG236" s="172"/>
      <c r="BH236" s="172"/>
      <c r="BI236" s="172"/>
      <c r="BJ236" s="172"/>
      <c r="BK236" s="172"/>
      <c r="BL236" s="172"/>
      <c r="BM236" s="172"/>
      <c r="BN236" s="172"/>
      <c r="BO236" s="172"/>
      <c r="BP236" s="172"/>
      <c r="BQ236" s="172"/>
      <c r="BR236" s="172"/>
      <c r="BS236" s="172"/>
      <c r="BT236" s="172"/>
      <c r="BU236" s="172"/>
      <c r="BV236" s="172"/>
      <c r="BW236" s="172"/>
      <c r="BX236" s="172"/>
      <c r="BY236" s="172"/>
      <c r="BZ236" s="172"/>
      <c r="CA236" s="179"/>
      <c r="CB236" s="179"/>
      <c r="CC236" s="179"/>
      <c r="CD236" s="179"/>
      <c r="CE236" s="179"/>
      <c r="CF236" s="179"/>
      <c r="CG236" s="179"/>
      <c r="CH236" s="179"/>
      <c r="CI236" s="179"/>
      <c r="CJ236" s="179"/>
      <c r="CK236" s="179"/>
      <c r="CL236" s="179"/>
      <c r="CM236" s="179"/>
      <c r="CN236" s="179"/>
      <c r="CO236" s="179"/>
      <c r="CP236" s="179"/>
    </row>
    <row r="237" ht="15.75" customHeight="1">
      <c r="A237" s="151">
        <v>42128.0</v>
      </c>
      <c r="B237" s="152">
        <v>1.0</v>
      </c>
      <c r="C237" s="152" t="s">
        <v>45</v>
      </c>
      <c r="D237" s="152">
        <v>2.0</v>
      </c>
      <c r="E237" s="153">
        <v>5461.0</v>
      </c>
      <c r="F237" s="153">
        <f>SUM(('Future Orders'!$E237) * (1.1))</f>
        <v>6007.1</v>
      </c>
      <c r="G237" s="154">
        <v>1.2</v>
      </c>
      <c r="H237" s="155">
        <v>6553.2</v>
      </c>
      <c r="I237" s="155">
        <f>SUM(('Future Orders'!$H237) * (1.1))</f>
        <v>7208.52</v>
      </c>
      <c r="J237" s="159">
        <f>SUMIFS('Future Orders'!$F237, 'Future Orders'!$D237, "1", 'Future Orders'!$C237, "A", 'Future Orders'!$B237, "1")</f>
        <v>0</v>
      </c>
      <c r="K237" s="157">
        <f>SUMIFS('Future Orders'!$I237, 'Future Orders'!$D237, "1", 'Future Orders'!$C237, "A", 'Future Orders'!$B237, "1")</f>
        <v>0</v>
      </c>
      <c r="L237" s="157">
        <f>SUMIFS('Future Orders'!$F237, 'Future Orders'!$D237, "1", 'Future Orders'!$C237, "B", 'Future Orders'!$B237, "1")</f>
        <v>0</v>
      </c>
      <c r="M237" s="157">
        <f>SUMIFS('Future Orders'!$I237, 'Future Orders'!$D237, "1", 'Future Orders'!$C237, "B", 'Future Orders'!$B237, "1")</f>
        <v>0</v>
      </c>
      <c r="N237" s="159">
        <f>SUMIFS('Future Orders'!$F237, 'Future Orders'!$D237, "1", 'Future Orders'!$C237, "A", 'Future Orders'!$B237, "2")</f>
        <v>0</v>
      </c>
      <c r="O237" s="157">
        <f>SUMIFS('Future Orders'!$I237, 'Future Orders'!$D237, "1", 'Future Orders'!$C237, "A", 'Future Orders'!$B237, "2")</f>
        <v>0</v>
      </c>
      <c r="P237" s="157">
        <f>SUMIFS('Future Orders'!$E237, 'Future Orders'!$D237, "1", 'Future Orders'!$C237, "B", 'Future Orders'!$B237, "2")</f>
        <v>0</v>
      </c>
      <c r="Q237" s="157">
        <f>SUMIFS('Future Orders'!$I237, 'Future Orders'!$D237, "1", 'Future Orders'!$C237, "B", 'Future Orders'!$B237, "2")</f>
        <v>0</v>
      </c>
      <c r="R237" s="159">
        <f>SUMIFS('Future Orders'!$F237, 'Future Orders'!$D237, "2", 'Future Orders'!$C237, "A", 'Future Orders'!$B237, "1")</f>
        <v>6007.1</v>
      </c>
      <c r="S237" s="157">
        <f>SUMIFS('Future Orders'!$I237, 'Future Orders'!$D237, "2", 'Future Orders'!$C237, "A", 'Future Orders'!$B237, "1")</f>
        <v>7208.52</v>
      </c>
      <c r="T237" s="159">
        <f>SUMIFS('Future Orders'!$F237, 'Future Orders'!$D237, "2", 'Future Orders'!$C237, "B", 'Future Orders'!$B237, "1")</f>
        <v>0</v>
      </c>
      <c r="U237" s="157">
        <f>SUMIFS('Future Orders'!$I237, 'Future Orders'!$D237, "2", 'Future Orders'!$C237, "B", 'Future Orders'!$B237, "1")</f>
        <v>0</v>
      </c>
      <c r="V237" s="159">
        <f>SUMIFS('Future Orders'!$F237, 'Future Orders'!$D237, "2", 'Future Orders'!$C237, "A", 'Future Orders'!$B237, "2")</f>
        <v>0</v>
      </c>
      <c r="W237" s="157">
        <f>SUMIFS('Future Orders'!$I237, 'Future Orders'!$D237, "2", 'Future Orders'!$C237, "A", 'Future Orders'!$B237, "2")</f>
        <v>0</v>
      </c>
      <c r="X237" s="159">
        <f>SUMIFS('Future Orders'!$F237, 'Future Orders'!$D237, "2", 'Future Orders'!$C237, "B", 'Future Orders'!$B237, "2")</f>
        <v>0</v>
      </c>
      <c r="Y237" s="159">
        <f>SUMIFS('Future Orders'!$I237, 'Future Orders'!$D237, "2", 'Future Orders'!$C237, "B", 'Future Orders'!$B237, "2")</f>
        <v>0</v>
      </c>
      <c r="Z237" s="159">
        <f>SUMIFS('Future Orders'!$F237, 'Future Orders'!$D237, "3", 'Future Orders'!$C237, "A", 'Future Orders'!$B237, "1")</f>
        <v>0</v>
      </c>
      <c r="AA237" s="159">
        <f>SUMIFS('Future Orders'!$I237, 'Future Orders'!$D237, "3", 'Future Orders'!$C237, "A", 'Future Orders'!$B237, "1")</f>
        <v>0</v>
      </c>
      <c r="AB237" s="159">
        <f>SUMIFS('Future Orders'!$F237, 'Future Orders'!$D237, "3", 'Future Orders'!$C237, "B", 'Future Orders'!$B237, "1")</f>
        <v>0</v>
      </c>
      <c r="AC237" s="159">
        <f>SUMIFS('Future Orders'!$I237, 'Future Orders'!$D237, "3", 'Future Orders'!$C237, "B", 'Future Orders'!$B237, "1")</f>
        <v>0</v>
      </c>
      <c r="AD237" s="159">
        <f>SUMIFS('Future Orders'!$F237, 'Future Orders'!$D237, "3", 'Future Orders'!$C237, "A", 'Future Orders'!$B237, "2")</f>
        <v>0</v>
      </c>
      <c r="AE237" s="159">
        <f>SUMIFS('Future Orders'!$I237, 'Future Orders'!$D237, "3", 'Future Orders'!$C237, "A", 'Future Orders'!$B237, "2")</f>
        <v>0</v>
      </c>
      <c r="AF237" s="159">
        <f>SUMIFS('Future Orders'!$F237, 'Future Orders'!$D237, "3", 'Future Orders'!$C237, "B", 'Future Orders'!$B237, "2")</f>
        <v>0</v>
      </c>
      <c r="AG237" s="157">
        <f>SUMIFS('Future Orders'!$I237, 'Future Orders'!$D237, "3", 'Future Orders'!$C237, "B", 'Future Orders'!$B237, "2")</f>
        <v>0</v>
      </c>
      <c r="AH237" s="157">
        <f>SUMIFS('Future Orders'!$F237, 'Future Orders'!$D237, "4", 'Future Orders'!$C237, "A", 'Future Orders'!$B237, "1")</f>
        <v>0</v>
      </c>
      <c r="AI237" s="157">
        <f>SUMIFS('Future Orders'!$I237, 'Future Orders'!$D237, "4", 'Future Orders'!$C237, "A", 'Future Orders'!$B237, "1")</f>
        <v>0</v>
      </c>
      <c r="AJ237" s="157">
        <f>SUMIFS('Future Orders'!$F237, 'Future Orders'!$D237, "4", 'Future Orders'!$C237, "B", 'Future Orders'!$B237, "1")</f>
        <v>0</v>
      </c>
      <c r="AK237" s="157">
        <f>SUMIFS('Future Orders'!$I237, 'Future Orders'!$D237, "4", 'Future Orders'!$C237, "B", 'Future Orders'!$B237, "1")</f>
        <v>0</v>
      </c>
      <c r="AL237" s="157">
        <f>SUMIFS('Future Orders'!$F237, 'Future Orders'!$D237, "4", 'Future Orders'!$C237, "A", 'Future Orders'!$B237, "2")</f>
        <v>0</v>
      </c>
      <c r="AM237" s="157">
        <f>SUMIFS('Future Orders'!$I237, 'Future Orders'!$D237, "4", 'Future Orders'!$C237, "A", 'Future Orders'!$B237, "2")</f>
        <v>0</v>
      </c>
      <c r="AN237" s="171">
        <f>SUMIFS('Future Orders'!$F237, 'Future Orders'!$D237, "4", 'Future Orders'!$C237, "B", 'Future Orders'!$B237, "2")</f>
        <v>0</v>
      </c>
      <c r="AO237" s="171">
        <f>SUMIFS('Future Orders'!$I237, 'Future Orders'!$D237, "4", 'Future Orders'!$C237, "B", 'Future Orders'!$B237, "2")</f>
        <v>0</v>
      </c>
      <c r="AP237" s="171">
        <f>SUMIFS('Future Orders'!$H237, 'Future Orders'!$C237, "A", 'Future Orders'!$B237, "1")</f>
        <v>6553.2</v>
      </c>
      <c r="AQ237" s="171">
        <f>SUMIFS('Future Orders'!$I237, 'Future Orders'!$C237, "B", 'Future Orders'!$B237, "1")</f>
        <v>0</v>
      </c>
      <c r="AR237" s="171">
        <f>SUMIFS('Future Orders'!$H237, 'Future Orders'!$C237, "A", 'Future Orders'!$B237, "2")</f>
        <v>0</v>
      </c>
      <c r="AS237" s="171">
        <f>SUMIFS('Future Orders'!$I237, 'Future Orders'!$C237, "B", 'Future Orders'!$B237, "2")</f>
        <v>0</v>
      </c>
      <c r="AT237" s="145"/>
      <c r="AU237" s="172"/>
      <c r="AV237" s="172"/>
      <c r="AW237" s="172"/>
      <c r="AX237" s="172"/>
      <c r="AY237" s="172"/>
      <c r="AZ237" s="172"/>
      <c r="BA237" s="172"/>
      <c r="BB237" s="172"/>
      <c r="BC237" s="172"/>
      <c r="BD237" s="172"/>
      <c r="BE237" s="172"/>
      <c r="BF237" s="172"/>
      <c r="BG237" s="172"/>
      <c r="BH237" s="172"/>
      <c r="BI237" s="172"/>
      <c r="BJ237" s="172"/>
      <c r="BK237" s="172"/>
      <c r="BL237" s="172"/>
      <c r="BM237" s="172"/>
      <c r="BN237" s="172"/>
      <c r="BO237" s="172"/>
      <c r="BP237" s="172"/>
      <c r="BQ237" s="172"/>
      <c r="BR237" s="172"/>
      <c r="BS237" s="172"/>
      <c r="BT237" s="172"/>
      <c r="BU237" s="172"/>
      <c r="BV237" s="172"/>
      <c r="BW237" s="172"/>
      <c r="BX237" s="172"/>
      <c r="BY237" s="172"/>
      <c r="BZ237" s="172"/>
      <c r="CA237" s="179"/>
      <c r="CB237" s="179"/>
      <c r="CC237" s="179"/>
      <c r="CD237" s="179"/>
      <c r="CE237" s="179"/>
      <c r="CF237" s="179"/>
      <c r="CG237" s="179"/>
      <c r="CH237" s="179"/>
      <c r="CI237" s="179"/>
      <c r="CJ237" s="179"/>
      <c r="CK237" s="179"/>
      <c r="CL237" s="179"/>
      <c r="CM237" s="179"/>
      <c r="CN237" s="179"/>
      <c r="CO237" s="179"/>
      <c r="CP237" s="179"/>
    </row>
    <row r="238" ht="15.75" customHeight="1">
      <c r="A238" s="151">
        <v>42128.0</v>
      </c>
      <c r="B238" s="152">
        <v>2.0</v>
      </c>
      <c r="C238" s="152" t="s">
        <v>45</v>
      </c>
      <c r="D238" s="152">
        <v>1.0</v>
      </c>
      <c r="E238" s="153">
        <v>3714.0</v>
      </c>
      <c r="F238" s="153">
        <f>SUM(('Future Orders'!$E238) * (1.1))</f>
        <v>4085.4</v>
      </c>
      <c r="G238" s="154">
        <v>2.2</v>
      </c>
      <c r="H238" s="155">
        <v>8170.800000000001</v>
      </c>
      <c r="I238" s="155">
        <f>SUM(('Future Orders'!$H238) * (1.1))</f>
        <v>8987.88</v>
      </c>
      <c r="J238" s="159">
        <f>SUMIFS('Future Orders'!$F238, 'Future Orders'!$D238, "1", 'Future Orders'!$C238, "A", 'Future Orders'!$B238, "1")</f>
        <v>0</v>
      </c>
      <c r="K238" s="157">
        <f>SUMIFS('Future Orders'!$I238, 'Future Orders'!$D238, "1", 'Future Orders'!$C238, "A", 'Future Orders'!$B238, "1")</f>
        <v>0</v>
      </c>
      <c r="L238" s="157">
        <f>SUMIFS('Future Orders'!$F238, 'Future Orders'!$D238, "1", 'Future Orders'!$C238, "B", 'Future Orders'!$B238, "1")</f>
        <v>0</v>
      </c>
      <c r="M238" s="157">
        <f>SUMIFS('Future Orders'!$I238, 'Future Orders'!$D238, "1", 'Future Orders'!$C238, "B", 'Future Orders'!$B238, "1")</f>
        <v>0</v>
      </c>
      <c r="N238" s="159">
        <f>SUMIFS('Future Orders'!$F238, 'Future Orders'!$D238, "1", 'Future Orders'!$C238, "A", 'Future Orders'!$B238, "2")</f>
        <v>4085.4</v>
      </c>
      <c r="O238" s="157">
        <f>SUMIFS('Future Orders'!$I238, 'Future Orders'!$D238, "1", 'Future Orders'!$C238, "A", 'Future Orders'!$B238, "2")</f>
        <v>8987.88</v>
      </c>
      <c r="P238" s="157">
        <f>SUMIFS('Future Orders'!$E238, 'Future Orders'!$D238, "1", 'Future Orders'!$C238, "B", 'Future Orders'!$B238, "2")</f>
        <v>0</v>
      </c>
      <c r="Q238" s="157">
        <f>SUMIFS('Future Orders'!$I238, 'Future Orders'!$D238, "1", 'Future Orders'!$C238, "B", 'Future Orders'!$B238, "2")</f>
        <v>0</v>
      </c>
      <c r="R238" s="159">
        <f>SUMIFS('Future Orders'!$F238, 'Future Orders'!$D238, "2", 'Future Orders'!$C238, "A", 'Future Orders'!$B238, "1")</f>
        <v>0</v>
      </c>
      <c r="S238" s="157">
        <f>SUMIFS('Future Orders'!$I238, 'Future Orders'!$D238, "2", 'Future Orders'!$C238, "A", 'Future Orders'!$B238, "1")</f>
        <v>0</v>
      </c>
      <c r="T238" s="159">
        <f>SUMIFS('Future Orders'!$F238, 'Future Orders'!$D238, "2", 'Future Orders'!$C238, "B", 'Future Orders'!$B238, "1")</f>
        <v>0</v>
      </c>
      <c r="U238" s="157">
        <f>SUMIFS('Future Orders'!$I238, 'Future Orders'!$D238, "2", 'Future Orders'!$C238, "B", 'Future Orders'!$B238, "1")</f>
        <v>0</v>
      </c>
      <c r="V238" s="159">
        <f>SUMIFS('Future Orders'!$F238, 'Future Orders'!$D238, "2", 'Future Orders'!$C238, "A", 'Future Orders'!$B238, "2")</f>
        <v>0</v>
      </c>
      <c r="W238" s="157">
        <f>SUMIFS('Future Orders'!$I238, 'Future Orders'!$D238, "2", 'Future Orders'!$C238, "A", 'Future Orders'!$B238, "2")</f>
        <v>0</v>
      </c>
      <c r="X238" s="159">
        <f>SUMIFS('Future Orders'!$F238, 'Future Orders'!$D238, "2", 'Future Orders'!$C238, "B", 'Future Orders'!$B238, "2")</f>
        <v>0</v>
      </c>
      <c r="Y238" s="159">
        <f>SUMIFS('Future Orders'!$I238, 'Future Orders'!$D238, "2", 'Future Orders'!$C238, "B", 'Future Orders'!$B238, "2")</f>
        <v>0</v>
      </c>
      <c r="Z238" s="159">
        <f>SUMIFS('Future Orders'!$F238, 'Future Orders'!$D238, "3", 'Future Orders'!$C238, "A", 'Future Orders'!$B238, "1")</f>
        <v>0</v>
      </c>
      <c r="AA238" s="159">
        <f>SUMIFS('Future Orders'!$I238, 'Future Orders'!$D238, "3", 'Future Orders'!$C238, "A", 'Future Orders'!$B238, "1")</f>
        <v>0</v>
      </c>
      <c r="AB238" s="159">
        <f>SUMIFS('Future Orders'!$F238, 'Future Orders'!$D238, "3", 'Future Orders'!$C238, "B", 'Future Orders'!$B238, "1")</f>
        <v>0</v>
      </c>
      <c r="AC238" s="159">
        <f>SUMIFS('Future Orders'!$I238, 'Future Orders'!$D238, "3", 'Future Orders'!$C238, "B", 'Future Orders'!$B238, "1")</f>
        <v>0</v>
      </c>
      <c r="AD238" s="159">
        <f>SUMIFS('Future Orders'!$F238, 'Future Orders'!$D238, "3", 'Future Orders'!$C238, "A", 'Future Orders'!$B238, "2")</f>
        <v>0</v>
      </c>
      <c r="AE238" s="159">
        <f>SUMIFS('Future Orders'!$I238, 'Future Orders'!$D238, "3", 'Future Orders'!$C238, "A", 'Future Orders'!$B238, "2")</f>
        <v>0</v>
      </c>
      <c r="AF238" s="159">
        <f>SUMIFS('Future Orders'!$F238, 'Future Orders'!$D238, "3", 'Future Orders'!$C238, "B", 'Future Orders'!$B238, "2")</f>
        <v>0</v>
      </c>
      <c r="AG238" s="157">
        <f>SUMIFS('Future Orders'!$I238, 'Future Orders'!$D238, "3", 'Future Orders'!$C238, "B", 'Future Orders'!$B238, "2")</f>
        <v>0</v>
      </c>
      <c r="AH238" s="157">
        <f>SUMIFS('Future Orders'!$F238, 'Future Orders'!$D238, "4", 'Future Orders'!$C238, "A", 'Future Orders'!$B238, "1")</f>
        <v>0</v>
      </c>
      <c r="AI238" s="157">
        <f>SUMIFS('Future Orders'!$I238, 'Future Orders'!$D238, "4", 'Future Orders'!$C238, "A", 'Future Orders'!$B238, "1")</f>
        <v>0</v>
      </c>
      <c r="AJ238" s="157">
        <f>SUMIFS('Future Orders'!$F238, 'Future Orders'!$D238, "4", 'Future Orders'!$C238, "B", 'Future Orders'!$B238, "1")</f>
        <v>0</v>
      </c>
      <c r="AK238" s="157">
        <f>SUMIFS('Future Orders'!$I238, 'Future Orders'!$D238, "4", 'Future Orders'!$C238, "B", 'Future Orders'!$B238, "1")</f>
        <v>0</v>
      </c>
      <c r="AL238" s="157">
        <f>SUMIFS('Future Orders'!$F238, 'Future Orders'!$D238, "4", 'Future Orders'!$C238, "A", 'Future Orders'!$B238, "2")</f>
        <v>0</v>
      </c>
      <c r="AM238" s="157">
        <f>SUMIFS('Future Orders'!$I238, 'Future Orders'!$D238, "4", 'Future Orders'!$C238, "A", 'Future Orders'!$B238, "2")</f>
        <v>0</v>
      </c>
      <c r="AN238" s="171">
        <f>SUMIFS('Future Orders'!$F238, 'Future Orders'!$D238, "4", 'Future Orders'!$C238, "B", 'Future Orders'!$B238, "2")</f>
        <v>0</v>
      </c>
      <c r="AO238" s="171">
        <f>SUMIFS('Future Orders'!$I238, 'Future Orders'!$D238, "4", 'Future Orders'!$C238, "B", 'Future Orders'!$B238, "2")</f>
        <v>0</v>
      </c>
      <c r="AP238" s="171">
        <f>SUMIFS('Future Orders'!$H238, 'Future Orders'!$C238, "A", 'Future Orders'!$B238, "1")</f>
        <v>0</v>
      </c>
      <c r="AQ238" s="171">
        <f>SUMIFS('Future Orders'!$I238, 'Future Orders'!$C238, "B", 'Future Orders'!$B238, "1")</f>
        <v>0</v>
      </c>
      <c r="AR238" s="171">
        <f>SUMIFS('Future Orders'!$H238, 'Future Orders'!$C238, "A", 'Future Orders'!$B238, "2")</f>
        <v>8170.8</v>
      </c>
      <c r="AS238" s="171">
        <f>SUMIFS('Future Orders'!$I238, 'Future Orders'!$C238, "B", 'Future Orders'!$B238, "2")</f>
        <v>0</v>
      </c>
      <c r="AT238" s="145"/>
      <c r="AU238" s="172"/>
      <c r="AV238" s="172"/>
      <c r="AW238" s="172"/>
      <c r="AX238" s="172"/>
      <c r="AY238" s="172"/>
      <c r="AZ238" s="172"/>
      <c r="BA238" s="172"/>
      <c r="BB238" s="172"/>
      <c r="BC238" s="172"/>
      <c r="BD238" s="172"/>
      <c r="BE238" s="172"/>
      <c r="BF238" s="172"/>
      <c r="BG238" s="172"/>
      <c r="BH238" s="172"/>
      <c r="BI238" s="172"/>
      <c r="BJ238" s="172"/>
      <c r="BK238" s="172"/>
      <c r="BL238" s="172"/>
      <c r="BM238" s="172"/>
      <c r="BN238" s="172"/>
      <c r="BO238" s="172"/>
      <c r="BP238" s="172"/>
      <c r="BQ238" s="172"/>
      <c r="BR238" s="172"/>
      <c r="BS238" s="172"/>
      <c r="BT238" s="172"/>
      <c r="BU238" s="172"/>
      <c r="BV238" s="172"/>
      <c r="BW238" s="172"/>
      <c r="BX238" s="172"/>
      <c r="BY238" s="172"/>
      <c r="BZ238" s="172"/>
      <c r="CA238" s="179"/>
      <c r="CB238" s="179"/>
      <c r="CC238" s="179"/>
      <c r="CD238" s="179"/>
      <c r="CE238" s="179"/>
      <c r="CF238" s="179"/>
      <c r="CG238" s="179"/>
      <c r="CH238" s="179"/>
      <c r="CI238" s="179"/>
      <c r="CJ238" s="179"/>
      <c r="CK238" s="179"/>
      <c r="CL238" s="179"/>
      <c r="CM238" s="179"/>
      <c r="CN238" s="179"/>
      <c r="CO238" s="179"/>
      <c r="CP238" s="179"/>
    </row>
    <row r="239" ht="15.75" customHeight="1">
      <c r="A239" s="151">
        <v>42128.0</v>
      </c>
      <c r="B239" s="152">
        <v>2.0</v>
      </c>
      <c r="C239" s="152" t="s">
        <v>45</v>
      </c>
      <c r="D239" s="152">
        <v>2.0</v>
      </c>
      <c r="E239" s="153">
        <v>5770.0</v>
      </c>
      <c r="F239" s="153">
        <f>SUM(('Future Orders'!$E239) * (1.1))</f>
        <v>6347</v>
      </c>
      <c r="G239" s="154">
        <v>1.2</v>
      </c>
      <c r="H239" s="155">
        <v>6924.0</v>
      </c>
      <c r="I239" s="155">
        <f>SUM(('Future Orders'!$H239) * (1.1))</f>
        <v>7616.4</v>
      </c>
      <c r="J239" s="159">
        <f>SUMIFS('Future Orders'!$F239, 'Future Orders'!$D239, "1", 'Future Orders'!$C239, "A", 'Future Orders'!$B239, "1")</f>
        <v>0</v>
      </c>
      <c r="K239" s="157">
        <f>SUMIFS('Future Orders'!$I239, 'Future Orders'!$D239, "1", 'Future Orders'!$C239, "A", 'Future Orders'!$B239, "1")</f>
        <v>0</v>
      </c>
      <c r="L239" s="157">
        <f>SUMIFS('Future Orders'!$F239, 'Future Orders'!$D239, "1", 'Future Orders'!$C239, "B", 'Future Orders'!$B239, "1")</f>
        <v>0</v>
      </c>
      <c r="M239" s="157">
        <f>SUMIFS('Future Orders'!$I239, 'Future Orders'!$D239, "1", 'Future Orders'!$C239, "B", 'Future Orders'!$B239, "1")</f>
        <v>0</v>
      </c>
      <c r="N239" s="159">
        <f>SUMIFS('Future Orders'!$F239, 'Future Orders'!$D239, "1", 'Future Orders'!$C239, "A", 'Future Orders'!$B239, "2")</f>
        <v>0</v>
      </c>
      <c r="O239" s="157">
        <f>SUMIFS('Future Orders'!$I239, 'Future Orders'!$D239, "1", 'Future Orders'!$C239, "A", 'Future Orders'!$B239, "2")</f>
        <v>0</v>
      </c>
      <c r="P239" s="157">
        <f>SUMIFS('Future Orders'!$E239, 'Future Orders'!$D239, "1", 'Future Orders'!$C239, "B", 'Future Orders'!$B239, "2")</f>
        <v>0</v>
      </c>
      <c r="Q239" s="157">
        <f>SUMIFS('Future Orders'!$I239, 'Future Orders'!$D239, "1", 'Future Orders'!$C239, "B", 'Future Orders'!$B239, "2")</f>
        <v>0</v>
      </c>
      <c r="R239" s="159">
        <f>SUMIFS('Future Orders'!$F239, 'Future Orders'!$D239, "2", 'Future Orders'!$C239, "A", 'Future Orders'!$B239, "1")</f>
        <v>0</v>
      </c>
      <c r="S239" s="157">
        <f>SUMIFS('Future Orders'!$I239, 'Future Orders'!$D239, "2", 'Future Orders'!$C239, "A", 'Future Orders'!$B239, "1")</f>
        <v>0</v>
      </c>
      <c r="T239" s="159">
        <f>SUMIFS('Future Orders'!$F239, 'Future Orders'!$D239, "2", 'Future Orders'!$C239, "B", 'Future Orders'!$B239, "1")</f>
        <v>0</v>
      </c>
      <c r="U239" s="157">
        <f>SUMIFS('Future Orders'!$I239, 'Future Orders'!$D239, "2", 'Future Orders'!$C239, "B", 'Future Orders'!$B239, "1")</f>
        <v>0</v>
      </c>
      <c r="V239" s="159">
        <f>SUMIFS('Future Orders'!$F239, 'Future Orders'!$D239, "2", 'Future Orders'!$C239, "A", 'Future Orders'!$B239, "2")</f>
        <v>6347</v>
      </c>
      <c r="W239" s="157">
        <f>SUMIFS('Future Orders'!$I239, 'Future Orders'!$D239, "2", 'Future Orders'!$C239, "A", 'Future Orders'!$B239, "2")</f>
        <v>7616.4</v>
      </c>
      <c r="X239" s="159">
        <f>SUMIFS('Future Orders'!$F239, 'Future Orders'!$D239, "2", 'Future Orders'!$C239, "B", 'Future Orders'!$B239, "2")</f>
        <v>0</v>
      </c>
      <c r="Y239" s="159">
        <f>SUMIFS('Future Orders'!$I239, 'Future Orders'!$D239, "2", 'Future Orders'!$C239, "B", 'Future Orders'!$B239, "2")</f>
        <v>0</v>
      </c>
      <c r="Z239" s="159">
        <f>SUMIFS('Future Orders'!$F239, 'Future Orders'!$D239, "3", 'Future Orders'!$C239, "A", 'Future Orders'!$B239, "1")</f>
        <v>0</v>
      </c>
      <c r="AA239" s="159">
        <f>SUMIFS('Future Orders'!$I239, 'Future Orders'!$D239, "3", 'Future Orders'!$C239, "A", 'Future Orders'!$B239, "1")</f>
        <v>0</v>
      </c>
      <c r="AB239" s="159">
        <f>SUMIFS('Future Orders'!$F239, 'Future Orders'!$D239, "3", 'Future Orders'!$C239, "B", 'Future Orders'!$B239, "1")</f>
        <v>0</v>
      </c>
      <c r="AC239" s="159">
        <f>SUMIFS('Future Orders'!$I239, 'Future Orders'!$D239, "3", 'Future Orders'!$C239, "B", 'Future Orders'!$B239, "1")</f>
        <v>0</v>
      </c>
      <c r="AD239" s="159">
        <f>SUMIFS('Future Orders'!$F239, 'Future Orders'!$D239, "3", 'Future Orders'!$C239, "A", 'Future Orders'!$B239, "2")</f>
        <v>0</v>
      </c>
      <c r="AE239" s="159">
        <f>SUMIFS('Future Orders'!$I239, 'Future Orders'!$D239, "3", 'Future Orders'!$C239, "A", 'Future Orders'!$B239, "2")</f>
        <v>0</v>
      </c>
      <c r="AF239" s="159">
        <f>SUMIFS('Future Orders'!$F239, 'Future Orders'!$D239, "3", 'Future Orders'!$C239, "B", 'Future Orders'!$B239, "2")</f>
        <v>0</v>
      </c>
      <c r="AG239" s="157">
        <f>SUMIFS('Future Orders'!$I239, 'Future Orders'!$D239, "3", 'Future Orders'!$C239, "B", 'Future Orders'!$B239, "2")</f>
        <v>0</v>
      </c>
      <c r="AH239" s="157">
        <f>SUMIFS('Future Orders'!$F239, 'Future Orders'!$D239, "4", 'Future Orders'!$C239, "A", 'Future Orders'!$B239, "1")</f>
        <v>0</v>
      </c>
      <c r="AI239" s="157">
        <f>SUMIFS('Future Orders'!$I239, 'Future Orders'!$D239, "4", 'Future Orders'!$C239, "A", 'Future Orders'!$B239, "1")</f>
        <v>0</v>
      </c>
      <c r="AJ239" s="157">
        <f>SUMIFS('Future Orders'!$F239, 'Future Orders'!$D239, "4", 'Future Orders'!$C239, "B", 'Future Orders'!$B239, "1")</f>
        <v>0</v>
      </c>
      <c r="AK239" s="157">
        <f>SUMIFS('Future Orders'!$I239, 'Future Orders'!$D239, "4", 'Future Orders'!$C239, "B", 'Future Orders'!$B239, "1")</f>
        <v>0</v>
      </c>
      <c r="AL239" s="157">
        <f>SUMIFS('Future Orders'!$F239, 'Future Orders'!$D239, "4", 'Future Orders'!$C239, "A", 'Future Orders'!$B239, "2")</f>
        <v>0</v>
      </c>
      <c r="AM239" s="157">
        <f>SUMIFS('Future Orders'!$I239, 'Future Orders'!$D239, "4", 'Future Orders'!$C239, "A", 'Future Orders'!$B239, "2")</f>
        <v>0</v>
      </c>
      <c r="AN239" s="171">
        <f>SUMIFS('Future Orders'!$F239, 'Future Orders'!$D239, "4", 'Future Orders'!$C239, "B", 'Future Orders'!$B239, "2")</f>
        <v>0</v>
      </c>
      <c r="AO239" s="171">
        <f>SUMIFS('Future Orders'!$I239, 'Future Orders'!$D239, "4", 'Future Orders'!$C239, "B", 'Future Orders'!$B239, "2")</f>
        <v>0</v>
      </c>
      <c r="AP239" s="171">
        <f>SUMIFS('Future Orders'!$H239, 'Future Orders'!$C239, "A", 'Future Orders'!$B239, "1")</f>
        <v>0</v>
      </c>
      <c r="AQ239" s="171">
        <f>SUMIFS('Future Orders'!$I239, 'Future Orders'!$C239, "B", 'Future Orders'!$B239, "1")</f>
        <v>0</v>
      </c>
      <c r="AR239" s="171">
        <f>SUMIFS('Future Orders'!$H239, 'Future Orders'!$C239, "A", 'Future Orders'!$B239, "2")</f>
        <v>6924</v>
      </c>
      <c r="AS239" s="171">
        <f>SUMIFS('Future Orders'!$I239, 'Future Orders'!$C239, "B", 'Future Orders'!$B239, "2")</f>
        <v>0</v>
      </c>
      <c r="AT239" s="145"/>
      <c r="AU239" s="172"/>
      <c r="AV239" s="172"/>
      <c r="AW239" s="172"/>
      <c r="AX239" s="172"/>
      <c r="AY239" s="172"/>
      <c r="AZ239" s="172"/>
      <c r="BA239" s="172"/>
      <c r="BB239" s="172"/>
      <c r="BC239" s="172"/>
      <c r="BD239" s="172"/>
      <c r="BE239" s="172"/>
      <c r="BF239" s="172"/>
      <c r="BG239" s="172"/>
      <c r="BH239" s="172"/>
      <c r="BI239" s="172"/>
      <c r="BJ239" s="172"/>
      <c r="BK239" s="172"/>
      <c r="BL239" s="172"/>
      <c r="BM239" s="172"/>
      <c r="BN239" s="172"/>
      <c r="BO239" s="172"/>
      <c r="BP239" s="172"/>
      <c r="BQ239" s="172"/>
      <c r="BR239" s="172"/>
      <c r="BS239" s="172"/>
      <c r="BT239" s="172"/>
      <c r="BU239" s="172"/>
      <c r="BV239" s="172"/>
      <c r="BW239" s="172"/>
      <c r="BX239" s="172"/>
      <c r="BY239" s="172"/>
      <c r="BZ239" s="172"/>
      <c r="CA239" s="179"/>
      <c r="CB239" s="179"/>
      <c r="CC239" s="179"/>
      <c r="CD239" s="179"/>
      <c r="CE239" s="179"/>
      <c r="CF239" s="179"/>
      <c r="CG239" s="179"/>
      <c r="CH239" s="179"/>
      <c r="CI239" s="179"/>
      <c r="CJ239" s="179"/>
      <c r="CK239" s="179"/>
      <c r="CL239" s="179"/>
      <c r="CM239" s="179"/>
      <c r="CN239" s="179"/>
      <c r="CO239" s="179"/>
      <c r="CP239" s="179"/>
    </row>
    <row r="240" ht="15.75" customHeight="1">
      <c r="A240" s="151">
        <v>42128.0</v>
      </c>
      <c r="B240" s="152">
        <v>1.0</v>
      </c>
      <c r="C240" s="152" t="s">
        <v>46</v>
      </c>
      <c r="D240" s="152">
        <v>3.0</v>
      </c>
      <c r="E240" s="153">
        <v>2422.0</v>
      </c>
      <c r="F240" s="153">
        <f>SUM(('Future Orders'!$E240) * (1.1))</f>
        <v>2664.2</v>
      </c>
      <c r="G240" s="154">
        <v>8.3</v>
      </c>
      <c r="H240" s="155">
        <v>20102.600000000002</v>
      </c>
      <c r="I240" s="155">
        <f>SUM(('Future Orders'!$H240) * (1.1))</f>
        <v>22112.86</v>
      </c>
      <c r="J240" s="159">
        <f>SUMIFS('Future Orders'!$F240, 'Future Orders'!$D240, "1", 'Future Orders'!$C240, "A", 'Future Orders'!$B240, "1")</f>
        <v>0</v>
      </c>
      <c r="K240" s="157">
        <f>SUMIFS('Future Orders'!$I240, 'Future Orders'!$D240, "1", 'Future Orders'!$C240, "A", 'Future Orders'!$B240, "1")</f>
        <v>0</v>
      </c>
      <c r="L240" s="157">
        <f>SUMIFS('Future Orders'!$F240, 'Future Orders'!$D240, "1", 'Future Orders'!$C240, "B", 'Future Orders'!$B240, "1")</f>
        <v>0</v>
      </c>
      <c r="M240" s="157">
        <f>SUMIFS('Future Orders'!$I240, 'Future Orders'!$D240, "1", 'Future Orders'!$C240, "B", 'Future Orders'!$B240, "1")</f>
        <v>0</v>
      </c>
      <c r="N240" s="159">
        <f>SUMIFS('Future Orders'!$F240, 'Future Orders'!$D240, "1", 'Future Orders'!$C240, "A", 'Future Orders'!$B240, "2")</f>
        <v>0</v>
      </c>
      <c r="O240" s="157">
        <f>SUMIFS('Future Orders'!$I240, 'Future Orders'!$D240, "1", 'Future Orders'!$C240, "A", 'Future Orders'!$B240, "2")</f>
        <v>0</v>
      </c>
      <c r="P240" s="157">
        <f>SUMIFS('Future Orders'!$E240, 'Future Orders'!$D240, "1", 'Future Orders'!$C240, "B", 'Future Orders'!$B240, "2")</f>
        <v>0</v>
      </c>
      <c r="Q240" s="157">
        <f>SUMIFS('Future Orders'!$I240, 'Future Orders'!$D240, "1", 'Future Orders'!$C240, "B", 'Future Orders'!$B240, "2")</f>
        <v>0</v>
      </c>
      <c r="R240" s="159">
        <f>SUMIFS('Future Orders'!$F240, 'Future Orders'!$D240, "2", 'Future Orders'!$C240, "A", 'Future Orders'!$B240, "1")</f>
        <v>0</v>
      </c>
      <c r="S240" s="157">
        <f>SUMIFS('Future Orders'!$I240, 'Future Orders'!$D240, "2", 'Future Orders'!$C240, "A", 'Future Orders'!$B240, "1")</f>
        <v>0</v>
      </c>
      <c r="T240" s="159">
        <f>SUMIFS('Future Orders'!$F240, 'Future Orders'!$D240, "2", 'Future Orders'!$C240, "B", 'Future Orders'!$B240, "1")</f>
        <v>0</v>
      </c>
      <c r="U240" s="157">
        <f>SUMIFS('Future Orders'!$I240, 'Future Orders'!$D240, "2", 'Future Orders'!$C240, "B", 'Future Orders'!$B240, "1")</f>
        <v>0</v>
      </c>
      <c r="V240" s="159">
        <f>SUMIFS('Future Orders'!$F240, 'Future Orders'!$D240, "2", 'Future Orders'!$C240, "A", 'Future Orders'!$B240, "2")</f>
        <v>0</v>
      </c>
      <c r="W240" s="157">
        <f>SUMIFS('Future Orders'!$I240, 'Future Orders'!$D240, "2", 'Future Orders'!$C240, "A", 'Future Orders'!$B240, "2")</f>
        <v>0</v>
      </c>
      <c r="X240" s="159">
        <f>SUMIFS('Future Orders'!$F240, 'Future Orders'!$D240, "2", 'Future Orders'!$C240, "B", 'Future Orders'!$B240, "2")</f>
        <v>0</v>
      </c>
      <c r="Y240" s="159">
        <f>SUMIFS('Future Orders'!$I240, 'Future Orders'!$D240, "2", 'Future Orders'!$C240, "B", 'Future Orders'!$B240, "2")</f>
        <v>0</v>
      </c>
      <c r="Z240" s="159">
        <f>SUMIFS('Future Orders'!$F240, 'Future Orders'!$D240, "3", 'Future Orders'!$C240, "A", 'Future Orders'!$B240, "1")</f>
        <v>0</v>
      </c>
      <c r="AA240" s="159">
        <f>SUMIFS('Future Orders'!$I240, 'Future Orders'!$D240, "3", 'Future Orders'!$C240, "A", 'Future Orders'!$B240, "1")</f>
        <v>0</v>
      </c>
      <c r="AB240" s="159">
        <f>SUMIFS('Future Orders'!$F240, 'Future Orders'!$D240, "3", 'Future Orders'!$C240, "B", 'Future Orders'!$B240, "1")</f>
        <v>2664.2</v>
      </c>
      <c r="AC240" s="159">
        <f>SUMIFS('Future Orders'!$I240, 'Future Orders'!$D240, "3", 'Future Orders'!$C240, "B", 'Future Orders'!$B240, "1")</f>
        <v>22112.86</v>
      </c>
      <c r="AD240" s="159">
        <f>SUMIFS('Future Orders'!$F240, 'Future Orders'!$D240, "3", 'Future Orders'!$C240, "A", 'Future Orders'!$B240, "2")</f>
        <v>0</v>
      </c>
      <c r="AE240" s="159">
        <f>SUMIFS('Future Orders'!$I240, 'Future Orders'!$D240, "3", 'Future Orders'!$C240, "A", 'Future Orders'!$B240, "2")</f>
        <v>0</v>
      </c>
      <c r="AF240" s="159">
        <f>SUMIFS('Future Orders'!$F240, 'Future Orders'!$D240, "3", 'Future Orders'!$C240, "B", 'Future Orders'!$B240, "2")</f>
        <v>0</v>
      </c>
      <c r="AG240" s="157">
        <f>SUMIFS('Future Orders'!$I240, 'Future Orders'!$D240, "3", 'Future Orders'!$C240, "B", 'Future Orders'!$B240, "2")</f>
        <v>0</v>
      </c>
      <c r="AH240" s="157">
        <f>SUMIFS('Future Orders'!$F240, 'Future Orders'!$D240, "4", 'Future Orders'!$C240, "A", 'Future Orders'!$B240, "1")</f>
        <v>0</v>
      </c>
      <c r="AI240" s="157">
        <f>SUMIFS('Future Orders'!$I240, 'Future Orders'!$D240, "4", 'Future Orders'!$C240, "A", 'Future Orders'!$B240, "1")</f>
        <v>0</v>
      </c>
      <c r="AJ240" s="157">
        <f>SUMIFS('Future Orders'!$F240, 'Future Orders'!$D240, "4", 'Future Orders'!$C240, "B", 'Future Orders'!$B240, "1")</f>
        <v>0</v>
      </c>
      <c r="AK240" s="157">
        <f>SUMIFS('Future Orders'!$I240, 'Future Orders'!$D240, "4", 'Future Orders'!$C240, "B", 'Future Orders'!$B240, "1")</f>
        <v>0</v>
      </c>
      <c r="AL240" s="157">
        <f>SUMIFS('Future Orders'!$F240, 'Future Orders'!$D240, "4", 'Future Orders'!$C240, "A", 'Future Orders'!$B240, "2")</f>
        <v>0</v>
      </c>
      <c r="AM240" s="157">
        <f>SUMIFS('Future Orders'!$I240, 'Future Orders'!$D240, "4", 'Future Orders'!$C240, "A", 'Future Orders'!$B240, "2")</f>
        <v>0</v>
      </c>
      <c r="AN240" s="171">
        <f>SUMIFS('Future Orders'!$F240, 'Future Orders'!$D240, "4", 'Future Orders'!$C240, "B", 'Future Orders'!$B240, "2")</f>
        <v>0</v>
      </c>
      <c r="AO240" s="171">
        <f>SUMIFS('Future Orders'!$I240, 'Future Orders'!$D240, "4", 'Future Orders'!$C240, "B", 'Future Orders'!$B240, "2")</f>
        <v>0</v>
      </c>
      <c r="AP240" s="171">
        <f>SUMIFS('Future Orders'!$H240, 'Future Orders'!$C240, "A", 'Future Orders'!$B240, "1")</f>
        <v>0</v>
      </c>
      <c r="AQ240" s="171">
        <f>SUMIFS('Future Orders'!$I240, 'Future Orders'!$C240, "B", 'Future Orders'!$B240, "1")</f>
        <v>22112.86</v>
      </c>
      <c r="AR240" s="171">
        <f>SUMIFS('Future Orders'!$H240, 'Future Orders'!$C240, "A", 'Future Orders'!$B240, "2")</f>
        <v>0</v>
      </c>
      <c r="AS240" s="171">
        <f>SUMIFS('Future Orders'!$I240, 'Future Orders'!$C240, "B", 'Future Orders'!$B240, "2")</f>
        <v>0</v>
      </c>
      <c r="AT240" s="145"/>
      <c r="AU240" s="172"/>
      <c r="AV240" s="172"/>
      <c r="AW240" s="172"/>
      <c r="AX240" s="172"/>
      <c r="AY240" s="172"/>
      <c r="AZ240" s="172"/>
      <c r="BA240" s="172"/>
      <c r="BB240" s="172"/>
      <c r="BC240" s="172"/>
      <c r="BD240" s="172"/>
      <c r="BE240" s="172"/>
      <c r="BF240" s="172"/>
      <c r="BG240" s="172"/>
      <c r="BH240" s="172"/>
      <c r="BI240" s="172"/>
      <c r="BJ240" s="172"/>
      <c r="BK240" s="172"/>
      <c r="BL240" s="172"/>
      <c r="BM240" s="172"/>
      <c r="BN240" s="172"/>
      <c r="BO240" s="172"/>
      <c r="BP240" s="172"/>
      <c r="BQ240" s="172"/>
      <c r="BR240" s="172"/>
      <c r="BS240" s="172"/>
      <c r="BT240" s="172"/>
      <c r="BU240" s="172"/>
      <c r="BV240" s="172"/>
      <c r="BW240" s="172"/>
      <c r="BX240" s="172"/>
      <c r="BY240" s="172"/>
      <c r="BZ240" s="172"/>
      <c r="CA240" s="179"/>
      <c r="CB240" s="179"/>
      <c r="CC240" s="179"/>
      <c r="CD240" s="179"/>
      <c r="CE240" s="179"/>
      <c r="CF240" s="179"/>
      <c r="CG240" s="179"/>
      <c r="CH240" s="179"/>
      <c r="CI240" s="179"/>
      <c r="CJ240" s="179"/>
      <c r="CK240" s="179"/>
      <c r="CL240" s="179"/>
      <c r="CM240" s="179"/>
      <c r="CN240" s="179"/>
      <c r="CO240" s="179"/>
      <c r="CP240" s="179"/>
    </row>
    <row r="241" ht="15.75" customHeight="1">
      <c r="A241" s="151">
        <v>42128.0</v>
      </c>
      <c r="B241" s="152">
        <v>2.0</v>
      </c>
      <c r="C241" s="152" t="s">
        <v>46</v>
      </c>
      <c r="D241" s="152">
        <v>3.0</v>
      </c>
      <c r="E241" s="153">
        <v>2740.0</v>
      </c>
      <c r="F241" s="153">
        <f>SUM(('Future Orders'!$E241) * (1.1))</f>
        <v>3014</v>
      </c>
      <c r="G241" s="154">
        <v>8.3</v>
      </c>
      <c r="H241" s="155">
        <v>22742.000000000004</v>
      </c>
      <c r="I241" s="155">
        <f>SUM(('Future Orders'!$H241) * (1.1))</f>
        <v>25016.2</v>
      </c>
      <c r="J241" s="159">
        <f>SUMIFS('Future Orders'!$F241, 'Future Orders'!$D241, "1", 'Future Orders'!$C241, "A", 'Future Orders'!$B241, "1")</f>
        <v>0</v>
      </c>
      <c r="K241" s="157">
        <f>SUMIFS('Future Orders'!$I241, 'Future Orders'!$D241, "1", 'Future Orders'!$C241, "A", 'Future Orders'!$B241, "1")</f>
        <v>0</v>
      </c>
      <c r="L241" s="157">
        <f>SUMIFS('Future Orders'!$F241, 'Future Orders'!$D241, "1", 'Future Orders'!$C241, "B", 'Future Orders'!$B241, "1")</f>
        <v>0</v>
      </c>
      <c r="M241" s="157">
        <f>SUMIFS('Future Orders'!$I241, 'Future Orders'!$D241, "1", 'Future Orders'!$C241, "B", 'Future Orders'!$B241, "1")</f>
        <v>0</v>
      </c>
      <c r="N241" s="159">
        <f>SUMIFS('Future Orders'!$F241, 'Future Orders'!$D241, "1", 'Future Orders'!$C241, "A", 'Future Orders'!$B241, "2")</f>
        <v>0</v>
      </c>
      <c r="O241" s="157">
        <f>SUMIFS('Future Orders'!$I241, 'Future Orders'!$D241, "1", 'Future Orders'!$C241, "A", 'Future Orders'!$B241, "2")</f>
        <v>0</v>
      </c>
      <c r="P241" s="157">
        <f>SUMIFS('Future Orders'!$E241, 'Future Orders'!$D241, "1", 'Future Orders'!$C241, "B", 'Future Orders'!$B241, "2")</f>
        <v>0</v>
      </c>
      <c r="Q241" s="157">
        <f>SUMIFS('Future Orders'!$I241, 'Future Orders'!$D241, "1", 'Future Orders'!$C241, "B", 'Future Orders'!$B241, "2")</f>
        <v>0</v>
      </c>
      <c r="R241" s="159">
        <f>SUMIFS('Future Orders'!$F241, 'Future Orders'!$D241, "2", 'Future Orders'!$C241, "A", 'Future Orders'!$B241, "1")</f>
        <v>0</v>
      </c>
      <c r="S241" s="157">
        <f>SUMIFS('Future Orders'!$I241, 'Future Orders'!$D241, "2", 'Future Orders'!$C241, "A", 'Future Orders'!$B241, "1")</f>
        <v>0</v>
      </c>
      <c r="T241" s="159">
        <f>SUMIFS('Future Orders'!$F241, 'Future Orders'!$D241, "2", 'Future Orders'!$C241, "B", 'Future Orders'!$B241, "1")</f>
        <v>0</v>
      </c>
      <c r="U241" s="157">
        <f>SUMIFS('Future Orders'!$I241, 'Future Orders'!$D241, "2", 'Future Orders'!$C241, "B", 'Future Orders'!$B241, "1")</f>
        <v>0</v>
      </c>
      <c r="V241" s="159">
        <f>SUMIFS('Future Orders'!$F241, 'Future Orders'!$D241, "2", 'Future Orders'!$C241, "A", 'Future Orders'!$B241, "2")</f>
        <v>0</v>
      </c>
      <c r="W241" s="157">
        <f>SUMIFS('Future Orders'!$I241, 'Future Orders'!$D241, "2", 'Future Orders'!$C241, "A", 'Future Orders'!$B241, "2")</f>
        <v>0</v>
      </c>
      <c r="X241" s="159">
        <f>SUMIFS('Future Orders'!$F241, 'Future Orders'!$D241, "2", 'Future Orders'!$C241, "B", 'Future Orders'!$B241, "2")</f>
        <v>0</v>
      </c>
      <c r="Y241" s="159">
        <f>SUMIFS('Future Orders'!$I241, 'Future Orders'!$D241, "2", 'Future Orders'!$C241, "B", 'Future Orders'!$B241, "2")</f>
        <v>0</v>
      </c>
      <c r="Z241" s="159">
        <f>SUMIFS('Future Orders'!$F241, 'Future Orders'!$D241, "3", 'Future Orders'!$C241, "A", 'Future Orders'!$B241, "1")</f>
        <v>0</v>
      </c>
      <c r="AA241" s="159">
        <f>SUMIFS('Future Orders'!$I241, 'Future Orders'!$D241, "3", 'Future Orders'!$C241, "A", 'Future Orders'!$B241, "1")</f>
        <v>0</v>
      </c>
      <c r="AB241" s="159">
        <f>SUMIFS('Future Orders'!$F241, 'Future Orders'!$D241, "3", 'Future Orders'!$C241, "B", 'Future Orders'!$B241, "1")</f>
        <v>0</v>
      </c>
      <c r="AC241" s="159">
        <f>SUMIFS('Future Orders'!$I241, 'Future Orders'!$D241, "3", 'Future Orders'!$C241, "B", 'Future Orders'!$B241, "1")</f>
        <v>0</v>
      </c>
      <c r="AD241" s="159">
        <f>SUMIFS('Future Orders'!$F241, 'Future Orders'!$D241, "3", 'Future Orders'!$C241, "A", 'Future Orders'!$B241, "2")</f>
        <v>0</v>
      </c>
      <c r="AE241" s="159">
        <f>SUMIFS('Future Orders'!$I241, 'Future Orders'!$D241, "3", 'Future Orders'!$C241, "A", 'Future Orders'!$B241, "2")</f>
        <v>0</v>
      </c>
      <c r="AF241" s="159">
        <f>SUMIFS('Future Orders'!$F241, 'Future Orders'!$D241, "3", 'Future Orders'!$C241, "B", 'Future Orders'!$B241, "2")</f>
        <v>3014</v>
      </c>
      <c r="AG241" s="157">
        <f>SUMIFS('Future Orders'!$I241, 'Future Orders'!$D241, "3", 'Future Orders'!$C241, "B", 'Future Orders'!$B241, "2")</f>
        <v>25016.2</v>
      </c>
      <c r="AH241" s="157">
        <f>SUMIFS('Future Orders'!$F241, 'Future Orders'!$D241, "4", 'Future Orders'!$C241, "A", 'Future Orders'!$B241, "1")</f>
        <v>0</v>
      </c>
      <c r="AI241" s="157">
        <f>SUMIFS('Future Orders'!$I241, 'Future Orders'!$D241, "4", 'Future Orders'!$C241, "A", 'Future Orders'!$B241, "1")</f>
        <v>0</v>
      </c>
      <c r="AJ241" s="157">
        <f>SUMIFS('Future Orders'!$F241, 'Future Orders'!$D241, "4", 'Future Orders'!$C241, "B", 'Future Orders'!$B241, "1")</f>
        <v>0</v>
      </c>
      <c r="AK241" s="157">
        <f>SUMIFS('Future Orders'!$I241, 'Future Orders'!$D241, "4", 'Future Orders'!$C241, "B", 'Future Orders'!$B241, "1")</f>
        <v>0</v>
      </c>
      <c r="AL241" s="157">
        <f>SUMIFS('Future Orders'!$F241, 'Future Orders'!$D241, "4", 'Future Orders'!$C241, "A", 'Future Orders'!$B241, "2")</f>
        <v>0</v>
      </c>
      <c r="AM241" s="157">
        <f>SUMIFS('Future Orders'!$I241, 'Future Orders'!$D241, "4", 'Future Orders'!$C241, "A", 'Future Orders'!$B241, "2")</f>
        <v>0</v>
      </c>
      <c r="AN241" s="171">
        <f>SUMIFS('Future Orders'!$F241, 'Future Orders'!$D241, "4", 'Future Orders'!$C241, "B", 'Future Orders'!$B241, "2")</f>
        <v>0</v>
      </c>
      <c r="AO241" s="171">
        <f>SUMIFS('Future Orders'!$I241, 'Future Orders'!$D241, "4", 'Future Orders'!$C241, "B", 'Future Orders'!$B241, "2")</f>
        <v>0</v>
      </c>
      <c r="AP241" s="171">
        <f>SUMIFS('Future Orders'!$H241, 'Future Orders'!$C241, "A", 'Future Orders'!$B241, "1")</f>
        <v>0</v>
      </c>
      <c r="AQ241" s="171">
        <f>SUMIFS('Future Orders'!$I241, 'Future Orders'!$C241, "B", 'Future Orders'!$B241, "1")</f>
        <v>0</v>
      </c>
      <c r="AR241" s="171">
        <f>SUMIFS('Future Orders'!$H241, 'Future Orders'!$C241, "A", 'Future Orders'!$B241, "2")</f>
        <v>0</v>
      </c>
      <c r="AS241" s="171">
        <f>SUMIFS('Future Orders'!$I241, 'Future Orders'!$C241, "B", 'Future Orders'!$B241, "2")</f>
        <v>25016.2</v>
      </c>
      <c r="AT241" s="145"/>
      <c r="AU241" s="172"/>
      <c r="AV241" s="172"/>
      <c r="AW241" s="172"/>
      <c r="AX241" s="172"/>
      <c r="AY241" s="172"/>
      <c r="AZ241" s="172"/>
      <c r="BA241" s="172"/>
      <c r="BB241" s="172"/>
      <c r="BC241" s="172"/>
      <c r="BD241" s="172"/>
      <c r="BE241" s="172"/>
      <c r="BF241" s="172"/>
      <c r="BG241" s="172"/>
      <c r="BH241" s="172"/>
      <c r="BI241" s="172"/>
      <c r="BJ241" s="172"/>
      <c r="BK241" s="172"/>
      <c r="BL241" s="172"/>
      <c r="BM241" s="172"/>
      <c r="BN241" s="172"/>
      <c r="BO241" s="172"/>
      <c r="BP241" s="172"/>
      <c r="BQ241" s="172"/>
      <c r="BR241" s="172"/>
      <c r="BS241" s="172"/>
      <c r="BT241" s="172"/>
      <c r="BU241" s="172"/>
      <c r="BV241" s="172"/>
      <c r="BW241" s="172"/>
      <c r="BX241" s="172"/>
      <c r="BY241" s="172"/>
      <c r="BZ241" s="172"/>
      <c r="CA241" s="179"/>
      <c r="CB241" s="179"/>
      <c r="CC241" s="179"/>
      <c r="CD241" s="179"/>
      <c r="CE241" s="179"/>
      <c r="CF241" s="179"/>
      <c r="CG241" s="179"/>
      <c r="CH241" s="179"/>
      <c r="CI241" s="179"/>
      <c r="CJ241" s="179"/>
      <c r="CK241" s="179"/>
      <c r="CL241" s="179"/>
      <c r="CM241" s="179"/>
      <c r="CN241" s="179"/>
      <c r="CO241" s="179"/>
      <c r="CP241" s="179"/>
    </row>
    <row r="242" ht="15.75" customHeight="1">
      <c r="A242" s="151">
        <v>42135.0</v>
      </c>
      <c r="B242" s="152">
        <v>1.0</v>
      </c>
      <c r="C242" s="152" t="s">
        <v>45</v>
      </c>
      <c r="D242" s="152">
        <v>1.0</v>
      </c>
      <c r="E242" s="153">
        <v>5394.0</v>
      </c>
      <c r="F242" s="153">
        <f>SUM(('Future Orders'!$E242) * (1.1))</f>
        <v>5933.4</v>
      </c>
      <c r="G242" s="154">
        <v>2.2</v>
      </c>
      <c r="H242" s="155">
        <v>11866.800000000001</v>
      </c>
      <c r="I242" s="155">
        <f>SUM(('Future Orders'!$H242) * (1.1))</f>
        <v>13053.48</v>
      </c>
      <c r="J242" s="159">
        <f>SUMIFS('Future Orders'!$F242, 'Future Orders'!$D242, "1", 'Future Orders'!$C242, "A", 'Future Orders'!$B242, "1")</f>
        <v>5933.4</v>
      </c>
      <c r="K242" s="157">
        <f>SUMIFS('Future Orders'!$I242, 'Future Orders'!$D242, "1", 'Future Orders'!$C242, "A", 'Future Orders'!$B242, "1")</f>
        <v>13053.48</v>
      </c>
      <c r="L242" s="157">
        <f>SUMIFS('Future Orders'!$F242, 'Future Orders'!$D242, "1", 'Future Orders'!$C242, "B", 'Future Orders'!$B242, "1")</f>
        <v>0</v>
      </c>
      <c r="M242" s="157">
        <f>SUMIFS('Future Orders'!$I242, 'Future Orders'!$D242, "1", 'Future Orders'!$C242, "B", 'Future Orders'!$B242, "1")</f>
        <v>0</v>
      </c>
      <c r="N242" s="159">
        <f>SUMIFS('Future Orders'!$F242, 'Future Orders'!$D242, "1", 'Future Orders'!$C242, "A", 'Future Orders'!$B242, "2")</f>
        <v>0</v>
      </c>
      <c r="O242" s="157">
        <f>SUMIFS('Future Orders'!$I242, 'Future Orders'!$D242, "1", 'Future Orders'!$C242, "A", 'Future Orders'!$B242, "2")</f>
        <v>0</v>
      </c>
      <c r="P242" s="157">
        <f>SUMIFS('Future Orders'!$E242, 'Future Orders'!$D242, "1", 'Future Orders'!$C242, "B", 'Future Orders'!$B242, "2")</f>
        <v>0</v>
      </c>
      <c r="Q242" s="157">
        <f>SUMIFS('Future Orders'!$I242, 'Future Orders'!$D242, "1", 'Future Orders'!$C242, "B", 'Future Orders'!$B242, "2")</f>
        <v>0</v>
      </c>
      <c r="R242" s="159">
        <f>SUMIFS('Future Orders'!$F242, 'Future Orders'!$D242, "2", 'Future Orders'!$C242, "A", 'Future Orders'!$B242, "1")</f>
        <v>0</v>
      </c>
      <c r="S242" s="157">
        <f>SUMIFS('Future Orders'!$I242, 'Future Orders'!$D242, "2", 'Future Orders'!$C242, "A", 'Future Orders'!$B242, "1")</f>
        <v>0</v>
      </c>
      <c r="T242" s="159">
        <f>SUMIFS('Future Orders'!$F242, 'Future Orders'!$D242, "2", 'Future Orders'!$C242, "B", 'Future Orders'!$B242, "1")</f>
        <v>0</v>
      </c>
      <c r="U242" s="157">
        <f>SUMIFS('Future Orders'!$I242, 'Future Orders'!$D242, "2", 'Future Orders'!$C242, "B", 'Future Orders'!$B242, "1")</f>
        <v>0</v>
      </c>
      <c r="V242" s="159">
        <f>SUMIFS('Future Orders'!$F242, 'Future Orders'!$D242, "2", 'Future Orders'!$C242, "A", 'Future Orders'!$B242, "2")</f>
        <v>0</v>
      </c>
      <c r="W242" s="157">
        <f>SUMIFS('Future Orders'!$I242, 'Future Orders'!$D242, "2", 'Future Orders'!$C242, "A", 'Future Orders'!$B242, "2")</f>
        <v>0</v>
      </c>
      <c r="X242" s="159">
        <f>SUMIFS('Future Orders'!$F242, 'Future Orders'!$D242, "2", 'Future Orders'!$C242, "B", 'Future Orders'!$B242, "2")</f>
        <v>0</v>
      </c>
      <c r="Y242" s="159">
        <f>SUMIFS('Future Orders'!$I242, 'Future Orders'!$D242, "2", 'Future Orders'!$C242, "B", 'Future Orders'!$B242, "2")</f>
        <v>0</v>
      </c>
      <c r="Z242" s="159">
        <f>SUMIFS('Future Orders'!$F242, 'Future Orders'!$D242, "3", 'Future Orders'!$C242, "A", 'Future Orders'!$B242, "1")</f>
        <v>0</v>
      </c>
      <c r="AA242" s="159">
        <f>SUMIFS('Future Orders'!$I242, 'Future Orders'!$D242, "3", 'Future Orders'!$C242, "A", 'Future Orders'!$B242, "1")</f>
        <v>0</v>
      </c>
      <c r="AB242" s="159">
        <f>SUMIFS('Future Orders'!$F242, 'Future Orders'!$D242, "3", 'Future Orders'!$C242, "B", 'Future Orders'!$B242, "1")</f>
        <v>0</v>
      </c>
      <c r="AC242" s="159">
        <f>SUMIFS('Future Orders'!$I242, 'Future Orders'!$D242, "3", 'Future Orders'!$C242, "B", 'Future Orders'!$B242, "1")</f>
        <v>0</v>
      </c>
      <c r="AD242" s="159">
        <f>SUMIFS('Future Orders'!$F242, 'Future Orders'!$D242, "3", 'Future Orders'!$C242, "A", 'Future Orders'!$B242, "2")</f>
        <v>0</v>
      </c>
      <c r="AE242" s="159">
        <f>SUMIFS('Future Orders'!$I242, 'Future Orders'!$D242, "3", 'Future Orders'!$C242, "A", 'Future Orders'!$B242, "2")</f>
        <v>0</v>
      </c>
      <c r="AF242" s="159">
        <f>SUMIFS('Future Orders'!$F242, 'Future Orders'!$D242, "3", 'Future Orders'!$C242, "B", 'Future Orders'!$B242, "2")</f>
        <v>0</v>
      </c>
      <c r="AG242" s="157">
        <f>SUMIFS('Future Orders'!$I242, 'Future Orders'!$D242, "3", 'Future Orders'!$C242, "B", 'Future Orders'!$B242, "2")</f>
        <v>0</v>
      </c>
      <c r="AH242" s="157">
        <f>SUMIFS('Future Orders'!$F242, 'Future Orders'!$D242, "4", 'Future Orders'!$C242, "A", 'Future Orders'!$B242, "1")</f>
        <v>0</v>
      </c>
      <c r="AI242" s="157">
        <f>SUMIFS('Future Orders'!$I242, 'Future Orders'!$D242, "4", 'Future Orders'!$C242, "A", 'Future Orders'!$B242, "1")</f>
        <v>0</v>
      </c>
      <c r="AJ242" s="157">
        <f>SUMIFS('Future Orders'!$F242, 'Future Orders'!$D242, "4", 'Future Orders'!$C242, "B", 'Future Orders'!$B242, "1")</f>
        <v>0</v>
      </c>
      <c r="AK242" s="157">
        <f>SUMIFS('Future Orders'!$I242, 'Future Orders'!$D242, "4", 'Future Orders'!$C242, "B", 'Future Orders'!$B242, "1")</f>
        <v>0</v>
      </c>
      <c r="AL242" s="157">
        <f>SUMIFS('Future Orders'!$F242, 'Future Orders'!$D242, "4", 'Future Orders'!$C242, "A", 'Future Orders'!$B242, "2")</f>
        <v>0</v>
      </c>
      <c r="AM242" s="157">
        <f>SUMIFS('Future Orders'!$I242, 'Future Orders'!$D242, "4", 'Future Orders'!$C242, "A", 'Future Orders'!$B242, "2")</f>
        <v>0</v>
      </c>
      <c r="AN242" s="171">
        <f>SUMIFS('Future Orders'!$F242, 'Future Orders'!$D242, "4", 'Future Orders'!$C242, "B", 'Future Orders'!$B242, "2")</f>
        <v>0</v>
      </c>
      <c r="AO242" s="171">
        <f>SUMIFS('Future Orders'!$I242, 'Future Orders'!$D242, "4", 'Future Orders'!$C242, "B", 'Future Orders'!$B242, "2")</f>
        <v>0</v>
      </c>
      <c r="AP242" s="171">
        <f>SUMIFS('Future Orders'!$H242, 'Future Orders'!$C242, "A", 'Future Orders'!$B242, "1")</f>
        <v>11866.8</v>
      </c>
      <c r="AQ242" s="171">
        <f>SUMIFS('Future Orders'!$I242, 'Future Orders'!$C242, "B", 'Future Orders'!$B242, "1")</f>
        <v>0</v>
      </c>
      <c r="AR242" s="171">
        <f>SUMIFS('Future Orders'!$H242, 'Future Orders'!$C242, "A", 'Future Orders'!$B242, "2")</f>
        <v>0</v>
      </c>
      <c r="AS242" s="171">
        <f>SUMIFS('Future Orders'!$I242, 'Future Orders'!$C242, "B", 'Future Orders'!$B242, "2")</f>
        <v>0</v>
      </c>
      <c r="AT242" s="145"/>
      <c r="AU242" s="172"/>
      <c r="AV242" s="172"/>
      <c r="AW242" s="172"/>
      <c r="AX242" s="172"/>
      <c r="AY242" s="172"/>
      <c r="AZ242" s="172"/>
      <c r="BA242" s="172"/>
      <c r="BB242" s="172"/>
      <c r="BC242" s="172"/>
      <c r="BD242" s="172"/>
      <c r="BE242" s="172"/>
      <c r="BF242" s="172"/>
      <c r="BG242" s="172"/>
      <c r="BH242" s="172"/>
      <c r="BI242" s="172"/>
      <c r="BJ242" s="172"/>
      <c r="BK242" s="172"/>
      <c r="BL242" s="172"/>
      <c r="BM242" s="172"/>
      <c r="BN242" s="172"/>
      <c r="BO242" s="172"/>
      <c r="BP242" s="172"/>
      <c r="BQ242" s="172"/>
      <c r="BR242" s="172"/>
      <c r="BS242" s="172"/>
      <c r="BT242" s="172"/>
      <c r="BU242" s="172"/>
      <c r="BV242" s="172"/>
      <c r="BW242" s="172"/>
      <c r="BX242" s="172"/>
      <c r="BY242" s="172"/>
      <c r="BZ242" s="172"/>
      <c r="CA242" s="179"/>
      <c r="CB242" s="179"/>
      <c r="CC242" s="179"/>
      <c r="CD242" s="179"/>
      <c r="CE242" s="179"/>
      <c r="CF242" s="179"/>
      <c r="CG242" s="179"/>
      <c r="CH242" s="179"/>
      <c r="CI242" s="179"/>
      <c r="CJ242" s="179"/>
      <c r="CK242" s="179"/>
      <c r="CL242" s="179"/>
      <c r="CM242" s="179"/>
      <c r="CN242" s="179"/>
      <c r="CO242" s="179"/>
      <c r="CP242" s="179"/>
    </row>
    <row r="243" ht="15.75" customHeight="1">
      <c r="A243" s="151">
        <v>42135.0</v>
      </c>
      <c r="B243" s="152">
        <v>1.0</v>
      </c>
      <c r="C243" s="152" t="s">
        <v>45</v>
      </c>
      <c r="D243" s="152">
        <v>2.0</v>
      </c>
      <c r="E243" s="153">
        <v>6538.0</v>
      </c>
      <c r="F243" s="153">
        <f>SUM(('Future Orders'!$E243) * (1.1))</f>
        <v>7191.8</v>
      </c>
      <c r="G243" s="154">
        <v>1.2</v>
      </c>
      <c r="H243" s="155">
        <v>7845.599999999999</v>
      </c>
      <c r="I243" s="155">
        <f>SUM(('Future Orders'!$H243) * (1.1))</f>
        <v>8630.16</v>
      </c>
      <c r="J243" s="159">
        <f>SUMIFS('Future Orders'!$F243, 'Future Orders'!$D243, "1", 'Future Orders'!$C243, "A", 'Future Orders'!$B243, "1")</f>
        <v>0</v>
      </c>
      <c r="K243" s="157">
        <f>SUMIFS('Future Orders'!$I243, 'Future Orders'!$D243, "1", 'Future Orders'!$C243, "A", 'Future Orders'!$B243, "1")</f>
        <v>0</v>
      </c>
      <c r="L243" s="157">
        <f>SUMIFS('Future Orders'!$F243, 'Future Orders'!$D243, "1", 'Future Orders'!$C243, "B", 'Future Orders'!$B243, "1")</f>
        <v>0</v>
      </c>
      <c r="M243" s="157">
        <f>SUMIFS('Future Orders'!$I243, 'Future Orders'!$D243, "1", 'Future Orders'!$C243, "B", 'Future Orders'!$B243, "1")</f>
        <v>0</v>
      </c>
      <c r="N243" s="159">
        <f>SUMIFS('Future Orders'!$F243, 'Future Orders'!$D243, "1", 'Future Orders'!$C243, "A", 'Future Orders'!$B243, "2")</f>
        <v>0</v>
      </c>
      <c r="O243" s="157">
        <f>SUMIFS('Future Orders'!$I243, 'Future Orders'!$D243, "1", 'Future Orders'!$C243, "A", 'Future Orders'!$B243, "2")</f>
        <v>0</v>
      </c>
      <c r="P243" s="157">
        <f>SUMIFS('Future Orders'!$E243, 'Future Orders'!$D243, "1", 'Future Orders'!$C243, "B", 'Future Orders'!$B243, "2")</f>
        <v>0</v>
      </c>
      <c r="Q243" s="157">
        <f>SUMIFS('Future Orders'!$I243, 'Future Orders'!$D243, "1", 'Future Orders'!$C243, "B", 'Future Orders'!$B243, "2")</f>
        <v>0</v>
      </c>
      <c r="R243" s="159">
        <f>SUMIFS('Future Orders'!$F243, 'Future Orders'!$D243, "2", 'Future Orders'!$C243, "A", 'Future Orders'!$B243, "1")</f>
        <v>7191.8</v>
      </c>
      <c r="S243" s="157">
        <f>SUMIFS('Future Orders'!$I243, 'Future Orders'!$D243, "2", 'Future Orders'!$C243, "A", 'Future Orders'!$B243, "1")</f>
        <v>8630.16</v>
      </c>
      <c r="T243" s="159">
        <f>SUMIFS('Future Orders'!$F243, 'Future Orders'!$D243, "2", 'Future Orders'!$C243, "B", 'Future Orders'!$B243, "1")</f>
        <v>0</v>
      </c>
      <c r="U243" s="157">
        <f>SUMIFS('Future Orders'!$I243, 'Future Orders'!$D243, "2", 'Future Orders'!$C243, "B", 'Future Orders'!$B243, "1")</f>
        <v>0</v>
      </c>
      <c r="V243" s="159">
        <f>SUMIFS('Future Orders'!$F243, 'Future Orders'!$D243, "2", 'Future Orders'!$C243, "A", 'Future Orders'!$B243, "2")</f>
        <v>0</v>
      </c>
      <c r="W243" s="157">
        <f>SUMIFS('Future Orders'!$I243, 'Future Orders'!$D243, "2", 'Future Orders'!$C243, "A", 'Future Orders'!$B243, "2")</f>
        <v>0</v>
      </c>
      <c r="X243" s="159">
        <f>SUMIFS('Future Orders'!$F243, 'Future Orders'!$D243, "2", 'Future Orders'!$C243, "B", 'Future Orders'!$B243, "2")</f>
        <v>0</v>
      </c>
      <c r="Y243" s="159">
        <f>SUMIFS('Future Orders'!$I243, 'Future Orders'!$D243, "2", 'Future Orders'!$C243, "B", 'Future Orders'!$B243, "2")</f>
        <v>0</v>
      </c>
      <c r="Z243" s="159">
        <f>SUMIFS('Future Orders'!$F243, 'Future Orders'!$D243, "3", 'Future Orders'!$C243, "A", 'Future Orders'!$B243, "1")</f>
        <v>0</v>
      </c>
      <c r="AA243" s="159">
        <f>SUMIFS('Future Orders'!$I243, 'Future Orders'!$D243, "3", 'Future Orders'!$C243, "A", 'Future Orders'!$B243, "1")</f>
        <v>0</v>
      </c>
      <c r="AB243" s="159">
        <f>SUMIFS('Future Orders'!$F243, 'Future Orders'!$D243, "3", 'Future Orders'!$C243, "B", 'Future Orders'!$B243, "1")</f>
        <v>0</v>
      </c>
      <c r="AC243" s="159">
        <f>SUMIFS('Future Orders'!$I243, 'Future Orders'!$D243, "3", 'Future Orders'!$C243, "B", 'Future Orders'!$B243, "1")</f>
        <v>0</v>
      </c>
      <c r="AD243" s="159">
        <f>SUMIFS('Future Orders'!$F243, 'Future Orders'!$D243, "3", 'Future Orders'!$C243, "A", 'Future Orders'!$B243, "2")</f>
        <v>0</v>
      </c>
      <c r="AE243" s="159">
        <f>SUMIFS('Future Orders'!$I243, 'Future Orders'!$D243, "3", 'Future Orders'!$C243, "A", 'Future Orders'!$B243, "2")</f>
        <v>0</v>
      </c>
      <c r="AF243" s="159">
        <f>SUMIFS('Future Orders'!$F243, 'Future Orders'!$D243, "3", 'Future Orders'!$C243, "B", 'Future Orders'!$B243, "2")</f>
        <v>0</v>
      </c>
      <c r="AG243" s="157">
        <f>SUMIFS('Future Orders'!$I243, 'Future Orders'!$D243, "3", 'Future Orders'!$C243, "B", 'Future Orders'!$B243, "2")</f>
        <v>0</v>
      </c>
      <c r="AH243" s="157">
        <f>SUMIFS('Future Orders'!$F243, 'Future Orders'!$D243, "4", 'Future Orders'!$C243, "A", 'Future Orders'!$B243, "1")</f>
        <v>0</v>
      </c>
      <c r="AI243" s="157">
        <f>SUMIFS('Future Orders'!$I243, 'Future Orders'!$D243, "4", 'Future Orders'!$C243, "A", 'Future Orders'!$B243, "1")</f>
        <v>0</v>
      </c>
      <c r="AJ243" s="157">
        <f>SUMIFS('Future Orders'!$F243, 'Future Orders'!$D243, "4", 'Future Orders'!$C243, "B", 'Future Orders'!$B243, "1")</f>
        <v>0</v>
      </c>
      <c r="AK243" s="157">
        <f>SUMIFS('Future Orders'!$I243, 'Future Orders'!$D243, "4", 'Future Orders'!$C243, "B", 'Future Orders'!$B243, "1")</f>
        <v>0</v>
      </c>
      <c r="AL243" s="157">
        <f>SUMIFS('Future Orders'!$F243, 'Future Orders'!$D243, "4", 'Future Orders'!$C243, "A", 'Future Orders'!$B243, "2")</f>
        <v>0</v>
      </c>
      <c r="AM243" s="157">
        <f>SUMIFS('Future Orders'!$I243, 'Future Orders'!$D243, "4", 'Future Orders'!$C243, "A", 'Future Orders'!$B243, "2")</f>
        <v>0</v>
      </c>
      <c r="AN243" s="171">
        <f>SUMIFS('Future Orders'!$F243, 'Future Orders'!$D243, "4", 'Future Orders'!$C243, "B", 'Future Orders'!$B243, "2")</f>
        <v>0</v>
      </c>
      <c r="AO243" s="171">
        <f>SUMIFS('Future Orders'!$I243, 'Future Orders'!$D243, "4", 'Future Orders'!$C243, "B", 'Future Orders'!$B243, "2")</f>
        <v>0</v>
      </c>
      <c r="AP243" s="171">
        <f>SUMIFS('Future Orders'!$H243, 'Future Orders'!$C243, "A", 'Future Orders'!$B243, "1")</f>
        <v>7845.6</v>
      </c>
      <c r="AQ243" s="171">
        <f>SUMIFS('Future Orders'!$I243, 'Future Orders'!$C243, "B", 'Future Orders'!$B243, "1")</f>
        <v>0</v>
      </c>
      <c r="AR243" s="171">
        <f>SUMIFS('Future Orders'!$H243, 'Future Orders'!$C243, "A", 'Future Orders'!$B243, "2")</f>
        <v>0</v>
      </c>
      <c r="AS243" s="171">
        <f>SUMIFS('Future Orders'!$I243, 'Future Orders'!$C243, "B", 'Future Orders'!$B243, "2")</f>
        <v>0</v>
      </c>
      <c r="AT243" s="145"/>
      <c r="AU243" s="172"/>
      <c r="AV243" s="172"/>
      <c r="AW243" s="172"/>
      <c r="AX243" s="172"/>
      <c r="AY243" s="172"/>
      <c r="AZ243" s="172"/>
      <c r="BA243" s="172"/>
      <c r="BB243" s="172"/>
      <c r="BC243" s="172"/>
      <c r="BD243" s="172"/>
      <c r="BE243" s="172"/>
      <c r="BF243" s="172"/>
      <c r="BG243" s="172"/>
      <c r="BH243" s="172"/>
      <c r="BI243" s="172"/>
      <c r="BJ243" s="172"/>
      <c r="BK243" s="172"/>
      <c r="BL243" s="172"/>
      <c r="BM243" s="172"/>
      <c r="BN243" s="172"/>
      <c r="BO243" s="172"/>
      <c r="BP243" s="172"/>
      <c r="BQ243" s="172"/>
      <c r="BR243" s="172"/>
      <c r="BS243" s="172"/>
      <c r="BT243" s="172"/>
      <c r="BU243" s="172"/>
      <c r="BV243" s="172"/>
      <c r="BW243" s="172"/>
      <c r="BX243" s="172"/>
      <c r="BY243" s="172"/>
      <c r="BZ243" s="172"/>
      <c r="CA243" s="179"/>
      <c r="CB243" s="179"/>
      <c r="CC243" s="179"/>
      <c r="CD243" s="179"/>
      <c r="CE243" s="179"/>
      <c r="CF243" s="179"/>
      <c r="CG243" s="179"/>
      <c r="CH243" s="179"/>
      <c r="CI243" s="179"/>
      <c r="CJ243" s="179"/>
      <c r="CK243" s="179"/>
      <c r="CL243" s="179"/>
      <c r="CM243" s="179"/>
      <c r="CN243" s="179"/>
      <c r="CO243" s="179"/>
      <c r="CP243" s="179"/>
    </row>
    <row r="244" ht="15.75" customHeight="1">
      <c r="A244" s="151">
        <v>42135.0</v>
      </c>
      <c r="B244" s="152">
        <v>2.0</v>
      </c>
      <c r="C244" s="152" t="s">
        <v>45</v>
      </c>
      <c r="D244" s="152">
        <v>1.0</v>
      </c>
      <c r="E244" s="153">
        <v>3944.0</v>
      </c>
      <c r="F244" s="153">
        <f>SUM(('Future Orders'!$E244) * (1.1))</f>
        <v>4338.4</v>
      </c>
      <c r="G244" s="154">
        <v>2.2</v>
      </c>
      <c r="H244" s="155">
        <v>8676.800000000001</v>
      </c>
      <c r="I244" s="155">
        <f>SUM(('Future Orders'!$H244) * (1.1))</f>
        <v>9544.48</v>
      </c>
      <c r="J244" s="159">
        <f>SUMIFS('Future Orders'!$F244, 'Future Orders'!$D244, "1", 'Future Orders'!$C244, "A", 'Future Orders'!$B244, "1")</f>
        <v>0</v>
      </c>
      <c r="K244" s="157">
        <f>SUMIFS('Future Orders'!$I244, 'Future Orders'!$D244, "1", 'Future Orders'!$C244, "A", 'Future Orders'!$B244, "1")</f>
        <v>0</v>
      </c>
      <c r="L244" s="157">
        <f>SUMIFS('Future Orders'!$F244, 'Future Orders'!$D244, "1", 'Future Orders'!$C244, "B", 'Future Orders'!$B244, "1")</f>
        <v>0</v>
      </c>
      <c r="M244" s="157">
        <f>SUMIFS('Future Orders'!$I244, 'Future Orders'!$D244, "1", 'Future Orders'!$C244, "B", 'Future Orders'!$B244, "1")</f>
        <v>0</v>
      </c>
      <c r="N244" s="159">
        <f>SUMIFS('Future Orders'!$F244, 'Future Orders'!$D244, "1", 'Future Orders'!$C244, "A", 'Future Orders'!$B244, "2")</f>
        <v>4338.4</v>
      </c>
      <c r="O244" s="157">
        <f>SUMIFS('Future Orders'!$I244, 'Future Orders'!$D244, "1", 'Future Orders'!$C244, "A", 'Future Orders'!$B244, "2")</f>
        <v>9544.48</v>
      </c>
      <c r="P244" s="157">
        <f>SUMIFS('Future Orders'!$E244, 'Future Orders'!$D244, "1", 'Future Orders'!$C244, "B", 'Future Orders'!$B244, "2")</f>
        <v>0</v>
      </c>
      <c r="Q244" s="157">
        <f>SUMIFS('Future Orders'!$I244, 'Future Orders'!$D244, "1", 'Future Orders'!$C244, "B", 'Future Orders'!$B244, "2")</f>
        <v>0</v>
      </c>
      <c r="R244" s="159">
        <f>SUMIFS('Future Orders'!$F244, 'Future Orders'!$D244, "2", 'Future Orders'!$C244, "A", 'Future Orders'!$B244, "1")</f>
        <v>0</v>
      </c>
      <c r="S244" s="157">
        <f>SUMIFS('Future Orders'!$I244, 'Future Orders'!$D244, "2", 'Future Orders'!$C244, "A", 'Future Orders'!$B244, "1")</f>
        <v>0</v>
      </c>
      <c r="T244" s="159">
        <f>SUMIFS('Future Orders'!$F244, 'Future Orders'!$D244, "2", 'Future Orders'!$C244, "B", 'Future Orders'!$B244, "1")</f>
        <v>0</v>
      </c>
      <c r="U244" s="157">
        <f>SUMIFS('Future Orders'!$I244, 'Future Orders'!$D244, "2", 'Future Orders'!$C244, "B", 'Future Orders'!$B244, "1")</f>
        <v>0</v>
      </c>
      <c r="V244" s="159">
        <f>SUMIFS('Future Orders'!$F244, 'Future Orders'!$D244, "2", 'Future Orders'!$C244, "A", 'Future Orders'!$B244, "2")</f>
        <v>0</v>
      </c>
      <c r="W244" s="157">
        <f>SUMIFS('Future Orders'!$I244, 'Future Orders'!$D244, "2", 'Future Orders'!$C244, "A", 'Future Orders'!$B244, "2")</f>
        <v>0</v>
      </c>
      <c r="X244" s="159">
        <f>SUMIFS('Future Orders'!$F244, 'Future Orders'!$D244, "2", 'Future Orders'!$C244, "B", 'Future Orders'!$B244, "2")</f>
        <v>0</v>
      </c>
      <c r="Y244" s="159">
        <f>SUMIFS('Future Orders'!$I244, 'Future Orders'!$D244, "2", 'Future Orders'!$C244, "B", 'Future Orders'!$B244, "2")</f>
        <v>0</v>
      </c>
      <c r="Z244" s="159">
        <f>SUMIFS('Future Orders'!$F244, 'Future Orders'!$D244, "3", 'Future Orders'!$C244, "A", 'Future Orders'!$B244, "1")</f>
        <v>0</v>
      </c>
      <c r="AA244" s="159">
        <f>SUMIFS('Future Orders'!$I244, 'Future Orders'!$D244, "3", 'Future Orders'!$C244, "A", 'Future Orders'!$B244, "1")</f>
        <v>0</v>
      </c>
      <c r="AB244" s="159">
        <f>SUMIFS('Future Orders'!$F244, 'Future Orders'!$D244, "3", 'Future Orders'!$C244, "B", 'Future Orders'!$B244, "1")</f>
        <v>0</v>
      </c>
      <c r="AC244" s="159">
        <f>SUMIFS('Future Orders'!$I244, 'Future Orders'!$D244, "3", 'Future Orders'!$C244, "B", 'Future Orders'!$B244, "1")</f>
        <v>0</v>
      </c>
      <c r="AD244" s="159">
        <f>SUMIFS('Future Orders'!$F244, 'Future Orders'!$D244, "3", 'Future Orders'!$C244, "A", 'Future Orders'!$B244, "2")</f>
        <v>0</v>
      </c>
      <c r="AE244" s="159">
        <f>SUMIFS('Future Orders'!$I244, 'Future Orders'!$D244, "3", 'Future Orders'!$C244, "A", 'Future Orders'!$B244, "2")</f>
        <v>0</v>
      </c>
      <c r="AF244" s="159">
        <f>SUMIFS('Future Orders'!$F244, 'Future Orders'!$D244, "3", 'Future Orders'!$C244, "B", 'Future Orders'!$B244, "2")</f>
        <v>0</v>
      </c>
      <c r="AG244" s="157">
        <f>SUMIFS('Future Orders'!$I244, 'Future Orders'!$D244, "3", 'Future Orders'!$C244, "B", 'Future Orders'!$B244, "2")</f>
        <v>0</v>
      </c>
      <c r="AH244" s="157">
        <f>SUMIFS('Future Orders'!$F244, 'Future Orders'!$D244, "4", 'Future Orders'!$C244, "A", 'Future Orders'!$B244, "1")</f>
        <v>0</v>
      </c>
      <c r="AI244" s="157">
        <f>SUMIFS('Future Orders'!$I244, 'Future Orders'!$D244, "4", 'Future Orders'!$C244, "A", 'Future Orders'!$B244, "1")</f>
        <v>0</v>
      </c>
      <c r="AJ244" s="157">
        <f>SUMIFS('Future Orders'!$F244, 'Future Orders'!$D244, "4", 'Future Orders'!$C244, "B", 'Future Orders'!$B244, "1")</f>
        <v>0</v>
      </c>
      <c r="AK244" s="157">
        <f>SUMIFS('Future Orders'!$I244, 'Future Orders'!$D244, "4", 'Future Orders'!$C244, "B", 'Future Orders'!$B244, "1")</f>
        <v>0</v>
      </c>
      <c r="AL244" s="157">
        <f>SUMIFS('Future Orders'!$F244, 'Future Orders'!$D244, "4", 'Future Orders'!$C244, "A", 'Future Orders'!$B244, "2")</f>
        <v>0</v>
      </c>
      <c r="AM244" s="157">
        <f>SUMIFS('Future Orders'!$I244, 'Future Orders'!$D244, "4", 'Future Orders'!$C244, "A", 'Future Orders'!$B244, "2")</f>
        <v>0</v>
      </c>
      <c r="AN244" s="171">
        <f>SUMIFS('Future Orders'!$F244, 'Future Orders'!$D244, "4", 'Future Orders'!$C244, "B", 'Future Orders'!$B244, "2")</f>
        <v>0</v>
      </c>
      <c r="AO244" s="171">
        <f>SUMIFS('Future Orders'!$I244, 'Future Orders'!$D244, "4", 'Future Orders'!$C244, "B", 'Future Orders'!$B244, "2")</f>
        <v>0</v>
      </c>
      <c r="AP244" s="171">
        <f>SUMIFS('Future Orders'!$H244, 'Future Orders'!$C244, "A", 'Future Orders'!$B244, "1")</f>
        <v>0</v>
      </c>
      <c r="AQ244" s="171">
        <f>SUMIFS('Future Orders'!$I244, 'Future Orders'!$C244, "B", 'Future Orders'!$B244, "1")</f>
        <v>0</v>
      </c>
      <c r="AR244" s="171">
        <f>SUMIFS('Future Orders'!$H244, 'Future Orders'!$C244, "A", 'Future Orders'!$B244, "2")</f>
        <v>8676.8</v>
      </c>
      <c r="AS244" s="171">
        <f>SUMIFS('Future Orders'!$I244, 'Future Orders'!$C244, "B", 'Future Orders'!$B244, "2")</f>
        <v>0</v>
      </c>
      <c r="AT244" s="145"/>
      <c r="AU244" s="172"/>
      <c r="AV244" s="172"/>
      <c r="AW244" s="172"/>
      <c r="AX244" s="172"/>
      <c r="AY244" s="172"/>
      <c r="AZ244" s="172"/>
      <c r="BA244" s="172"/>
      <c r="BB244" s="172"/>
      <c r="BC244" s="172"/>
      <c r="BD244" s="172"/>
      <c r="BE244" s="172"/>
      <c r="BF244" s="172"/>
      <c r="BG244" s="172"/>
      <c r="BH244" s="172"/>
      <c r="BI244" s="172"/>
      <c r="BJ244" s="172"/>
      <c r="BK244" s="172"/>
      <c r="BL244" s="172"/>
      <c r="BM244" s="172"/>
      <c r="BN244" s="172"/>
      <c r="BO244" s="172"/>
      <c r="BP244" s="172"/>
      <c r="BQ244" s="172"/>
      <c r="BR244" s="172"/>
      <c r="BS244" s="172"/>
      <c r="BT244" s="172"/>
      <c r="BU244" s="172"/>
      <c r="BV244" s="172"/>
      <c r="BW244" s="172"/>
      <c r="BX244" s="172"/>
      <c r="BY244" s="172"/>
      <c r="BZ244" s="172"/>
      <c r="CA244" s="179"/>
      <c r="CB244" s="179"/>
      <c r="CC244" s="179"/>
      <c r="CD244" s="179"/>
      <c r="CE244" s="179"/>
      <c r="CF244" s="179"/>
      <c r="CG244" s="179"/>
      <c r="CH244" s="179"/>
      <c r="CI244" s="179"/>
      <c r="CJ244" s="179"/>
      <c r="CK244" s="179"/>
      <c r="CL244" s="179"/>
      <c r="CM244" s="179"/>
      <c r="CN244" s="179"/>
      <c r="CO244" s="179"/>
      <c r="CP244" s="179"/>
    </row>
    <row r="245" ht="15.75" customHeight="1">
      <c r="A245" s="151">
        <v>42135.0</v>
      </c>
      <c r="B245" s="152">
        <v>2.0</v>
      </c>
      <c r="C245" s="152" t="s">
        <v>45</v>
      </c>
      <c r="D245" s="152">
        <v>2.0</v>
      </c>
      <c r="E245" s="153">
        <v>7169.0</v>
      </c>
      <c r="F245" s="153">
        <f>SUM(('Future Orders'!$E245) * (1.1))</f>
        <v>7885.9</v>
      </c>
      <c r="G245" s="154">
        <v>1.2</v>
      </c>
      <c r="H245" s="155">
        <v>8602.8</v>
      </c>
      <c r="I245" s="155">
        <f>SUM(('Future Orders'!$H245) * (1.1))</f>
        <v>9463.08</v>
      </c>
      <c r="J245" s="159">
        <f>SUMIFS('Future Orders'!$F245, 'Future Orders'!$D245, "1", 'Future Orders'!$C245, "A", 'Future Orders'!$B245, "1")</f>
        <v>0</v>
      </c>
      <c r="K245" s="157">
        <f>SUMIFS('Future Orders'!$I245, 'Future Orders'!$D245, "1", 'Future Orders'!$C245, "A", 'Future Orders'!$B245, "1")</f>
        <v>0</v>
      </c>
      <c r="L245" s="157">
        <f>SUMIFS('Future Orders'!$F245, 'Future Orders'!$D245, "1", 'Future Orders'!$C245, "B", 'Future Orders'!$B245, "1")</f>
        <v>0</v>
      </c>
      <c r="M245" s="157">
        <f>SUMIFS('Future Orders'!$I245, 'Future Orders'!$D245, "1", 'Future Orders'!$C245, "B", 'Future Orders'!$B245, "1")</f>
        <v>0</v>
      </c>
      <c r="N245" s="159">
        <f>SUMIFS('Future Orders'!$F245, 'Future Orders'!$D245, "1", 'Future Orders'!$C245, "A", 'Future Orders'!$B245, "2")</f>
        <v>0</v>
      </c>
      <c r="O245" s="157">
        <f>SUMIFS('Future Orders'!$I245, 'Future Orders'!$D245, "1", 'Future Orders'!$C245, "A", 'Future Orders'!$B245, "2")</f>
        <v>0</v>
      </c>
      <c r="P245" s="157">
        <f>SUMIFS('Future Orders'!$E245, 'Future Orders'!$D245, "1", 'Future Orders'!$C245, "B", 'Future Orders'!$B245, "2")</f>
        <v>0</v>
      </c>
      <c r="Q245" s="157">
        <f>SUMIFS('Future Orders'!$I245, 'Future Orders'!$D245, "1", 'Future Orders'!$C245, "B", 'Future Orders'!$B245, "2")</f>
        <v>0</v>
      </c>
      <c r="R245" s="159">
        <f>SUMIFS('Future Orders'!$F245, 'Future Orders'!$D245, "2", 'Future Orders'!$C245, "A", 'Future Orders'!$B245, "1")</f>
        <v>0</v>
      </c>
      <c r="S245" s="157">
        <f>SUMIFS('Future Orders'!$I245, 'Future Orders'!$D245, "2", 'Future Orders'!$C245, "A", 'Future Orders'!$B245, "1")</f>
        <v>0</v>
      </c>
      <c r="T245" s="159">
        <f>SUMIFS('Future Orders'!$F245, 'Future Orders'!$D245, "2", 'Future Orders'!$C245, "B", 'Future Orders'!$B245, "1")</f>
        <v>0</v>
      </c>
      <c r="U245" s="157">
        <f>SUMIFS('Future Orders'!$I245, 'Future Orders'!$D245, "2", 'Future Orders'!$C245, "B", 'Future Orders'!$B245, "1")</f>
        <v>0</v>
      </c>
      <c r="V245" s="159">
        <f>SUMIFS('Future Orders'!$F245, 'Future Orders'!$D245, "2", 'Future Orders'!$C245, "A", 'Future Orders'!$B245, "2")</f>
        <v>7885.9</v>
      </c>
      <c r="W245" s="157">
        <f>SUMIFS('Future Orders'!$I245, 'Future Orders'!$D245, "2", 'Future Orders'!$C245, "A", 'Future Orders'!$B245, "2")</f>
        <v>9463.08</v>
      </c>
      <c r="X245" s="159">
        <f>SUMIFS('Future Orders'!$F245, 'Future Orders'!$D245, "2", 'Future Orders'!$C245, "B", 'Future Orders'!$B245, "2")</f>
        <v>0</v>
      </c>
      <c r="Y245" s="159">
        <f>SUMIFS('Future Orders'!$I245, 'Future Orders'!$D245, "2", 'Future Orders'!$C245, "B", 'Future Orders'!$B245, "2")</f>
        <v>0</v>
      </c>
      <c r="Z245" s="159">
        <f>SUMIFS('Future Orders'!$F245, 'Future Orders'!$D245, "3", 'Future Orders'!$C245, "A", 'Future Orders'!$B245, "1")</f>
        <v>0</v>
      </c>
      <c r="AA245" s="159">
        <f>SUMIFS('Future Orders'!$I245, 'Future Orders'!$D245, "3", 'Future Orders'!$C245, "A", 'Future Orders'!$B245, "1")</f>
        <v>0</v>
      </c>
      <c r="AB245" s="159">
        <f>SUMIFS('Future Orders'!$F245, 'Future Orders'!$D245, "3", 'Future Orders'!$C245, "B", 'Future Orders'!$B245, "1")</f>
        <v>0</v>
      </c>
      <c r="AC245" s="159">
        <f>SUMIFS('Future Orders'!$I245, 'Future Orders'!$D245, "3", 'Future Orders'!$C245, "B", 'Future Orders'!$B245, "1")</f>
        <v>0</v>
      </c>
      <c r="AD245" s="159">
        <f>SUMIFS('Future Orders'!$F245, 'Future Orders'!$D245, "3", 'Future Orders'!$C245, "A", 'Future Orders'!$B245, "2")</f>
        <v>0</v>
      </c>
      <c r="AE245" s="159">
        <f>SUMIFS('Future Orders'!$I245, 'Future Orders'!$D245, "3", 'Future Orders'!$C245, "A", 'Future Orders'!$B245, "2")</f>
        <v>0</v>
      </c>
      <c r="AF245" s="159">
        <f>SUMIFS('Future Orders'!$F245, 'Future Orders'!$D245, "3", 'Future Orders'!$C245, "B", 'Future Orders'!$B245, "2")</f>
        <v>0</v>
      </c>
      <c r="AG245" s="157">
        <f>SUMIFS('Future Orders'!$I245, 'Future Orders'!$D245, "3", 'Future Orders'!$C245, "B", 'Future Orders'!$B245, "2")</f>
        <v>0</v>
      </c>
      <c r="AH245" s="157">
        <f>SUMIFS('Future Orders'!$F245, 'Future Orders'!$D245, "4", 'Future Orders'!$C245, "A", 'Future Orders'!$B245, "1")</f>
        <v>0</v>
      </c>
      <c r="AI245" s="157">
        <f>SUMIFS('Future Orders'!$I245, 'Future Orders'!$D245, "4", 'Future Orders'!$C245, "A", 'Future Orders'!$B245, "1")</f>
        <v>0</v>
      </c>
      <c r="AJ245" s="157">
        <f>SUMIFS('Future Orders'!$F245, 'Future Orders'!$D245, "4", 'Future Orders'!$C245, "B", 'Future Orders'!$B245, "1")</f>
        <v>0</v>
      </c>
      <c r="AK245" s="157">
        <f>SUMIFS('Future Orders'!$I245, 'Future Orders'!$D245, "4", 'Future Orders'!$C245, "B", 'Future Orders'!$B245, "1")</f>
        <v>0</v>
      </c>
      <c r="AL245" s="157">
        <f>SUMIFS('Future Orders'!$F245, 'Future Orders'!$D245, "4", 'Future Orders'!$C245, "A", 'Future Orders'!$B245, "2")</f>
        <v>0</v>
      </c>
      <c r="AM245" s="157">
        <f>SUMIFS('Future Orders'!$I245, 'Future Orders'!$D245, "4", 'Future Orders'!$C245, "A", 'Future Orders'!$B245, "2")</f>
        <v>0</v>
      </c>
      <c r="AN245" s="171">
        <f>SUMIFS('Future Orders'!$F245, 'Future Orders'!$D245, "4", 'Future Orders'!$C245, "B", 'Future Orders'!$B245, "2")</f>
        <v>0</v>
      </c>
      <c r="AO245" s="171">
        <f>SUMIFS('Future Orders'!$I245, 'Future Orders'!$D245, "4", 'Future Orders'!$C245, "B", 'Future Orders'!$B245, "2")</f>
        <v>0</v>
      </c>
      <c r="AP245" s="171">
        <f>SUMIFS('Future Orders'!$H245, 'Future Orders'!$C245, "A", 'Future Orders'!$B245, "1")</f>
        <v>0</v>
      </c>
      <c r="AQ245" s="171">
        <f>SUMIFS('Future Orders'!$I245, 'Future Orders'!$C245, "B", 'Future Orders'!$B245, "1")</f>
        <v>0</v>
      </c>
      <c r="AR245" s="171">
        <f>SUMIFS('Future Orders'!$H245, 'Future Orders'!$C245, "A", 'Future Orders'!$B245, "2")</f>
        <v>8602.8</v>
      </c>
      <c r="AS245" s="171">
        <f>SUMIFS('Future Orders'!$I245, 'Future Orders'!$C245, "B", 'Future Orders'!$B245, "2")</f>
        <v>0</v>
      </c>
      <c r="AT245" s="145"/>
      <c r="AU245" s="172"/>
      <c r="AV245" s="172"/>
      <c r="AW245" s="172"/>
      <c r="AX245" s="172"/>
      <c r="AY245" s="172"/>
      <c r="AZ245" s="172"/>
      <c r="BA245" s="172"/>
      <c r="BB245" s="172"/>
      <c r="BC245" s="172"/>
      <c r="BD245" s="172"/>
      <c r="BE245" s="172"/>
      <c r="BF245" s="172"/>
      <c r="BG245" s="172"/>
      <c r="BH245" s="172"/>
      <c r="BI245" s="172"/>
      <c r="BJ245" s="172"/>
      <c r="BK245" s="172"/>
      <c r="BL245" s="172"/>
      <c r="BM245" s="172"/>
      <c r="BN245" s="172"/>
      <c r="BO245" s="172"/>
      <c r="BP245" s="172"/>
      <c r="BQ245" s="172"/>
      <c r="BR245" s="172"/>
      <c r="BS245" s="172"/>
      <c r="BT245" s="172"/>
      <c r="BU245" s="172"/>
      <c r="BV245" s="172"/>
      <c r="BW245" s="172"/>
      <c r="BX245" s="172"/>
      <c r="BY245" s="172"/>
      <c r="BZ245" s="172"/>
      <c r="CA245" s="179"/>
      <c r="CB245" s="179"/>
      <c r="CC245" s="179"/>
      <c r="CD245" s="179"/>
      <c r="CE245" s="179"/>
      <c r="CF245" s="179"/>
      <c r="CG245" s="179"/>
      <c r="CH245" s="179"/>
      <c r="CI245" s="179"/>
      <c r="CJ245" s="179"/>
      <c r="CK245" s="179"/>
      <c r="CL245" s="179"/>
      <c r="CM245" s="179"/>
      <c r="CN245" s="179"/>
      <c r="CO245" s="179"/>
      <c r="CP245" s="179"/>
    </row>
    <row r="246" ht="15.75" customHeight="1">
      <c r="A246" s="151">
        <v>42135.0</v>
      </c>
      <c r="B246" s="152">
        <v>1.0</v>
      </c>
      <c r="C246" s="152" t="s">
        <v>46</v>
      </c>
      <c r="D246" s="152">
        <v>3.0</v>
      </c>
      <c r="E246" s="153">
        <v>2442.0</v>
      </c>
      <c r="F246" s="153">
        <f>SUM(('Future Orders'!$E246) * (1.1))</f>
        <v>2686.2</v>
      </c>
      <c r="G246" s="154">
        <v>8.3</v>
      </c>
      <c r="H246" s="155">
        <v>20268.600000000002</v>
      </c>
      <c r="I246" s="155">
        <f>SUM(('Future Orders'!$H246) * (1.1))</f>
        <v>22295.46</v>
      </c>
      <c r="J246" s="159">
        <f>SUMIFS('Future Orders'!$F246, 'Future Orders'!$D246, "1", 'Future Orders'!$C246, "A", 'Future Orders'!$B246, "1")</f>
        <v>0</v>
      </c>
      <c r="K246" s="157">
        <f>SUMIFS('Future Orders'!$I246, 'Future Orders'!$D246, "1", 'Future Orders'!$C246, "A", 'Future Orders'!$B246, "1")</f>
        <v>0</v>
      </c>
      <c r="L246" s="157">
        <f>SUMIFS('Future Orders'!$F246, 'Future Orders'!$D246, "1", 'Future Orders'!$C246, "B", 'Future Orders'!$B246, "1")</f>
        <v>0</v>
      </c>
      <c r="M246" s="157">
        <f>SUMIFS('Future Orders'!$I246, 'Future Orders'!$D246, "1", 'Future Orders'!$C246, "B", 'Future Orders'!$B246, "1")</f>
        <v>0</v>
      </c>
      <c r="N246" s="159">
        <f>SUMIFS('Future Orders'!$F246, 'Future Orders'!$D246, "1", 'Future Orders'!$C246, "A", 'Future Orders'!$B246, "2")</f>
        <v>0</v>
      </c>
      <c r="O246" s="157">
        <f>SUMIFS('Future Orders'!$I246, 'Future Orders'!$D246, "1", 'Future Orders'!$C246, "A", 'Future Orders'!$B246, "2")</f>
        <v>0</v>
      </c>
      <c r="P246" s="157">
        <f>SUMIFS('Future Orders'!$E246, 'Future Orders'!$D246, "1", 'Future Orders'!$C246, "B", 'Future Orders'!$B246, "2")</f>
        <v>0</v>
      </c>
      <c r="Q246" s="157">
        <f>SUMIFS('Future Orders'!$I246, 'Future Orders'!$D246, "1", 'Future Orders'!$C246, "B", 'Future Orders'!$B246, "2")</f>
        <v>0</v>
      </c>
      <c r="R246" s="159">
        <f>SUMIFS('Future Orders'!$F246, 'Future Orders'!$D246, "2", 'Future Orders'!$C246, "A", 'Future Orders'!$B246, "1")</f>
        <v>0</v>
      </c>
      <c r="S246" s="157">
        <f>SUMIFS('Future Orders'!$I246, 'Future Orders'!$D246, "2", 'Future Orders'!$C246, "A", 'Future Orders'!$B246, "1")</f>
        <v>0</v>
      </c>
      <c r="T246" s="159">
        <f>SUMIFS('Future Orders'!$F246, 'Future Orders'!$D246, "2", 'Future Orders'!$C246, "B", 'Future Orders'!$B246, "1")</f>
        <v>0</v>
      </c>
      <c r="U246" s="157">
        <f>SUMIFS('Future Orders'!$I246, 'Future Orders'!$D246, "2", 'Future Orders'!$C246, "B", 'Future Orders'!$B246, "1")</f>
        <v>0</v>
      </c>
      <c r="V246" s="159">
        <f>SUMIFS('Future Orders'!$F246, 'Future Orders'!$D246, "2", 'Future Orders'!$C246, "A", 'Future Orders'!$B246, "2")</f>
        <v>0</v>
      </c>
      <c r="W246" s="157">
        <f>SUMIFS('Future Orders'!$I246, 'Future Orders'!$D246, "2", 'Future Orders'!$C246, "A", 'Future Orders'!$B246, "2")</f>
        <v>0</v>
      </c>
      <c r="X246" s="159">
        <f>SUMIFS('Future Orders'!$F246, 'Future Orders'!$D246, "2", 'Future Orders'!$C246, "B", 'Future Orders'!$B246, "2")</f>
        <v>0</v>
      </c>
      <c r="Y246" s="159">
        <f>SUMIFS('Future Orders'!$I246, 'Future Orders'!$D246, "2", 'Future Orders'!$C246, "B", 'Future Orders'!$B246, "2")</f>
        <v>0</v>
      </c>
      <c r="Z246" s="159">
        <f>SUMIFS('Future Orders'!$F246, 'Future Orders'!$D246, "3", 'Future Orders'!$C246, "A", 'Future Orders'!$B246, "1")</f>
        <v>0</v>
      </c>
      <c r="AA246" s="159">
        <f>SUMIFS('Future Orders'!$I246, 'Future Orders'!$D246, "3", 'Future Orders'!$C246, "A", 'Future Orders'!$B246, "1")</f>
        <v>0</v>
      </c>
      <c r="AB246" s="159">
        <f>SUMIFS('Future Orders'!$F246, 'Future Orders'!$D246, "3", 'Future Orders'!$C246, "B", 'Future Orders'!$B246, "1")</f>
        <v>2686.2</v>
      </c>
      <c r="AC246" s="159">
        <f>SUMIFS('Future Orders'!$I246, 'Future Orders'!$D246, "3", 'Future Orders'!$C246, "B", 'Future Orders'!$B246, "1")</f>
        <v>22295.46</v>
      </c>
      <c r="AD246" s="159">
        <f>SUMIFS('Future Orders'!$F246, 'Future Orders'!$D246, "3", 'Future Orders'!$C246, "A", 'Future Orders'!$B246, "2")</f>
        <v>0</v>
      </c>
      <c r="AE246" s="159">
        <f>SUMIFS('Future Orders'!$I246, 'Future Orders'!$D246, "3", 'Future Orders'!$C246, "A", 'Future Orders'!$B246, "2")</f>
        <v>0</v>
      </c>
      <c r="AF246" s="159">
        <f>SUMIFS('Future Orders'!$F246, 'Future Orders'!$D246, "3", 'Future Orders'!$C246, "B", 'Future Orders'!$B246, "2")</f>
        <v>0</v>
      </c>
      <c r="AG246" s="157">
        <f>SUMIFS('Future Orders'!$I246, 'Future Orders'!$D246, "3", 'Future Orders'!$C246, "B", 'Future Orders'!$B246, "2")</f>
        <v>0</v>
      </c>
      <c r="AH246" s="157">
        <f>SUMIFS('Future Orders'!$F246, 'Future Orders'!$D246, "4", 'Future Orders'!$C246, "A", 'Future Orders'!$B246, "1")</f>
        <v>0</v>
      </c>
      <c r="AI246" s="157">
        <f>SUMIFS('Future Orders'!$I246, 'Future Orders'!$D246, "4", 'Future Orders'!$C246, "A", 'Future Orders'!$B246, "1")</f>
        <v>0</v>
      </c>
      <c r="AJ246" s="157">
        <f>SUMIFS('Future Orders'!$F246, 'Future Orders'!$D246, "4", 'Future Orders'!$C246, "B", 'Future Orders'!$B246, "1")</f>
        <v>0</v>
      </c>
      <c r="AK246" s="157">
        <f>SUMIFS('Future Orders'!$I246, 'Future Orders'!$D246, "4", 'Future Orders'!$C246, "B", 'Future Orders'!$B246, "1")</f>
        <v>0</v>
      </c>
      <c r="AL246" s="157">
        <f>SUMIFS('Future Orders'!$F246, 'Future Orders'!$D246, "4", 'Future Orders'!$C246, "A", 'Future Orders'!$B246, "2")</f>
        <v>0</v>
      </c>
      <c r="AM246" s="157">
        <f>SUMIFS('Future Orders'!$I246, 'Future Orders'!$D246, "4", 'Future Orders'!$C246, "A", 'Future Orders'!$B246, "2")</f>
        <v>0</v>
      </c>
      <c r="AN246" s="171">
        <f>SUMIFS('Future Orders'!$F246, 'Future Orders'!$D246, "4", 'Future Orders'!$C246, "B", 'Future Orders'!$B246, "2")</f>
        <v>0</v>
      </c>
      <c r="AO246" s="171">
        <f>SUMIFS('Future Orders'!$I246, 'Future Orders'!$D246, "4", 'Future Orders'!$C246, "B", 'Future Orders'!$B246, "2")</f>
        <v>0</v>
      </c>
      <c r="AP246" s="171">
        <f>SUMIFS('Future Orders'!$H246, 'Future Orders'!$C246, "A", 'Future Orders'!$B246, "1")</f>
        <v>0</v>
      </c>
      <c r="AQ246" s="171">
        <f>SUMIFS('Future Orders'!$I246, 'Future Orders'!$C246, "B", 'Future Orders'!$B246, "1")</f>
        <v>22295.46</v>
      </c>
      <c r="AR246" s="171">
        <f>SUMIFS('Future Orders'!$H246, 'Future Orders'!$C246, "A", 'Future Orders'!$B246, "2")</f>
        <v>0</v>
      </c>
      <c r="AS246" s="171">
        <f>SUMIFS('Future Orders'!$I246, 'Future Orders'!$C246, "B", 'Future Orders'!$B246, "2")</f>
        <v>0</v>
      </c>
      <c r="AT246" s="145"/>
      <c r="AU246" s="172"/>
      <c r="AV246" s="172"/>
      <c r="AW246" s="172"/>
      <c r="AX246" s="172"/>
      <c r="AY246" s="172"/>
      <c r="AZ246" s="172"/>
      <c r="BA246" s="172"/>
      <c r="BB246" s="172"/>
      <c r="BC246" s="172"/>
      <c r="BD246" s="172"/>
      <c r="BE246" s="172"/>
      <c r="BF246" s="172"/>
      <c r="BG246" s="172"/>
      <c r="BH246" s="172"/>
      <c r="BI246" s="172"/>
      <c r="BJ246" s="172"/>
      <c r="BK246" s="172"/>
      <c r="BL246" s="172"/>
      <c r="BM246" s="172"/>
      <c r="BN246" s="172"/>
      <c r="BO246" s="172"/>
      <c r="BP246" s="172"/>
      <c r="BQ246" s="172"/>
      <c r="BR246" s="172"/>
      <c r="BS246" s="172"/>
      <c r="BT246" s="172"/>
      <c r="BU246" s="172"/>
      <c r="BV246" s="172"/>
      <c r="BW246" s="172"/>
      <c r="BX246" s="172"/>
      <c r="BY246" s="172"/>
      <c r="BZ246" s="172"/>
      <c r="CA246" s="179"/>
      <c r="CB246" s="179"/>
      <c r="CC246" s="179"/>
      <c r="CD246" s="179"/>
      <c r="CE246" s="179"/>
      <c r="CF246" s="179"/>
      <c r="CG246" s="179"/>
      <c r="CH246" s="179"/>
      <c r="CI246" s="179"/>
      <c r="CJ246" s="179"/>
      <c r="CK246" s="179"/>
      <c r="CL246" s="179"/>
      <c r="CM246" s="179"/>
      <c r="CN246" s="179"/>
      <c r="CO246" s="179"/>
      <c r="CP246" s="179"/>
    </row>
    <row r="247" ht="15.75" customHeight="1">
      <c r="A247" s="151">
        <v>42135.0</v>
      </c>
      <c r="B247" s="152">
        <v>2.0</v>
      </c>
      <c r="C247" s="152" t="s">
        <v>46</v>
      </c>
      <c r="D247" s="152">
        <v>3.0</v>
      </c>
      <c r="E247" s="153">
        <v>3071.0</v>
      </c>
      <c r="F247" s="153">
        <f>SUM(('Future Orders'!$E247) * (1.1))</f>
        <v>3378.1</v>
      </c>
      <c r="G247" s="154">
        <v>8.3</v>
      </c>
      <c r="H247" s="155">
        <v>25489.300000000003</v>
      </c>
      <c r="I247" s="155">
        <f>SUM(('Future Orders'!$H247) * (1.1))</f>
        <v>28038.23</v>
      </c>
      <c r="J247" s="159">
        <f>SUMIFS('Future Orders'!$F247, 'Future Orders'!$D247, "1", 'Future Orders'!$C247, "A", 'Future Orders'!$B247, "1")</f>
        <v>0</v>
      </c>
      <c r="K247" s="157">
        <f>SUMIFS('Future Orders'!$I247, 'Future Orders'!$D247, "1", 'Future Orders'!$C247, "A", 'Future Orders'!$B247, "1")</f>
        <v>0</v>
      </c>
      <c r="L247" s="157">
        <f>SUMIFS('Future Orders'!$F247, 'Future Orders'!$D247, "1", 'Future Orders'!$C247, "B", 'Future Orders'!$B247, "1")</f>
        <v>0</v>
      </c>
      <c r="M247" s="157">
        <f>SUMIFS('Future Orders'!$I247, 'Future Orders'!$D247, "1", 'Future Orders'!$C247, "B", 'Future Orders'!$B247, "1")</f>
        <v>0</v>
      </c>
      <c r="N247" s="159">
        <f>SUMIFS('Future Orders'!$F247, 'Future Orders'!$D247, "1", 'Future Orders'!$C247, "A", 'Future Orders'!$B247, "2")</f>
        <v>0</v>
      </c>
      <c r="O247" s="157">
        <f>SUMIFS('Future Orders'!$I247, 'Future Orders'!$D247, "1", 'Future Orders'!$C247, "A", 'Future Orders'!$B247, "2")</f>
        <v>0</v>
      </c>
      <c r="P247" s="157">
        <f>SUMIFS('Future Orders'!$E247, 'Future Orders'!$D247, "1", 'Future Orders'!$C247, "B", 'Future Orders'!$B247, "2")</f>
        <v>0</v>
      </c>
      <c r="Q247" s="157">
        <f>SUMIFS('Future Orders'!$I247, 'Future Orders'!$D247, "1", 'Future Orders'!$C247, "B", 'Future Orders'!$B247, "2")</f>
        <v>0</v>
      </c>
      <c r="R247" s="159">
        <f>SUMIFS('Future Orders'!$F247, 'Future Orders'!$D247, "2", 'Future Orders'!$C247, "A", 'Future Orders'!$B247, "1")</f>
        <v>0</v>
      </c>
      <c r="S247" s="157">
        <f>SUMIFS('Future Orders'!$I247, 'Future Orders'!$D247, "2", 'Future Orders'!$C247, "A", 'Future Orders'!$B247, "1")</f>
        <v>0</v>
      </c>
      <c r="T247" s="159">
        <f>SUMIFS('Future Orders'!$F247, 'Future Orders'!$D247, "2", 'Future Orders'!$C247, "B", 'Future Orders'!$B247, "1")</f>
        <v>0</v>
      </c>
      <c r="U247" s="157">
        <f>SUMIFS('Future Orders'!$I247, 'Future Orders'!$D247, "2", 'Future Orders'!$C247, "B", 'Future Orders'!$B247, "1")</f>
        <v>0</v>
      </c>
      <c r="V247" s="159">
        <f>SUMIFS('Future Orders'!$F247, 'Future Orders'!$D247, "2", 'Future Orders'!$C247, "A", 'Future Orders'!$B247, "2")</f>
        <v>0</v>
      </c>
      <c r="W247" s="157">
        <f>SUMIFS('Future Orders'!$I247, 'Future Orders'!$D247, "2", 'Future Orders'!$C247, "A", 'Future Orders'!$B247, "2")</f>
        <v>0</v>
      </c>
      <c r="X247" s="159">
        <f>SUMIFS('Future Orders'!$F247, 'Future Orders'!$D247, "2", 'Future Orders'!$C247, "B", 'Future Orders'!$B247, "2")</f>
        <v>0</v>
      </c>
      <c r="Y247" s="159">
        <f>SUMIFS('Future Orders'!$I247, 'Future Orders'!$D247, "2", 'Future Orders'!$C247, "B", 'Future Orders'!$B247, "2")</f>
        <v>0</v>
      </c>
      <c r="Z247" s="159">
        <f>SUMIFS('Future Orders'!$F247, 'Future Orders'!$D247, "3", 'Future Orders'!$C247, "A", 'Future Orders'!$B247, "1")</f>
        <v>0</v>
      </c>
      <c r="AA247" s="159">
        <f>SUMIFS('Future Orders'!$I247, 'Future Orders'!$D247, "3", 'Future Orders'!$C247, "A", 'Future Orders'!$B247, "1")</f>
        <v>0</v>
      </c>
      <c r="AB247" s="159">
        <f>SUMIFS('Future Orders'!$F247, 'Future Orders'!$D247, "3", 'Future Orders'!$C247, "B", 'Future Orders'!$B247, "1")</f>
        <v>0</v>
      </c>
      <c r="AC247" s="159">
        <f>SUMIFS('Future Orders'!$I247, 'Future Orders'!$D247, "3", 'Future Orders'!$C247, "B", 'Future Orders'!$B247, "1")</f>
        <v>0</v>
      </c>
      <c r="AD247" s="159">
        <f>SUMIFS('Future Orders'!$F247, 'Future Orders'!$D247, "3", 'Future Orders'!$C247, "A", 'Future Orders'!$B247, "2")</f>
        <v>0</v>
      </c>
      <c r="AE247" s="159">
        <f>SUMIFS('Future Orders'!$I247, 'Future Orders'!$D247, "3", 'Future Orders'!$C247, "A", 'Future Orders'!$B247, "2")</f>
        <v>0</v>
      </c>
      <c r="AF247" s="159">
        <f>SUMIFS('Future Orders'!$F247, 'Future Orders'!$D247, "3", 'Future Orders'!$C247, "B", 'Future Orders'!$B247, "2")</f>
        <v>3378.1</v>
      </c>
      <c r="AG247" s="157">
        <f>SUMIFS('Future Orders'!$I247, 'Future Orders'!$D247, "3", 'Future Orders'!$C247, "B", 'Future Orders'!$B247, "2")</f>
        <v>28038.23</v>
      </c>
      <c r="AH247" s="157">
        <f>SUMIFS('Future Orders'!$F247, 'Future Orders'!$D247, "4", 'Future Orders'!$C247, "A", 'Future Orders'!$B247, "1")</f>
        <v>0</v>
      </c>
      <c r="AI247" s="157">
        <f>SUMIFS('Future Orders'!$I247, 'Future Orders'!$D247, "4", 'Future Orders'!$C247, "A", 'Future Orders'!$B247, "1")</f>
        <v>0</v>
      </c>
      <c r="AJ247" s="157">
        <f>SUMIFS('Future Orders'!$F247, 'Future Orders'!$D247, "4", 'Future Orders'!$C247, "B", 'Future Orders'!$B247, "1")</f>
        <v>0</v>
      </c>
      <c r="AK247" s="157">
        <f>SUMIFS('Future Orders'!$I247, 'Future Orders'!$D247, "4", 'Future Orders'!$C247, "B", 'Future Orders'!$B247, "1")</f>
        <v>0</v>
      </c>
      <c r="AL247" s="157">
        <f>SUMIFS('Future Orders'!$F247, 'Future Orders'!$D247, "4", 'Future Orders'!$C247, "A", 'Future Orders'!$B247, "2")</f>
        <v>0</v>
      </c>
      <c r="AM247" s="157">
        <f>SUMIFS('Future Orders'!$I247, 'Future Orders'!$D247, "4", 'Future Orders'!$C247, "A", 'Future Orders'!$B247, "2")</f>
        <v>0</v>
      </c>
      <c r="AN247" s="171">
        <f>SUMIFS('Future Orders'!$F247, 'Future Orders'!$D247, "4", 'Future Orders'!$C247, "B", 'Future Orders'!$B247, "2")</f>
        <v>0</v>
      </c>
      <c r="AO247" s="171">
        <f>SUMIFS('Future Orders'!$I247, 'Future Orders'!$D247, "4", 'Future Orders'!$C247, "B", 'Future Orders'!$B247, "2")</f>
        <v>0</v>
      </c>
      <c r="AP247" s="171">
        <f>SUMIFS('Future Orders'!$H247, 'Future Orders'!$C247, "A", 'Future Orders'!$B247, "1")</f>
        <v>0</v>
      </c>
      <c r="AQ247" s="171">
        <f>SUMIFS('Future Orders'!$I247, 'Future Orders'!$C247, "B", 'Future Orders'!$B247, "1")</f>
        <v>0</v>
      </c>
      <c r="AR247" s="171">
        <f>SUMIFS('Future Orders'!$H247, 'Future Orders'!$C247, "A", 'Future Orders'!$B247, "2")</f>
        <v>0</v>
      </c>
      <c r="AS247" s="171">
        <f>SUMIFS('Future Orders'!$I247, 'Future Orders'!$C247, "B", 'Future Orders'!$B247, "2")</f>
        <v>28038.23</v>
      </c>
      <c r="AT247" s="145"/>
      <c r="AU247" s="172"/>
      <c r="AV247" s="172"/>
      <c r="AW247" s="172"/>
      <c r="AX247" s="172"/>
      <c r="AY247" s="172"/>
      <c r="AZ247" s="172"/>
      <c r="BA247" s="172"/>
      <c r="BB247" s="172"/>
      <c r="BC247" s="172"/>
      <c r="BD247" s="172"/>
      <c r="BE247" s="172"/>
      <c r="BF247" s="172"/>
      <c r="BG247" s="172"/>
      <c r="BH247" s="172"/>
      <c r="BI247" s="172"/>
      <c r="BJ247" s="172"/>
      <c r="BK247" s="172"/>
      <c r="BL247" s="172"/>
      <c r="BM247" s="172"/>
      <c r="BN247" s="172"/>
      <c r="BO247" s="172"/>
      <c r="BP247" s="172"/>
      <c r="BQ247" s="172"/>
      <c r="BR247" s="172"/>
      <c r="BS247" s="172"/>
      <c r="BT247" s="172"/>
      <c r="BU247" s="172"/>
      <c r="BV247" s="172"/>
      <c r="BW247" s="172"/>
      <c r="BX247" s="172"/>
      <c r="BY247" s="172"/>
      <c r="BZ247" s="172"/>
      <c r="CA247" s="179"/>
      <c r="CB247" s="179"/>
      <c r="CC247" s="179"/>
      <c r="CD247" s="179"/>
      <c r="CE247" s="179"/>
      <c r="CF247" s="179"/>
      <c r="CG247" s="179"/>
      <c r="CH247" s="179"/>
      <c r="CI247" s="179"/>
      <c r="CJ247" s="179"/>
      <c r="CK247" s="179"/>
      <c r="CL247" s="179"/>
      <c r="CM247" s="179"/>
      <c r="CN247" s="179"/>
      <c r="CO247" s="179"/>
      <c r="CP247" s="179"/>
    </row>
    <row r="248" ht="15.75" customHeight="1">
      <c r="A248" s="151">
        <v>42142.0</v>
      </c>
      <c r="B248" s="152">
        <v>1.0</v>
      </c>
      <c r="C248" s="152" t="s">
        <v>45</v>
      </c>
      <c r="D248" s="152">
        <v>1.0</v>
      </c>
      <c r="E248" s="153">
        <v>5205.0</v>
      </c>
      <c r="F248" s="153">
        <f>SUM(('Future Orders'!$E248) * (1.1))</f>
        <v>5725.5</v>
      </c>
      <c r="G248" s="154">
        <v>2.2</v>
      </c>
      <c r="H248" s="155">
        <v>11451.000000000002</v>
      </c>
      <c r="I248" s="155">
        <f>SUM(('Future Orders'!$H248) * (1.1))</f>
        <v>12596.1</v>
      </c>
      <c r="J248" s="159">
        <f>SUMIFS('Future Orders'!$F248, 'Future Orders'!$D248, "1", 'Future Orders'!$C248, "A", 'Future Orders'!$B248, "1")</f>
        <v>5725.5</v>
      </c>
      <c r="K248" s="157">
        <f>SUMIFS('Future Orders'!$I248, 'Future Orders'!$D248, "1", 'Future Orders'!$C248, "A", 'Future Orders'!$B248, "1")</f>
        <v>12596.1</v>
      </c>
      <c r="L248" s="157">
        <f>SUMIFS('Future Orders'!$F248, 'Future Orders'!$D248, "1", 'Future Orders'!$C248, "B", 'Future Orders'!$B248, "1")</f>
        <v>0</v>
      </c>
      <c r="M248" s="157">
        <f>SUMIFS('Future Orders'!$I248, 'Future Orders'!$D248, "1", 'Future Orders'!$C248, "B", 'Future Orders'!$B248, "1")</f>
        <v>0</v>
      </c>
      <c r="N248" s="159">
        <f>SUMIFS('Future Orders'!$F248, 'Future Orders'!$D248, "1", 'Future Orders'!$C248, "A", 'Future Orders'!$B248, "2")</f>
        <v>0</v>
      </c>
      <c r="O248" s="157">
        <f>SUMIFS('Future Orders'!$I248, 'Future Orders'!$D248, "1", 'Future Orders'!$C248, "A", 'Future Orders'!$B248, "2")</f>
        <v>0</v>
      </c>
      <c r="P248" s="157">
        <f>SUMIFS('Future Orders'!$E248, 'Future Orders'!$D248, "1", 'Future Orders'!$C248, "B", 'Future Orders'!$B248, "2")</f>
        <v>0</v>
      </c>
      <c r="Q248" s="157">
        <f>SUMIFS('Future Orders'!$I248, 'Future Orders'!$D248, "1", 'Future Orders'!$C248, "B", 'Future Orders'!$B248, "2")</f>
        <v>0</v>
      </c>
      <c r="R248" s="159">
        <f>SUMIFS('Future Orders'!$F248, 'Future Orders'!$D248, "2", 'Future Orders'!$C248, "A", 'Future Orders'!$B248, "1")</f>
        <v>0</v>
      </c>
      <c r="S248" s="157">
        <f>SUMIFS('Future Orders'!$I248, 'Future Orders'!$D248, "2", 'Future Orders'!$C248, "A", 'Future Orders'!$B248, "1")</f>
        <v>0</v>
      </c>
      <c r="T248" s="159">
        <f>SUMIFS('Future Orders'!$F248, 'Future Orders'!$D248, "2", 'Future Orders'!$C248, "B", 'Future Orders'!$B248, "1")</f>
        <v>0</v>
      </c>
      <c r="U248" s="157">
        <f>SUMIFS('Future Orders'!$I248, 'Future Orders'!$D248, "2", 'Future Orders'!$C248, "B", 'Future Orders'!$B248, "1")</f>
        <v>0</v>
      </c>
      <c r="V248" s="159">
        <f>SUMIFS('Future Orders'!$F248, 'Future Orders'!$D248, "2", 'Future Orders'!$C248, "A", 'Future Orders'!$B248, "2")</f>
        <v>0</v>
      </c>
      <c r="W248" s="157">
        <f>SUMIFS('Future Orders'!$I248, 'Future Orders'!$D248, "2", 'Future Orders'!$C248, "A", 'Future Orders'!$B248, "2")</f>
        <v>0</v>
      </c>
      <c r="X248" s="159">
        <f>SUMIFS('Future Orders'!$F248, 'Future Orders'!$D248, "2", 'Future Orders'!$C248, "B", 'Future Orders'!$B248, "2")</f>
        <v>0</v>
      </c>
      <c r="Y248" s="159">
        <f>SUMIFS('Future Orders'!$I248, 'Future Orders'!$D248, "2", 'Future Orders'!$C248, "B", 'Future Orders'!$B248, "2")</f>
        <v>0</v>
      </c>
      <c r="Z248" s="159">
        <f>SUMIFS('Future Orders'!$F248, 'Future Orders'!$D248, "3", 'Future Orders'!$C248, "A", 'Future Orders'!$B248, "1")</f>
        <v>0</v>
      </c>
      <c r="AA248" s="159">
        <f>SUMIFS('Future Orders'!$I248, 'Future Orders'!$D248, "3", 'Future Orders'!$C248, "A", 'Future Orders'!$B248, "1")</f>
        <v>0</v>
      </c>
      <c r="AB248" s="159">
        <f>SUMIFS('Future Orders'!$F248, 'Future Orders'!$D248, "3", 'Future Orders'!$C248, "B", 'Future Orders'!$B248, "1")</f>
        <v>0</v>
      </c>
      <c r="AC248" s="159">
        <f>SUMIFS('Future Orders'!$I248, 'Future Orders'!$D248, "3", 'Future Orders'!$C248, "B", 'Future Orders'!$B248, "1")</f>
        <v>0</v>
      </c>
      <c r="AD248" s="159">
        <f>SUMIFS('Future Orders'!$F248, 'Future Orders'!$D248, "3", 'Future Orders'!$C248, "A", 'Future Orders'!$B248, "2")</f>
        <v>0</v>
      </c>
      <c r="AE248" s="159">
        <f>SUMIFS('Future Orders'!$I248, 'Future Orders'!$D248, "3", 'Future Orders'!$C248, "A", 'Future Orders'!$B248, "2")</f>
        <v>0</v>
      </c>
      <c r="AF248" s="159">
        <f>SUMIFS('Future Orders'!$F248, 'Future Orders'!$D248, "3", 'Future Orders'!$C248, "B", 'Future Orders'!$B248, "2")</f>
        <v>0</v>
      </c>
      <c r="AG248" s="157">
        <f>SUMIFS('Future Orders'!$I248, 'Future Orders'!$D248, "3", 'Future Orders'!$C248, "B", 'Future Orders'!$B248, "2")</f>
        <v>0</v>
      </c>
      <c r="AH248" s="157">
        <f>SUMIFS('Future Orders'!$F248, 'Future Orders'!$D248, "4", 'Future Orders'!$C248, "A", 'Future Orders'!$B248, "1")</f>
        <v>0</v>
      </c>
      <c r="AI248" s="157">
        <f>SUMIFS('Future Orders'!$I248, 'Future Orders'!$D248, "4", 'Future Orders'!$C248, "A", 'Future Orders'!$B248, "1")</f>
        <v>0</v>
      </c>
      <c r="AJ248" s="157">
        <f>SUMIFS('Future Orders'!$F248, 'Future Orders'!$D248, "4", 'Future Orders'!$C248, "B", 'Future Orders'!$B248, "1")</f>
        <v>0</v>
      </c>
      <c r="AK248" s="157">
        <f>SUMIFS('Future Orders'!$I248, 'Future Orders'!$D248, "4", 'Future Orders'!$C248, "B", 'Future Orders'!$B248, "1")</f>
        <v>0</v>
      </c>
      <c r="AL248" s="157">
        <f>SUMIFS('Future Orders'!$F248, 'Future Orders'!$D248, "4", 'Future Orders'!$C248, "A", 'Future Orders'!$B248, "2")</f>
        <v>0</v>
      </c>
      <c r="AM248" s="157">
        <f>SUMIFS('Future Orders'!$I248, 'Future Orders'!$D248, "4", 'Future Orders'!$C248, "A", 'Future Orders'!$B248, "2")</f>
        <v>0</v>
      </c>
      <c r="AN248" s="171">
        <f>SUMIFS('Future Orders'!$F248, 'Future Orders'!$D248, "4", 'Future Orders'!$C248, "B", 'Future Orders'!$B248, "2")</f>
        <v>0</v>
      </c>
      <c r="AO248" s="171">
        <f>SUMIFS('Future Orders'!$I248, 'Future Orders'!$D248, "4", 'Future Orders'!$C248, "B", 'Future Orders'!$B248, "2")</f>
        <v>0</v>
      </c>
      <c r="AP248" s="171">
        <f>SUMIFS('Future Orders'!$H248, 'Future Orders'!$C248, "A", 'Future Orders'!$B248, "1")</f>
        <v>11451</v>
      </c>
      <c r="AQ248" s="171">
        <f>SUMIFS('Future Orders'!$I248, 'Future Orders'!$C248, "B", 'Future Orders'!$B248, "1")</f>
        <v>0</v>
      </c>
      <c r="AR248" s="171">
        <f>SUMIFS('Future Orders'!$H248, 'Future Orders'!$C248, "A", 'Future Orders'!$B248, "2")</f>
        <v>0</v>
      </c>
      <c r="AS248" s="171">
        <f>SUMIFS('Future Orders'!$I248, 'Future Orders'!$C248, "B", 'Future Orders'!$B248, "2")</f>
        <v>0</v>
      </c>
      <c r="AT248" s="145"/>
      <c r="AU248" s="172"/>
      <c r="AV248" s="172"/>
      <c r="AW248" s="172"/>
      <c r="AX248" s="172"/>
      <c r="AY248" s="172"/>
      <c r="AZ248" s="172"/>
      <c r="BA248" s="172"/>
      <c r="BB248" s="172"/>
      <c r="BC248" s="172"/>
      <c r="BD248" s="172"/>
      <c r="BE248" s="172"/>
      <c r="BF248" s="172"/>
      <c r="BG248" s="172"/>
      <c r="BH248" s="172"/>
      <c r="BI248" s="172"/>
      <c r="BJ248" s="172"/>
      <c r="BK248" s="172"/>
      <c r="BL248" s="172"/>
      <c r="BM248" s="172"/>
      <c r="BN248" s="172"/>
      <c r="BO248" s="172"/>
      <c r="BP248" s="172"/>
      <c r="BQ248" s="172"/>
      <c r="BR248" s="172"/>
      <c r="BS248" s="172"/>
      <c r="BT248" s="172"/>
      <c r="BU248" s="172"/>
      <c r="BV248" s="172"/>
      <c r="BW248" s="172"/>
      <c r="BX248" s="172"/>
      <c r="BY248" s="172"/>
      <c r="BZ248" s="172"/>
      <c r="CA248" s="179"/>
      <c r="CB248" s="179"/>
      <c r="CC248" s="179"/>
      <c r="CD248" s="179"/>
      <c r="CE248" s="179"/>
      <c r="CF248" s="179"/>
      <c r="CG248" s="179"/>
      <c r="CH248" s="179"/>
      <c r="CI248" s="179"/>
      <c r="CJ248" s="179"/>
      <c r="CK248" s="179"/>
      <c r="CL248" s="179"/>
      <c r="CM248" s="179"/>
      <c r="CN248" s="179"/>
      <c r="CO248" s="179"/>
      <c r="CP248" s="179"/>
    </row>
    <row r="249" ht="15.75" customHeight="1">
      <c r="A249" s="151">
        <v>42142.0</v>
      </c>
      <c r="B249" s="152">
        <v>1.0</v>
      </c>
      <c r="C249" s="152" t="s">
        <v>45</v>
      </c>
      <c r="D249" s="152">
        <v>2.0</v>
      </c>
      <c r="E249" s="153">
        <v>6630.0</v>
      </c>
      <c r="F249" s="153">
        <f>SUM(('Future Orders'!$E249) * (1.1))</f>
        <v>7293</v>
      </c>
      <c r="G249" s="154">
        <v>1.2</v>
      </c>
      <c r="H249" s="155">
        <v>7956.0</v>
      </c>
      <c r="I249" s="155">
        <f>SUM(('Future Orders'!$H249) * (1.1))</f>
        <v>8751.6</v>
      </c>
      <c r="J249" s="159">
        <f>SUMIFS('Future Orders'!$F249, 'Future Orders'!$D249, "1", 'Future Orders'!$C249, "A", 'Future Orders'!$B249, "1")</f>
        <v>0</v>
      </c>
      <c r="K249" s="157">
        <f>SUMIFS('Future Orders'!$I249, 'Future Orders'!$D249, "1", 'Future Orders'!$C249, "A", 'Future Orders'!$B249, "1")</f>
        <v>0</v>
      </c>
      <c r="L249" s="157">
        <f>SUMIFS('Future Orders'!$F249, 'Future Orders'!$D249, "1", 'Future Orders'!$C249, "B", 'Future Orders'!$B249, "1")</f>
        <v>0</v>
      </c>
      <c r="M249" s="157">
        <f>SUMIFS('Future Orders'!$I249, 'Future Orders'!$D249, "1", 'Future Orders'!$C249, "B", 'Future Orders'!$B249, "1")</f>
        <v>0</v>
      </c>
      <c r="N249" s="159">
        <f>SUMIFS('Future Orders'!$F249, 'Future Orders'!$D249, "1", 'Future Orders'!$C249, "A", 'Future Orders'!$B249, "2")</f>
        <v>0</v>
      </c>
      <c r="O249" s="157">
        <f>SUMIFS('Future Orders'!$I249, 'Future Orders'!$D249, "1", 'Future Orders'!$C249, "A", 'Future Orders'!$B249, "2")</f>
        <v>0</v>
      </c>
      <c r="P249" s="157">
        <f>SUMIFS('Future Orders'!$E249, 'Future Orders'!$D249, "1", 'Future Orders'!$C249, "B", 'Future Orders'!$B249, "2")</f>
        <v>0</v>
      </c>
      <c r="Q249" s="157">
        <f>SUMIFS('Future Orders'!$I249, 'Future Orders'!$D249, "1", 'Future Orders'!$C249, "B", 'Future Orders'!$B249, "2")</f>
        <v>0</v>
      </c>
      <c r="R249" s="159">
        <f>SUMIFS('Future Orders'!$F249, 'Future Orders'!$D249, "2", 'Future Orders'!$C249, "A", 'Future Orders'!$B249, "1")</f>
        <v>7293</v>
      </c>
      <c r="S249" s="157">
        <f>SUMIFS('Future Orders'!$I249, 'Future Orders'!$D249, "2", 'Future Orders'!$C249, "A", 'Future Orders'!$B249, "1")</f>
        <v>8751.6</v>
      </c>
      <c r="T249" s="159">
        <f>SUMIFS('Future Orders'!$F249, 'Future Orders'!$D249, "2", 'Future Orders'!$C249, "B", 'Future Orders'!$B249, "1")</f>
        <v>0</v>
      </c>
      <c r="U249" s="157">
        <f>SUMIFS('Future Orders'!$I249, 'Future Orders'!$D249, "2", 'Future Orders'!$C249, "B", 'Future Orders'!$B249, "1")</f>
        <v>0</v>
      </c>
      <c r="V249" s="159">
        <f>SUMIFS('Future Orders'!$F249, 'Future Orders'!$D249, "2", 'Future Orders'!$C249, "A", 'Future Orders'!$B249, "2")</f>
        <v>0</v>
      </c>
      <c r="W249" s="157">
        <f>SUMIFS('Future Orders'!$I249, 'Future Orders'!$D249, "2", 'Future Orders'!$C249, "A", 'Future Orders'!$B249, "2")</f>
        <v>0</v>
      </c>
      <c r="X249" s="159">
        <f>SUMIFS('Future Orders'!$F249, 'Future Orders'!$D249, "2", 'Future Orders'!$C249, "B", 'Future Orders'!$B249, "2")</f>
        <v>0</v>
      </c>
      <c r="Y249" s="159">
        <f>SUMIFS('Future Orders'!$I249, 'Future Orders'!$D249, "2", 'Future Orders'!$C249, "B", 'Future Orders'!$B249, "2")</f>
        <v>0</v>
      </c>
      <c r="Z249" s="159">
        <f>SUMIFS('Future Orders'!$F249, 'Future Orders'!$D249, "3", 'Future Orders'!$C249, "A", 'Future Orders'!$B249, "1")</f>
        <v>0</v>
      </c>
      <c r="AA249" s="159">
        <f>SUMIFS('Future Orders'!$I249, 'Future Orders'!$D249, "3", 'Future Orders'!$C249, "A", 'Future Orders'!$B249, "1")</f>
        <v>0</v>
      </c>
      <c r="AB249" s="159">
        <f>SUMIFS('Future Orders'!$F249, 'Future Orders'!$D249, "3", 'Future Orders'!$C249, "B", 'Future Orders'!$B249, "1")</f>
        <v>0</v>
      </c>
      <c r="AC249" s="159">
        <f>SUMIFS('Future Orders'!$I249, 'Future Orders'!$D249, "3", 'Future Orders'!$C249, "B", 'Future Orders'!$B249, "1")</f>
        <v>0</v>
      </c>
      <c r="AD249" s="159">
        <f>SUMIFS('Future Orders'!$F249, 'Future Orders'!$D249, "3", 'Future Orders'!$C249, "A", 'Future Orders'!$B249, "2")</f>
        <v>0</v>
      </c>
      <c r="AE249" s="159">
        <f>SUMIFS('Future Orders'!$I249, 'Future Orders'!$D249, "3", 'Future Orders'!$C249, "A", 'Future Orders'!$B249, "2")</f>
        <v>0</v>
      </c>
      <c r="AF249" s="159">
        <f>SUMIFS('Future Orders'!$F249, 'Future Orders'!$D249, "3", 'Future Orders'!$C249, "B", 'Future Orders'!$B249, "2")</f>
        <v>0</v>
      </c>
      <c r="AG249" s="157">
        <f>SUMIFS('Future Orders'!$I249, 'Future Orders'!$D249, "3", 'Future Orders'!$C249, "B", 'Future Orders'!$B249, "2")</f>
        <v>0</v>
      </c>
      <c r="AH249" s="157">
        <f>SUMIFS('Future Orders'!$F249, 'Future Orders'!$D249, "4", 'Future Orders'!$C249, "A", 'Future Orders'!$B249, "1")</f>
        <v>0</v>
      </c>
      <c r="AI249" s="157">
        <f>SUMIFS('Future Orders'!$I249, 'Future Orders'!$D249, "4", 'Future Orders'!$C249, "A", 'Future Orders'!$B249, "1")</f>
        <v>0</v>
      </c>
      <c r="AJ249" s="157">
        <f>SUMIFS('Future Orders'!$F249, 'Future Orders'!$D249, "4", 'Future Orders'!$C249, "B", 'Future Orders'!$B249, "1")</f>
        <v>0</v>
      </c>
      <c r="AK249" s="157">
        <f>SUMIFS('Future Orders'!$I249, 'Future Orders'!$D249, "4", 'Future Orders'!$C249, "B", 'Future Orders'!$B249, "1")</f>
        <v>0</v>
      </c>
      <c r="AL249" s="157">
        <f>SUMIFS('Future Orders'!$F249, 'Future Orders'!$D249, "4", 'Future Orders'!$C249, "A", 'Future Orders'!$B249, "2")</f>
        <v>0</v>
      </c>
      <c r="AM249" s="157">
        <f>SUMIFS('Future Orders'!$I249, 'Future Orders'!$D249, "4", 'Future Orders'!$C249, "A", 'Future Orders'!$B249, "2")</f>
        <v>0</v>
      </c>
      <c r="AN249" s="171">
        <f>SUMIFS('Future Orders'!$F249, 'Future Orders'!$D249, "4", 'Future Orders'!$C249, "B", 'Future Orders'!$B249, "2")</f>
        <v>0</v>
      </c>
      <c r="AO249" s="171">
        <f>SUMIFS('Future Orders'!$I249, 'Future Orders'!$D249, "4", 'Future Orders'!$C249, "B", 'Future Orders'!$B249, "2")</f>
        <v>0</v>
      </c>
      <c r="AP249" s="171">
        <f>SUMIFS('Future Orders'!$H249, 'Future Orders'!$C249, "A", 'Future Orders'!$B249, "1")</f>
        <v>7956</v>
      </c>
      <c r="AQ249" s="171">
        <f>SUMIFS('Future Orders'!$I249, 'Future Orders'!$C249, "B", 'Future Orders'!$B249, "1")</f>
        <v>0</v>
      </c>
      <c r="AR249" s="171">
        <f>SUMIFS('Future Orders'!$H249, 'Future Orders'!$C249, "A", 'Future Orders'!$B249, "2")</f>
        <v>0</v>
      </c>
      <c r="AS249" s="171">
        <f>SUMIFS('Future Orders'!$I249, 'Future Orders'!$C249, "B", 'Future Orders'!$B249, "2")</f>
        <v>0</v>
      </c>
      <c r="AT249" s="145"/>
      <c r="AU249" s="172"/>
      <c r="AV249" s="172"/>
      <c r="AW249" s="172"/>
      <c r="AX249" s="172"/>
      <c r="AY249" s="172"/>
      <c r="AZ249" s="172"/>
      <c r="BA249" s="172"/>
      <c r="BB249" s="172"/>
      <c r="BC249" s="172"/>
      <c r="BD249" s="172"/>
      <c r="BE249" s="172"/>
      <c r="BF249" s="172"/>
      <c r="BG249" s="172"/>
      <c r="BH249" s="172"/>
      <c r="BI249" s="172"/>
      <c r="BJ249" s="172"/>
      <c r="BK249" s="172"/>
      <c r="BL249" s="172"/>
      <c r="BM249" s="172"/>
      <c r="BN249" s="172"/>
      <c r="BO249" s="172"/>
      <c r="BP249" s="172"/>
      <c r="BQ249" s="172"/>
      <c r="BR249" s="172"/>
      <c r="BS249" s="172"/>
      <c r="BT249" s="172"/>
      <c r="BU249" s="172"/>
      <c r="BV249" s="172"/>
      <c r="BW249" s="172"/>
      <c r="BX249" s="172"/>
      <c r="BY249" s="172"/>
      <c r="BZ249" s="172"/>
      <c r="CA249" s="179"/>
      <c r="CB249" s="179"/>
      <c r="CC249" s="179"/>
      <c r="CD249" s="179"/>
      <c r="CE249" s="179"/>
      <c r="CF249" s="179"/>
      <c r="CG249" s="179"/>
      <c r="CH249" s="179"/>
      <c r="CI249" s="179"/>
      <c r="CJ249" s="179"/>
      <c r="CK249" s="179"/>
      <c r="CL249" s="179"/>
      <c r="CM249" s="179"/>
      <c r="CN249" s="179"/>
      <c r="CO249" s="179"/>
      <c r="CP249" s="179"/>
    </row>
    <row r="250" ht="15.75" customHeight="1">
      <c r="A250" s="151">
        <v>42142.0</v>
      </c>
      <c r="B250" s="152">
        <v>2.0</v>
      </c>
      <c r="C250" s="152" t="s">
        <v>45</v>
      </c>
      <c r="D250" s="152">
        <v>1.0</v>
      </c>
      <c r="E250" s="153">
        <v>3778.0</v>
      </c>
      <c r="F250" s="153">
        <f>SUM(('Future Orders'!$E250) * (1.1))</f>
        <v>4155.8</v>
      </c>
      <c r="G250" s="154">
        <v>2.2</v>
      </c>
      <c r="H250" s="155">
        <v>8311.6</v>
      </c>
      <c r="I250" s="155">
        <f>SUM(('Future Orders'!$H250) * (1.1))</f>
        <v>9142.76</v>
      </c>
      <c r="J250" s="159">
        <f>SUMIFS('Future Orders'!$F250, 'Future Orders'!$D250, "1", 'Future Orders'!$C250, "A", 'Future Orders'!$B250, "1")</f>
        <v>0</v>
      </c>
      <c r="K250" s="157">
        <f>SUMIFS('Future Orders'!$I250, 'Future Orders'!$D250, "1", 'Future Orders'!$C250, "A", 'Future Orders'!$B250, "1")</f>
        <v>0</v>
      </c>
      <c r="L250" s="157">
        <f>SUMIFS('Future Orders'!$F250, 'Future Orders'!$D250, "1", 'Future Orders'!$C250, "B", 'Future Orders'!$B250, "1")</f>
        <v>0</v>
      </c>
      <c r="M250" s="157">
        <f>SUMIFS('Future Orders'!$I250, 'Future Orders'!$D250, "1", 'Future Orders'!$C250, "B", 'Future Orders'!$B250, "1")</f>
        <v>0</v>
      </c>
      <c r="N250" s="159">
        <f>SUMIFS('Future Orders'!$F250, 'Future Orders'!$D250, "1", 'Future Orders'!$C250, "A", 'Future Orders'!$B250, "2")</f>
        <v>4155.8</v>
      </c>
      <c r="O250" s="157">
        <f>SUMIFS('Future Orders'!$I250, 'Future Orders'!$D250, "1", 'Future Orders'!$C250, "A", 'Future Orders'!$B250, "2")</f>
        <v>9142.76</v>
      </c>
      <c r="P250" s="157">
        <f>SUMIFS('Future Orders'!$E250, 'Future Orders'!$D250, "1", 'Future Orders'!$C250, "B", 'Future Orders'!$B250, "2")</f>
        <v>0</v>
      </c>
      <c r="Q250" s="157">
        <f>SUMIFS('Future Orders'!$I250, 'Future Orders'!$D250, "1", 'Future Orders'!$C250, "B", 'Future Orders'!$B250, "2")</f>
        <v>0</v>
      </c>
      <c r="R250" s="159">
        <f>SUMIFS('Future Orders'!$F250, 'Future Orders'!$D250, "2", 'Future Orders'!$C250, "A", 'Future Orders'!$B250, "1")</f>
        <v>0</v>
      </c>
      <c r="S250" s="157">
        <f>SUMIFS('Future Orders'!$I250, 'Future Orders'!$D250, "2", 'Future Orders'!$C250, "A", 'Future Orders'!$B250, "1")</f>
        <v>0</v>
      </c>
      <c r="T250" s="159">
        <f>SUMIFS('Future Orders'!$F250, 'Future Orders'!$D250, "2", 'Future Orders'!$C250, "B", 'Future Orders'!$B250, "1")</f>
        <v>0</v>
      </c>
      <c r="U250" s="157">
        <f>SUMIFS('Future Orders'!$I250, 'Future Orders'!$D250, "2", 'Future Orders'!$C250, "B", 'Future Orders'!$B250, "1")</f>
        <v>0</v>
      </c>
      <c r="V250" s="159">
        <f>SUMIFS('Future Orders'!$F250, 'Future Orders'!$D250, "2", 'Future Orders'!$C250, "A", 'Future Orders'!$B250, "2")</f>
        <v>0</v>
      </c>
      <c r="W250" s="157">
        <f>SUMIFS('Future Orders'!$I250, 'Future Orders'!$D250, "2", 'Future Orders'!$C250, "A", 'Future Orders'!$B250, "2")</f>
        <v>0</v>
      </c>
      <c r="X250" s="159">
        <f>SUMIFS('Future Orders'!$F250, 'Future Orders'!$D250, "2", 'Future Orders'!$C250, "B", 'Future Orders'!$B250, "2")</f>
        <v>0</v>
      </c>
      <c r="Y250" s="159">
        <f>SUMIFS('Future Orders'!$I250, 'Future Orders'!$D250, "2", 'Future Orders'!$C250, "B", 'Future Orders'!$B250, "2")</f>
        <v>0</v>
      </c>
      <c r="Z250" s="159">
        <f>SUMIFS('Future Orders'!$F250, 'Future Orders'!$D250, "3", 'Future Orders'!$C250, "A", 'Future Orders'!$B250, "1")</f>
        <v>0</v>
      </c>
      <c r="AA250" s="159">
        <f>SUMIFS('Future Orders'!$I250, 'Future Orders'!$D250, "3", 'Future Orders'!$C250, "A", 'Future Orders'!$B250, "1")</f>
        <v>0</v>
      </c>
      <c r="AB250" s="159">
        <f>SUMIFS('Future Orders'!$F250, 'Future Orders'!$D250, "3", 'Future Orders'!$C250, "B", 'Future Orders'!$B250, "1")</f>
        <v>0</v>
      </c>
      <c r="AC250" s="159">
        <f>SUMIFS('Future Orders'!$I250, 'Future Orders'!$D250, "3", 'Future Orders'!$C250, "B", 'Future Orders'!$B250, "1")</f>
        <v>0</v>
      </c>
      <c r="AD250" s="159">
        <f>SUMIFS('Future Orders'!$F250, 'Future Orders'!$D250, "3", 'Future Orders'!$C250, "A", 'Future Orders'!$B250, "2")</f>
        <v>0</v>
      </c>
      <c r="AE250" s="159">
        <f>SUMIFS('Future Orders'!$I250, 'Future Orders'!$D250, "3", 'Future Orders'!$C250, "A", 'Future Orders'!$B250, "2")</f>
        <v>0</v>
      </c>
      <c r="AF250" s="159">
        <f>SUMIFS('Future Orders'!$F250, 'Future Orders'!$D250, "3", 'Future Orders'!$C250, "B", 'Future Orders'!$B250, "2")</f>
        <v>0</v>
      </c>
      <c r="AG250" s="157">
        <f>SUMIFS('Future Orders'!$I250, 'Future Orders'!$D250, "3", 'Future Orders'!$C250, "B", 'Future Orders'!$B250, "2")</f>
        <v>0</v>
      </c>
      <c r="AH250" s="157">
        <f>SUMIFS('Future Orders'!$F250, 'Future Orders'!$D250, "4", 'Future Orders'!$C250, "A", 'Future Orders'!$B250, "1")</f>
        <v>0</v>
      </c>
      <c r="AI250" s="157">
        <f>SUMIFS('Future Orders'!$I250, 'Future Orders'!$D250, "4", 'Future Orders'!$C250, "A", 'Future Orders'!$B250, "1")</f>
        <v>0</v>
      </c>
      <c r="AJ250" s="157">
        <f>SUMIFS('Future Orders'!$F250, 'Future Orders'!$D250, "4", 'Future Orders'!$C250, "B", 'Future Orders'!$B250, "1")</f>
        <v>0</v>
      </c>
      <c r="AK250" s="157">
        <f>SUMIFS('Future Orders'!$I250, 'Future Orders'!$D250, "4", 'Future Orders'!$C250, "B", 'Future Orders'!$B250, "1")</f>
        <v>0</v>
      </c>
      <c r="AL250" s="157">
        <f>SUMIFS('Future Orders'!$F250, 'Future Orders'!$D250, "4", 'Future Orders'!$C250, "A", 'Future Orders'!$B250, "2")</f>
        <v>0</v>
      </c>
      <c r="AM250" s="157">
        <f>SUMIFS('Future Orders'!$I250, 'Future Orders'!$D250, "4", 'Future Orders'!$C250, "A", 'Future Orders'!$B250, "2")</f>
        <v>0</v>
      </c>
      <c r="AN250" s="171">
        <f>SUMIFS('Future Orders'!$F250, 'Future Orders'!$D250, "4", 'Future Orders'!$C250, "B", 'Future Orders'!$B250, "2")</f>
        <v>0</v>
      </c>
      <c r="AO250" s="171">
        <f>SUMIFS('Future Orders'!$I250, 'Future Orders'!$D250, "4", 'Future Orders'!$C250, "B", 'Future Orders'!$B250, "2")</f>
        <v>0</v>
      </c>
      <c r="AP250" s="171">
        <f>SUMIFS('Future Orders'!$H250, 'Future Orders'!$C250, "A", 'Future Orders'!$B250, "1")</f>
        <v>0</v>
      </c>
      <c r="AQ250" s="171">
        <f>SUMIFS('Future Orders'!$I250, 'Future Orders'!$C250, "B", 'Future Orders'!$B250, "1")</f>
        <v>0</v>
      </c>
      <c r="AR250" s="171">
        <f>SUMIFS('Future Orders'!$H250, 'Future Orders'!$C250, "A", 'Future Orders'!$B250, "2")</f>
        <v>8311.6</v>
      </c>
      <c r="AS250" s="171">
        <f>SUMIFS('Future Orders'!$I250, 'Future Orders'!$C250, "B", 'Future Orders'!$B250, "2")</f>
        <v>0</v>
      </c>
      <c r="AT250" s="145"/>
      <c r="AU250" s="172"/>
      <c r="AV250" s="172"/>
      <c r="AW250" s="172"/>
      <c r="AX250" s="172"/>
      <c r="AY250" s="172"/>
      <c r="AZ250" s="172"/>
      <c r="BA250" s="172"/>
      <c r="BB250" s="172"/>
      <c r="BC250" s="172"/>
      <c r="BD250" s="172"/>
      <c r="BE250" s="172"/>
      <c r="BF250" s="172"/>
      <c r="BG250" s="172"/>
      <c r="BH250" s="172"/>
      <c r="BI250" s="172"/>
      <c r="BJ250" s="172"/>
      <c r="BK250" s="172"/>
      <c r="BL250" s="172"/>
      <c r="BM250" s="172"/>
      <c r="BN250" s="172"/>
      <c r="BO250" s="172"/>
      <c r="BP250" s="172"/>
      <c r="BQ250" s="172"/>
      <c r="BR250" s="172"/>
      <c r="BS250" s="172"/>
      <c r="BT250" s="172"/>
      <c r="BU250" s="172"/>
      <c r="BV250" s="172"/>
      <c r="BW250" s="172"/>
      <c r="BX250" s="172"/>
      <c r="BY250" s="172"/>
      <c r="BZ250" s="172"/>
      <c r="CA250" s="179"/>
      <c r="CB250" s="179"/>
      <c r="CC250" s="179"/>
      <c r="CD250" s="179"/>
      <c r="CE250" s="179"/>
      <c r="CF250" s="179"/>
      <c r="CG250" s="179"/>
      <c r="CH250" s="179"/>
      <c r="CI250" s="179"/>
      <c r="CJ250" s="179"/>
      <c r="CK250" s="179"/>
      <c r="CL250" s="179"/>
      <c r="CM250" s="179"/>
      <c r="CN250" s="179"/>
      <c r="CO250" s="179"/>
      <c r="CP250" s="179"/>
    </row>
    <row r="251" ht="15.75" customHeight="1">
      <c r="A251" s="151">
        <v>42142.0</v>
      </c>
      <c r="B251" s="152">
        <v>2.0</v>
      </c>
      <c r="C251" s="152" t="s">
        <v>45</v>
      </c>
      <c r="D251" s="152">
        <v>2.0</v>
      </c>
      <c r="E251" s="153">
        <v>7998.0</v>
      </c>
      <c r="F251" s="153">
        <f>SUM(('Future Orders'!$E251) * (1.1))</f>
        <v>8797.8</v>
      </c>
      <c r="G251" s="154">
        <v>1.2</v>
      </c>
      <c r="H251" s="155">
        <v>9597.6</v>
      </c>
      <c r="I251" s="155">
        <f>SUM(('Future Orders'!$H251) * (1.1))</f>
        <v>10557.36</v>
      </c>
      <c r="J251" s="159">
        <f>SUMIFS('Future Orders'!$F251, 'Future Orders'!$D251, "1", 'Future Orders'!$C251, "A", 'Future Orders'!$B251, "1")</f>
        <v>0</v>
      </c>
      <c r="K251" s="157">
        <f>SUMIFS('Future Orders'!$I251, 'Future Orders'!$D251, "1", 'Future Orders'!$C251, "A", 'Future Orders'!$B251, "1")</f>
        <v>0</v>
      </c>
      <c r="L251" s="157">
        <f>SUMIFS('Future Orders'!$F251, 'Future Orders'!$D251, "1", 'Future Orders'!$C251, "B", 'Future Orders'!$B251, "1")</f>
        <v>0</v>
      </c>
      <c r="M251" s="157">
        <f>SUMIFS('Future Orders'!$I251, 'Future Orders'!$D251, "1", 'Future Orders'!$C251, "B", 'Future Orders'!$B251, "1")</f>
        <v>0</v>
      </c>
      <c r="N251" s="159">
        <f>SUMIFS('Future Orders'!$F251, 'Future Orders'!$D251, "1", 'Future Orders'!$C251, "A", 'Future Orders'!$B251, "2")</f>
        <v>0</v>
      </c>
      <c r="O251" s="157">
        <f>SUMIFS('Future Orders'!$I251, 'Future Orders'!$D251, "1", 'Future Orders'!$C251, "A", 'Future Orders'!$B251, "2")</f>
        <v>0</v>
      </c>
      <c r="P251" s="157">
        <f>SUMIFS('Future Orders'!$E251, 'Future Orders'!$D251, "1", 'Future Orders'!$C251, "B", 'Future Orders'!$B251, "2")</f>
        <v>0</v>
      </c>
      <c r="Q251" s="157">
        <f>SUMIFS('Future Orders'!$I251, 'Future Orders'!$D251, "1", 'Future Orders'!$C251, "B", 'Future Orders'!$B251, "2")</f>
        <v>0</v>
      </c>
      <c r="R251" s="159">
        <f>SUMIFS('Future Orders'!$F251, 'Future Orders'!$D251, "2", 'Future Orders'!$C251, "A", 'Future Orders'!$B251, "1")</f>
        <v>0</v>
      </c>
      <c r="S251" s="157">
        <f>SUMIFS('Future Orders'!$I251, 'Future Orders'!$D251, "2", 'Future Orders'!$C251, "A", 'Future Orders'!$B251, "1")</f>
        <v>0</v>
      </c>
      <c r="T251" s="159">
        <f>SUMIFS('Future Orders'!$F251, 'Future Orders'!$D251, "2", 'Future Orders'!$C251, "B", 'Future Orders'!$B251, "1")</f>
        <v>0</v>
      </c>
      <c r="U251" s="157">
        <f>SUMIFS('Future Orders'!$I251, 'Future Orders'!$D251, "2", 'Future Orders'!$C251, "B", 'Future Orders'!$B251, "1")</f>
        <v>0</v>
      </c>
      <c r="V251" s="159">
        <f>SUMIFS('Future Orders'!$F251, 'Future Orders'!$D251, "2", 'Future Orders'!$C251, "A", 'Future Orders'!$B251, "2")</f>
        <v>8797.8</v>
      </c>
      <c r="W251" s="157">
        <f>SUMIFS('Future Orders'!$I251, 'Future Orders'!$D251, "2", 'Future Orders'!$C251, "A", 'Future Orders'!$B251, "2")</f>
        <v>10557.36</v>
      </c>
      <c r="X251" s="159">
        <f>SUMIFS('Future Orders'!$F251, 'Future Orders'!$D251, "2", 'Future Orders'!$C251, "B", 'Future Orders'!$B251, "2")</f>
        <v>0</v>
      </c>
      <c r="Y251" s="159">
        <f>SUMIFS('Future Orders'!$I251, 'Future Orders'!$D251, "2", 'Future Orders'!$C251, "B", 'Future Orders'!$B251, "2")</f>
        <v>0</v>
      </c>
      <c r="Z251" s="159">
        <f>SUMIFS('Future Orders'!$F251, 'Future Orders'!$D251, "3", 'Future Orders'!$C251, "A", 'Future Orders'!$B251, "1")</f>
        <v>0</v>
      </c>
      <c r="AA251" s="159">
        <f>SUMIFS('Future Orders'!$I251, 'Future Orders'!$D251, "3", 'Future Orders'!$C251, "A", 'Future Orders'!$B251, "1")</f>
        <v>0</v>
      </c>
      <c r="AB251" s="159">
        <f>SUMIFS('Future Orders'!$F251, 'Future Orders'!$D251, "3", 'Future Orders'!$C251, "B", 'Future Orders'!$B251, "1")</f>
        <v>0</v>
      </c>
      <c r="AC251" s="159">
        <f>SUMIFS('Future Orders'!$I251, 'Future Orders'!$D251, "3", 'Future Orders'!$C251, "B", 'Future Orders'!$B251, "1")</f>
        <v>0</v>
      </c>
      <c r="AD251" s="159">
        <f>SUMIFS('Future Orders'!$F251, 'Future Orders'!$D251, "3", 'Future Orders'!$C251, "A", 'Future Orders'!$B251, "2")</f>
        <v>0</v>
      </c>
      <c r="AE251" s="159">
        <f>SUMIFS('Future Orders'!$I251, 'Future Orders'!$D251, "3", 'Future Orders'!$C251, "A", 'Future Orders'!$B251, "2")</f>
        <v>0</v>
      </c>
      <c r="AF251" s="159">
        <f>SUMIFS('Future Orders'!$F251, 'Future Orders'!$D251, "3", 'Future Orders'!$C251, "B", 'Future Orders'!$B251, "2")</f>
        <v>0</v>
      </c>
      <c r="AG251" s="157">
        <f>SUMIFS('Future Orders'!$I251, 'Future Orders'!$D251, "3", 'Future Orders'!$C251, "B", 'Future Orders'!$B251, "2")</f>
        <v>0</v>
      </c>
      <c r="AH251" s="157">
        <f>SUMIFS('Future Orders'!$F251, 'Future Orders'!$D251, "4", 'Future Orders'!$C251, "A", 'Future Orders'!$B251, "1")</f>
        <v>0</v>
      </c>
      <c r="AI251" s="157">
        <f>SUMIFS('Future Orders'!$I251, 'Future Orders'!$D251, "4", 'Future Orders'!$C251, "A", 'Future Orders'!$B251, "1")</f>
        <v>0</v>
      </c>
      <c r="AJ251" s="157">
        <f>SUMIFS('Future Orders'!$F251, 'Future Orders'!$D251, "4", 'Future Orders'!$C251, "B", 'Future Orders'!$B251, "1")</f>
        <v>0</v>
      </c>
      <c r="AK251" s="157">
        <f>SUMIFS('Future Orders'!$I251, 'Future Orders'!$D251, "4", 'Future Orders'!$C251, "B", 'Future Orders'!$B251, "1")</f>
        <v>0</v>
      </c>
      <c r="AL251" s="157">
        <f>SUMIFS('Future Orders'!$F251, 'Future Orders'!$D251, "4", 'Future Orders'!$C251, "A", 'Future Orders'!$B251, "2")</f>
        <v>0</v>
      </c>
      <c r="AM251" s="157">
        <f>SUMIFS('Future Orders'!$I251, 'Future Orders'!$D251, "4", 'Future Orders'!$C251, "A", 'Future Orders'!$B251, "2")</f>
        <v>0</v>
      </c>
      <c r="AN251" s="171">
        <f>SUMIFS('Future Orders'!$F251, 'Future Orders'!$D251, "4", 'Future Orders'!$C251, "B", 'Future Orders'!$B251, "2")</f>
        <v>0</v>
      </c>
      <c r="AO251" s="171">
        <f>SUMIFS('Future Orders'!$I251, 'Future Orders'!$D251, "4", 'Future Orders'!$C251, "B", 'Future Orders'!$B251, "2")</f>
        <v>0</v>
      </c>
      <c r="AP251" s="171">
        <f>SUMIFS('Future Orders'!$H251, 'Future Orders'!$C251, "A", 'Future Orders'!$B251, "1")</f>
        <v>0</v>
      </c>
      <c r="AQ251" s="171">
        <f>SUMIFS('Future Orders'!$I251, 'Future Orders'!$C251, "B", 'Future Orders'!$B251, "1")</f>
        <v>0</v>
      </c>
      <c r="AR251" s="171">
        <f>SUMIFS('Future Orders'!$H251, 'Future Orders'!$C251, "A", 'Future Orders'!$B251, "2")</f>
        <v>9597.6</v>
      </c>
      <c r="AS251" s="171">
        <f>SUMIFS('Future Orders'!$I251, 'Future Orders'!$C251, "B", 'Future Orders'!$B251, "2")</f>
        <v>0</v>
      </c>
      <c r="AT251" s="145"/>
      <c r="AU251" s="172"/>
      <c r="AV251" s="172"/>
      <c r="AW251" s="172"/>
      <c r="AX251" s="172"/>
      <c r="AY251" s="172"/>
      <c r="AZ251" s="172"/>
      <c r="BA251" s="172"/>
      <c r="BB251" s="172"/>
      <c r="BC251" s="172"/>
      <c r="BD251" s="172"/>
      <c r="BE251" s="172"/>
      <c r="BF251" s="172"/>
      <c r="BG251" s="172"/>
      <c r="BH251" s="172"/>
      <c r="BI251" s="172"/>
      <c r="BJ251" s="172"/>
      <c r="BK251" s="172"/>
      <c r="BL251" s="172"/>
      <c r="BM251" s="172"/>
      <c r="BN251" s="172"/>
      <c r="BO251" s="172"/>
      <c r="BP251" s="172"/>
      <c r="BQ251" s="172"/>
      <c r="BR251" s="172"/>
      <c r="BS251" s="172"/>
      <c r="BT251" s="172"/>
      <c r="BU251" s="172"/>
      <c r="BV251" s="172"/>
      <c r="BW251" s="172"/>
      <c r="BX251" s="172"/>
      <c r="BY251" s="172"/>
      <c r="BZ251" s="172"/>
      <c r="CA251" s="179"/>
      <c r="CB251" s="179"/>
      <c r="CC251" s="179"/>
      <c r="CD251" s="179"/>
      <c r="CE251" s="179"/>
      <c r="CF251" s="179"/>
      <c r="CG251" s="179"/>
      <c r="CH251" s="179"/>
      <c r="CI251" s="179"/>
      <c r="CJ251" s="179"/>
      <c r="CK251" s="179"/>
      <c r="CL251" s="179"/>
      <c r="CM251" s="179"/>
      <c r="CN251" s="179"/>
      <c r="CO251" s="179"/>
      <c r="CP251" s="179"/>
    </row>
    <row r="252" ht="15.75" customHeight="1">
      <c r="A252" s="151">
        <v>42142.0</v>
      </c>
      <c r="B252" s="152">
        <v>1.0</v>
      </c>
      <c r="C252" s="152" t="s">
        <v>46</v>
      </c>
      <c r="D252" s="152">
        <v>3.0</v>
      </c>
      <c r="E252" s="153">
        <v>2201.0</v>
      </c>
      <c r="F252" s="153">
        <f>SUM(('Future Orders'!$E252) * (1.1))</f>
        <v>2421.1</v>
      </c>
      <c r="G252" s="154">
        <v>8.3</v>
      </c>
      <c r="H252" s="155">
        <v>18268.300000000003</v>
      </c>
      <c r="I252" s="155">
        <f>SUM(('Future Orders'!$H252) * (1.1))</f>
        <v>20095.13</v>
      </c>
      <c r="J252" s="159">
        <f>SUMIFS('Future Orders'!$F252, 'Future Orders'!$D252, "1", 'Future Orders'!$C252, "A", 'Future Orders'!$B252, "1")</f>
        <v>0</v>
      </c>
      <c r="K252" s="157">
        <f>SUMIFS('Future Orders'!$I252, 'Future Orders'!$D252, "1", 'Future Orders'!$C252, "A", 'Future Orders'!$B252, "1")</f>
        <v>0</v>
      </c>
      <c r="L252" s="157">
        <f>SUMIFS('Future Orders'!$F252, 'Future Orders'!$D252, "1", 'Future Orders'!$C252, "B", 'Future Orders'!$B252, "1")</f>
        <v>0</v>
      </c>
      <c r="M252" s="157">
        <f>SUMIFS('Future Orders'!$I252, 'Future Orders'!$D252, "1", 'Future Orders'!$C252, "B", 'Future Orders'!$B252, "1")</f>
        <v>0</v>
      </c>
      <c r="N252" s="159">
        <f>SUMIFS('Future Orders'!$F252, 'Future Orders'!$D252, "1", 'Future Orders'!$C252, "A", 'Future Orders'!$B252, "2")</f>
        <v>0</v>
      </c>
      <c r="O252" s="157">
        <f>SUMIFS('Future Orders'!$I252, 'Future Orders'!$D252, "1", 'Future Orders'!$C252, "A", 'Future Orders'!$B252, "2")</f>
        <v>0</v>
      </c>
      <c r="P252" s="157">
        <f>SUMIFS('Future Orders'!$E252, 'Future Orders'!$D252, "1", 'Future Orders'!$C252, "B", 'Future Orders'!$B252, "2")</f>
        <v>0</v>
      </c>
      <c r="Q252" s="157">
        <f>SUMIFS('Future Orders'!$I252, 'Future Orders'!$D252, "1", 'Future Orders'!$C252, "B", 'Future Orders'!$B252, "2")</f>
        <v>0</v>
      </c>
      <c r="R252" s="159">
        <f>SUMIFS('Future Orders'!$F252, 'Future Orders'!$D252, "2", 'Future Orders'!$C252, "A", 'Future Orders'!$B252, "1")</f>
        <v>0</v>
      </c>
      <c r="S252" s="157">
        <f>SUMIFS('Future Orders'!$I252, 'Future Orders'!$D252, "2", 'Future Orders'!$C252, "A", 'Future Orders'!$B252, "1")</f>
        <v>0</v>
      </c>
      <c r="T252" s="159">
        <f>SUMIFS('Future Orders'!$F252, 'Future Orders'!$D252, "2", 'Future Orders'!$C252, "B", 'Future Orders'!$B252, "1")</f>
        <v>0</v>
      </c>
      <c r="U252" s="157">
        <f>SUMIFS('Future Orders'!$I252, 'Future Orders'!$D252, "2", 'Future Orders'!$C252, "B", 'Future Orders'!$B252, "1")</f>
        <v>0</v>
      </c>
      <c r="V252" s="159">
        <f>SUMIFS('Future Orders'!$F252, 'Future Orders'!$D252, "2", 'Future Orders'!$C252, "A", 'Future Orders'!$B252, "2")</f>
        <v>0</v>
      </c>
      <c r="W252" s="157">
        <f>SUMIFS('Future Orders'!$I252, 'Future Orders'!$D252, "2", 'Future Orders'!$C252, "A", 'Future Orders'!$B252, "2")</f>
        <v>0</v>
      </c>
      <c r="X252" s="159">
        <f>SUMIFS('Future Orders'!$F252, 'Future Orders'!$D252, "2", 'Future Orders'!$C252, "B", 'Future Orders'!$B252, "2")</f>
        <v>0</v>
      </c>
      <c r="Y252" s="159">
        <f>SUMIFS('Future Orders'!$I252, 'Future Orders'!$D252, "2", 'Future Orders'!$C252, "B", 'Future Orders'!$B252, "2")</f>
        <v>0</v>
      </c>
      <c r="Z252" s="159">
        <f>SUMIFS('Future Orders'!$F252, 'Future Orders'!$D252, "3", 'Future Orders'!$C252, "A", 'Future Orders'!$B252, "1")</f>
        <v>0</v>
      </c>
      <c r="AA252" s="159">
        <f>SUMIFS('Future Orders'!$I252, 'Future Orders'!$D252, "3", 'Future Orders'!$C252, "A", 'Future Orders'!$B252, "1")</f>
        <v>0</v>
      </c>
      <c r="AB252" s="159">
        <f>SUMIFS('Future Orders'!$F252, 'Future Orders'!$D252, "3", 'Future Orders'!$C252, "B", 'Future Orders'!$B252, "1")</f>
        <v>2421.1</v>
      </c>
      <c r="AC252" s="159">
        <f>SUMIFS('Future Orders'!$I252, 'Future Orders'!$D252, "3", 'Future Orders'!$C252, "B", 'Future Orders'!$B252, "1")</f>
        <v>20095.13</v>
      </c>
      <c r="AD252" s="159">
        <f>SUMIFS('Future Orders'!$F252, 'Future Orders'!$D252, "3", 'Future Orders'!$C252, "A", 'Future Orders'!$B252, "2")</f>
        <v>0</v>
      </c>
      <c r="AE252" s="159">
        <f>SUMIFS('Future Orders'!$I252, 'Future Orders'!$D252, "3", 'Future Orders'!$C252, "A", 'Future Orders'!$B252, "2")</f>
        <v>0</v>
      </c>
      <c r="AF252" s="159">
        <f>SUMIFS('Future Orders'!$F252, 'Future Orders'!$D252, "3", 'Future Orders'!$C252, "B", 'Future Orders'!$B252, "2")</f>
        <v>0</v>
      </c>
      <c r="AG252" s="157">
        <f>SUMIFS('Future Orders'!$I252, 'Future Orders'!$D252, "3", 'Future Orders'!$C252, "B", 'Future Orders'!$B252, "2")</f>
        <v>0</v>
      </c>
      <c r="AH252" s="157">
        <f>SUMIFS('Future Orders'!$F252, 'Future Orders'!$D252, "4", 'Future Orders'!$C252, "A", 'Future Orders'!$B252, "1")</f>
        <v>0</v>
      </c>
      <c r="AI252" s="157">
        <f>SUMIFS('Future Orders'!$I252, 'Future Orders'!$D252, "4", 'Future Orders'!$C252, "A", 'Future Orders'!$B252, "1")</f>
        <v>0</v>
      </c>
      <c r="AJ252" s="157">
        <f>SUMIFS('Future Orders'!$F252, 'Future Orders'!$D252, "4", 'Future Orders'!$C252, "B", 'Future Orders'!$B252, "1")</f>
        <v>0</v>
      </c>
      <c r="AK252" s="157">
        <f>SUMIFS('Future Orders'!$I252, 'Future Orders'!$D252, "4", 'Future Orders'!$C252, "B", 'Future Orders'!$B252, "1")</f>
        <v>0</v>
      </c>
      <c r="AL252" s="157">
        <f>SUMIFS('Future Orders'!$F252, 'Future Orders'!$D252, "4", 'Future Orders'!$C252, "A", 'Future Orders'!$B252, "2")</f>
        <v>0</v>
      </c>
      <c r="AM252" s="157">
        <f>SUMIFS('Future Orders'!$I252, 'Future Orders'!$D252, "4", 'Future Orders'!$C252, "A", 'Future Orders'!$B252, "2")</f>
        <v>0</v>
      </c>
      <c r="AN252" s="171">
        <f>SUMIFS('Future Orders'!$F252, 'Future Orders'!$D252, "4", 'Future Orders'!$C252, "B", 'Future Orders'!$B252, "2")</f>
        <v>0</v>
      </c>
      <c r="AO252" s="171">
        <f>SUMIFS('Future Orders'!$I252, 'Future Orders'!$D252, "4", 'Future Orders'!$C252, "B", 'Future Orders'!$B252, "2")</f>
        <v>0</v>
      </c>
      <c r="AP252" s="171">
        <f>SUMIFS('Future Orders'!$H252, 'Future Orders'!$C252, "A", 'Future Orders'!$B252, "1")</f>
        <v>0</v>
      </c>
      <c r="AQ252" s="171">
        <f>SUMIFS('Future Orders'!$I252, 'Future Orders'!$C252, "B", 'Future Orders'!$B252, "1")</f>
        <v>20095.13</v>
      </c>
      <c r="AR252" s="171">
        <f>SUMIFS('Future Orders'!$H252, 'Future Orders'!$C252, "A", 'Future Orders'!$B252, "2")</f>
        <v>0</v>
      </c>
      <c r="AS252" s="171">
        <f>SUMIFS('Future Orders'!$I252, 'Future Orders'!$C252, "B", 'Future Orders'!$B252, "2")</f>
        <v>0</v>
      </c>
      <c r="AT252" s="145"/>
      <c r="AU252" s="172"/>
      <c r="AV252" s="172"/>
      <c r="AW252" s="172"/>
      <c r="AX252" s="172"/>
      <c r="AY252" s="172"/>
      <c r="AZ252" s="172"/>
      <c r="BA252" s="172"/>
      <c r="BB252" s="172"/>
      <c r="BC252" s="172"/>
      <c r="BD252" s="172"/>
      <c r="BE252" s="172"/>
      <c r="BF252" s="172"/>
      <c r="BG252" s="172"/>
      <c r="BH252" s="172"/>
      <c r="BI252" s="172"/>
      <c r="BJ252" s="172"/>
      <c r="BK252" s="172"/>
      <c r="BL252" s="172"/>
      <c r="BM252" s="172"/>
      <c r="BN252" s="172"/>
      <c r="BO252" s="172"/>
      <c r="BP252" s="172"/>
      <c r="BQ252" s="172"/>
      <c r="BR252" s="172"/>
      <c r="BS252" s="172"/>
      <c r="BT252" s="172"/>
      <c r="BU252" s="172"/>
      <c r="BV252" s="172"/>
      <c r="BW252" s="172"/>
      <c r="BX252" s="172"/>
      <c r="BY252" s="172"/>
      <c r="BZ252" s="172"/>
      <c r="CA252" s="179"/>
      <c r="CB252" s="179"/>
      <c r="CC252" s="179"/>
      <c r="CD252" s="179"/>
      <c r="CE252" s="179"/>
      <c r="CF252" s="179"/>
      <c r="CG252" s="179"/>
      <c r="CH252" s="179"/>
      <c r="CI252" s="179"/>
      <c r="CJ252" s="179"/>
      <c r="CK252" s="179"/>
      <c r="CL252" s="179"/>
      <c r="CM252" s="179"/>
      <c r="CN252" s="179"/>
      <c r="CO252" s="179"/>
      <c r="CP252" s="179"/>
    </row>
    <row r="253" ht="15.75" customHeight="1">
      <c r="A253" s="151">
        <v>42142.0</v>
      </c>
      <c r="B253" s="152">
        <v>2.0</v>
      </c>
      <c r="C253" s="152" t="s">
        <v>46</v>
      </c>
      <c r="D253" s="152">
        <v>3.0</v>
      </c>
      <c r="E253" s="153">
        <v>3006.0</v>
      </c>
      <c r="F253" s="153">
        <f>SUM(('Future Orders'!$E253) * (1.1))</f>
        <v>3306.6</v>
      </c>
      <c r="G253" s="154">
        <v>8.3</v>
      </c>
      <c r="H253" s="155">
        <v>24949.800000000003</v>
      </c>
      <c r="I253" s="155">
        <f>SUM(('Future Orders'!$H253) * (1.1))</f>
        <v>27444.78</v>
      </c>
      <c r="J253" s="159">
        <f>SUMIFS('Future Orders'!$F253, 'Future Orders'!$D253, "1", 'Future Orders'!$C253, "A", 'Future Orders'!$B253, "1")</f>
        <v>0</v>
      </c>
      <c r="K253" s="157">
        <f>SUMIFS('Future Orders'!$I253, 'Future Orders'!$D253, "1", 'Future Orders'!$C253, "A", 'Future Orders'!$B253, "1")</f>
        <v>0</v>
      </c>
      <c r="L253" s="157">
        <f>SUMIFS('Future Orders'!$F253, 'Future Orders'!$D253, "1", 'Future Orders'!$C253, "B", 'Future Orders'!$B253, "1")</f>
        <v>0</v>
      </c>
      <c r="M253" s="157">
        <f>SUMIFS('Future Orders'!$I253, 'Future Orders'!$D253, "1", 'Future Orders'!$C253, "B", 'Future Orders'!$B253, "1")</f>
        <v>0</v>
      </c>
      <c r="N253" s="159">
        <f>SUMIFS('Future Orders'!$F253, 'Future Orders'!$D253, "1", 'Future Orders'!$C253, "A", 'Future Orders'!$B253, "2")</f>
        <v>0</v>
      </c>
      <c r="O253" s="157">
        <f>SUMIFS('Future Orders'!$I253, 'Future Orders'!$D253, "1", 'Future Orders'!$C253, "A", 'Future Orders'!$B253, "2")</f>
        <v>0</v>
      </c>
      <c r="P253" s="157">
        <f>SUMIFS('Future Orders'!$E253, 'Future Orders'!$D253, "1", 'Future Orders'!$C253, "B", 'Future Orders'!$B253, "2")</f>
        <v>0</v>
      </c>
      <c r="Q253" s="157">
        <f>SUMIFS('Future Orders'!$I253, 'Future Orders'!$D253, "1", 'Future Orders'!$C253, "B", 'Future Orders'!$B253, "2")</f>
        <v>0</v>
      </c>
      <c r="R253" s="159">
        <f>SUMIFS('Future Orders'!$F253, 'Future Orders'!$D253, "2", 'Future Orders'!$C253, "A", 'Future Orders'!$B253, "1")</f>
        <v>0</v>
      </c>
      <c r="S253" s="157">
        <f>SUMIFS('Future Orders'!$I253, 'Future Orders'!$D253, "2", 'Future Orders'!$C253, "A", 'Future Orders'!$B253, "1")</f>
        <v>0</v>
      </c>
      <c r="T253" s="159">
        <f>SUMIFS('Future Orders'!$F253, 'Future Orders'!$D253, "2", 'Future Orders'!$C253, "B", 'Future Orders'!$B253, "1")</f>
        <v>0</v>
      </c>
      <c r="U253" s="157">
        <f>SUMIFS('Future Orders'!$I253, 'Future Orders'!$D253, "2", 'Future Orders'!$C253, "B", 'Future Orders'!$B253, "1")</f>
        <v>0</v>
      </c>
      <c r="V253" s="159">
        <f>SUMIFS('Future Orders'!$F253, 'Future Orders'!$D253, "2", 'Future Orders'!$C253, "A", 'Future Orders'!$B253, "2")</f>
        <v>0</v>
      </c>
      <c r="W253" s="157">
        <f>SUMIFS('Future Orders'!$I253, 'Future Orders'!$D253, "2", 'Future Orders'!$C253, "A", 'Future Orders'!$B253, "2")</f>
        <v>0</v>
      </c>
      <c r="X253" s="159">
        <f>SUMIFS('Future Orders'!$F253, 'Future Orders'!$D253, "2", 'Future Orders'!$C253, "B", 'Future Orders'!$B253, "2")</f>
        <v>0</v>
      </c>
      <c r="Y253" s="159">
        <f>SUMIFS('Future Orders'!$I253, 'Future Orders'!$D253, "2", 'Future Orders'!$C253, "B", 'Future Orders'!$B253, "2")</f>
        <v>0</v>
      </c>
      <c r="Z253" s="159">
        <f>SUMIFS('Future Orders'!$F253, 'Future Orders'!$D253, "3", 'Future Orders'!$C253, "A", 'Future Orders'!$B253, "1")</f>
        <v>0</v>
      </c>
      <c r="AA253" s="159">
        <f>SUMIFS('Future Orders'!$I253, 'Future Orders'!$D253, "3", 'Future Orders'!$C253, "A", 'Future Orders'!$B253, "1")</f>
        <v>0</v>
      </c>
      <c r="AB253" s="159">
        <f>SUMIFS('Future Orders'!$F253, 'Future Orders'!$D253, "3", 'Future Orders'!$C253, "B", 'Future Orders'!$B253, "1")</f>
        <v>0</v>
      </c>
      <c r="AC253" s="159">
        <f>SUMIFS('Future Orders'!$I253, 'Future Orders'!$D253, "3", 'Future Orders'!$C253, "B", 'Future Orders'!$B253, "1")</f>
        <v>0</v>
      </c>
      <c r="AD253" s="159">
        <f>SUMIFS('Future Orders'!$F253, 'Future Orders'!$D253, "3", 'Future Orders'!$C253, "A", 'Future Orders'!$B253, "2")</f>
        <v>0</v>
      </c>
      <c r="AE253" s="159">
        <f>SUMIFS('Future Orders'!$I253, 'Future Orders'!$D253, "3", 'Future Orders'!$C253, "A", 'Future Orders'!$B253, "2")</f>
        <v>0</v>
      </c>
      <c r="AF253" s="159">
        <f>SUMIFS('Future Orders'!$F253, 'Future Orders'!$D253, "3", 'Future Orders'!$C253, "B", 'Future Orders'!$B253, "2")</f>
        <v>3306.6</v>
      </c>
      <c r="AG253" s="157">
        <f>SUMIFS('Future Orders'!$I253, 'Future Orders'!$D253, "3", 'Future Orders'!$C253, "B", 'Future Orders'!$B253, "2")</f>
        <v>27444.78</v>
      </c>
      <c r="AH253" s="157">
        <f>SUMIFS('Future Orders'!$F253, 'Future Orders'!$D253, "4", 'Future Orders'!$C253, "A", 'Future Orders'!$B253, "1")</f>
        <v>0</v>
      </c>
      <c r="AI253" s="157">
        <f>SUMIFS('Future Orders'!$I253, 'Future Orders'!$D253, "4", 'Future Orders'!$C253, "A", 'Future Orders'!$B253, "1")</f>
        <v>0</v>
      </c>
      <c r="AJ253" s="157">
        <f>SUMIFS('Future Orders'!$F253, 'Future Orders'!$D253, "4", 'Future Orders'!$C253, "B", 'Future Orders'!$B253, "1")</f>
        <v>0</v>
      </c>
      <c r="AK253" s="157">
        <f>SUMIFS('Future Orders'!$I253, 'Future Orders'!$D253, "4", 'Future Orders'!$C253, "B", 'Future Orders'!$B253, "1")</f>
        <v>0</v>
      </c>
      <c r="AL253" s="157">
        <f>SUMIFS('Future Orders'!$F253, 'Future Orders'!$D253, "4", 'Future Orders'!$C253, "A", 'Future Orders'!$B253, "2")</f>
        <v>0</v>
      </c>
      <c r="AM253" s="157">
        <f>SUMIFS('Future Orders'!$I253, 'Future Orders'!$D253, "4", 'Future Orders'!$C253, "A", 'Future Orders'!$B253, "2")</f>
        <v>0</v>
      </c>
      <c r="AN253" s="171">
        <f>SUMIFS('Future Orders'!$F253, 'Future Orders'!$D253, "4", 'Future Orders'!$C253, "B", 'Future Orders'!$B253, "2")</f>
        <v>0</v>
      </c>
      <c r="AO253" s="171">
        <f>SUMIFS('Future Orders'!$I253, 'Future Orders'!$D253, "4", 'Future Orders'!$C253, "B", 'Future Orders'!$B253, "2")</f>
        <v>0</v>
      </c>
      <c r="AP253" s="171">
        <f>SUMIFS('Future Orders'!$H253, 'Future Orders'!$C253, "A", 'Future Orders'!$B253, "1")</f>
        <v>0</v>
      </c>
      <c r="AQ253" s="171">
        <f>SUMIFS('Future Orders'!$I253, 'Future Orders'!$C253, "B", 'Future Orders'!$B253, "1")</f>
        <v>0</v>
      </c>
      <c r="AR253" s="171">
        <f>SUMIFS('Future Orders'!$H253, 'Future Orders'!$C253, "A", 'Future Orders'!$B253, "2")</f>
        <v>0</v>
      </c>
      <c r="AS253" s="171">
        <f>SUMIFS('Future Orders'!$I253, 'Future Orders'!$C253, "B", 'Future Orders'!$B253, "2")</f>
        <v>27444.78</v>
      </c>
      <c r="AT253" s="145"/>
      <c r="AU253" s="172"/>
      <c r="AV253" s="172"/>
      <c r="AW253" s="172"/>
      <c r="AX253" s="172"/>
      <c r="AY253" s="172"/>
      <c r="AZ253" s="172"/>
      <c r="BA253" s="172"/>
      <c r="BB253" s="172"/>
      <c r="BC253" s="172"/>
      <c r="BD253" s="172"/>
      <c r="BE253" s="172"/>
      <c r="BF253" s="172"/>
      <c r="BG253" s="172"/>
      <c r="BH253" s="172"/>
      <c r="BI253" s="172"/>
      <c r="BJ253" s="172"/>
      <c r="BK253" s="172"/>
      <c r="BL253" s="172"/>
      <c r="BM253" s="172"/>
      <c r="BN253" s="172"/>
      <c r="BO253" s="172"/>
      <c r="BP253" s="172"/>
      <c r="BQ253" s="172"/>
      <c r="BR253" s="172"/>
      <c r="BS253" s="172"/>
      <c r="BT253" s="172"/>
      <c r="BU253" s="172"/>
      <c r="BV253" s="172"/>
      <c r="BW253" s="172"/>
      <c r="BX253" s="172"/>
      <c r="BY253" s="172"/>
      <c r="BZ253" s="172"/>
      <c r="CA253" s="179"/>
      <c r="CB253" s="179"/>
      <c r="CC253" s="179"/>
      <c r="CD253" s="179"/>
      <c r="CE253" s="179"/>
      <c r="CF253" s="179"/>
      <c r="CG253" s="179"/>
      <c r="CH253" s="179"/>
      <c r="CI253" s="179"/>
      <c r="CJ253" s="179"/>
      <c r="CK253" s="179"/>
      <c r="CL253" s="179"/>
      <c r="CM253" s="179"/>
      <c r="CN253" s="179"/>
      <c r="CO253" s="179"/>
      <c r="CP253" s="179"/>
    </row>
    <row r="254" ht="15.75" customHeight="1">
      <c r="A254" s="151">
        <v>42149.0</v>
      </c>
      <c r="B254" s="152">
        <v>1.0</v>
      </c>
      <c r="C254" s="152" t="s">
        <v>45</v>
      </c>
      <c r="D254" s="152">
        <v>1.0</v>
      </c>
      <c r="E254" s="153">
        <v>5253.0</v>
      </c>
      <c r="F254" s="153">
        <f>SUM(('Future Orders'!$E254) * (1.1))</f>
        <v>5778.3</v>
      </c>
      <c r="G254" s="154">
        <v>2.2</v>
      </c>
      <c r="H254" s="155">
        <v>11556.6</v>
      </c>
      <c r="I254" s="155">
        <f>SUM(('Future Orders'!$H254) * (1.1))</f>
        <v>12712.26</v>
      </c>
      <c r="J254" s="159">
        <f>SUMIFS('Future Orders'!$F254, 'Future Orders'!$D254, "1", 'Future Orders'!$C254, "A", 'Future Orders'!$B254, "1")</f>
        <v>5778.3</v>
      </c>
      <c r="K254" s="157">
        <f>SUMIFS('Future Orders'!$I254, 'Future Orders'!$D254, "1", 'Future Orders'!$C254, "A", 'Future Orders'!$B254, "1")</f>
        <v>12712.26</v>
      </c>
      <c r="L254" s="157">
        <f>SUMIFS('Future Orders'!$F254, 'Future Orders'!$D254, "1", 'Future Orders'!$C254, "B", 'Future Orders'!$B254, "1")</f>
        <v>0</v>
      </c>
      <c r="M254" s="157">
        <f>SUMIFS('Future Orders'!$I254, 'Future Orders'!$D254, "1", 'Future Orders'!$C254, "B", 'Future Orders'!$B254, "1")</f>
        <v>0</v>
      </c>
      <c r="N254" s="159">
        <f>SUMIFS('Future Orders'!$F254, 'Future Orders'!$D254, "1", 'Future Orders'!$C254, "A", 'Future Orders'!$B254, "2")</f>
        <v>0</v>
      </c>
      <c r="O254" s="157">
        <f>SUMIFS('Future Orders'!$I254, 'Future Orders'!$D254, "1", 'Future Orders'!$C254, "A", 'Future Orders'!$B254, "2")</f>
        <v>0</v>
      </c>
      <c r="P254" s="157">
        <f>SUMIFS('Future Orders'!$E254, 'Future Orders'!$D254, "1", 'Future Orders'!$C254, "B", 'Future Orders'!$B254, "2")</f>
        <v>0</v>
      </c>
      <c r="Q254" s="157">
        <f>SUMIFS('Future Orders'!$I254, 'Future Orders'!$D254, "1", 'Future Orders'!$C254, "B", 'Future Orders'!$B254, "2")</f>
        <v>0</v>
      </c>
      <c r="R254" s="159">
        <f>SUMIFS('Future Orders'!$F254, 'Future Orders'!$D254, "2", 'Future Orders'!$C254, "A", 'Future Orders'!$B254, "1")</f>
        <v>0</v>
      </c>
      <c r="S254" s="157">
        <f>SUMIFS('Future Orders'!$I254, 'Future Orders'!$D254, "2", 'Future Orders'!$C254, "A", 'Future Orders'!$B254, "1")</f>
        <v>0</v>
      </c>
      <c r="T254" s="159">
        <f>SUMIFS('Future Orders'!$F254, 'Future Orders'!$D254, "2", 'Future Orders'!$C254, "B", 'Future Orders'!$B254, "1")</f>
        <v>0</v>
      </c>
      <c r="U254" s="157">
        <f>SUMIFS('Future Orders'!$I254, 'Future Orders'!$D254, "2", 'Future Orders'!$C254, "B", 'Future Orders'!$B254, "1")</f>
        <v>0</v>
      </c>
      <c r="V254" s="159">
        <f>SUMIFS('Future Orders'!$F254, 'Future Orders'!$D254, "2", 'Future Orders'!$C254, "A", 'Future Orders'!$B254, "2")</f>
        <v>0</v>
      </c>
      <c r="W254" s="157">
        <f>SUMIFS('Future Orders'!$I254, 'Future Orders'!$D254, "2", 'Future Orders'!$C254, "A", 'Future Orders'!$B254, "2")</f>
        <v>0</v>
      </c>
      <c r="X254" s="159">
        <f>SUMIFS('Future Orders'!$F254, 'Future Orders'!$D254, "2", 'Future Orders'!$C254, "B", 'Future Orders'!$B254, "2")</f>
        <v>0</v>
      </c>
      <c r="Y254" s="159">
        <f>SUMIFS('Future Orders'!$I254, 'Future Orders'!$D254, "2", 'Future Orders'!$C254, "B", 'Future Orders'!$B254, "2")</f>
        <v>0</v>
      </c>
      <c r="Z254" s="159">
        <f>SUMIFS('Future Orders'!$F254, 'Future Orders'!$D254, "3", 'Future Orders'!$C254, "A", 'Future Orders'!$B254, "1")</f>
        <v>0</v>
      </c>
      <c r="AA254" s="159">
        <f>SUMIFS('Future Orders'!$I254, 'Future Orders'!$D254, "3", 'Future Orders'!$C254, "A", 'Future Orders'!$B254, "1")</f>
        <v>0</v>
      </c>
      <c r="AB254" s="159">
        <f>SUMIFS('Future Orders'!$F254, 'Future Orders'!$D254, "3", 'Future Orders'!$C254, "B", 'Future Orders'!$B254, "1")</f>
        <v>0</v>
      </c>
      <c r="AC254" s="159">
        <f>SUMIFS('Future Orders'!$I254, 'Future Orders'!$D254, "3", 'Future Orders'!$C254, "B", 'Future Orders'!$B254, "1")</f>
        <v>0</v>
      </c>
      <c r="AD254" s="159">
        <f>SUMIFS('Future Orders'!$F254, 'Future Orders'!$D254, "3", 'Future Orders'!$C254, "A", 'Future Orders'!$B254, "2")</f>
        <v>0</v>
      </c>
      <c r="AE254" s="159">
        <f>SUMIFS('Future Orders'!$I254, 'Future Orders'!$D254, "3", 'Future Orders'!$C254, "A", 'Future Orders'!$B254, "2")</f>
        <v>0</v>
      </c>
      <c r="AF254" s="159">
        <f>SUMIFS('Future Orders'!$F254, 'Future Orders'!$D254, "3", 'Future Orders'!$C254, "B", 'Future Orders'!$B254, "2")</f>
        <v>0</v>
      </c>
      <c r="AG254" s="157">
        <f>SUMIFS('Future Orders'!$I254, 'Future Orders'!$D254, "3", 'Future Orders'!$C254, "B", 'Future Orders'!$B254, "2")</f>
        <v>0</v>
      </c>
      <c r="AH254" s="157">
        <f>SUMIFS('Future Orders'!$F254, 'Future Orders'!$D254, "4", 'Future Orders'!$C254, "A", 'Future Orders'!$B254, "1")</f>
        <v>0</v>
      </c>
      <c r="AI254" s="157">
        <f>SUMIFS('Future Orders'!$I254, 'Future Orders'!$D254, "4", 'Future Orders'!$C254, "A", 'Future Orders'!$B254, "1")</f>
        <v>0</v>
      </c>
      <c r="AJ254" s="157">
        <f>SUMIFS('Future Orders'!$F254, 'Future Orders'!$D254, "4", 'Future Orders'!$C254, "B", 'Future Orders'!$B254, "1")</f>
        <v>0</v>
      </c>
      <c r="AK254" s="157">
        <f>SUMIFS('Future Orders'!$I254, 'Future Orders'!$D254, "4", 'Future Orders'!$C254, "B", 'Future Orders'!$B254, "1")</f>
        <v>0</v>
      </c>
      <c r="AL254" s="157">
        <f>SUMIFS('Future Orders'!$F254, 'Future Orders'!$D254, "4", 'Future Orders'!$C254, "A", 'Future Orders'!$B254, "2")</f>
        <v>0</v>
      </c>
      <c r="AM254" s="157">
        <f>SUMIFS('Future Orders'!$I254, 'Future Orders'!$D254, "4", 'Future Orders'!$C254, "A", 'Future Orders'!$B254, "2")</f>
        <v>0</v>
      </c>
      <c r="AN254" s="171">
        <f>SUMIFS('Future Orders'!$F254, 'Future Orders'!$D254, "4", 'Future Orders'!$C254, "B", 'Future Orders'!$B254, "2")</f>
        <v>0</v>
      </c>
      <c r="AO254" s="171">
        <f>SUMIFS('Future Orders'!$I254, 'Future Orders'!$D254, "4", 'Future Orders'!$C254, "B", 'Future Orders'!$B254, "2")</f>
        <v>0</v>
      </c>
      <c r="AP254" s="171">
        <f>SUMIFS('Future Orders'!$H254, 'Future Orders'!$C254, "A", 'Future Orders'!$B254, "1")</f>
        <v>11556.6</v>
      </c>
      <c r="AQ254" s="171">
        <f>SUMIFS('Future Orders'!$I254, 'Future Orders'!$C254, "B", 'Future Orders'!$B254, "1")</f>
        <v>0</v>
      </c>
      <c r="AR254" s="171">
        <f>SUMIFS('Future Orders'!$H254, 'Future Orders'!$C254, "A", 'Future Orders'!$B254, "2")</f>
        <v>0</v>
      </c>
      <c r="AS254" s="171">
        <f>SUMIFS('Future Orders'!$I254, 'Future Orders'!$C254, "B", 'Future Orders'!$B254, "2")</f>
        <v>0</v>
      </c>
      <c r="AT254" s="145"/>
      <c r="AU254" s="172"/>
      <c r="AV254" s="172"/>
      <c r="AW254" s="172"/>
      <c r="AX254" s="172"/>
      <c r="AY254" s="172"/>
      <c r="AZ254" s="172"/>
      <c r="BA254" s="172"/>
      <c r="BB254" s="172"/>
      <c r="BC254" s="172"/>
      <c r="BD254" s="172"/>
      <c r="BE254" s="172"/>
      <c r="BF254" s="172"/>
      <c r="BG254" s="172"/>
      <c r="BH254" s="172"/>
      <c r="BI254" s="172"/>
      <c r="BJ254" s="172"/>
      <c r="BK254" s="172"/>
      <c r="BL254" s="172"/>
      <c r="BM254" s="172"/>
      <c r="BN254" s="172"/>
      <c r="BO254" s="172"/>
      <c r="BP254" s="172"/>
      <c r="BQ254" s="172"/>
      <c r="BR254" s="172"/>
      <c r="BS254" s="172"/>
      <c r="BT254" s="172"/>
      <c r="BU254" s="172"/>
      <c r="BV254" s="172"/>
      <c r="BW254" s="172"/>
      <c r="BX254" s="172"/>
      <c r="BY254" s="172"/>
      <c r="BZ254" s="172"/>
      <c r="CA254" s="179"/>
      <c r="CB254" s="179"/>
      <c r="CC254" s="179"/>
      <c r="CD254" s="179"/>
      <c r="CE254" s="179"/>
      <c r="CF254" s="179"/>
      <c r="CG254" s="179"/>
      <c r="CH254" s="179"/>
      <c r="CI254" s="179"/>
      <c r="CJ254" s="179"/>
      <c r="CK254" s="179"/>
      <c r="CL254" s="179"/>
      <c r="CM254" s="179"/>
      <c r="CN254" s="179"/>
      <c r="CO254" s="179"/>
      <c r="CP254" s="179"/>
    </row>
    <row r="255" ht="15.75" customHeight="1">
      <c r="A255" s="151">
        <v>42149.0</v>
      </c>
      <c r="B255" s="152">
        <v>1.0</v>
      </c>
      <c r="C255" s="152" t="s">
        <v>45</v>
      </c>
      <c r="D255" s="152">
        <v>2.0</v>
      </c>
      <c r="E255" s="153">
        <v>6050.0</v>
      </c>
      <c r="F255" s="153">
        <f>SUM(('Future Orders'!$E255) * (1.1))</f>
        <v>6655</v>
      </c>
      <c r="G255" s="154">
        <v>1.2</v>
      </c>
      <c r="H255" s="155">
        <v>7260.0</v>
      </c>
      <c r="I255" s="155">
        <f>SUM(('Future Orders'!$H255) * (1.1))</f>
        <v>7986</v>
      </c>
      <c r="J255" s="159">
        <f>SUMIFS('Future Orders'!$F255, 'Future Orders'!$D255, "1", 'Future Orders'!$C255, "A", 'Future Orders'!$B255, "1")</f>
        <v>0</v>
      </c>
      <c r="K255" s="157">
        <f>SUMIFS('Future Orders'!$I255, 'Future Orders'!$D255, "1", 'Future Orders'!$C255, "A", 'Future Orders'!$B255, "1")</f>
        <v>0</v>
      </c>
      <c r="L255" s="157">
        <f>SUMIFS('Future Orders'!$F255, 'Future Orders'!$D255, "1", 'Future Orders'!$C255, "B", 'Future Orders'!$B255, "1")</f>
        <v>0</v>
      </c>
      <c r="M255" s="157">
        <f>SUMIFS('Future Orders'!$I255, 'Future Orders'!$D255, "1", 'Future Orders'!$C255, "B", 'Future Orders'!$B255, "1")</f>
        <v>0</v>
      </c>
      <c r="N255" s="159">
        <f>SUMIFS('Future Orders'!$F255, 'Future Orders'!$D255, "1", 'Future Orders'!$C255, "A", 'Future Orders'!$B255, "2")</f>
        <v>0</v>
      </c>
      <c r="O255" s="157">
        <f>SUMIFS('Future Orders'!$I255, 'Future Orders'!$D255, "1", 'Future Orders'!$C255, "A", 'Future Orders'!$B255, "2")</f>
        <v>0</v>
      </c>
      <c r="P255" s="157">
        <f>SUMIFS('Future Orders'!$E255, 'Future Orders'!$D255, "1", 'Future Orders'!$C255, "B", 'Future Orders'!$B255, "2")</f>
        <v>0</v>
      </c>
      <c r="Q255" s="157">
        <f>SUMIFS('Future Orders'!$I255, 'Future Orders'!$D255, "1", 'Future Orders'!$C255, "B", 'Future Orders'!$B255, "2")</f>
        <v>0</v>
      </c>
      <c r="R255" s="159">
        <f>SUMIFS('Future Orders'!$F255, 'Future Orders'!$D255, "2", 'Future Orders'!$C255, "A", 'Future Orders'!$B255, "1")</f>
        <v>6655</v>
      </c>
      <c r="S255" s="157">
        <f>SUMIFS('Future Orders'!$I255, 'Future Orders'!$D255, "2", 'Future Orders'!$C255, "A", 'Future Orders'!$B255, "1")</f>
        <v>7986</v>
      </c>
      <c r="T255" s="159">
        <f>SUMIFS('Future Orders'!$F255, 'Future Orders'!$D255, "2", 'Future Orders'!$C255, "B", 'Future Orders'!$B255, "1")</f>
        <v>0</v>
      </c>
      <c r="U255" s="157">
        <f>SUMIFS('Future Orders'!$I255, 'Future Orders'!$D255, "2", 'Future Orders'!$C255, "B", 'Future Orders'!$B255, "1")</f>
        <v>0</v>
      </c>
      <c r="V255" s="159">
        <f>SUMIFS('Future Orders'!$F255, 'Future Orders'!$D255, "2", 'Future Orders'!$C255, "A", 'Future Orders'!$B255, "2")</f>
        <v>0</v>
      </c>
      <c r="W255" s="157">
        <f>SUMIFS('Future Orders'!$I255, 'Future Orders'!$D255, "2", 'Future Orders'!$C255, "A", 'Future Orders'!$B255, "2")</f>
        <v>0</v>
      </c>
      <c r="X255" s="159">
        <f>SUMIFS('Future Orders'!$F255, 'Future Orders'!$D255, "2", 'Future Orders'!$C255, "B", 'Future Orders'!$B255, "2")</f>
        <v>0</v>
      </c>
      <c r="Y255" s="159">
        <f>SUMIFS('Future Orders'!$I255, 'Future Orders'!$D255, "2", 'Future Orders'!$C255, "B", 'Future Orders'!$B255, "2")</f>
        <v>0</v>
      </c>
      <c r="Z255" s="159">
        <f>SUMIFS('Future Orders'!$F255, 'Future Orders'!$D255, "3", 'Future Orders'!$C255, "A", 'Future Orders'!$B255, "1")</f>
        <v>0</v>
      </c>
      <c r="AA255" s="159">
        <f>SUMIFS('Future Orders'!$I255, 'Future Orders'!$D255, "3", 'Future Orders'!$C255, "A", 'Future Orders'!$B255, "1")</f>
        <v>0</v>
      </c>
      <c r="AB255" s="159">
        <f>SUMIFS('Future Orders'!$F255, 'Future Orders'!$D255, "3", 'Future Orders'!$C255, "B", 'Future Orders'!$B255, "1")</f>
        <v>0</v>
      </c>
      <c r="AC255" s="159">
        <f>SUMIFS('Future Orders'!$I255, 'Future Orders'!$D255, "3", 'Future Orders'!$C255, "B", 'Future Orders'!$B255, "1")</f>
        <v>0</v>
      </c>
      <c r="AD255" s="159">
        <f>SUMIFS('Future Orders'!$F255, 'Future Orders'!$D255, "3", 'Future Orders'!$C255, "A", 'Future Orders'!$B255, "2")</f>
        <v>0</v>
      </c>
      <c r="AE255" s="159">
        <f>SUMIFS('Future Orders'!$I255, 'Future Orders'!$D255, "3", 'Future Orders'!$C255, "A", 'Future Orders'!$B255, "2")</f>
        <v>0</v>
      </c>
      <c r="AF255" s="159">
        <f>SUMIFS('Future Orders'!$F255, 'Future Orders'!$D255, "3", 'Future Orders'!$C255, "B", 'Future Orders'!$B255, "2")</f>
        <v>0</v>
      </c>
      <c r="AG255" s="157">
        <f>SUMIFS('Future Orders'!$I255, 'Future Orders'!$D255, "3", 'Future Orders'!$C255, "B", 'Future Orders'!$B255, "2")</f>
        <v>0</v>
      </c>
      <c r="AH255" s="157">
        <f>SUMIFS('Future Orders'!$F255, 'Future Orders'!$D255, "4", 'Future Orders'!$C255, "A", 'Future Orders'!$B255, "1")</f>
        <v>0</v>
      </c>
      <c r="AI255" s="157">
        <f>SUMIFS('Future Orders'!$I255, 'Future Orders'!$D255, "4", 'Future Orders'!$C255, "A", 'Future Orders'!$B255, "1")</f>
        <v>0</v>
      </c>
      <c r="AJ255" s="157">
        <f>SUMIFS('Future Orders'!$F255, 'Future Orders'!$D255, "4", 'Future Orders'!$C255, "B", 'Future Orders'!$B255, "1")</f>
        <v>0</v>
      </c>
      <c r="AK255" s="157">
        <f>SUMIFS('Future Orders'!$I255, 'Future Orders'!$D255, "4", 'Future Orders'!$C255, "B", 'Future Orders'!$B255, "1")</f>
        <v>0</v>
      </c>
      <c r="AL255" s="157">
        <f>SUMIFS('Future Orders'!$F255, 'Future Orders'!$D255, "4", 'Future Orders'!$C255, "A", 'Future Orders'!$B255, "2")</f>
        <v>0</v>
      </c>
      <c r="AM255" s="157">
        <f>SUMIFS('Future Orders'!$I255, 'Future Orders'!$D255, "4", 'Future Orders'!$C255, "A", 'Future Orders'!$B255, "2")</f>
        <v>0</v>
      </c>
      <c r="AN255" s="171">
        <f>SUMIFS('Future Orders'!$F255, 'Future Orders'!$D255, "4", 'Future Orders'!$C255, "B", 'Future Orders'!$B255, "2")</f>
        <v>0</v>
      </c>
      <c r="AO255" s="171">
        <f>SUMIFS('Future Orders'!$I255, 'Future Orders'!$D255, "4", 'Future Orders'!$C255, "B", 'Future Orders'!$B255, "2")</f>
        <v>0</v>
      </c>
      <c r="AP255" s="171">
        <f>SUMIFS('Future Orders'!$H255, 'Future Orders'!$C255, "A", 'Future Orders'!$B255, "1")</f>
        <v>7260</v>
      </c>
      <c r="AQ255" s="171">
        <f>SUMIFS('Future Orders'!$I255, 'Future Orders'!$C255, "B", 'Future Orders'!$B255, "1")</f>
        <v>0</v>
      </c>
      <c r="AR255" s="171">
        <f>SUMIFS('Future Orders'!$H255, 'Future Orders'!$C255, "A", 'Future Orders'!$B255, "2")</f>
        <v>0</v>
      </c>
      <c r="AS255" s="171">
        <f>SUMIFS('Future Orders'!$I255, 'Future Orders'!$C255, "B", 'Future Orders'!$B255, "2")</f>
        <v>0</v>
      </c>
      <c r="AT255" s="145"/>
      <c r="AU255" s="172"/>
      <c r="AV255" s="172"/>
      <c r="AW255" s="172"/>
      <c r="AX255" s="172"/>
      <c r="AY255" s="172"/>
      <c r="AZ255" s="172"/>
      <c r="BA255" s="172"/>
      <c r="BB255" s="172"/>
      <c r="BC255" s="172"/>
      <c r="BD255" s="172"/>
      <c r="BE255" s="172"/>
      <c r="BF255" s="172"/>
      <c r="BG255" s="172"/>
      <c r="BH255" s="172"/>
      <c r="BI255" s="172"/>
      <c r="BJ255" s="172"/>
      <c r="BK255" s="172"/>
      <c r="BL255" s="172"/>
      <c r="BM255" s="172"/>
      <c r="BN255" s="172"/>
      <c r="BO255" s="172"/>
      <c r="BP255" s="172"/>
      <c r="BQ255" s="172"/>
      <c r="BR255" s="172"/>
      <c r="BS255" s="172"/>
      <c r="BT255" s="172"/>
      <c r="BU255" s="172"/>
      <c r="BV255" s="172"/>
      <c r="BW255" s="172"/>
      <c r="BX255" s="172"/>
      <c r="BY255" s="172"/>
      <c r="BZ255" s="172"/>
      <c r="CA255" s="179"/>
      <c r="CB255" s="179"/>
      <c r="CC255" s="179"/>
      <c r="CD255" s="179"/>
      <c r="CE255" s="179"/>
      <c r="CF255" s="179"/>
      <c r="CG255" s="179"/>
      <c r="CH255" s="179"/>
      <c r="CI255" s="179"/>
      <c r="CJ255" s="179"/>
      <c r="CK255" s="179"/>
      <c r="CL255" s="179"/>
      <c r="CM255" s="179"/>
      <c r="CN255" s="179"/>
      <c r="CO255" s="179"/>
      <c r="CP255" s="179"/>
    </row>
    <row r="256" ht="15.75" customHeight="1">
      <c r="A256" s="151">
        <v>42149.0</v>
      </c>
      <c r="B256" s="152">
        <v>2.0</v>
      </c>
      <c r="C256" s="152" t="s">
        <v>45</v>
      </c>
      <c r="D256" s="152">
        <v>1.0</v>
      </c>
      <c r="E256" s="153">
        <v>4415.0</v>
      </c>
      <c r="F256" s="153">
        <f>SUM(('Future Orders'!$E256) * (1.1))</f>
        <v>4856.5</v>
      </c>
      <c r="G256" s="154">
        <v>2.2</v>
      </c>
      <c r="H256" s="155">
        <v>9713.0</v>
      </c>
      <c r="I256" s="155">
        <f>SUM(('Future Orders'!$H256) * (1.1))</f>
        <v>10684.3</v>
      </c>
      <c r="J256" s="159">
        <f>SUMIFS('Future Orders'!$F256, 'Future Orders'!$D256, "1", 'Future Orders'!$C256, "A", 'Future Orders'!$B256, "1")</f>
        <v>0</v>
      </c>
      <c r="K256" s="157">
        <f>SUMIFS('Future Orders'!$I256, 'Future Orders'!$D256, "1", 'Future Orders'!$C256, "A", 'Future Orders'!$B256, "1")</f>
        <v>0</v>
      </c>
      <c r="L256" s="157">
        <f>SUMIFS('Future Orders'!$F256, 'Future Orders'!$D256, "1", 'Future Orders'!$C256, "B", 'Future Orders'!$B256, "1")</f>
        <v>0</v>
      </c>
      <c r="M256" s="157">
        <f>SUMIFS('Future Orders'!$I256, 'Future Orders'!$D256, "1", 'Future Orders'!$C256, "B", 'Future Orders'!$B256, "1")</f>
        <v>0</v>
      </c>
      <c r="N256" s="159">
        <f>SUMIFS('Future Orders'!$F256, 'Future Orders'!$D256, "1", 'Future Orders'!$C256, "A", 'Future Orders'!$B256, "2")</f>
        <v>4856.5</v>
      </c>
      <c r="O256" s="157">
        <f>SUMIFS('Future Orders'!$I256, 'Future Orders'!$D256, "1", 'Future Orders'!$C256, "A", 'Future Orders'!$B256, "2")</f>
        <v>10684.3</v>
      </c>
      <c r="P256" s="157">
        <f>SUMIFS('Future Orders'!$E256, 'Future Orders'!$D256, "1", 'Future Orders'!$C256, "B", 'Future Orders'!$B256, "2")</f>
        <v>0</v>
      </c>
      <c r="Q256" s="157">
        <f>SUMIFS('Future Orders'!$I256, 'Future Orders'!$D256, "1", 'Future Orders'!$C256, "B", 'Future Orders'!$B256, "2")</f>
        <v>0</v>
      </c>
      <c r="R256" s="159">
        <f>SUMIFS('Future Orders'!$F256, 'Future Orders'!$D256, "2", 'Future Orders'!$C256, "A", 'Future Orders'!$B256, "1")</f>
        <v>0</v>
      </c>
      <c r="S256" s="157">
        <f>SUMIFS('Future Orders'!$I256, 'Future Orders'!$D256, "2", 'Future Orders'!$C256, "A", 'Future Orders'!$B256, "1")</f>
        <v>0</v>
      </c>
      <c r="T256" s="159">
        <f>SUMIFS('Future Orders'!$F256, 'Future Orders'!$D256, "2", 'Future Orders'!$C256, "B", 'Future Orders'!$B256, "1")</f>
        <v>0</v>
      </c>
      <c r="U256" s="157">
        <f>SUMIFS('Future Orders'!$I256, 'Future Orders'!$D256, "2", 'Future Orders'!$C256, "B", 'Future Orders'!$B256, "1")</f>
        <v>0</v>
      </c>
      <c r="V256" s="159">
        <f>SUMIFS('Future Orders'!$F256, 'Future Orders'!$D256, "2", 'Future Orders'!$C256, "A", 'Future Orders'!$B256, "2")</f>
        <v>0</v>
      </c>
      <c r="W256" s="157">
        <f>SUMIFS('Future Orders'!$I256, 'Future Orders'!$D256, "2", 'Future Orders'!$C256, "A", 'Future Orders'!$B256, "2")</f>
        <v>0</v>
      </c>
      <c r="X256" s="159">
        <f>SUMIFS('Future Orders'!$F256, 'Future Orders'!$D256, "2", 'Future Orders'!$C256, "B", 'Future Orders'!$B256, "2")</f>
        <v>0</v>
      </c>
      <c r="Y256" s="159">
        <f>SUMIFS('Future Orders'!$I256, 'Future Orders'!$D256, "2", 'Future Orders'!$C256, "B", 'Future Orders'!$B256, "2")</f>
        <v>0</v>
      </c>
      <c r="Z256" s="159">
        <f>SUMIFS('Future Orders'!$F256, 'Future Orders'!$D256, "3", 'Future Orders'!$C256, "A", 'Future Orders'!$B256, "1")</f>
        <v>0</v>
      </c>
      <c r="AA256" s="159">
        <f>SUMIFS('Future Orders'!$I256, 'Future Orders'!$D256, "3", 'Future Orders'!$C256, "A", 'Future Orders'!$B256, "1")</f>
        <v>0</v>
      </c>
      <c r="AB256" s="159">
        <f>SUMIFS('Future Orders'!$F256, 'Future Orders'!$D256, "3", 'Future Orders'!$C256, "B", 'Future Orders'!$B256, "1")</f>
        <v>0</v>
      </c>
      <c r="AC256" s="159">
        <f>SUMIFS('Future Orders'!$I256, 'Future Orders'!$D256, "3", 'Future Orders'!$C256, "B", 'Future Orders'!$B256, "1")</f>
        <v>0</v>
      </c>
      <c r="AD256" s="159">
        <f>SUMIFS('Future Orders'!$F256, 'Future Orders'!$D256, "3", 'Future Orders'!$C256, "A", 'Future Orders'!$B256, "2")</f>
        <v>0</v>
      </c>
      <c r="AE256" s="159">
        <f>SUMIFS('Future Orders'!$I256, 'Future Orders'!$D256, "3", 'Future Orders'!$C256, "A", 'Future Orders'!$B256, "2")</f>
        <v>0</v>
      </c>
      <c r="AF256" s="159">
        <f>SUMIFS('Future Orders'!$F256, 'Future Orders'!$D256, "3", 'Future Orders'!$C256, "B", 'Future Orders'!$B256, "2")</f>
        <v>0</v>
      </c>
      <c r="AG256" s="157">
        <f>SUMIFS('Future Orders'!$I256, 'Future Orders'!$D256, "3", 'Future Orders'!$C256, "B", 'Future Orders'!$B256, "2")</f>
        <v>0</v>
      </c>
      <c r="AH256" s="157">
        <f>SUMIFS('Future Orders'!$F256, 'Future Orders'!$D256, "4", 'Future Orders'!$C256, "A", 'Future Orders'!$B256, "1")</f>
        <v>0</v>
      </c>
      <c r="AI256" s="157">
        <f>SUMIFS('Future Orders'!$I256, 'Future Orders'!$D256, "4", 'Future Orders'!$C256, "A", 'Future Orders'!$B256, "1")</f>
        <v>0</v>
      </c>
      <c r="AJ256" s="157">
        <f>SUMIFS('Future Orders'!$F256, 'Future Orders'!$D256, "4", 'Future Orders'!$C256, "B", 'Future Orders'!$B256, "1")</f>
        <v>0</v>
      </c>
      <c r="AK256" s="157">
        <f>SUMIFS('Future Orders'!$I256, 'Future Orders'!$D256, "4", 'Future Orders'!$C256, "B", 'Future Orders'!$B256, "1")</f>
        <v>0</v>
      </c>
      <c r="AL256" s="157">
        <f>SUMIFS('Future Orders'!$F256, 'Future Orders'!$D256, "4", 'Future Orders'!$C256, "A", 'Future Orders'!$B256, "2")</f>
        <v>0</v>
      </c>
      <c r="AM256" s="157">
        <f>SUMIFS('Future Orders'!$I256, 'Future Orders'!$D256, "4", 'Future Orders'!$C256, "A", 'Future Orders'!$B256, "2")</f>
        <v>0</v>
      </c>
      <c r="AN256" s="171">
        <f>SUMIFS('Future Orders'!$F256, 'Future Orders'!$D256, "4", 'Future Orders'!$C256, "B", 'Future Orders'!$B256, "2")</f>
        <v>0</v>
      </c>
      <c r="AO256" s="171">
        <f>SUMIFS('Future Orders'!$I256, 'Future Orders'!$D256, "4", 'Future Orders'!$C256, "B", 'Future Orders'!$B256, "2")</f>
        <v>0</v>
      </c>
      <c r="AP256" s="171">
        <f>SUMIFS('Future Orders'!$H256, 'Future Orders'!$C256, "A", 'Future Orders'!$B256, "1")</f>
        <v>0</v>
      </c>
      <c r="AQ256" s="171">
        <f>SUMIFS('Future Orders'!$I256, 'Future Orders'!$C256, "B", 'Future Orders'!$B256, "1")</f>
        <v>0</v>
      </c>
      <c r="AR256" s="171">
        <f>SUMIFS('Future Orders'!$H256, 'Future Orders'!$C256, "A", 'Future Orders'!$B256, "2")</f>
        <v>9713</v>
      </c>
      <c r="AS256" s="171">
        <f>SUMIFS('Future Orders'!$I256, 'Future Orders'!$C256, "B", 'Future Orders'!$B256, "2")</f>
        <v>0</v>
      </c>
      <c r="AT256" s="145"/>
      <c r="AU256" s="172"/>
      <c r="AV256" s="172"/>
      <c r="AW256" s="172"/>
      <c r="AX256" s="172"/>
      <c r="AY256" s="172"/>
      <c r="AZ256" s="172"/>
      <c r="BA256" s="172"/>
      <c r="BB256" s="172"/>
      <c r="BC256" s="172"/>
      <c r="BD256" s="172"/>
      <c r="BE256" s="172"/>
      <c r="BF256" s="172"/>
      <c r="BG256" s="172"/>
      <c r="BH256" s="172"/>
      <c r="BI256" s="172"/>
      <c r="BJ256" s="172"/>
      <c r="BK256" s="172"/>
      <c r="BL256" s="172"/>
      <c r="BM256" s="172"/>
      <c r="BN256" s="172"/>
      <c r="BO256" s="172"/>
      <c r="BP256" s="172"/>
      <c r="BQ256" s="172"/>
      <c r="BR256" s="172"/>
      <c r="BS256" s="172"/>
      <c r="BT256" s="172"/>
      <c r="BU256" s="172"/>
      <c r="BV256" s="172"/>
      <c r="BW256" s="172"/>
      <c r="BX256" s="172"/>
      <c r="BY256" s="172"/>
      <c r="BZ256" s="172"/>
      <c r="CA256" s="179"/>
      <c r="CB256" s="179"/>
      <c r="CC256" s="179"/>
      <c r="CD256" s="179"/>
      <c r="CE256" s="179"/>
      <c r="CF256" s="179"/>
      <c r="CG256" s="179"/>
      <c r="CH256" s="179"/>
      <c r="CI256" s="179"/>
      <c r="CJ256" s="179"/>
      <c r="CK256" s="179"/>
      <c r="CL256" s="179"/>
      <c r="CM256" s="179"/>
      <c r="CN256" s="179"/>
      <c r="CO256" s="179"/>
      <c r="CP256" s="179"/>
    </row>
    <row r="257" ht="15.75" customHeight="1">
      <c r="A257" s="151">
        <v>42149.0</v>
      </c>
      <c r="B257" s="152">
        <v>2.0</v>
      </c>
      <c r="C257" s="152" t="s">
        <v>45</v>
      </c>
      <c r="D257" s="152">
        <v>2.0</v>
      </c>
      <c r="E257" s="153">
        <v>6536.0</v>
      </c>
      <c r="F257" s="153">
        <f>SUM(('Future Orders'!$E257) * (1.1))</f>
        <v>7189.6</v>
      </c>
      <c r="G257" s="154">
        <v>1.2</v>
      </c>
      <c r="H257" s="155">
        <v>7843.2</v>
      </c>
      <c r="I257" s="155">
        <f>SUM(('Future Orders'!$H257) * (1.1))</f>
        <v>8627.52</v>
      </c>
      <c r="J257" s="159">
        <f>SUMIFS('Future Orders'!$F257, 'Future Orders'!$D257, "1", 'Future Orders'!$C257, "A", 'Future Orders'!$B257, "1")</f>
        <v>0</v>
      </c>
      <c r="K257" s="157">
        <f>SUMIFS('Future Orders'!$I257, 'Future Orders'!$D257, "1", 'Future Orders'!$C257, "A", 'Future Orders'!$B257, "1")</f>
        <v>0</v>
      </c>
      <c r="L257" s="157">
        <f>SUMIFS('Future Orders'!$F257, 'Future Orders'!$D257, "1", 'Future Orders'!$C257, "B", 'Future Orders'!$B257, "1")</f>
        <v>0</v>
      </c>
      <c r="M257" s="157">
        <f>SUMIFS('Future Orders'!$I257, 'Future Orders'!$D257, "1", 'Future Orders'!$C257, "B", 'Future Orders'!$B257, "1")</f>
        <v>0</v>
      </c>
      <c r="N257" s="159">
        <f>SUMIFS('Future Orders'!$F257, 'Future Orders'!$D257, "1", 'Future Orders'!$C257, "A", 'Future Orders'!$B257, "2")</f>
        <v>0</v>
      </c>
      <c r="O257" s="157">
        <f>SUMIFS('Future Orders'!$I257, 'Future Orders'!$D257, "1", 'Future Orders'!$C257, "A", 'Future Orders'!$B257, "2")</f>
        <v>0</v>
      </c>
      <c r="P257" s="157">
        <f>SUMIFS('Future Orders'!$E257, 'Future Orders'!$D257, "1", 'Future Orders'!$C257, "B", 'Future Orders'!$B257, "2")</f>
        <v>0</v>
      </c>
      <c r="Q257" s="157">
        <f>SUMIFS('Future Orders'!$I257, 'Future Orders'!$D257, "1", 'Future Orders'!$C257, "B", 'Future Orders'!$B257, "2")</f>
        <v>0</v>
      </c>
      <c r="R257" s="159">
        <f>SUMIFS('Future Orders'!$F257, 'Future Orders'!$D257, "2", 'Future Orders'!$C257, "A", 'Future Orders'!$B257, "1")</f>
        <v>0</v>
      </c>
      <c r="S257" s="157">
        <f>SUMIFS('Future Orders'!$I257, 'Future Orders'!$D257, "2", 'Future Orders'!$C257, "A", 'Future Orders'!$B257, "1")</f>
        <v>0</v>
      </c>
      <c r="T257" s="159">
        <f>SUMIFS('Future Orders'!$F257, 'Future Orders'!$D257, "2", 'Future Orders'!$C257, "B", 'Future Orders'!$B257, "1")</f>
        <v>0</v>
      </c>
      <c r="U257" s="157">
        <f>SUMIFS('Future Orders'!$I257, 'Future Orders'!$D257, "2", 'Future Orders'!$C257, "B", 'Future Orders'!$B257, "1")</f>
        <v>0</v>
      </c>
      <c r="V257" s="159">
        <f>SUMIFS('Future Orders'!$F257, 'Future Orders'!$D257, "2", 'Future Orders'!$C257, "A", 'Future Orders'!$B257, "2")</f>
        <v>7189.6</v>
      </c>
      <c r="W257" s="157">
        <f>SUMIFS('Future Orders'!$I257, 'Future Orders'!$D257, "2", 'Future Orders'!$C257, "A", 'Future Orders'!$B257, "2")</f>
        <v>8627.52</v>
      </c>
      <c r="X257" s="159">
        <f>SUMIFS('Future Orders'!$F257, 'Future Orders'!$D257, "2", 'Future Orders'!$C257, "B", 'Future Orders'!$B257, "2")</f>
        <v>0</v>
      </c>
      <c r="Y257" s="159">
        <f>SUMIFS('Future Orders'!$I257, 'Future Orders'!$D257, "2", 'Future Orders'!$C257, "B", 'Future Orders'!$B257, "2")</f>
        <v>0</v>
      </c>
      <c r="Z257" s="159">
        <f>SUMIFS('Future Orders'!$F257, 'Future Orders'!$D257, "3", 'Future Orders'!$C257, "A", 'Future Orders'!$B257, "1")</f>
        <v>0</v>
      </c>
      <c r="AA257" s="159">
        <f>SUMIFS('Future Orders'!$I257, 'Future Orders'!$D257, "3", 'Future Orders'!$C257, "A", 'Future Orders'!$B257, "1")</f>
        <v>0</v>
      </c>
      <c r="AB257" s="159">
        <f>SUMIFS('Future Orders'!$F257, 'Future Orders'!$D257, "3", 'Future Orders'!$C257, "B", 'Future Orders'!$B257, "1")</f>
        <v>0</v>
      </c>
      <c r="AC257" s="159">
        <f>SUMIFS('Future Orders'!$I257, 'Future Orders'!$D257, "3", 'Future Orders'!$C257, "B", 'Future Orders'!$B257, "1")</f>
        <v>0</v>
      </c>
      <c r="AD257" s="159">
        <f>SUMIFS('Future Orders'!$F257, 'Future Orders'!$D257, "3", 'Future Orders'!$C257, "A", 'Future Orders'!$B257, "2")</f>
        <v>0</v>
      </c>
      <c r="AE257" s="159">
        <f>SUMIFS('Future Orders'!$I257, 'Future Orders'!$D257, "3", 'Future Orders'!$C257, "A", 'Future Orders'!$B257, "2")</f>
        <v>0</v>
      </c>
      <c r="AF257" s="159">
        <f>SUMIFS('Future Orders'!$F257, 'Future Orders'!$D257, "3", 'Future Orders'!$C257, "B", 'Future Orders'!$B257, "2")</f>
        <v>0</v>
      </c>
      <c r="AG257" s="157">
        <f>SUMIFS('Future Orders'!$I257, 'Future Orders'!$D257, "3", 'Future Orders'!$C257, "B", 'Future Orders'!$B257, "2")</f>
        <v>0</v>
      </c>
      <c r="AH257" s="157">
        <f>SUMIFS('Future Orders'!$F257, 'Future Orders'!$D257, "4", 'Future Orders'!$C257, "A", 'Future Orders'!$B257, "1")</f>
        <v>0</v>
      </c>
      <c r="AI257" s="157">
        <f>SUMIFS('Future Orders'!$I257, 'Future Orders'!$D257, "4", 'Future Orders'!$C257, "A", 'Future Orders'!$B257, "1")</f>
        <v>0</v>
      </c>
      <c r="AJ257" s="157">
        <f>SUMIFS('Future Orders'!$F257, 'Future Orders'!$D257, "4", 'Future Orders'!$C257, "B", 'Future Orders'!$B257, "1")</f>
        <v>0</v>
      </c>
      <c r="AK257" s="157">
        <f>SUMIFS('Future Orders'!$I257, 'Future Orders'!$D257, "4", 'Future Orders'!$C257, "B", 'Future Orders'!$B257, "1")</f>
        <v>0</v>
      </c>
      <c r="AL257" s="157">
        <f>SUMIFS('Future Orders'!$F257, 'Future Orders'!$D257, "4", 'Future Orders'!$C257, "A", 'Future Orders'!$B257, "2")</f>
        <v>0</v>
      </c>
      <c r="AM257" s="157">
        <f>SUMIFS('Future Orders'!$I257, 'Future Orders'!$D257, "4", 'Future Orders'!$C257, "A", 'Future Orders'!$B257, "2")</f>
        <v>0</v>
      </c>
      <c r="AN257" s="171">
        <f>SUMIFS('Future Orders'!$F257, 'Future Orders'!$D257, "4", 'Future Orders'!$C257, "B", 'Future Orders'!$B257, "2")</f>
        <v>0</v>
      </c>
      <c r="AO257" s="171">
        <f>SUMIFS('Future Orders'!$I257, 'Future Orders'!$D257, "4", 'Future Orders'!$C257, "B", 'Future Orders'!$B257, "2")</f>
        <v>0</v>
      </c>
      <c r="AP257" s="171">
        <f>SUMIFS('Future Orders'!$H257, 'Future Orders'!$C257, "A", 'Future Orders'!$B257, "1")</f>
        <v>0</v>
      </c>
      <c r="AQ257" s="171">
        <f>SUMIFS('Future Orders'!$I257, 'Future Orders'!$C257, "B", 'Future Orders'!$B257, "1")</f>
        <v>0</v>
      </c>
      <c r="AR257" s="171">
        <f>SUMIFS('Future Orders'!$H257, 'Future Orders'!$C257, "A", 'Future Orders'!$B257, "2")</f>
        <v>7843.2</v>
      </c>
      <c r="AS257" s="171">
        <f>SUMIFS('Future Orders'!$I257, 'Future Orders'!$C257, "B", 'Future Orders'!$B257, "2")</f>
        <v>0</v>
      </c>
      <c r="AT257" s="145"/>
      <c r="AU257" s="172"/>
      <c r="AV257" s="172"/>
      <c r="AW257" s="172"/>
      <c r="AX257" s="172"/>
      <c r="AY257" s="172"/>
      <c r="AZ257" s="172"/>
      <c r="BA257" s="172"/>
      <c r="BB257" s="172"/>
      <c r="BC257" s="172"/>
      <c r="BD257" s="172"/>
      <c r="BE257" s="172"/>
      <c r="BF257" s="172"/>
      <c r="BG257" s="172"/>
      <c r="BH257" s="172"/>
      <c r="BI257" s="172"/>
      <c r="BJ257" s="172"/>
      <c r="BK257" s="172"/>
      <c r="BL257" s="172"/>
      <c r="BM257" s="172"/>
      <c r="BN257" s="172"/>
      <c r="BO257" s="172"/>
      <c r="BP257" s="172"/>
      <c r="BQ257" s="172"/>
      <c r="BR257" s="172"/>
      <c r="BS257" s="172"/>
      <c r="BT257" s="172"/>
      <c r="BU257" s="172"/>
      <c r="BV257" s="172"/>
      <c r="BW257" s="172"/>
      <c r="BX257" s="172"/>
      <c r="BY257" s="172"/>
      <c r="BZ257" s="172"/>
      <c r="CA257" s="179"/>
      <c r="CB257" s="179"/>
      <c r="CC257" s="179"/>
      <c r="CD257" s="179"/>
      <c r="CE257" s="179"/>
      <c r="CF257" s="179"/>
      <c r="CG257" s="179"/>
      <c r="CH257" s="179"/>
      <c r="CI257" s="179"/>
      <c r="CJ257" s="179"/>
      <c r="CK257" s="179"/>
      <c r="CL257" s="179"/>
      <c r="CM257" s="179"/>
      <c r="CN257" s="179"/>
      <c r="CO257" s="179"/>
      <c r="CP257" s="179"/>
    </row>
    <row r="258" ht="15.75" customHeight="1">
      <c r="A258" s="151">
        <v>42149.0</v>
      </c>
      <c r="B258" s="152">
        <v>1.0</v>
      </c>
      <c r="C258" s="152" t="s">
        <v>46</v>
      </c>
      <c r="D258" s="152">
        <v>3.0</v>
      </c>
      <c r="E258" s="153">
        <v>2289.0</v>
      </c>
      <c r="F258" s="153">
        <f>SUM(('Future Orders'!$E258) * (1.1))</f>
        <v>2517.9</v>
      </c>
      <c r="G258" s="154">
        <v>8.3</v>
      </c>
      <c r="H258" s="155">
        <v>18998.7</v>
      </c>
      <c r="I258" s="155">
        <f>SUM(('Future Orders'!$H258) * (1.1))</f>
        <v>20898.57</v>
      </c>
      <c r="J258" s="159">
        <f>SUMIFS('Future Orders'!$F258, 'Future Orders'!$D258, "1", 'Future Orders'!$C258, "A", 'Future Orders'!$B258, "1")</f>
        <v>0</v>
      </c>
      <c r="K258" s="157">
        <f>SUMIFS('Future Orders'!$I258, 'Future Orders'!$D258, "1", 'Future Orders'!$C258, "A", 'Future Orders'!$B258, "1")</f>
        <v>0</v>
      </c>
      <c r="L258" s="157">
        <f>SUMIFS('Future Orders'!$F258, 'Future Orders'!$D258, "1", 'Future Orders'!$C258, "B", 'Future Orders'!$B258, "1")</f>
        <v>0</v>
      </c>
      <c r="M258" s="157">
        <f>SUMIFS('Future Orders'!$I258, 'Future Orders'!$D258, "1", 'Future Orders'!$C258, "B", 'Future Orders'!$B258, "1")</f>
        <v>0</v>
      </c>
      <c r="N258" s="159">
        <f>SUMIFS('Future Orders'!$F258, 'Future Orders'!$D258, "1", 'Future Orders'!$C258, "A", 'Future Orders'!$B258, "2")</f>
        <v>0</v>
      </c>
      <c r="O258" s="157">
        <f>SUMIFS('Future Orders'!$I258, 'Future Orders'!$D258, "1", 'Future Orders'!$C258, "A", 'Future Orders'!$B258, "2")</f>
        <v>0</v>
      </c>
      <c r="P258" s="157">
        <f>SUMIFS('Future Orders'!$E258, 'Future Orders'!$D258, "1", 'Future Orders'!$C258, "B", 'Future Orders'!$B258, "2")</f>
        <v>0</v>
      </c>
      <c r="Q258" s="157">
        <f>SUMIFS('Future Orders'!$I258, 'Future Orders'!$D258, "1", 'Future Orders'!$C258, "B", 'Future Orders'!$B258, "2")</f>
        <v>0</v>
      </c>
      <c r="R258" s="159">
        <f>SUMIFS('Future Orders'!$F258, 'Future Orders'!$D258, "2", 'Future Orders'!$C258, "A", 'Future Orders'!$B258, "1")</f>
        <v>0</v>
      </c>
      <c r="S258" s="157">
        <f>SUMIFS('Future Orders'!$I258, 'Future Orders'!$D258, "2", 'Future Orders'!$C258, "A", 'Future Orders'!$B258, "1")</f>
        <v>0</v>
      </c>
      <c r="T258" s="159">
        <f>SUMIFS('Future Orders'!$F258, 'Future Orders'!$D258, "2", 'Future Orders'!$C258, "B", 'Future Orders'!$B258, "1")</f>
        <v>0</v>
      </c>
      <c r="U258" s="157">
        <f>SUMIFS('Future Orders'!$I258, 'Future Orders'!$D258, "2", 'Future Orders'!$C258, "B", 'Future Orders'!$B258, "1")</f>
        <v>0</v>
      </c>
      <c r="V258" s="159">
        <f>SUMIFS('Future Orders'!$F258, 'Future Orders'!$D258, "2", 'Future Orders'!$C258, "A", 'Future Orders'!$B258, "2")</f>
        <v>0</v>
      </c>
      <c r="W258" s="157">
        <f>SUMIFS('Future Orders'!$I258, 'Future Orders'!$D258, "2", 'Future Orders'!$C258, "A", 'Future Orders'!$B258, "2")</f>
        <v>0</v>
      </c>
      <c r="X258" s="159">
        <f>SUMIFS('Future Orders'!$F258, 'Future Orders'!$D258, "2", 'Future Orders'!$C258, "B", 'Future Orders'!$B258, "2")</f>
        <v>0</v>
      </c>
      <c r="Y258" s="159">
        <f>SUMIFS('Future Orders'!$I258, 'Future Orders'!$D258, "2", 'Future Orders'!$C258, "B", 'Future Orders'!$B258, "2")</f>
        <v>0</v>
      </c>
      <c r="Z258" s="159">
        <f>SUMIFS('Future Orders'!$F258, 'Future Orders'!$D258, "3", 'Future Orders'!$C258, "A", 'Future Orders'!$B258, "1")</f>
        <v>0</v>
      </c>
      <c r="AA258" s="159">
        <f>SUMIFS('Future Orders'!$I258, 'Future Orders'!$D258, "3", 'Future Orders'!$C258, "A", 'Future Orders'!$B258, "1")</f>
        <v>0</v>
      </c>
      <c r="AB258" s="159">
        <f>SUMIFS('Future Orders'!$F258, 'Future Orders'!$D258, "3", 'Future Orders'!$C258, "B", 'Future Orders'!$B258, "1")</f>
        <v>2517.9</v>
      </c>
      <c r="AC258" s="159">
        <f>SUMIFS('Future Orders'!$I258, 'Future Orders'!$D258, "3", 'Future Orders'!$C258, "B", 'Future Orders'!$B258, "1")</f>
        <v>20898.57</v>
      </c>
      <c r="AD258" s="159">
        <f>SUMIFS('Future Orders'!$F258, 'Future Orders'!$D258, "3", 'Future Orders'!$C258, "A", 'Future Orders'!$B258, "2")</f>
        <v>0</v>
      </c>
      <c r="AE258" s="159">
        <f>SUMIFS('Future Orders'!$I258, 'Future Orders'!$D258, "3", 'Future Orders'!$C258, "A", 'Future Orders'!$B258, "2")</f>
        <v>0</v>
      </c>
      <c r="AF258" s="159">
        <f>SUMIFS('Future Orders'!$F258, 'Future Orders'!$D258, "3", 'Future Orders'!$C258, "B", 'Future Orders'!$B258, "2")</f>
        <v>0</v>
      </c>
      <c r="AG258" s="157">
        <f>SUMIFS('Future Orders'!$I258, 'Future Orders'!$D258, "3", 'Future Orders'!$C258, "B", 'Future Orders'!$B258, "2")</f>
        <v>0</v>
      </c>
      <c r="AH258" s="157">
        <f>SUMIFS('Future Orders'!$F258, 'Future Orders'!$D258, "4", 'Future Orders'!$C258, "A", 'Future Orders'!$B258, "1")</f>
        <v>0</v>
      </c>
      <c r="AI258" s="157">
        <f>SUMIFS('Future Orders'!$I258, 'Future Orders'!$D258, "4", 'Future Orders'!$C258, "A", 'Future Orders'!$B258, "1")</f>
        <v>0</v>
      </c>
      <c r="AJ258" s="157">
        <f>SUMIFS('Future Orders'!$F258, 'Future Orders'!$D258, "4", 'Future Orders'!$C258, "B", 'Future Orders'!$B258, "1")</f>
        <v>0</v>
      </c>
      <c r="AK258" s="157">
        <f>SUMIFS('Future Orders'!$I258, 'Future Orders'!$D258, "4", 'Future Orders'!$C258, "B", 'Future Orders'!$B258, "1")</f>
        <v>0</v>
      </c>
      <c r="AL258" s="157">
        <f>SUMIFS('Future Orders'!$F258, 'Future Orders'!$D258, "4", 'Future Orders'!$C258, "A", 'Future Orders'!$B258, "2")</f>
        <v>0</v>
      </c>
      <c r="AM258" s="157">
        <f>SUMIFS('Future Orders'!$I258, 'Future Orders'!$D258, "4", 'Future Orders'!$C258, "A", 'Future Orders'!$B258, "2")</f>
        <v>0</v>
      </c>
      <c r="AN258" s="171">
        <f>SUMIFS('Future Orders'!$F258, 'Future Orders'!$D258, "4", 'Future Orders'!$C258, "B", 'Future Orders'!$B258, "2")</f>
        <v>0</v>
      </c>
      <c r="AO258" s="171">
        <f>SUMIFS('Future Orders'!$I258, 'Future Orders'!$D258, "4", 'Future Orders'!$C258, "B", 'Future Orders'!$B258, "2")</f>
        <v>0</v>
      </c>
      <c r="AP258" s="171">
        <f>SUMIFS('Future Orders'!$H258, 'Future Orders'!$C258, "A", 'Future Orders'!$B258, "1")</f>
        <v>0</v>
      </c>
      <c r="AQ258" s="171">
        <f>SUMIFS('Future Orders'!$I258, 'Future Orders'!$C258, "B", 'Future Orders'!$B258, "1")</f>
        <v>20898.57</v>
      </c>
      <c r="AR258" s="171">
        <f>SUMIFS('Future Orders'!$H258, 'Future Orders'!$C258, "A", 'Future Orders'!$B258, "2")</f>
        <v>0</v>
      </c>
      <c r="AS258" s="171">
        <f>SUMIFS('Future Orders'!$I258, 'Future Orders'!$C258, "B", 'Future Orders'!$B258, "2")</f>
        <v>0</v>
      </c>
      <c r="AT258" s="145"/>
      <c r="AU258" s="172"/>
      <c r="AV258" s="172"/>
      <c r="AW258" s="172"/>
      <c r="AX258" s="172"/>
      <c r="AY258" s="172"/>
      <c r="AZ258" s="172"/>
      <c r="BA258" s="172"/>
      <c r="BB258" s="172"/>
      <c r="BC258" s="172"/>
      <c r="BD258" s="172"/>
      <c r="BE258" s="172"/>
      <c r="BF258" s="172"/>
      <c r="BG258" s="172"/>
      <c r="BH258" s="172"/>
      <c r="BI258" s="172"/>
      <c r="BJ258" s="172"/>
      <c r="BK258" s="172"/>
      <c r="BL258" s="172"/>
      <c r="BM258" s="172"/>
      <c r="BN258" s="172"/>
      <c r="BO258" s="172"/>
      <c r="BP258" s="172"/>
      <c r="BQ258" s="172"/>
      <c r="BR258" s="172"/>
      <c r="BS258" s="172"/>
      <c r="BT258" s="172"/>
      <c r="BU258" s="172"/>
      <c r="BV258" s="172"/>
      <c r="BW258" s="172"/>
      <c r="BX258" s="172"/>
      <c r="BY258" s="172"/>
      <c r="BZ258" s="172"/>
      <c r="CA258" s="179"/>
      <c r="CB258" s="179"/>
      <c r="CC258" s="179"/>
      <c r="CD258" s="179"/>
      <c r="CE258" s="179"/>
      <c r="CF258" s="179"/>
      <c r="CG258" s="179"/>
      <c r="CH258" s="179"/>
      <c r="CI258" s="179"/>
      <c r="CJ258" s="179"/>
      <c r="CK258" s="179"/>
      <c r="CL258" s="179"/>
      <c r="CM258" s="179"/>
      <c r="CN258" s="179"/>
      <c r="CO258" s="179"/>
      <c r="CP258" s="179"/>
    </row>
    <row r="259" ht="15.75" customHeight="1">
      <c r="A259" s="151">
        <v>42149.0</v>
      </c>
      <c r="B259" s="152">
        <v>2.0</v>
      </c>
      <c r="C259" s="152" t="s">
        <v>46</v>
      </c>
      <c r="D259" s="152">
        <v>3.0</v>
      </c>
      <c r="E259" s="153">
        <v>3138.0</v>
      </c>
      <c r="F259" s="153">
        <f>SUM(('Future Orders'!$E259) * (1.1))</f>
        <v>3451.8</v>
      </c>
      <c r="G259" s="154">
        <v>8.3</v>
      </c>
      <c r="H259" s="155">
        <v>26045.4</v>
      </c>
      <c r="I259" s="155">
        <f>SUM(('Future Orders'!$H259) * (1.1))</f>
        <v>28649.94</v>
      </c>
      <c r="J259" s="159">
        <f>SUMIFS('Future Orders'!$F259, 'Future Orders'!$D259, "1", 'Future Orders'!$C259, "A", 'Future Orders'!$B259, "1")</f>
        <v>0</v>
      </c>
      <c r="K259" s="157">
        <f>SUMIFS('Future Orders'!$I259, 'Future Orders'!$D259, "1", 'Future Orders'!$C259, "A", 'Future Orders'!$B259, "1")</f>
        <v>0</v>
      </c>
      <c r="L259" s="157">
        <f>SUMIFS('Future Orders'!$F259, 'Future Orders'!$D259, "1", 'Future Orders'!$C259, "B", 'Future Orders'!$B259, "1")</f>
        <v>0</v>
      </c>
      <c r="M259" s="157">
        <f>SUMIFS('Future Orders'!$I259, 'Future Orders'!$D259, "1", 'Future Orders'!$C259, "B", 'Future Orders'!$B259, "1")</f>
        <v>0</v>
      </c>
      <c r="N259" s="159">
        <f>SUMIFS('Future Orders'!$F259, 'Future Orders'!$D259, "1", 'Future Orders'!$C259, "A", 'Future Orders'!$B259, "2")</f>
        <v>0</v>
      </c>
      <c r="O259" s="157">
        <f>SUMIFS('Future Orders'!$I259, 'Future Orders'!$D259, "1", 'Future Orders'!$C259, "A", 'Future Orders'!$B259, "2")</f>
        <v>0</v>
      </c>
      <c r="P259" s="157">
        <f>SUMIFS('Future Orders'!$E259, 'Future Orders'!$D259, "1", 'Future Orders'!$C259, "B", 'Future Orders'!$B259, "2")</f>
        <v>0</v>
      </c>
      <c r="Q259" s="157">
        <f>SUMIFS('Future Orders'!$I259, 'Future Orders'!$D259, "1", 'Future Orders'!$C259, "B", 'Future Orders'!$B259, "2")</f>
        <v>0</v>
      </c>
      <c r="R259" s="159">
        <f>SUMIFS('Future Orders'!$F259, 'Future Orders'!$D259, "2", 'Future Orders'!$C259, "A", 'Future Orders'!$B259, "1")</f>
        <v>0</v>
      </c>
      <c r="S259" s="157">
        <f>SUMIFS('Future Orders'!$I259, 'Future Orders'!$D259, "2", 'Future Orders'!$C259, "A", 'Future Orders'!$B259, "1")</f>
        <v>0</v>
      </c>
      <c r="T259" s="159">
        <f>SUMIFS('Future Orders'!$F259, 'Future Orders'!$D259, "2", 'Future Orders'!$C259, "B", 'Future Orders'!$B259, "1")</f>
        <v>0</v>
      </c>
      <c r="U259" s="157">
        <f>SUMIFS('Future Orders'!$I259, 'Future Orders'!$D259, "2", 'Future Orders'!$C259, "B", 'Future Orders'!$B259, "1")</f>
        <v>0</v>
      </c>
      <c r="V259" s="159">
        <f>SUMIFS('Future Orders'!$F259, 'Future Orders'!$D259, "2", 'Future Orders'!$C259, "A", 'Future Orders'!$B259, "2")</f>
        <v>0</v>
      </c>
      <c r="W259" s="157">
        <f>SUMIFS('Future Orders'!$I259, 'Future Orders'!$D259, "2", 'Future Orders'!$C259, "A", 'Future Orders'!$B259, "2")</f>
        <v>0</v>
      </c>
      <c r="X259" s="159">
        <f>SUMIFS('Future Orders'!$F259, 'Future Orders'!$D259, "2", 'Future Orders'!$C259, "B", 'Future Orders'!$B259, "2")</f>
        <v>0</v>
      </c>
      <c r="Y259" s="159">
        <f>SUMIFS('Future Orders'!$I259, 'Future Orders'!$D259, "2", 'Future Orders'!$C259, "B", 'Future Orders'!$B259, "2")</f>
        <v>0</v>
      </c>
      <c r="Z259" s="159">
        <f>SUMIFS('Future Orders'!$F259, 'Future Orders'!$D259, "3", 'Future Orders'!$C259, "A", 'Future Orders'!$B259, "1")</f>
        <v>0</v>
      </c>
      <c r="AA259" s="159">
        <f>SUMIFS('Future Orders'!$I259, 'Future Orders'!$D259, "3", 'Future Orders'!$C259, "A", 'Future Orders'!$B259, "1")</f>
        <v>0</v>
      </c>
      <c r="AB259" s="159">
        <f>SUMIFS('Future Orders'!$F259, 'Future Orders'!$D259, "3", 'Future Orders'!$C259, "B", 'Future Orders'!$B259, "1")</f>
        <v>0</v>
      </c>
      <c r="AC259" s="159">
        <f>SUMIFS('Future Orders'!$I259, 'Future Orders'!$D259, "3", 'Future Orders'!$C259, "B", 'Future Orders'!$B259, "1")</f>
        <v>0</v>
      </c>
      <c r="AD259" s="159">
        <f>SUMIFS('Future Orders'!$F259, 'Future Orders'!$D259, "3", 'Future Orders'!$C259, "A", 'Future Orders'!$B259, "2")</f>
        <v>0</v>
      </c>
      <c r="AE259" s="159">
        <f>SUMIFS('Future Orders'!$I259, 'Future Orders'!$D259, "3", 'Future Orders'!$C259, "A", 'Future Orders'!$B259, "2")</f>
        <v>0</v>
      </c>
      <c r="AF259" s="159">
        <f>SUMIFS('Future Orders'!$F259, 'Future Orders'!$D259, "3", 'Future Orders'!$C259, "B", 'Future Orders'!$B259, "2")</f>
        <v>3451.8</v>
      </c>
      <c r="AG259" s="157">
        <f>SUMIFS('Future Orders'!$I259, 'Future Orders'!$D259, "3", 'Future Orders'!$C259, "B", 'Future Orders'!$B259, "2")</f>
        <v>28649.94</v>
      </c>
      <c r="AH259" s="157">
        <f>SUMIFS('Future Orders'!$F259, 'Future Orders'!$D259, "4", 'Future Orders'!$C259, "A", 'Future Orders'!$B259, "1")</f>
        <v>0</v>
      </c>
      <c r="AI259" s="157">
        <f>SUMIFS('Future Orders'!$I259, 'Future Orders'!$D259, "4", 'Future Orders'!$C259, "A", 'Future Orders'!$B259, "1")</f>
        <v>0</v>
      </c>
      <c r="AJ259" s="157">
        <f>SUMIFS('Future Orders'!$F259, 'Future Orders'!$D259, "4", 'Future Orders'!$C259, "B", 'Future Orders'!$B259, "1")</f>
        <v>0</v>
      </c>
      <c r="AK259" s="157">
        <f>SUMIFS('Future Orders'!$I259, 'Future Orders'!$D259, "4", 'Future Orders'!$C259, "B", 'Future Orders'!$B259, "1")</f>
        <v>0</v>
      </c>
      <c r="AL259" s="157">
        <f>SUMIFS('Future Orders'!$F259, 'Future Orders'!$D259, "4", 'Future Orders'!$C259, "A", 'Future Orders'!$B259, "2")</f>
        <v>0</v>
      </c>
      <c r="AM259" s="157">
        <f>SUMIFS('Future Orders'!$I259, 'Future Orders'!$D259, "4", 'Future Orders'!$C259, "A", 'Future Orders'!$B259, "2")</f>
        <v>0</v>
      </c>
      <c r="AN259" s="171">
        <f>SUMIFS('Future Orders'!$F259, 'Future Orders'!$D259, "4", 'Future Orders'!$C259, "B", 'Future Orders'!$B259, "2")</f>
        <v>0</v>
      </c>
      <c r="AO259" s="171">
        <f>SUMIFS('Future Orders'!$I259, 'Future Orders'!$D259, "4", 'Future Orders'!$C259, "B", 'Future Orders'!$B259, "2")</f>
        <v>0</v>
      </c>
      <c r="AP259" s="171">
        <f>SUMIFS('Future Orders'!$H259, 'Future Orders'!$C259, "A", 'Future Orders'!$B259, "1")</f>
        <v>0</v>
      </c>
      <c r="AQ259" s="171">
        <f>SUMIFS('Future Orders'!$I259, 'Future Orders'!$C259, "B", 'Future Orders'!$B259, "1")</f>
        <v>0</v>
      </c>
      <c r="AR259" s="171">
        <f>SUMIFS('Future Orders'!$H259, 'Future Orders'!$C259, "A", 'Future Orders'!$B259, "2")</f>
        <v>0</v>
      </c>
      <c r="AS259" s="171">
        <f>SUMIFS('Future Orders'!$I259, 'Future Orders'!$C259, "B", 'Future Orders'!$B259, "2")</f>
        <v>28649.94</v>
      </c>
      <c r="AT259" s="145"/>
      <c r="AU259" s="172"/>
      <c r="AV259" s="172"/>
      <c r="AW259" s="172"/>
      <c r="AX259" s="172"/>
      <c r="AY259" s="172"/>
      <c r="AZ259" s="172"/>
      <c r="BA259" s="172"/>
      <c r="BB259" s="172"/>
      <c r="BC259" s="172"/>
      <c r="BD259" s="172"/>
      <c r="BE259" s="172"/>
      <c r="BF259" s="172"/>
      <c r="BG259" s="172"/>
      <c r="BH259" s="172"/>
      <c r="BI259" s="172"/>
      <c r="BJ259" s="172"/>
      <c r="BK259" s="172"/>
      <c r="BL259" s="172"/>
      <c r="BM259" s="172"/>
      <c r="BN259" s="172"/>
      <c r="BO259" s="172"/>
      <c r="BP259" s="172"/>
      <c r="BQ259" s="172"/>
      <c r="BR259" s="172"/>
      <c r="BS259" s="172"/>
      <c r="BT259" s="172"/>
      <c r="BU259" s="172"/>
      <c r="BV259" s="172"/>
      <c r="BW259" s="172"/>
      <c r="BX259" s="172"/>
      <c r="BY259" s="172"/>
      <c r="BZ259" s="172"/>
      <c r="CA259" s="179"/>
      <c r="CB259" s="179"/>
      <c r="CC259" s="179"/>
      <c r="CD259" s="179"/>
      <c r="CE259" s="179"/>
      <c r="CF259" s="179"/>
      <c r="CG259" s="179"/>
      <c r="CH259" s="179"/>
      <c r="CI259" s="179"/>
      <c r="CJ259" s="179"/>
      <c r="CK259" s="179"/>
      <c r="CL259" s="179"/>
      <c r="CM259" s="179"/>
      <c r="CN259" s="179"/>
      <c r="CO259" s="179"/>
      <c r="CP259" s="179"/>
    </row>
    <row r="260" ht="15.75" customHeight="1">
      <c r="A260" s="151">
        <v>42156.0</v>
      </c>
      <c r="B260" s="152">
        <v>1.0</v>
      </c>
      <c r="C260" s="152" t="s">
        <v>45</v>
      </c>
      <c r="D260" s="152">
        <v>1.0</v>
      </c>
      <c r="E260" s="153">
        <v>5281.0</v>
      </c>
      <c r="F260" s="153">
        <f>SUM(('Future Orders'!$E260) * (1.1))</f>
        <v>5809.1</v>
      </c>
      <c r="G260" s="154">
        <v>2.2</v>
      </c>
      <c r="H260" s="155">
        <v>11618.2</v>
      </c>
      <c r="I260" s="155">
        <f>SUM(('Future Orders'!$H260) * (1.1))</f>
        <v>12780.02</v>
      </c>
      <c r="J260" s="159">
        <f>SUMIFS('Future Orders'!$F260, 'Future Orders'!$D260, "1", 'Future Orders'!$C260, "A", 'Future Orders'!$B260, "1")</f>
        <v>5809.1</v>
      </c>
      <c r="K260" s="157">
        <f>SUMIFS('Future Orders'!$I260, 'Future Orders'!$D260, "1", 'Future Orders'!$C260, "A", 'Future Orders'!$B260, "1")</f>
        <v>12780.02</v>
      </c>
      <c r="L260" s="157">
        <f>SUMIFS('Future Orders'!$F260, 'Future Orders'!$D260, "1", 'Future Orders'!$C260, "B", 'Future Orders'!$B260, "1")</f>
        <v>0</v>
      </c>
      <c r="M260" s="157">
        <f>SUMIFS('Future Orders'!$I260, 'Future Orders'!$D260, "1", 'Future Orders'!$C260, "B", 'Future Orders'!$B260, "1")</f>
        <v>0</v>
      </c>
      <c r="N260" s="159">
        <f>SUMIFS('Future Orders'!$F260, 'Future Orders'!$D260, "1", 'Future Orders'!$C260, "A", 'Future Orders'!$B260, "2")</f>
        <v>0</v>
      </c>
      <c r="O260" s="157">
        <f>SUMIFS('Future Orders'!$I260, 'Future Orders'!$D260, "1", 'Future Orders'!$C260, "A", 'Future Orders'!$B260, "2")</f>
        <v>0</v>
      </c>
      <c r="P260" s="157">
        <f>SUMIFS('Future Orders'!$E260, 'Future Orders'!$D260, "1", 'Future Orders'!$C260, "B", 'Future Orders'!$B260, "2")</f>
        <v>0</v>
      </c>
      <c r="Q260" s="157">
        <f>SUMIFS('Future Orders'!$I260, 'Future Orders'!$D260, "1", 'Future Orders'!$C260, "B", 'Future Orders'!$B260, "2")</f>
        <v>0</v>
      </c>
      <c r="R260" s="159">
        <f>SUMIFS('Future Orders'!$F260, 'Future Orders'!$D260, "2", 'Future Orders'!$C260, "A", 'Future Orders'!$B260, "1")</f>
        <v>0</v>
      </c>
      <c r="S260" s="157">
        <f>SUMIFS('Future Orders'!$I260, 'Future Orders'!$D260, "2", 'Future Orders'!$C260, "A", 'Future Orders'!$B260, "1")</f>
        <v>0</v>
      </c>
      <c r="T260" s="159">
        <f>SUMIFS('Future Orders'!$F260, 'Future Orders'!$D260, "2", 'Future Orders'!$C260, "B", 'Future Orders'!$B260, "1")</f>
        <v>0</v>
      </c>
      <c r="U260" s="157">
        <f>SUMIFS('Future Orders'!$I260, 'Future Orders'!$D260, "2", 'Future Orders'!$C260, "B", 'Future Orders'!$B260, "1")</f>
        <v>0</v>
      </c>
      <c r="V260" s="159">
        <f>SUMIFS('Future Orders'!$F260, 'Future Orders'!$D260, "2", 'Future Orders'!$C260, "A", 'Future Orders'!$B260, "2")</f>
        <v>0</v>
      </c>
      <c r="W260" s="157">
        <f>SUMIFS('Future Orders'!$I260, 'Future Orders'!$D260, "2", 'Future Orders'!$C260, "A", 'Future Orders'!$B260, "2")</f>
        <v>0</v>
      </c>
      <c r="X260" s="159">
        <f>SUMIFS('Future Orders'!$F260, 'Future Orders'!$D260, "2", 'Future Orders'!$C260, "B", 'Future Orders'!$B260, "2")</f>
        <v>0</v>
      </c>
      <c r="Y260" s="159">
        <f>SUMIFS('Future Orders'!$I260, 'Future Orders'!$D260, "2", 'Future Orders'!$C260, "B", 'Future Orders'!$B260, "2")</f>
        <v>0</v>
      </c>
      <c r="Z260" s="159">
        <f>SUMIFS('Future Orders'!$F260, 'Future Orders'!$D260, "3", 'Future Orders'!$C260, "A", 'Future Orders'!$B260, "1")</f>
        <v>0</v>
      </c>
      <c r="AA260" s="159">
        <f>SUMIFS('Future Orders'!$I260, 'Future Orders'!$D260, "3", 'Future Orders'!$C260, "A", 'Future Orders'!$B260, "1")</f>
        <v>0</v>
      </c>
      <c r="AB260" s="159">
        <f>SUMIFS('Future Orders'!$F260, 'Future Orders'!$D260, "3", 'Future Orders'!$C260, "B", 'Future Orders'!$B260, "1")</f>
        <v>0</v>
      </c>
      <c r="AC260" s="159">
        <f>SUMIFS('Future Orders'!$I260, 'Future Orders'!$D260, "3", 'Future Orders'!$C260, "B", 'Future Orders'!$B260, "1")</f>
        <v>0</v>
      </c>
      <c r="AD260" s="159">
        <f>SUMIFS('Future Orders'!$F260, 'Future Orders'!$D260, "3", 'Future Orders'!$C260, "A", 'Future Orders'!$B260, "2")</f>
        <v>0</v>
      </c>
      <c r="AE260" s="159">
        <f>SUMIFS('Future Orders'!$I260, 'Future Orders'!$D260, "3", 'Future Orders'!$C260, "A", 'Future Orders'!$B260, "2")</f>
        <v>0</v>
      </c>
      <c r="AF260" s="159">
        <f>SUMIFS('Future Orders'!$F260, 'Future Orders'!$D260, "3", 'Future Orders'!$C260, "B", 'Future Orders'!$B260, "2")</f>
        <v>0</v>
      </c>
      <c r="AG260" s="157">
        <f>SUMIFS('Future Orders'!$I260, 'Future Orders'!$D260, "3", 'Future Orders'!$C260, "B", 'Future Orders'!$B260, "2")</f>
        <v>0</v>
      </c>
      <c r="AH260" s="157">
        <f>SUMIFS('Future Orders'!$F260, 'Future Orders'!$D260, "4", 'Future Orders'!$C260, "A", 'Future Orders'!$B260, "1")</f>
        <v>0</v>
      </c>
      <c r="AI260" s="157">
        <f>SUMIFS('Future Orders'!$I260, 'Future Orders'!$D260, "4", 'Future Orders'!$C260, "A", 'Future Orders'!$B260, "1")</f>
        <v>0</v>
      </c>
      <c r="AJ260" s="157">
        <f>SUMIFS('Future Orders'!$F260, 'Future Orders'!$D260, "4", 'Future Orders'!$C260, "B", 'Future Orders'!$B260, "1")</f>
        <v>0</v>
      </c>
      <c r="AK260" s="157">
        <f>SUMIFS('Future Orders'!$I260, 'Future Orders'!$D260, "4", 'Future Orders'!$C260, "B", 'Future Orders'!$B260, "1")</f>
        <v>0</v>
      </c>
      <c r="AL260" s="157">
        <f>SUMIFS('Future Orders'!$F260, 'Future Orders'!$D260, "4", 'Future Orders'!$C260, "A", 'Future Orders'!$B260, "2")</f>
        <v>0</v>
      </c>
      <c r="AM260" s="157">
        <f>SUMIFS('Future Orders'!$I260, 'Future Orders'!$D260, "4", 'Future Orders'!$C260, "A", 'Future Orders'!$B260, "2")</f>
        <v>0</v>
      </c>
      <c r="AN260" s="171">
        <f>SUMIFS('Future Orders'!$F260, 'Future Orders'!$D260, "4", 'Future Orders'!$C260, "B", 'Future Orders'!$B260, "2")</f>
        <v>0</v>
      </c>
      <c r="AO260" s="171">
        <f>SUMIFS('Future Orders'!$I260, 'Future Orders'!$D260, "4", 'Future Orders'!$C260, "B", 'Future Orders'!$B260, "2")</f>
        <v>0</v>
      </c>
      <c r="AP260" s="171">
        <f>SUMIFS('Future Orders'!$H260, 'Future Orders'!$C260, "A", 'Future Orders'!$B260, "1")</f>
        <v>11618.2</v>
      </c>
      <c r="AQ260" s="171">
        <f>SUMIFS('Future Orders'!$I260, 'Future Orders'!$C260, "B", 'Future Orders'!$B260, "1")</f>
        <v>0</v>
      </c>
      <c r="AR260" s="171">
        <f>SUMIFS('Future Orders'!$H260, 'Future Orders'!$C260, "A", 'Future Orders'!$B260, "2")</f>
        <v>0</v>
      </c>
      <c r="AS260" s="171">
        <f>SUMIFS('Future Orders'!$I260, 'Future Orders'!$C260, "B", 'Future Orders'!$B260, "2")</f>
        <v>0</v>
      </c>
      <c r="AT260" s="145"/>
      <c r="AU260" s="172"/>
      <c r="AV260" s="172"/>
      <c r="AW260" s="172"/>
      <c r="AX260" s="172"/>
      <c r="AY260" s="172"/>
      <c r="AZ260" s="172"/>
      <c r="BA260" s="172"/>
      <c r="BB260" s="172"/>
      <c r="BC260" s="172"/>
      <c r="BD260" s="172"/>
      <c r="BE260" s="172"/>
      <c r="BF260" s="172"/>
      <c r="BG260" s="172"/>
      <c r="BH260" s="172"/>
      <c r="BI260" s="172"/>
      <c r="BJ260" s="172"/>
      <c r="BK260" s="172"/>
      <c r="BL260" s="172"/>
      <c r="BM260" s="172"/>
      <c r="BN260" s="172"/>
      <c r="BO260" s="172"/>
      <c r="BP260" s="172"/>
      <c r="BQ260" s="172"/>
      <c r="BR260" s="172"/>
      <c r="BS260" s="172"/>
      <c r="BT260" s="172"/>
      <c r="BU260" s="172"/>
      <c r="BV260" s="172"/>
      <c r="BW260" s="172"/>
      <c r="BX260" s="172"/>
      <c r="BY260" s="172"/>
      <c r="BZ260" s="172"/>
      <c r="CA260" s="179"/>
      <c r="CB260" s="179"/>
      <c r="CC260" s="179"/>
      <c r="CD260" s="179"/>
      <c r="CE260" s="179"/>
      <c r="CF260" s="179"/>
      <c r="CG260" s="179"/>
      <c r="CH260" s="179"/>
      <c r="CI260" s="179"/>
      <c r="CJ260" s="179"/>
      <c r="CK260" s="179"/>
      <c r="CL260" s="179"/>
      <c r="CM260" s="179"/>
      <c r="CN260" s="179"/>
      <c r="CO260" s="179"/>
      <c r="CP260" s="179"/>
    </row>
    <row r="261" ht="15.75" customHeight="1">
      <c r="A261" s="151">
        <v>42156.0</v>
      </c>
      <c r="B261" s="152">
        <v>1.0</v>
      </c>
      <c r="C261" s="152" t="s">
        <v>45</v>
      </c>
      <c r="D261" s="152">
        <v>2.0</v>
      </c>
      <c r="E261" s="153">
        <v>5825.0</v>
      </c>
      <c r="F261" s="153">
        <f>SUM(('Future Orders'!$E261) * (1.1))</f>
        <v>6407.5</v>
      </c>
      <c r="G261" s="154">
        <v>1.2</v>
      </c>
      <c r="H261" s="155">
        <v>6990.0</v>
      </c>
      <c r="I261" s="155">
        <f>SUM(('Future Orders'!$H261) * (1.1))</f>
        <v>7689</v>
      </c>
      <c r="J261" s="159">
        <f>SUMIFS('Future Orders'!$F261, 'Future Orders'!$D261, "1", 'Future Orders'!$C261, "A", 'Future Orders'!$B261, "1")</f>
        <v>0</v>
      </c>
      <c r="K261" s="157">
        <f>SUMIFS('Future Orders'!$I261, 'Future Orders'!$D261, "1", 'Future Orders'!$C261, "A", 'Future Orders'!$B261, "1")</f>
        <v>0</v>
      </c>
      <c r="L261" s="157">
        <f>SUMIFS('Future Orders'!$F261, 'Future Orders'!$D261, "1", 'Future Orders'!$C261, "B", 'Future Orders'!$B261, "1")</f>
        <v>0</v>
      </c>
      <c r="M261" s="157">
        <f>SUMIFS('Future Orders'!$I261, 'Future Orders'!$D261, "1", 'Future Orders'!$C261, "B", 'Future Orders'!$B261, "1")</f>
        <v>0</v>
      </c>
      <c r="N261" s="159">
        <f>SUMIFS('Future Orders'!$F261, 'Future Orders'!$D261, "1", 'Future Orders'!$C261, "A", 'Future Orders'!$B261, "2")</f>
        <v>0</v>
      </c>
      <c r="O261" s="157">
        <f>SUMIFS('Future Orders'!$I261, 'Future Orders'!$D261, "1", 'Future Orders'!$C261, "A", 'Future Orders'!$B261, "2")</f>
        <v>0</v>
      </c>
      <c r="P261" s="157">
        <f>SUMIFS('Future Orders'!$E261, 'Future Orders'!$D261, "1", 'Future Orders'!$C261, "B", 'Future Orders'!$B261, "2")</f>
        <v>0</v>
      </c>
      <c r="Q261" s="157">
        <f>SUMIFS('Future Orders'!$I261, 'Future Orders'!$D261, "1", 'Future Orders'!$C261, "B", 'Future Orders'!$B261, "2")</f>
        <v>0</v>
      </c>
      <c r="R261" s="159">
        <f>SUMIFS('Future Orders'!$F261, 'Future Orders'!$D261, "2", 'Future Orders'!$C261, "A", 'Future Orders'!$B261, "1")</f>
        <v>6407.5</v>
      </c>
      <c r="S261" s="157">
        <f>SUMIFS('Future Orders'!$I261, 'Future Orders'!$D261, "2", 'Future Orders'!$C261, "A", 'Future Orders'!$B261, "1")</f>
        <v>7689</v>
      </c>
      <c r="T261" s="159">
        <f>SUMIFS('Future Orders'!$F261, 'Future Orders'!$D261, "2", 'Future Orders'!$C261, "B", 'Future Orders'!$B261, "1")</f>
        <v>0</v>
      </c>
      <c r="U261" s="157">
        <f>SUMIFS('Future Orders'!$I261, 'Future Orders'!$D261, "2", 'Future Orders'!$C261, "B", 'Future Orders'!$B261, "1")</f>
        <v>0</v>
      </c>
      <c r="V261" s="159">
        <f>SUMIFS('Future Orders'!$F261, 'Future Orders'!$D261, "2", 'Future Orders'!$C261, "A", 'Future Orders'!$B261, "2")</f>
        <v>0</v>
      </c>
      <c r="W261" s="157">
        <f>SUMIFS('Future Orders'!$I261, 'Future Orders'!$D261, "2", 'Future Orders'!$C261, "A", 'Future Orders'!$B261, "2")</f>
        <v>0</v>
      </c>
      <c r="X261" s="159">
        <f>SUMIFS('Future Orders'!$F261, 'Future Orders'!$D261, "2", 'Future Orders'!$C261, "B", 'Future Orders'!$B261, "2")</f>
        <v>0</v>
      </c>
      <c r="Y261" s="159">
        <f>SUMIFS('Future Orders'!$I261, 'Future Orders'!$D261, "2", 'Future Orders'!$C261, "B", 'Future Orders'!$B261, "2")</f>
        <v>0</v>
      </c>
      <c r="Z261" s="159">
        <f>SUMIFS('Future Orders'!$F261, 'Future Orders'!$D261, "3", 'Future Orders'!$C261, "A", 'Future Orders'!$B261, "1")</f>
        <v>0</v>
      </c>
      <c r="AA261" s="159">
        <f>SUMIFS('Future Orders'!$I261, 'Future Orders'!$D261, "3", 'Future Orders'!$C261, "A", 'Future Orders'!$B261, "1")</f>
        <v>0</v>
      </c>
      <c r="AB261" s="159">
        <f>SUMIFS('Future Orders'!$F261, 'Future Orders'!$D261, "3", 'Future Orders'!$C261, "B", 'Future Orders'!$B261, "1")</f>
        <v>0</v>
      </c>
      <c r="AC261" s="159">
        <f>SUMIFS('Future Orders'!$I261, 'Future Orders'!$D261, "3", 'Future Orders'!$C261, "B", 'Future Orders'!$B261, "1")</f>
        <v>0</v>
      </c>
      <c r="AD261" s="159">
        <f>SUMIFS('Future Orders'!$F261, 'Future Orders'!$D261, "3", 'Future Orders'!$C261, "A", 'Future Orders'!$B261, "2")</f>
        <v>0</v>
      </c>
      <c r="AE261" s="159">
        <f>SUMIFS('Future Orders'!$I261, 'Future Orders'!$D261, "3", 'Future Orders'!$C261, "A", 'Future Orders'!$B261, "2")</f>
        <v>0</v>
      </c>
      <c r="AF261" s="159">
        <f>SUMIFS('Future Orders'!$F261, 'Future Orders'!$D261, "3", 'Future Orders'!$C261, "B", 'Future Orders'!$B261, "2")</f>
        <v>0</v>
      </c>
      <c r="AG261" s="157">
        <f>SUMIFS('Future Orders'!$I261, 'Future Orders'!$D261, "3", 'Future Orders'!$C261, "B", 'Future Orders'!$B261, "2")</f>
        <v>0</v>
      </c>
      <c r="AH261" s="157">
        <f>SUMIFS('Future Orders'!$F261, 'Future Orders'!$D261, "4", 'Future Orders'!$C261, "A", 'Future Orders'!$B261, "1")</f>
        <v>0</v>
      </c>
      <c r="AI261" s="157">
        <f>SUMIFS('Future Orders'!$I261, 'Future Orders'!$D261, "4", 'Future Orders'!$C261, "A", 'Future Orders'!$B261, "1")</f>
        <v>0</v>
      </c>
      <c r="AJ261" s="157">
        <f>SUMIFS('Future Orders'!$F261, 'Future Orders'!$D261, "4", 'Future Orders'!$C261, "B", 'Future Orders'!$B261, "1")</f>
        <v>0</v>
      </c>
      <c r="AK261" s="157">
        <f>SUMIFS('Future Orders'!$I261, 'Future Orders'!$D261, "4", 'Future Orders'!$C261, "B", 'Future Orders'!$B261, "1")</f>
        <v>0</v>
      </c>
      <c r="AL261" s="157">
        <f>SUMIFS('Future Orders'!$F261, 'Future Orders'!$D261, "4", 'Future Orders'!$C261, "A", 'Future Orders'!$B261, "2")</f>
        <v>0</v>
      </c>
      <c r="AM261" s="157">
        <f>SUMIFS('Future Orders'!$I261, 'Future Orders'!$D261, "4", 'Future Orders'!$C261, "A", 'Future Orders'!$B261, "2")</f>
        <v>0</v>
      </c>
      <c r="AN261" s="171">
        <f>SUMIFS('Future Orders'!$F261, 'Future Orders'!$D261, "4", 'Future Orders'!$C261, "B", 'Future Orders'!$B261, "2")</f>
        <v>0</v>
      </c>
      <c r="AO261" s="171">
        <f>SUMIFS('Future Orders'!$I261, 'Future Orders'!$D261, "4", 'Future Orders'!$C261, "B", 'Future Orders'!$B261, "2")</f>
        <v>0</v>
      </c>
      <c r="AP261" s="171">
        <f>SUMIFS('Future Orders'!$H261, 'Future Orders'!$C261, "A", 'Future Orders'!$B261, "1")</f>
        <v>6990</v>
      </c>
      <c r="AQ261" s="171">
        <f>SUMIFS('Future Orders'!$I261, 'Future Orders'!$C261, "B", 'Future Orders'!$B261, "1")</f>
        <v>0</v>
      </c>
      <c r="AR261" s="171">
        <f>SUMIFS('Future Orders'!$H261, 'Future Orders'!$C261, "A", 'Future Orders'!$B261, "2")</f>
        <v>0</v>
      </c>
      <c r="AS261" s="171">
        <f>SUMIFS('Future Orders'!$I261, 'Future Orders'!$C261, "B", 'Future Orders'!$B261, "2")</f>
        <v>0</v>
      </c>
      <c r="AT261" s="145"/>
      <c r="AU261" s="172"/>
      <c r="AV261" s="172"/>
      <c r="AW261" s="172"/>
      <c r="AX261" s="172"/>
      <c r="AY261" s="172"/>
      <c r="AZ261" s="172"/>
      <c r="BA261" s="172"/>
      <c r="BB261" s="172"/>
      <c r="BC261" s="172"/>
      <c r="BD261" s="172"/>
      <c r="BE261" s="172"/>
      <c r="BF261" s="172"/>
      <c r="BG261" s="172"/>
      <c r="BH261" s="172"/>
      <c r="BI261" s="172"/>
      <c r="BJ261" s="172"/>
      <c r="BK261" s="172"/>
      <c r="BL261" s="172"/>
      <c r="BM261" s="172"/>
      <c r="BN261" s="172"/>
      <c r="BO261" s="172"/>
      <c r="BP261" s="172"/>
      <c r="BQ261" s="172"/>
      <c r="BR261" s="172"/>
      <c r="BS261" s="172"/>
      <c r="BT261" s="172"/>
      <c r="BU261" s="172"/>
      <c r="BV261" s="172"/>
      <c r="BW261" s="172"/>
      <c r="BX261" s="172"/>
      <c r="BY261" s="172"/>
      <c r="BZ261" s="172"/>
      <c r="CA261" s="179"/>
      <c r="CB261" s="179"/>
      <c r="CC261" s="179"/>
      <c r="CD261" s="179"/>
      <c r="CE261" s="179"/>
      <c r="CF261" s="179"/>
      <c r="CG261" s="179"/>
      <c r="CH261" s="179"/>
      <c r="CI261" s="179"/>
      <c r="CJ261" s="179"/>
      <c r="CK261" s="179"/>
      <c r="CL261" s="179"/>
      <c r="CM261" s="179"/>
      <c r="CN261" s="179"/>
      <c r="CO261" s="179"/>
      <c r="CP261" s="179"/>
    </row>
    <row r="262" ht="15.75" customHeight="1">
      <c r="A262" s="151">
        <v>42156.0</v>
      </c>
      <c r="B262" s="152">
        <v>2.0</v>
      </c>
      <c r="C262" s="152" t="s">
        <v>45</v>
      </c>
      <c r="D262" s="152">
        <v>1.0</v>
      </c>
      <c r="E262" s="153">
        <v>4453.0</v>
      </c>
      <c r="F262" s="153">
        <f>SUM(('Future Orders'!$E262) * (1.1))</f>
        <v>4898.3</v>
      </c>
      <c r="G262" s="154">
        <v>2.2</v>
      </c>
      <c r="H262" s="155">
        <v>9796.6</v>
      </c>
      <c r="I262" s="155">
        <f>SUM(('Future Orders'!$H262) * (1.1))</f>
        <v>10776.26</v>
      </c>
      <c r="J262" s="159">
        <f>SUMIFS('Future Orders'!$F262, 'Future Orders'!$D262, "1", 'Future Orders'!$C262, "A", 'Future Orders'!$B262, "1")</f>
        <v>0</v>
      </c>
      <c r="K262" s="157">
        <f>SUMIFS('Future Orders'!$I262, 'Future Orders'!$D262, "1", 'Future Orders'!$C262, "A", 'Future Orders'!$B262, "1")</f>
        <v>0</v>
      </c>
      <c r="L262" s="157">
        <f>SUMIFS('Future Orders'!$F262, 'Future Orders'!$D262, "1", 'Future Orders'!$C262, "B", 'Future Orders'!$B262, "1")</f>
        <v>0</v>
      </c>
      <c r="M262" s="157">
        <f>SUMIFS('Future Orders'!$I262, 'Future Orders'!$D262, "1", 'Future Orders'!$C262, "B", 'Future Orders'!$B262, "1")</f>
        <v>0</v>
      </c>
      <c r="N262" s="159">
        <f>SUMIFS('Future Orders'!$F262, 'Future Orders'!$D262, "1", 'Future Orders'!$C262, "A", 'Future Orders'!$B262, "2")</f>
        <v>4898.3</v>
      </c>
      <c r="O262" s="157">
        <f>SUMIFS('Future Orders'!$I262, 'Future Orders'!$D262, "1", 'Future Orders'!$C262, "A", 'Future Orders'!$B262, "2")</f>
        <v>10776.26</v>
      </c>
      <c r="P262" s="157">
        <f>SUMIFS('Future Orders'!$E262, 'Future Orders'!$D262, "1", 'Future Orders'!$C262, "B", 'Future Orders'!$B262, "2")</f>
        <v>0</v>
      </c>
      <c r="Q262" s="157">
        <f>SUMIFS('Future Orders'!$I262, 'Future Orders'!$D262, "1", 'Future Orders'!$C262, "B", 'Future Orders'!$B262, "2")</f>
        <v>0</v>
      </c>
      <c r="R262" s="159">
        <f>SUMIFS('Future Orders'!$F262, 'Future Orders'!$D262, "2", 'Future Orders'!$C262, "A", 'Future Orders'!$B262, "1")</f>
        <v>0</v>
      </c>
      <c r="S262" s="157">
        <f>SUMIFS('Future Orders'!$I262, 'Future Orders'!$D262, "2", 'Future Orders'!$C262, "A", 'Future Orders'!$B262, "1")</f>
        <v>0</v>
      </c>
      <c r="T262" s="159">
        <f>SUMIFS('Future Orders'!$F262, 'Future Orders'!$D262, "2", 'Future Orders'!$C262, "B", 'Future Orders'!$B262, "1")</f>
        <v>0</v>
      </c>
      <c r="U262" s="157">
        <f>SUMIFS('Future Orders'!$I262, 'Future Orders'!$D262, "2", 'Future Orders'!$C262, "B", 'Future Orders'!$B262, "1")</f>
        <v>0</v>
      </c>
      <c r="V262" s="159">
        <f>SUMIFS('Future Orders'!$F262, 'Future Orders'!$D262, "2", 'Future Orders'!$C262, "A", 'Future Orders'!$B262, "2")</f>
        <v>0</v>
      </c>
      <c r="W262" s="157">
        <f>SUMIFS('Future Orders'!$I262, 'Future Orders'!$D262, "2", 'Future Orders'!$C262, "A", 'Future Orders'!$B262, "2")</f>
        <v>0</v>
      </c>
      <c r="X262" s="159">
        <f>SUMIFS('Future Orders'!$F262, 'Future Orders'!$D262, "2", 'Future Orders'!$C262, "B", 'Future Orders'!$B262, "2")</f>
        <v>0</v>
      </c>
      <c r="Y262" s="159">
        <f>SUMIFS('Future Orders'!$I262, 'Future Orders'!$D262, "2", 'Future Orders'!$C262, "B", 'Future Orders'!$B262, "2")</f>
        <v>0</v>
      </c>
      <c r="Z262" s="159">
        <f>SUMIFS('Future Orders'!$F262, 'Future Orders'!$D262, "3", 'Future Orders'!$C262, "A", 'Future Orders'!$B262, "1")</f>
        <v>0</v>
      </c>
      <c r="AA262" s="159">
        <f>SUMIFS('Future Orders'!$I262, 'Future Orders'!$D262, "3", 'Future Orders'!$C262, "A", 'Future Orders'!$B262, "1")</f>
        <v>0</v>
      </c>
      <c r="AB262" s="159">
        <f>SUMIFS('Future Orders'!$F262, 'Future Orders'!$D262, "3", 'Future Orders'!$C262, "B", 'Future Orders'!$B262, "1")</f>
        <v>0</v>
      </c>
      <c r="AC262" s="159">
        <f>SUMIFS('Future Orders'!$I262, 'Future Orders'!$D262, "3", 'Future Orders'!$C262, "B", 'Future Orders'!$B262, "1")</f>
        <v>0</v>
      </c>
      <c r="AD262" s="159">
        <f>SUMIFS('Future Orders'!$F262, 'Future Orders'!$D262, "3", 'Future Orders'!$C262, "A", 'Future Orders'!$B262, "2")</f>
        <v>0</v>
      </c>
      <c r="AE262" s="159">
        <f>SUMIFS('Future Orders'!$I262, 'Future Orders'!$D262, "3", 'Future Orders'!$C262, "A", 'Future Orders'!$B262, "2")</f>
        <v>0</v>
      </c>
      <c r="AF262" s="159">
        <f>SUMIFS('Future Orders'!$F262, 'Future Orders'!$D262, "3", 'Future Orders'!$C262, "B", 'Future Orders'!$B262, "2")</f>
        <v>0</v>
      </c>
      <c r="AG262" s="157">
        <f>SUMIFS('Future Orders'!$I262, 'Future Orders'!$D262, "3", 'Future Orders'!$C262, "B", 'Future Orders'!$B262, "2")</f>
        <v>0</v>
      </c>
      <c r="AH262" s="157">
        <f>SUMIFS('Future Orders'!$F262, 'Future Orders'!$D262, "4", 'Future Orders'!$C262, "A", 'Future Orders'!$B262, "1")</f>
        <v>0</v>
      </c>
      <c r="AI262" s="157">
        <f>SUMIFS('Future Orders'!$I262, 'Future Orders'!$D262, "4", 'Future Orders'!$C262, "A", 'Future Orders'!$B262, "1")</f>
        <v>0</v>
      </c>
      <c r="AJ262" s="157">
        <f>SUMIFS('Future Orders'!$F262, 'Future Orders'!$D262, "4", 'Future Orders'!$C262, "B", 'Future Orders'!$B262, "1")</f>
        <v>0</v>
      </c>
      <c r="AK262" s="157">
        <f>SUMIFS('Future Orders'!$I262, 'Future Orders'!$D262, "4", 'Future Orders'!$C262, "B", 'Future Orders'!$B262, "1")</f>
        <v>0</v>
      </c>
      <c r="AL262" s="157">
        <f>SUMIFS('Future Orders'!$F262, 'Future Orders'!$D262, "4", 'Future Orders'!$C262, "A", 'Future Orders'!$B262, "2")</f>
        <v>0</v>
      </c>
      <c r="AM262" s="157">
        <f>SUMIFS('Future Orders'!$I262, 'Future Orders'!$D262, "4", 'Future Orders'!$C262, "A", 'Future Orders'!$B262, "2")</f>
        <v>0</v>
      </c>
      <c r="AN262" s="171">
        <f>SUMIFS('Future Orders'!$F262, 'Future Orders'!$D262, "4", 'Future Orders'!$C262, "B", 'Future Orders'!$B262, "2")</f>
        <v>0</v>
      </c>
      <c r="AO262" s="171">
        <f>SUMIFS('Future Orders'!$I262, 'Future Orders'!$D262, "4", 'Future Orders'!$C262, "B", 'Future Orders'!$B262, "2")</f>
        <v>0</v>
      </c>
      <c r="AP262" s="171">
        <f>SUMIFS('Future Orders'!$H262, 'Future Orders'!$C262, "A", 'Future Orders'!$B262, "1")</f>
        <v>0</v>
      </c>
      <c r="AQ262" s="171">
        <f>SUMIFS('Future Orders'!$I262, 'Future Orders'!$C262, "B", 'Future Orders'!$B262, "1")</f>
        <v>0</v>
      </c>
      <c r="AR262" s="171">
        <f>SUMIFS('Future Orders'!$H262, 'Future Orders'!$C262, "A", 'Future Orders'!$B262, "2")</f>
        <v>9796.6</v>
      </c>
      <c r="AS262" s="171">
        <f>SUMIFS('Future Orders'!$I262, 'Future Orders'!$C262, "B", 'Future Orders'!$B262, "2")</f>
        <v>0</v>
      </c>
      <c r="AT262" s="145"/>
      <c r="AU262" s="172"/>
      <c r="AV262" s="172"/>
      <c r="AW262" s="172"/>
      <c r="AX262" s="172"/>
      <c r="AY262" s="172"/>
      <c r="AZ262" s="172"/>
      <c r="BA262" s="172"/>
      <c r="BB262" s="172"/>
      <c r="BC262" s="172"/>
      <c r="BD262" s="172"/>
      <c r="BE262" s="172"/>
      <c r="BF262" s="172"/>
      <c r="BG262" s="172"/>
      <c r="BH262" s="172"/>
      <c r="BI262" s="172"/>
      <c r="BJ262" s="172"/>
      <c r="BK262" s="172"/>
      <c r="BL262" s="172"/>
      <c r="BM262" s="172"/>
      <c r="BN262" s="172"/>
      <c r="BO262" s="172"/>
      <c r="BP262" s="172"/>
      <c r="BQ262" s="172"/>
      <c r="BR262" s="172"/>
      <c r="BS262" s="172"/>
      <c r="BT262" s="172"/>
      <c r="BU262" s="172"/>
      <c r="BV262" s="172"/>
      <c r="BW262" s="172"/>
      <c r="BX262" s="172"/>
      <c r="BY262" s="172"/>
      <c r="BZ262" s="172"/>
      <c r="CA262" s="179"/>
      <c r="CB262" s="179"/>
      <c r="CC262" s="179"/>
      <c r="CD262" s="179"/>
      <c r="CE262" s="179"/>
      <c r="CF262" s="179"/>
      <c r="CG262" s="179"/>
      <c r="CH262" s="179"/>
      <c r="CI262" s="179"/>
      <c r="CJ262" s="179"/>
      <c r="CK262" s="179"/>
      <c r="CL262" s="179"/>
      <c r="CM262" s="179"/>
      <c r="CN262" s="179"/>
      <c r="CO262" s="179"/>
      <c r="CP262" s="179"/>
    </row>
    <row r="263" ht="15.75" customHeight="1">
      <c r="A263" s="151">
        <v>42156.0</v>
      </c>
      <c r="B263" s="152">
        <v>2.0</v>
      </c>
      <c r="C263" s="152" t="s">
        <v>45</v>
      </c>
      <c r="D263" s="152">
        <v>2.0</v>
      </c>
      <c r="E263" s="153">
        <v>5519.0</v>
      </c>
      <c r="F263" s="153">
        <f>SUM(('Future Orders'!$E263) * (1.1))</f>
        <v>6070.9</v>
      </c>
      <c r="G263" s="154">
        <v>1.2</v>
      </c>
      <c r="H263" s="155">
        <v>6622.8</v>
      </c>
      <c r="I263" s="155">
        <f>SUM(('Future Orders'!$H263) * (1.1))</f>
        <v>7285.08</v>
      </c>
      <c r="J263" s="159">
        <f>SUMIFS('Future Orders'!$F263, 'Future Orders'!$D263, "1", 'Future Orders'!$C263, "A", 'Future Orders'!$B263, "1")</f>
        <v>0</v>
      </c>
      <c r="K263" s="157">
        <f>SUMIFS('Future Orders'!$I263, 'Future Orders'!$D263, "1", 'Future Orders'!$C263, "A", 'Future Orders'!$B263, "1")</f>
        <v>0</v>
      </c>
      <c r="L263" s="157">
        <f>SUMIFS('Future Orders'!$F263, 'Future Orders'!$D263, "1", 'Future Orders'!$C263, "B", 'Future Orders'!$B263, "1")</f>
        <v>0</v>
      </c>
      <c r="M263" s="157">
        <f>SUMIFS('Future Orders'!$I263, 'Future Orders'!$D263, "1", 'Future Orders'!$C263, "B", 'Future Orders'!$B263, "1")</f>
        <v>0</v>
      </c>
      <c r="N263" s="159">
        <f>SUMIFS('Future Orders'!$F263, 'Future Orders'!$D263, "1", 'Future Orders'!$C263, "A", 'Future Orders'!$B263, "2")</f>
        <v>0</v>
      </c>
      <c r="O263" s="157">
        <f>SUMIFS('Future Orders'!$I263, 'Future Orders'!$D263, "1", 'Future Orders'!$C263, "A", 'Future Orders'!$B263, "2")</f>
        <v>0</v>
      </c>
      <c r="P263" s="157">
        <f>SUMIFS('Future Orders'!$E263, 'Future Orders'!$D263, "1", 'Future Orders'!$C263, "B", 'Future Orders'!$B263, "2")</f>
        <v>0</v>
      </c>
      <c r="Q263" s="157">
        <f>SUMIFS('Future Orders'!$I263, 'Future Orders'!$D263, "1", 'Future Orders'!$C263, "B", 'Future Orders'!$B263, "2")</f>
        <v>0</v>
      </c>
      <c r="R263" s="159">
        <f>SUMIFS('Future Orders'!$F263, 'Future Orders'!$D263, "2", 'Future Orders'!$C263, "A", 'Future Orders'!$B263, "1")</f>
        <v>0</v>
      </c>
      <c r="S263" s="157">
        <f>SUMIFS('Future Orders'!$I263, 'Future Orders'!$D263, "2", 'Future Orders'!$C263, "A", 'Future Orders'!$B263, "1")</f>
        <v>0</v>
      </c>
      <c r="T263" s="159">
        <f>SUMIFS('Future Orders'!$F263, 'Future Orders'!$D263, "2", 'Future Orders'!$C263, "B", 'Future Orders'!$B263, "1")</f>
        <v>0</v>
      </c>
      <c r="U263" s="157">
        <f>SUMIFS('Future Orders'!$I263, 'Future Orders'!$D263, "2", 'Future Orders'!$C263, "B", 'Future Orders'!$B263, "1")</f>
        <v>0</v>
      </c>
      <c r="V263" s="159">
        <f>SUMIFS('Future Orders'!$F263, 'Future Orders'!$D263, "2", 'Future Orders'!$C263, "A", 'Future Orders'!$B263, "2")</f>
        <v>6070.9</v>
      </c>
      <c r="W263" s="157">
        <f>SUMIFS('Future Orders'!$I263, 'Future Orders'!$D263, "2", 'Future Orders'!$C263, "A", 'Future Orders'!$B263, "2")</f>
        <v>7285.08</v>
      </c>
      <c r="X263" s="159">
        <f>SUMIFS('Future Orders'!$F263, 'Future Orders'!$D263, "2", 'Future Orders'!$C263, "B", 'Future Orders'!$B263, "2")</f>
        <v>0</v>
      </c>
      <c r="Y263" s="159">
        <f>SUMIFS('Future Orders'!$I263, 'Future Orders'!$D263, "2", 'Future Orders'!$C263, "B", 'Future Orders'!$B263, "2")</f>
        <v>0</v>
      </c>
      <c r="Z263" s="159">
        <f>SUMIFS('Future Orders'!$F263, 'Future Orders'!$D263, "3", 'Future Orders'!$C263, "A", 'Future Orders'!$B263, "1")</f>
        <v>0</v>
      </c>
      <c r="AA263" s="159">
        <f>SUMIFS('Future Orders'!$I263, 'Future Orders'!$D263, "3", 'Future Orders'!$C263, "A", 'Future Orders'!$B263, "1")</f>
        <v>0</v>
      </c>
      <c r="AB263" s="159">
        <f>SUMIFS('Future Orders'!$F263, 'Future Orders'!$D263, "3", 'Future Orders'!$C263, "B", 'Future Orders'!$B263, "1")</f>
        <v>0</v>
      </c>
      <c r="AC263" s="159">
        <f>SUMIFS('Future Orders'!$I263, 'Future Orders'!$D263, "3", 'Future Orders'!$C263, "B", 'Future Orders'!$B263, "1")</f>
        <v>0</v>
      </c>
      <c r="AD263" s="159">
        <f>SUMIFS('Future Orders'!$F263, 'Future Orders'!$D263, "3", 'Future Orders'!$C263, "A", 'Future Orders'!$B263, "2")</f>
        <v>0</v>
      </c>
      <c r="AE263" s="159">
        <f>SUMIFS('Future Orders'!$I263, 'Future Orders'!$D263, "3", 'Future Orders'!$C263, "A", 'Future Orders'!$B263, "2")</f>
        <v>0</v>
      </c>
      <c r="AF263" s="159">
        <f>SUMIFS('Future Orders'!$F263, 'Future Orders'!$D263, "3", 'Future Orders'!$C263, "B", 'Future Orders'!$B263, "2")</f>
        <v>0</v>
      </c>
      <c r="AG263" s="157">
        <f>SUMIFS('Future Orders'!$I263, 'Future Orders'!$D263, "3", 'Future Orders'!$C263, "B", 'Future Orders'!$B263, "2")</f>
        <v>0</v>
      </c>
      <c r="AH263" s="157">
        <f>SUMIFS('Future Orders'!$F263, 'Future Orders'!$D263, "4", 'Future Orders'!$C263, "A", 'Future Orders'!$B263, "1")</f>
        <v>0</v>
      </c>
      <c r="AI263" s="157">
        <f>SUMIFS('Future Orders'!$I263, 'Future Orders'!$D263, "4", 'Future Orders'!$C263, "A", 'Future Orders'!$B263, "1")</f>
        <v>0</v>
      </c>
      <c r="AJ263" s="157">
        <f>SUMIFS('Future Orders'!$F263, 'Future Orders'!$D263, "4", 'Future Orders'!$C263, "B", 'Future Orders'!$B263, "1")</f>
        <v>0</v>
      </c>
      <c r="AK263" s="157">
        <f>SUMIFS('Future Orders'!$I263, 'Future Orders'!$D263, "4", 'Future Orders'!$C263, "B", 'Future Orders'!$B263, "1")</f>
        <v>0</v>
      </c>
      <c r="AL263" s="157">
        <f>SUMIFS('Future Orders'!$F263, 'Future Orders'!$D263, "4", 'Future Orders'!$C263, "A", 'Future Orders'!$B263, "2")</f>
        <v>0</v>
      </c>
      <c r="AM263" s="157">
        <f>SUMIFS('Future Orders'!$I263, 'Future Orders'!$D263, "4", 'Future Orders'!$C263, "A", 'Future Orders'!$B263, "2")</f>
        <v>0</v>
      </c>
      <c r="AN263" s="171">
        <f>SUMIFS('Future Orders'!$F263, 'Future Orders'!$D263, "4", 'Future Orders'!$C263, "B", 'Future Orders'!$B263, "2")</f>
        <v>0</v>
      </c>
      <c r="AO263" s="171">
        <f>SUMIFS('Future Orders'!$I263, 'Future Orders'!$D263, "4", 'Future Orders'!$C263, "B", 'Future Orders'!$B263, "2")</f>
        <v>0</v>
      </c>
      <c r="AP263" s="171">
        <f>SUMIFS('Future Orders'!$H263, 'Future Orders'!$C263, "A", 'Future Orders'!$B263, "1")</f>
        <v>0</v>
      </c>
      <c r="AQ263" s="171">
        <f>SUMIFS('Future Orders'!$I263, 'Future Orders'!$C263, "B", 'Future Orders'!$B263, "1")</f>
        <v>0</v>
      </c>
      <c r="AR263" s="171">
        <f>SUMIFS('Future Orders'!$H263, 'Future Orders'!$C263, "A", 'Future Orders'!$B263, "2")</f>
        <v>6622.8</v>
      </c>
      <c r="AS263" s="171">
        <f>SUMIFS('Future Orders'!$I263, 'Future Orders'!$C263, "B", 'Future Orders'!$B263, "2")</f>
        <v>0</v>
      </c>
      <c r="AT263" s="145"/>
      <c r="AU263" s="172"/>
      <c r="AV263" s="172"/>
      <c r="AW263" s="172"/>
      <c r="AX263" s="172"/>
      <c r="AY263" s="172"/>
      <c r="AZ263" s="172"/>
      <c r="BA263" s="172"/>
      <c r="BB263" s="172"/>
      <c r="BC263" s="172"/>
      <c r="BD263" s="172"/>
      <c r="BE263" s="172"/>
      <c r="BF263" s="172"/>
      <c r="BG263" s="172"/>
      <c r="BH263" s="172"/>
      <c r="BI263" s="172"/>
      <c r="BJ263" s="172"/>
      <c r="BK263" s="172"/>
      <c r="BL263" s="172"/>
      <c r="BM263" s="172"/>
      <c r="BN263" s="172"/>
      <c r="BO263" s="172"/>
      <c r="BP263" s="172"/>
      <c r="BQ263" s="172"/>
      <c r="BR263" s="172"/>
      <c r="BS263" s="172"/>
      <c r="BT263" s="172"/>
      <c r="BU263" s="172"/>
      <c r="BV263" s="172"/>
      <c r="BW263" s="172"/>
      <c r="BX263" s="172"/>
      <c r="BY263" s="172"/>
      <c r="BZ263" s="172"/>
      <c r="CA263" s="179"/>
      <c r="CB263" s="179"/>
      <c r="CC263" s="179"/>
      <c r="CD263" s="179"/>
      <c r="CE263" s="179"/>
      <c r="CF263" s="179"/>
      <c r="CG263" s="179"/>
      <c r="CH263" s="179"/>
      <c r="CI263" s="179"/>
      <c r="CJ263" s="179"/>
      <c r="CK263" s="179"/>
      <c r="CL263" s="179"/>
      <c r="CM263" s="179"/>
      <c r="CN263" s="179"/>
      <c r="CO263" s="179"/>
      <c r="CP263" s="179"/>
    </row>
    <row r="264" ht="15.75" customHeight="1">
      <c r="A264" s="151">
        <v>42156.0</v>
      </c>
      <c r="B264" s="152">
        <v>1.0</v>
      </c>
      <c r="C264" s="152" t="s">
        <v>46</v>
      </c>
      <c r="D264" s="152">
        <v>3.0</v>
      </c>
      <c r="E264" s="153">
        <v>2298.0</v>
      </c>
      <c r="F264" s="153">
        <f>SUM(('Future Orders'!$E264) * (1.1))</f>
        <v>2527.8</v>
      </c>
      <c r="G264" s="154">
        <v>8.3</v>
      </c>
      <c r="H264" s="155">
        <v>19073.4</v>
      </c>
      <c r="I264" s="155">
        <f>SUM(('Future Orders'!$H264) * (1.1))</f>
        <v>20980.74</v>
      </c>
      <c r="J264" s="159">
        <f>SUMIFS('Future Orders'!$F264, 'Future Orders'!$D264, "1", 'Future Orders'!$C264, "A", 'Future Orders'!$B264, "1")</f>
        <v>0</v>
      </c>
      <c r="K264" s="157">
        <f>SUMIFS('Future Orders'!$I264, 'Future Orders'!$D264, "1", 'Future Orders'!$C264, "A", 'Future Orders'!$B264, "1")</f>
        <v>0</v>
      </c>
      <c r="L264" s="157">
        <f>SUMIFS('Future Orders'!$F264, 'Future Orders'!$D264, "1", 'Future Orders'!$C264, "B", 'Future Orders'!$B264, "1")</f>
        <v>0</v>
      </c>
      <c r="M264" s="157">
        <f>SUMIFS('Future Orders'!$I264, 'Future Orders'!$D264, "1", 'Future Orders'!$C264, "B", 'Future Orders'!$B264, "1")</f>
        <v>0</v>
      </c>
      <c r="N264" s="159">
        <f>SUMIFS('Future Orders'!$F264, 'Future Orders'!$D264, "1", 'Future Orders'!$C264, "A", 'Future Orders'!$B264, "2")</f>
        <v>0</v>
      </c>
      <c r="O264" s="157">
        <f>SUMIFS('Future Orders'!$I264, 'Future Orders'!$D264, "1", 'Future Orders'!$C264, "A", 'Future Orders'!$B264, "2")</f>
        <v>0</v>
      </c>
      <c r="P264" s="157">
        <f>SUMIFS('Future Orders'!$E264, 'Future Orders'!$D264, "1", 'Future Orders'!$C264, "B", 'Future Orders'!$B264, "2")</f>
        <v>0</v>
      </c>
      <c r="Q264" s="157">
        <f>SUMIFS('Future Orders'!$I264, 'Future Orders'!$D264, "1", 'Future Orders'!$C264, "B", 'Future Orders'!$B264, "2")</f>
        <v>0</v>
      </c>
      <c r="R264" s="159">
        <f>SUMIFS('Future Orders'!$F264, 'Future Orders'!$D264, "2", 'Future Orders'!$C264, "A", 'Future Orders'!$B264, "1")</f>
        <v>0</v>
      </c>
      <c r="S264" s="157">
        <f>SUMIFS('Future Orders'!$I264, 'Future Orders'!$D264, "2", 'Future Orders'!$C264, "A", 'Future Orders'!$B264, "1")</f>
        <v>0</v>
      </c>
      <c r="T264" s="159">
        <f>SUMIFS('Future Orders'!$F264, 'Future Orders'!$D264, "2", 'Future Orders'!$C264, "B", 'Future Orders'!$B264, "1")</f>
        <v>0</v>
      </c>
      <c r="U264" s="157">
        <f>SUMIFS('Future Orders'!$I264, 'Future Orders'!$D264, "2", 'Future Orders'!$C264, "B", 'Future Orders'!$B264, "1")</f>
        <v>0</v>
      </c>
      <c r="V264" s="159">
        <f>SUMIFS('Future Orders'!$F264, 'Future Orders'!$D264, "2", 'Future Orders'!$C264, "A", 'Future Orders'!$B264, "2")</f>
        <v>0</v>
      </c>
      <c r="W264" s="157">
        <f>SUMIFS('Future Orders'!$I264, 'Future Orders'!$D264, "2", 'Future Orders'!$C264, "A", 'Future Orders'!$B264, "2")</f>
        <v>0</v>
      </c>
      <c r="X264" s="159">
        <f>SUMIFS('Future Orders'!$F264, 'Future Orders'!$D264, "2", 'Future Orders'!$C264, "B", 'Future Orders'!$B264, "2")</f>
        <v>0</v>
      </c>
      <c r="Y264" s="159">
        <f>SUMIFS('Future Orders'!$I264, 'Future Orders'!$D264, "2", 'Future Orders'!$C264, "B", 'Future Orders'!$B264, "2")</f>
        <v>0</v>
      </c>
      <c r="Z264" s="159">
        <f>SUMIFS('Future Orders'!$F264, 'Future Orders'!$D264, "3", 'Future Orders'!$C264, "A", 'Future Orders'!$B264, "1")</f>
        <v>0</v>
      </c>
      <c r="AA264" s="159">
        <f>SUMIFS('Future Orders'!$I264, 'Future Orders'!$D264, "3", 'Future Orders'!$C264, "A", 'Future Orders'!$B264, "1")</f>
        <v>0</v>
      </c>
      <c r="AB264" s="159">
        <f>SUMIFS('Future Orders'!$F264, 'Future Orders'!$D264, "3", 'Future Orders'!$C264, "B", 'Future Orders'!$B264, "1")</f>
        <v>2527.8</v>
      </c>
      <c r="AC264" s="159">
        <f>SUMIFS('Future Orders'!$I264, 'Future Orders'!$D264, "3", 'Future Orders'!$C264, "B", 'Future Orders'!$B264, "1")</f>
        <v>20980.74</v>
      </c>
      <c r="AD264" s="159">
        <f>SUMIFS('Future Orders'!$F264, 'Future Orders'!$D264, "3", 'Future Orders'!$C264, "A", 'Future Orders'!$B264, "2")</f>
        <v>0</v>
      </c>
      <c r="AE264" s="159">
        <f>SUMIFS('Future Orders'!$I264, 'Future Orders'!$D264, "3", 'Future Orders'!$C264, "A", 'Future Orders'!$B264, "2")</f>
        <v>0</v>
      </c>
      <c r="AF264" s="159">
        <f>SUMIFS('Future Orders'!$F264, 'Future Orders'!$D264, "3", 'Future Orders'!$C264, "B", 'Future Orders'!$B264, "2")</f>
        <v>0</v>
      </c>
      <c r="AG264" s="157">
        <f>SUMIFS('Future Orders'!$I264, 'Future Orders'!$D264, "3", 'Future Orders'!$C264, "B", 'Future Orders'!$B264, "2")</f>
        <v>0</v>
      </c>
      <c r="AH264" s="157">
        <f>SUMIFS('Future Orders'!$F264, 'Future Orders'!$D264, "4", 'Future Orders'!$C264, "A", 'Future Orders'!$B264, "1")</f>
        <v>0</v>
      </c>
      <c r="AI264" s="157">
        <f>SUMIFS('Future Orders'!$I264, 'Future Orders'!$D264, "4", 'Future Orders'!$C264, "A", 'Future Orders'!$B264, "1")</f>
        <v>0</v>
      </c>
      <c r="AJ264" s="157">
        <f>SUMIFS('Future Orders'!$F264, 'Future Orders'!$D264, "4", 'Future Orders'!$C264, "B", 'Future Orders'!$B264, "1")</f>
        <v>0</v>
      </c>
      <c r="AK264" s="157">
        <f>SUMIFS('Future Orders'!$I264, 'Future Orders'!$D264, "4", 'Future Orders'!$C264, "B", 'Future Orders'!$B264, "1")</f>
        <v>0</v>
      </c>
      <c r="AL264" s="157">
        <f>SUMIFS('Future Orders'!$F264, 'Future Orders'!$D264, "4", 'Future Orders'!$C264, "A", 'Future Orders'!$B264, "2")</f>
        <v>0</v>
      </c>
      <c r="AM264" s="157">
        <f>SUMIFS('Future Orders'!$I264, 'Future Orders'!$D264, "4", 'Future Orders'!$C264, "A", 'Future Orders'!$B264, "2")</f>
        <v>0</v>
      </c>
      <c r="AN264" s="171">
        <f>SUMIFS('Future Orders'!$F264, 'Future Orders'!$D264, "4", 'Future Orders'!$C264, "B", 'Future Orders'!$B264, "2")</f>
        <v>0</v>
      </c>
      <c r="AO264" s="171">
        <f>SUMIFS('Future Orders'!$I264, 'Future Orders'!$D264, "4", 'Future Orders'!$C264, "B", 'Future Orders'!$B264, "2")</f>
        <v>0</v>
      </c>
      <c r="AP264" s="171">
        <f>SUMIFS('Future Orders'!$H264, 'Future Orders'!$C264, "A", 'Future Orders'!$B264, "1")</f>
        <v>0</v>
      </c>
      <c r="AQ264" s="171">
        <f>SUMIFS('Future Orders'!$I264, 'Future Orders'!$C264, "B", 'Future Orders'!$B264, "1")</f>
        <v>20980.74</v>
      </c>
      <c r="AR264" s="171">
        <f>SUMIFS('Future Orders'!$H264, 'Future Orders'!$C264, "A", 'Future Orders'!$B264, "2")</f>
        <v>0</v>
      </c>
      <c r="AS264" s="171">
        <f>SUMIFS('Future Orders'!$I264, 'Future Orders'!$C264, "B", 'Future Orders'!$B264, "2")</f>
        <v>0</v>
      </c>
      <c r="AT264" s="145"/>
      <c r="AU264" s="172"/>
      <c r="AV264" s="172"/>
      <c r="AW264" s="172"/>
      <c r="AX264" s="172"/>
      <c r="AY264" s="172"/>
      <c r="AZ264" s="172"/>
      <c r="BA264" s="172"/>
      <c r="BB264" s="172"/>
      <c r="BC264" s="172"/>
      <c r="BD264" s="172"/>
      <c r="BE264" s="172"/>
      <c r="BF264" s="172"/>
      <c r="BG264" s="172"/>
      <c r="BH264" s="172"/>
      <c r="BI264" s="172"/>
      <c r="BJ264" s="172"/>
      <c r="BK264" s="172"/>
      <c r="BL264" s="172"/>
      <c r="BM264" s="172"/>
      <c r="BN264" s="172"/>
      <c r="BO264" s="172"/>
      <c r="BP264" s="172"/>
      <c r="BQ264" s="172"/>
      <c r="BR264" s="172"/>
      <c r="BS264" s="172"/>
      <c r="BT264" s="172"/>
      <c r="BU264" s="172"/>
      <c r="BV264" s="172"/>
      <c r="BW264" s="172"/>
      <c r="BX264" s="172"/>
      <c r="BY264" s="172"/>
      <c r="BZ264" s="172"/>
      <c r="CA264" s="179"/>
      <c r="CB264" s="179"/>
      <c r="CC264" s="179"/>
      <c r="CD264" s="179"/>
      <c r="CE264" s="179"/>
      <c r="CF264" s="179"/>
      <c r="CG264" s="179"/>
      <c r="CH264" s="179"/>
      <c r="CI264" s="179"/>
      <c r="CJ264" s="179"/>
      <c r="CK264" s="179"/>
      <c r="CL264" s="179"/>
      <c r="CM264" s="179"/>
      <c r="CN264" s="179"/>
      <c r="CO264" s="179"/>
      <c r="CP264" s="179"/>
    </row>
    <row r="265" ht="15.75" customHeight="1">
      <c r="A265" s="151">
        <v>42156.0</v>
      </c>
      <c r="B265" s="152">
        <v>2.0</v>
      </c>
      <c r="C265" s="152" t="s">
        <v>46</v>
      </c>
      <c r="D265" s="152">
        <v>3.0</v>
      </c>
      <c r="E265" s="153">
        <v>3149.0</v>
      </c>
      <c r="F265" s="153">
        <f>SUM(('Future Orders'!$E265) * (1.1))</f>
        <v>3463.9</v>
      </c>
      <c r="G265" s="154">
        <v>8.3</v>
      </c>
      <c r="H265" s="155">
        <v>26136.7</v>
      </c>
      <c r="I265" s="155">
        <f>SUM(('Future Orders'!$H265) * (1.1))</f>
        <v>28750.37</v>
      </c>
      <c r="J265" s="159">
        <f>SUMIFS('Future Orders'!$F265, 'Future Orders'!$D265, "1", 'Future Orders'!$C265, "A", 'Future Orders'!$B265, "1")</f>
        <v>0</v>
      </c>
      <c r="K265" s="157">
        <f>SUMIFS('Future Orders'!$I265, 'Future Orders'!$D265, "1", 'Future Orders'!$C265, "A", 'Future Orders'!$B265, "1")</f>
        <v>0</v>
      </c>
      <c r="L265" s="157">
        <f>SUMIFS('Future Orders'!$F265, 'Future Orders'!$D265, "1", 'Future Orders'!$C265, "B", 'Future Orders'!$B265, "1")</f>
        <v>0</v>
      </c>
      <c r="M265" s="157">
        <f>SUMIFS('Future Orders'!$I265, 'Future Orders'!$D265, "1", 'Future Orders'!$C265, "B", 'Future Orders'!$B265, "1")</f>
        <v>0</v>
      </c>
      <c r="N265" s="159">
        <f>SUMIFS('Future Orders'!$F265, 'Future Orders'!$D265, "1", 'Future Orders'!$C265, "A", 'Future Orders'!$B265, "2")</f>
        <v>0</v>
      </c>
      <c r="O265" s="157">
        <f>SUMIFS('Future Orders'!$I265, 'Future Orders'!$D265, "1", 'Future Orders'!$C265, "A", 'Future Orders'!$B265, "2")</f>
        <v>0</v>
      </c>
      <c r="P265" s="157">
        <f>SUMIFS('Future Orders'!$E265, 'Future Orders'!$D265, "1", 'Future Orders'!$C265, "B", 'Future Orders'!$B265, "2")</f>
        <v>0</v>
      </c>
      <c r="Q265" s="157">
        <f>SUMIFS('Future Orders'!$I265, 'Future Orders'!$D265, "1", 'Future Orders'!$C265, "B", 'Future Orders'!$B265, "2")</f>
        <v>0</v>
      </c>
      <c r="R265" s="159">
        <f>SUMIFS('Future Orders'!$F265, 'Future Orders'!$D265, "2", 'Future Orders'!$C265, "A", 'Future Orders'!$B265, "1")</f>
        <v>0</v>
      </c>
      <c r="S265" s="157">
        <f>SUMIFS('Future Orders'!$I265, 'Future Orders'!$D265, "2", 'Future Orders'!$C265, "A", 'Future Orders'!$B265, "1")</f>
        <v>0</v>
      </c>
      <c r="T265" s="159">
        <f>SUMIFS('Future Orders'!$F265, 'Future Orders'!$D265, "2", 'Future Orders'!$C265, "B", 'Future Orders'!$B265, "1")</f>
        <v>0</v>
      </c>
      <c r="U265" s="157">
        <f>SUMIFS('Future Orders'!$I265, 'Future Orders'!$D265, "2", 'Future Orders'!$C265, "B", 'Future Orders'!$B265, "1")</f>
        <v>0</v>
      </c>
      <c r="V265" s="159">
        <f>SUMIFS('Future Orders'!$F265, 'Future Orders'!$D265, "2", 'Future Orders'!$C265, "A", 'Future Orders'!$B265, "2")</f>
        <v>0</v>
      </c>
      <c r="W265" s="157">
        <f>SUMIFS('Future Orders'!$I265, 'Future Orders'!$D265, "2", 'Future Orders'!$C265, "A", 'Future Orders'!$B265, "2")</f>
        <v>0</v>
      </c>
      <c r="X265" s="159">
        <f>SUMIFS('Future Orders'!$F265, 'Future Orders'!$D265, "2", 'Future Orders'!$C265, "B", 'Future Orders'!$B265, "2")</f>
        <v>0</v>
      </c>
      <c r="Y265" s="159">
        <f>SUMIFS('Future Orders'!$I265, 'Future Orders'!$D265, "2", 'Future Orders'!$C265, "B", 'Future Orders'!$B265, "2")</f>
        <v>0</v>
      </c>
      <c r="Z265" s="159">
        <f>SUMIFS('Future Orders'!$F265, 'Future Orders'!$D265, "3", 'Future Orders'!$C265, "A", 'Future Orders'!$B265, "1")</f>
        <v>0</v>
      </c>
      <c r="AA265" s="159">
        <f>SUMIFS('Future Orders'!$I265, 'Future Orders'!$D265, "3", 'Future Orders'!$C265, "A", 'Future Orders'!$B265, "1")</f>
        <v>0</v>
      </c>
      <c r="AB265" s="159">
        <f>SUMIFS('Future Orders'!$F265, 'Future Orders'!$D265, "3", 'Future Orders'!$C265, "B", 'Future Orders'!$B265, "1")</f>
        <v>0</v>
      </c>
      <c r="AC265" s="159">
        <f>SUMIFS('Future Orders'!$I265, 'Future Orders'!$D265, "3", 'Future Orders'!$C265, "B", 'Future Orders'!$B265, "1")</f>
        <v>0</v>
      </c>
      <c r="AD265" s="159">
        <f>SUMIFS('Future Orders'!$F265, 'Future Orders'!$D265, "3", 'Future Orders'!$C265, "A", 'Future Orders'!$B265, "2")</f>
        <v>0</v>
      </c>
      <c r="AE265" s="159">
        <f>SUMIFS('Future Orders'!$I265, 'Future Orders'!$D265, "3", 'Future Orders'!$C265, "A", 'Future Orders'!$B265, "2")</f>
        <v>0</v>
      </c>
      <c r="AF265" s="159">
        <f>SUMIFS('Future Orders'!$F265, 'Future Orders'!$D265, "3", 'Future Orders'!$C265, "B", 'Future Orders'!$B265, "2")</f>
        <v>3463.9</v>
      </c>
      <c r="AG265" s="157">
        <f>SUMIFS('Future Orders'!$I265, 'Future Orders'!$D265, "3", 'Future Orders'!$C265, "B", 'Future Orders'!$B265, "2")</f>
        <v>28750.37</v>
      </c>
      <c r="AH265" s="157">
        <f>SUMIFS('Future Orders'!$F265, 'Future Orders'!$D265, "4", 'Future Orders'!$C265, "A", 'Future Orders'!$B265, "1")</f>
        <v>0</v>
      </c>
      <c r="AI265" s="157">
        <f>SUMIFS('Future Orders'!$I265, 'Future Orders'!$D265, "4", 'Future Orders'!$C265, "A", 'Future Orders'!$B265, "1")</f>
        <v>0</v>
      </c>
      <c r="AJ265" s="157">
        <f>SUMIFS('Future Orders'!$F265, 'Future Orders'!$D265, "4", 'Future Orders'!$C265, "B", 'Future Orders'!$B265, "1")</f>
        <v>0</v>
      </c>
      <c r="AK265" s="157">
        <f>SUMIFS('Future Orders'!$I265, 'Future Orders'!$D265, "4", 'Future Orders'!$C265, "B", 'Future Orders'!$B265, "1")</f>
        <v>0</v>
      </c>
      <c r="AL265" s="157">
        <f>SUMIFS('Future Orders'!$F265, 'Future Orders'!$D265, "4", 'Future Orders'!$C265, "A", 'Future Orders'!$B265, "2")</f>
        <v>0</v>
      </c>
      <c r="AM265" s="157">
        <f>SUMIFS('Future Orders'!$I265, 'Future Orders'!$D265, "4", 'Future Orders'!$C265, "A", 'Future Orders'!$B265, "2")</f>
        <v>0</v>
      </c>
      <c r="AN265" s="171">
        <f>SUMIFS('Future Orders'!$F265, 'Future Orders'!$D265, "4", 'Future Orders'!$C265, "B", 'Future Orders'!$B265, "2")</f>
        <v>0</v>
      </c>
      <c r="AO265" s="171">
        <f>SUMIFS('Future Orders'!$I265, 'Future Orders'!$D265, "4", 'Future Orders'!$C265, "B", 'Future Orders'!$B265, "2")</f>
        <v>0</v>
      </c>
      <c r="AP265" s="171">
        <f>SUMIFS('Future Orders'!$H265, 'Future Orders'!$C265, "A", 'Future Orders'!$B265, "1")</f>
        <v>0</v>
      </c>
      <c r="AQ265" s="171">
        <f>SUMIFS('Future Orders'!$I265, 'Future Orders'!$C265, "B", 'Future Orders'!$B265, "1")</f>
        <v>0</v>
      </c>
      <c r="AR265" s="171">
        <f>SUMIFS('Future Orders'!$H265, 'Future Orders'!$C265, "A", 'Future Orders'!$B265, "2")</f>
        <v>0</v>
      </c>
      <c r="AS265" s="171">
        <f>SUMIFS('Future Orders'!$I265, 'Future Orders'!$C265, "B", 'Future Orders'!$B265, "2")</f>
        <v>28750.37</v>
      </c>
      <c r="AT265" s="145"/>
      <c r="AU265" s="172"/>
      <c r="AV265" s="172"/>
      <c r="AW265" s="172"/>
      <c r="AX265" s="172"/>
      <c r="AY265" s="172"/>
      <c r="AZ265" s="172"/>
      <c r="BA265" s="172"/>
      <c r="BB265" s="172"/>
      <c r="BC265" s="172"/>
      <c r="BD265" s="172"/>
      <c r="BE265" s="172"/>
      <c r="BF265" s="172"/>
      <c r="BG265" s="172"/>
      <c r="BH265" s="172"/>
      <c r="BI265" s="172"/>
      <c r="BJ265" s="172"/>
      <c r="BK265" s="172"/>
      <c r="BL265" s="172"/>
      <c r="BM265" s="172"/>
      <c r="BN265" s="172"/>
      <c r="BO265" s="172"/>
      <c r="BP265" s="172"/>
      <c r="BQ265" s="172"/>
      <c r="BR265" s="172"/>
      <c r="BS265" s="172"/>
      <c r="BT265" s="172"/>
      <c r="BU265" s="172"/>
      <c r="BV265" s="172"/>
      <c r="BW265" s="172"/>
      <c r="BX265" s="172"/>
      <c r="BY265" s="172"/>
      <c r="BZ265" s="172"/>
      <c r="CA265" s="179"/>
      <c r="CB265" s="179"/>
      <c r="CC265" s="179"/>
      <c r="CD265" s="179"/>
      <c r="CE265" s="179"/>
      <c r="CF265" s="179"/>
      <c r="CG265" s="179"/>
      <c r="CH265" s="179"/>
      <c r="CI265" s="179"/>
      <c r="CJ265" s="179"/>
      <c r="CK265" s="179"/>
      <c r="CL265" s="179"/>
      <c r="CM265" s="179"/>
      <c r="CN265" s="179"/>
      <c r="CO265" s="179"/>
      <c r="CP265" s="179"/>
    </row>
    <row r="266" ht="15.75" customHeight="1">
      <c r="A266" s="151">
        <v>42163.0</v>
      </c>
      <c r="B266" s="152">
        <v>1.0</v>
      </c>
      <c r="C266" s="152" t="s">
        <v>45</v>
      </c>
      <c r="D266" s="152">
        <v>1.0</v>
      </c>
      <c r="E266" s="153">
        <v>5168.0</v>
      </c>
      <c r="F266" s="153">
        <f>SUM(('Future Orders'!$E266) * (1.1))</f>
        <v>5684.8</v>
      </c>
      <c r="G266" s="154">
        <v>2.2</v>
      </c>
      <c r="H266" s="155">
        <v>11369.6</v>
      </c>
      <c r="I266" s="155">
        <f>SUM(('Future Orders'!$H266) * (1.1))</f>
        <v>12506.56</v>
      </c>
      <c r="J266" s="159">
        <f>SUMIFS('Future Orders'!$F266, 'Future Orders'!$D266, "1", 'Future Orders'!$C266, "A", 'Future Orders'!$B266, "1")</f>
        <v>5684.8</v>
      </c>
      <c r="K266" s="157">
        <f>SUMIFS('Future Orders'!$I266, 'Future Orders'!$D266, "1", 'Future Orders'!$C266, "A", 'Future Orders'!$B266, "1")</f>
        <v>12506.56</v>
      </c>
      <c r="L266" s="157">
        <f>SUMIFS('Future Orders'!$F266, 'Future Orders'!$D266, "1", 'Future Orders'!$C266, "B", 'Future Orders'!$B266, "1")</f>
        <v>0</v>
      </c>
      <c r="M266" s="157">
        <f>SUMIFS('Future Orders'!$I266, 'Future Orders'!$D266, "1", 'Future Orders'!$C266, "B", 'Future Orders'!$B266, "1")</f>
        <v>0</v>
      </c>
      <c r="N266" s="159">
        <f>SUMIFS('Future Orders'!$F266, 'Future Orders'!$D266, "1", 'Future Orders'!$C266, "A", 'Future Orders'!$B266, "2")</f>
        <v>0</v>
      </c>
      <c r="O266" s="157">
        <f>SUMIFS('Future Orders'!$I266, 'Future Orders'!$D266, "1", 'Future Orders'!$C266, "A", 'Future Orders'!$B266, "2")</f>
        <v>0</v>
      </c>
      <c r="P266" s="157">
        <f>SUMIFS('Future Orders'!$E266, 'Future Orders'!$D266, "1", 'Future Orders'!$C266, "B", 'Future Orders'!$B266, "2")</f>
        <v>0</v>
      </c>
      <c r="Q266" s="157">
        <f>SUMIFS('Future Orders'!$I266, 'Future Orders'!$D266, "1", 'Future Orders'!$C266, "B", 'Future Orders'!$B266, "2")</f>
        <v>0</v>
      </c>
      <c r="R266" s="159">
        <f>SUMIFS('Future Orders'!$F266, 'Future Orders'!$D266, "2", 'Future Orders'!$C266, "A", 'Future Orders'!$B266, "1")</f>
        <v>0</v>
      </c>
      <c r="S266" s="157">
        <f>SUMIFS('Future Orders'!$I266, 'Future Orders'!$D266, "2", 'Future Orders'!$C266, "A", 'Future Orders'!$B266, "1")</f>
        <v>0</v>
      </c>
      <c r="T266" s="159">
        <f>SUMIFS('Future Orders'!$F266, 'Future Orders'!$D266, "2", 'Future Orders'!$C266, "B", 'Future Orders'!$B266, "1")</f>
        <v>0</v>
      </c>
      <c r="U266" s="157">
        <f>SUMIFS('Future Orders'!$I266, 'Future Orders'!$D266, "2", 'Future Orders'!$C266, "B", 'Future Orders'!$B266, "1")</f>
        <v>0</v>
      </c>
      <c r="V266" s="159">
        <f>SUMIFS('Future Orders'!$F266, 'Future Orders'!$D266, "2", 'Future Orders'!$C266, "A", 'Future Orders'!$B266, "2")</f>
        <v>0</v>
      </c>
      <c r="W266" s="157">
        <f>SUMIFS('Future Orders'!$I266, 'Future Orders'!$D266, "2", 'Future Orders'!$C266, "A", 'Future Orders'!$B266, "2")</f>
        <v>0</v>
      </c>
      <c r="X266" s="159">
        <f>SUMIFS('Future Orders'!$F266, 'Future Orders'!$D266, "2", 'Future Orders'!$C266, "B", 'Future Orders'!$B266, "2")</f>
        <v>0</v>
      </c>
      <c r="Y266" s="159">
        <f>SUMIFS('Future Orders'!$I266, 'Future Orders'!$D266, "2", 'Future Orders'!$C266, "B", 'Future Orders'!$B266, "2")</f>
        <v>0</v>
      </c>
      <c r="Z266" s="159">
        <f>SUMIFS('Future Orders'!$F266, 'Future Orders'!$D266, "3", 'Future Orders'!$C266, "A", 'Future Orders'!$B266, "1")</f>
        <v>0</v>
      </c>
      <c r="AA266" s="159">
        <f>SUMIFS('Future Orders'!$I266, 'Future Orders'!$D266, "3", 'Future Orders'!$C266, "A", 'Future Orders'!$B266, "1")</f>
        <v>0</v>
      </c>
      <c r="AB266" s="159">
        <f>SUMIFS('Future Orders'!$F266, 'Future Orders'!$D266, "3", 'Future Orders'!$C266, "B", 'Future Orders'!$B266, "1")</f>
        <v>0</v>
      </c>
      <c r="AC266" s="159">
        <f>SUMIFS('Future Orders'!$I266, 'Future Orders'!$D266, "3", 'Future Orders'!$C266, "B", 'Future Orders'!$B266, "1")</f>
        <v>0</v>
      </c>
      <c r="AD266" s="159">
        <f>SUMIFS('Future Orders'!$F266, 'Future Orders'!$D266, "3", 'Future Orders'!$C266, "A", 'Future Orders'!$B266, "2")</f>
        <v>0</v>
      </c>
      <c r="AE266" s="159">
        <f>SUMIFS('Future Orders'!$I266, 'Future Orders'!$D266, "3", 'Future Orders'!$C266, "A", 'Future Orders'!$B266, "2")</f>
        <v>0</v>
      </c>
      <c r="AF266" s="159">
        <f>SUMIFS('Future Orders'!$F266, 'Future Orders'!$D266, "3", 'Future Orders'!$C266, "B", 'Future Orders'!$B266, "2")</f>
        <v>0</v>
      </c>
      <c r="AG266" s="157">
        <f>SUMIFS('Future Orders'!$I266, 'Future Orders'!$D266, "3", 'Future Orders'!$C266, "B", 'Future Orders'!$B266, "2")</f>
        <v>0</v>
      </c>
      <c r="AH266" s="157">
        <f>SUMIFS('Future Orders'!$F266, 'Future Orders'!$D266, "4", 'Future Orders'!$C266, "A", 'Future Orders'!$B266, "1")</f>
        <v>0</v>
      </c>
      <c r="AI266" s="157">
        <f>SUMIFS('Future Orders'!$I266, 'Future Orders'!$D266, "4", 'Future Orders'!$C266, "A", 'Future Orders'!$B266, "1")</f>
        <v>0</v>
      </c>
      <c r="AJ266" s="157">
        <f>SUMIFS('Future Orders'!$F266, 'Future Orders'!$D266, "4", 'Future Orders'!$C266, "B", 'Future Orders'!$B266, "1")</f>
        <v>0</v>
      </c>
      <c r="AK266" s="157">
        <f>SUMIFS('Future Orders'!$I266, 'Future Orders'!$D266, "4", 'Future Orders'!$C266, "B", 'Future Orders'!$B266, "1")</f>
        <v>0</v>
      </c>
      <c r="AL266" s="157">
        <f>SUMIFS('Future Orders'!$F266, 'Future Orders'!$D266, "4", 'Future Orders'!$C266, "A", 'Future Orders'!$B266, "2")</f>
        <v>0</v>
      </c>
      <c r="AM266" s="157">
        <f>SUMIFS('Future Orders'!$I266, 'Future Orders'!$D266, "4", 'Future Orders'!$C266, "A", 'Future Orders'!$B266, "2")</f>
        <v>0</v>
      </c>
      <c r="AN266" s="171">
        <f>SUMIFS('Future Orders'!$F266, 'Future Orders'!$D266, "4", 'Future Orders'!$C266, "B", 'Future Orders'!$B266, "2")</f>
        <v>0</v>
      </c>
      <c r="AO266" s="171">
        <f>SUMIFS('Future Orders'!$I266, 'Future Orders'!$D266, "4", 'Future Orders'!$C266, "B", 'Future Orders'!$B266, "2")</f>
        <v>0</v>
      </c>
      <c r="AP266" s="171">
        <f>SUMIFS('Future Orders'!$H266, 'Future Orders'!$C266, "A", 'Future Orders'!$B266, "1")</f>
        <v>11369.6</v>
      </c>
      <c r="AQ266" s="171">
        <f>SUMIFS('Future Orders'!$I266, 'Future Orders'!$C266, "B", 'Future Orders'!$B266, "1")</f>
        <v>0</v>
      </c>
      <c r="AR266" s="171">
        <f>SUMIFS('Future Orders'!$H266, 'Future Orders'!$C266, "A", 'Future Orders'!$B266, "2")</f>
        <v>0</v>
      </c>
      <c r="AS266" s="171">
        <f>SUMIFS('Future Orders'!$I266, 'Future Orders'!$C266, "B", 'Future Orders'!$B266, "2")</f>
        <v>0</v>
      </c>
      <c r="AT266" s="145"/>
      <c r="AU266" s="172"/>
      <c r="AV266" s="172"/>
      <c r="AW266" s="172"/>
      <c r="AX266" s="172"/>
      <c r="AY266" s="172"/>
      <c r="AZ266" s="172"/>
      <c r="BA266" s="172"/>
      <c r="BB266" s="172"/>
      <c r="BC266" s="172"/>
      <c r="BD266" s="172"/>
      <c r="BE266" s="172"/>
      <c r="BF266" s="172"/>
      <c r="BG266" s="172"/>
      <c r="BH266" s="172"/>
      <c r="BI266" s="172"/>
      <c r="BJ266" s="172"/>
      <c r="BK266" s="172"/>
      <c r="BL266" s="172"/>
      <c r="BM266" s="172"/>
      <c r="BN266" s="172"/>
      <c r="BO266" s="172"/>
      <c r="BP266" s="172"/>
      <c r="BQ266" s="172"/>
      <c r="BR266" s="172"/>
      <c r="BS266" s="172"/>
      <c r="BT266" s="172"/>
      <c r="BU266" s="172"/>
      <c r="BV266" s="172"/>
      <c r="BW266" s="172"/>
      <c r="BX266" s="172"/>
      <c r="BY266" s="172"/>
      <c r="BZ266" s="172"/>
      <c r="CA266" s="179"/>
      <c r="CB266" s="179"/>
      <c r="CC266" s="179"/>
      <c r="CD266" s="179"/>
      <c r="CE266" s="179"/>
      <c r="CF266" s="179"/>
      <c r="CG266" s="179"/>
      <c r="CH266" s="179"/>
      <c r="CI266" s="179"/>
      <c r="CJ266" s="179"/>
      <c r="CK266" s="179"/>
      <c r="CL266" s="179"/>
      <c r="CM266" s="179"/>
      <c r="CN266" s="179"/>
      <c r="CO266" s="179"/>
      <c r="CP266" s="179"/>
    </row>
    <row r="267" ht="15.75" customHeight="1">
      <c r="A267" s="151">
        <v>42163.0</v>
      </c>
      <c r="B267" s="152">
        <v>1.0</v>
      </c>
      <c r="C267" s="152" t="s">
        <v>45</v>
      </c>
      <c r="D267" s="152">
        <v>2.0</v>
      </c>
      <c r="E267" s="153">
        <v>6444.0</v>
      </c>
      <c r="F267" s="153">
        <f>SUM(('Future Orders'!$E267) * (1.1))</f>
        <v>7088.4</v>
      </c>
      <c r="G267" s="154">
        <v>1.2</v>
      </c>
      <c r="H267" s="155">
        <v>7732.799999999999</v>
      </c>
      <c r="I267" s="155">
        <f>SUM(('Future Orders'!$H267) * (1.1))</f>
        <v>8506.08</v>
      </c>
      <c r="J267" s="159">
        <f>SUMIFS('Future Orders'!$F267, 'Future Orders'!$D267, "1", 'Future Orders'!$C267, "A", 'Future Orders'!$B267, "1")</f>
        <v>0</v>
      </c>
      <c r="K267" s="157">
        <f>SUMIFS('Future Orders'!$I267, 'Future Orders'!$D267, "1", 'Future Orders'!$C267, "A", 'Future Orders'!$B267, "1")</f>
        <v>0</v>
      </c>
      <c r="L267" s="157">
        <f>SUMIFS('Future Orders'!$F267, 'Future Orders'!$D267, "1", 'Future Orders'!$C267, "B", 'Future Orders'!$B267, "1")</f>
        <v>0</v>
      </c>
      <c r="M267" s="157">
        <f>SUMIFS('Future Orders'!$I267, 'Future Orders'!$D267, "1", 'Future Orders'!$C267, "B", 'Future Orders'!$B267, "1")</f>
        <v>0</v>
      </c>
      <c r="N267" s="159">
        <f>SUMIFS('Future Orders'!$F267, 'Future Orders'!$D267, "1", 'Future Orders'!$C267, "A", 'Future Orders'!$B267, "2")</f>
        <v>0</v>
      </c>
      <c r="O267" s="157">
        <f>SUMIFS('Future Orders'!$I267, 'Future Orders'!$D267, "1", 'Future Orders'!$C267, "A", 'Future Orders'!$B267, "2")</f>
        <v>0</v>
      </c>
      <c r="P267" s="157">
        <f>SUMIFS('Future Orders'!$E267, 'Future Orders'!$D267, "1", 'Future Orders'!$C267, "B", 'Future Orders'!$B267, "2")</f>
        <v>0</v>
      </c>
      <c r="Q267" s="157">
        <f>SUMIFS('Future Orders'!$I267, 'Future Orders'!$D267, "1", 'Future Orders'!$C267, "B", 'Future Orders'!$B267, "2")</f>
        <v>0</v>
      </c>
      <c r="R267" s="159">
        <f>SUMIFS('Future Orders'!$F267, 'Future Orders'!$D267, "2", 'Future Orders'!$C267, "A", 'Future Orders'!$B267, "1")</f>
        <v>7088.4</v>
      </c>
      <c r="S267" s="157">
        <f>SUMIFS('Future Orders'!$I267, 'Future Orders'!$D267, "2", 'Future Orders'!$C267, "A", 'Future Orders'!$B267, "1")</f>
        <v>8506.08</v>
      </c>
      <c r="T267" s="159">
        <f>SUMIFS('Future Orders'!$F267, 'Future Orders'!$D267, "2", 'Future Orders'!$C267, "B", 'Future Orders'!$B267, "1")</f>
        <v>0</v>
      </c>
      <c r="U267" s="157">
        <f>SUMIFS('Future Orders'!$I267, 'Future Orders'!$D267, "2", 'Future Orders'!$C267, "B", 'Future Orders'!$B267, "1")</f>
        <v>0</v>
      </c>
      <c r="V267" s="159">
        <f>SUMIFS('Future Orders'!$F267, 'Future Orders'!$D267, "2", 'Future Orders'!$C267, "A", 'Future Orders'!$B267, "2")</f>
        <v>0</v>
      </c>
      <c r="W267" s="157">
        <f>SUMIFS('Future Orders'!$I267, 'Future Orders'!$D267, "2", 'Future Orders'!$C267, "A", 'Future Orders'!$B267, "2")</f>
        <v>0</v>
      </c>
      <c r="X267" s="159">
        <f>SUMIFS('Future Orders'!$F267, 'Future Orders'!$D267, "2", 'Future Orders'!$C267, "B", 'Future Orders'!$B267, "2")</f>
        <v>0</v>
      </c>
      <c r="Y267" s="159">
        <f>SUMIFS('Future Orders'!$I267, 'Future Orders'!$D267, "2", 'Future Orders'!$C267, "B", 'Future Orders'!$B267, "2")</f>
        <v>0</v>
      </c>
      <c r="Z267" s="159">
        <f>SUMIFS('Future Orders'!$F267, 'Future Orders'!$D267, "3", 'Future Orders'!$C267, "A", 'Future Orders'!$B267, "1")</f>
        <v>0</v>
      </c>
      <c r="AA267" s="159">
        <f>SUMIFS('Future Orders'!$I267, 'Future Orders'!$D267, "3", 'Future Orders'!$C267, "A", 'Future Orders'!$B267, "1")</f>
        <v>0</v>
      </c>
      <c r="AB267" s="159">
        <f>SUMIFS('Future Orders'!$F267, 'Future Orders'!$D267, "3", 'Future Orders'!$C267, "B", 'Future Orders'!$B267, "1")</f>
        <v>0</v>
      </c>
      <c r="AC267" s="159">
        <f>SUMIFS('Future Orders'!$I267, 'Future Orders'!$D267, "3", 'Future Orders'!$C267, "B", 'Future Orders'!$B267, "1")</f>
        <v>0</v>
      </c>
      <c r="AD267" s="159">
        <f>SUMIFS('Future Orders'!$F267, 'Future Orders'!$D267, "3", 'Future Orders'!$C267, "A", 'Future Orders'!$B267, "2")</f>
        <v>0</v>
      </c>
      <c r="AE267" s="159">
        <f>SUMIFS('Future Orders'!$I267, 'Future Orders'!$D267, "3", 'Future Orders'!$C267, "A", 'Future Orders'!$B267, "2")</f>
        <v>0</v>
      </c>
      <c r="AF267" s="159">
        <f>SUMIFS('Future Orders'!$F267, 'Future Orders'!$D267, "3", 'Future Orders'!$C267, "B", 'Future Orders'!$B267, "2")</f>
        <v>0</v>
      </c>
      <c r="AG267" s="157">
        <f>SUMIFS('Future Orders'!$I267, 'Future Orders'!$D267, "3", 'Future Orders'!$C267, "B", 'Future Orders'!$B267, "2")</f>
        <v>0</v>
      </c>
      <c r="AH267" s="157">
        <f>SUMIFS('Future Orders'!$F267, 'Future Orders'!$D267, "4", 'Future Orders'!$C267, "A", 'Future Orders'!$B267, "1")</f>
        <v>0</v>
      </c>
      <c r="AI267" s="157">
        <f>SUMIFS('Future Orders'!$I267, 'Future Orders'!$D267, "4", 'Future Orders'!$C267, "A", 'Future Orders'!$B267, "1")</f>
        <v>0</v>
      </c>
      <c r="AJ267" s="157">
        <f>SUMIFS('Future Orders'!$F267, 'Future Orders'!$D267, "4", 'Future Orders'!$C267, "B", 'Future Orders'!$B267, "1")</f>
        <v>0</v>
      </c>
      <c r="AK267" s="157">
        <f>SUMIFS('Future Orders'!$I267, 'Future Orders'!$D267, "4", 'Future Orders'!$C267, "B", 'Future Orders'!$B267, "1")</f>
        <v>0</v>
      </c>
      <c r="AL267" s="157">
        <f>SUMIFS('Future Orders'!$F267, 'Future Orders'!$D267, "4", 'Future Orders'!$C267, "A", 'Future Orders'!$B267, "2")</f>
        <v>0</v>
      </c>
      <c r="AM267" s="157">
        <f>SUMIFS('Future Orders'!$I267, 'Future Orders'!$D267, "4", 'Future Orders'!$C267, "A", 'Future Orders'!$B267, "2")</f>
        <v>0</v>
      </c>
      <c r="AN267" s="171">
        <f>SUMIFS('Future Orders'!$F267, 'Future Orders'!$D267, "4", 'Future Orders'!$C267, "B", 'Future Orders'!$B267, "2")</f>
        <v>0</v>
      </c>
      <c r="AO267" s="171">
        <f>SUMIFS('Future Orders'!$I267, 'Future Orders'!$D267, "4", 'Future Orders'!$C267, "B", 'Future Orders'!$B267, "2")</f>
        <v>0</v>
      </c>
      <c r="AP267" s="171">
        <f>SUMIFS('Future Orders'!$H267, 'Future Orders'!$C267, "A", 'Future Orders'!$B267, "1")</f>
        <v>7732.8</v>
      </c>
      <c r="AQ267" s="171">
        <f>SUMIFS('Future Orders'!$I267, 'Future Orders'!$C267, "B", 'Future Orders'!$B267, "1")</f>
        <v>0</v>
      </c>
      <c r="AR267" s="171">
        <f>SUMIFS('Future Orders'!$H267, 'Future Orders'!$C267, "A", 'Future Orders'!$B267, "2")</f>
        <v>0</v>
      </c>
      <c r="AS267" s="171">
        <f>SUMIFS('Future Orders'!$I267, 'Future Orders'!$C267, "B", 'Future Orders'!$B267, "2")</f>
        <v>0</v>
      </c>
      <c r="AT267" s="145"/>
      <c r="AU267" s="172"/>
      <c r="AV267" s="172"/>
      <c r="AW267" s="172"/>
      <c r="AX267" s="172"/>
      <c r="AY267" s="172"/>
      <c r="AZ267" s="172"/>
      <c r="BA267" s="172"/>
      <c r="BB267" s="172"/>
      <c r="BC267" s="172"/>
      <c r="BD267" s="172"/>
      <c r="BE267" s="172"/>
      <c r="BF267" s="172"/>
      <c r="BG267" s="172"/>
      <c r="BH267" s="172"/>
      <c r="BI267" s="172"/>
      <c r="BJ267" s="172"/>
      <c r="BK267" s="172"/>
      <c r="BL267" s="172"/>
      <c r="BM267" s="172"/>
      <c r="BN267" s="172"/>
      <c r="BO267" s="172"/>
      <c r="BP267" s="172"/>
      <c r="BQ267" s="172"/>
      <c r="BR267" s="172"/>
      <c r="BS267" s="172"/>
      <c r="BT267" s="172"/>
      <c r="BU267" s="172"/>
      <c r="BV267" s="172"/>
      <c r="BW267" s="172"/>
      <c r="BX267" s="172"/>
      <c r="BY267" s="172"/>
      <c r="BZ267" s="172"/>
      <c r="CA267" s="179"/>
      <c r="CB267" s="179"/>
      <c r="CC267" s="179"/>
      <c r="CD267" s="179"/>
      <c r="CE267" s="179"/>
      <c r="CF267" s="179"/>
      <c r="CG267" s="179"/>
      <c r="CH267" s="179"/>
      <c r="CI267" s="179"/>
      <c r="CJ267" s="179"/>
      <c r="CK267" s="179"/>
      <c r="CL267" s="179"/>
      <c r="CM267" s="179"/>
      <c r="CN267" s="179"/>
      <c r="CO267" s="179"/>
      <c r="CP267" s="179"/>
    </row>
    <row r="268" ht="15.75" customHeight="1">
      <c r="A268" s="151">
        <v>42163.0</v>
      </c>
      <c r="B268" s="152">
        <v>2.0</v>
      </c>
      <c r="C268" s="152" t="s">
        <v>45</v>
      </c>
      <c r="D268" s="152">
        <v>1.0</v>
      </c>
      <c r="E268" s="153">
        <v>4044.0</v>
      </c>
      <c r="F268" s="153">
        <f>SUM(('Future Orders'!$E268) * (1.1))</f>
        <v>4448.4</v>
      </c>
      <c r="G268" s="154">
        <v>2.2</v>
      </c>
      <c r="H268" s="155">
        <v>8896.800000000001</v>
      </c>
      <c r="I268" s="155">
        <f>SUM(('Future Orders'!$H268) * (1.1))</f>
        <v>9786.48</v>
      </c>
      <c r="J268" s="159">
        <f>SUMIFS('Future Orders'!$F268, 'Future Orders'!$D268, "1", 'Future Orders'!$C268, "A", 'Future Orders'!$B268, "1")</f>
        <v>0</v>
      </c>
      <c r="K268" s="157">
        <f>SUMIFS('Future Orders'!$I268, 'Future Orders'!$D268, "1", 'Future Orders'!$C268, "A", 'Future Orders'!$B268, "1")</f>
        <v>0</v>
      </c>
      <c r="L268" s="157">
        <f>SUMIFS('Future Orders'!$F268, 'Future Orders'!$D268, "1", 'Future Orders'!$C268, "B", 'Future Orders'!$B268, "1")</f>
        <v>0</v>
      </c>
      <c r="M268" s="157">
        <f>SUMIFS('Future Orders'!$I268, 'Future Orders'!$D268, "1", 'Future Orders'!$C268, "B", 'Future Orders'!$B268, "1")</f>
        <v>0</v>
      </c>
      <c r="N268" s="159">
        <f>SUMIFS('Future Orders'!$F268, 'Future Orders'!$D268, "1", 'Future Orders'!$C268, "A", 'Future Orders'!$B268, "2")</f>
        <v>4448.4</v>
      </c>
      <c r="O268" s="157">
        <f>SUMIFS('Future Orders'!$I268, 'Future Orders'!$D268, "1", 'Future Orders'!$C268, "A", 'Future Orders'!$B268, "2")</f>
        <v>9786.48</v>
      </c>
      <c r="P268" s="157">
        <f>SUMIFS('Future Orders'!$E268, 'Future Orders'!$D268, "1", 'Future Orders'!$C268, "B", 'Future Orders'!$B268, "2")</f>
        <v>0</v>
      </c>
      <c r="Q268" s="157">
        <f>SUMIFS('Future Orders'!$I268, 'Future Orders'!$D268, "1", 'Future Orders'!$C268, "B", 'Future Orders'!$B268, "2")</f>
        <v>0</v>
      </c>
      <c r="R268" s="159">
        <f>SUMIFS('Future Orders'!$F268, 'Future Orders'!$D268, "2", 'Future Orders'!$C268, "A", 'Future Orders'!$B268, "1")</f>
        <v>0</v>
      </c>
      <c r="S268" s="157">
        <f>SUMIFS('Future Orders'!$I268, 'Future Orders'!$D268, "2", 'Future Orders'!$C268, "A", 'Future Orders'!$B268, "1")</f>
        <v>0</v>
      </c>
      <c r="T268" s="159">
        <f>SUMIFS('Future Orders'!$F268, 'Future Orders'!$D268, "2", 'Future Orders'!$C268, "B", 'Future Orders'!$B268, "1")</f>
        <v>0</v>
      </c>
      <c r="U268" s="157">
        <f>SUMIFS('Future Orders'!$I268, 'Future Orders'!$D268, "2", 'Future Orders'!$C268, "B", 'Future Orders'!$B268, "1")</f>
        <v>0</v>
      </c>
      <c r="V268" s="159">
        <f>SUMIFS('Future Orders'!$F268, 'Future Orders'!$D268, "2", 'Future Orders'!$C268, "A", 'Future Orders'!$B268, "2")</f>
        <v>0</v>
      </c>
      <c r="W268" s="157">
        <f>SUMIFS('Future Orders'!$I268, 'Future Orders'!$D268, "2", 'Future Orders'!$C268, "A", 'Future Orders'!$B268, "2")</f>
        <v>0</v>
      </c>
      <c r="X268" s="159">
        <f>SUMIFS('Future Orders'!$F268, 'Future Orders'!$D268, "2", 'Future Orders'!$C268, "B", 'Future Orders'!$B268, "2")</f>
        <v>0</v>
      </c>
      <c r="Y268" s="159">
        <f>SUMIFS('Future Orders'!$I268, 'Future Orders'!$D268, "2", 'Future Orders'!$C268, "B", 'Future Orders'!$B268, "2")</f>
        <v>0</v>
      </c>
      <c r="Z268" s="159">
        <f>SUMIFS('Future Orders'!$F268, 'Future Orders'!$D268, "3", 'Future Orders'!$C268, "A", 'Future Orders'!$B268, "1")</f>
        <v>0</v>
      </c>
      <c r="AA268" s="159">
        <f>SUMIFS('Future Orders'!$I268, 'Future Orders'!$D268, "3", 'Future Orders'!$C268, "A", 'Future Orders'!$B268, "1")</f>
        <v>0</v>
      </c>
      <c r="AB268" s="159">
        <f>SUMIFS('Future Orders'!$F268, 'Future Orders'!$D268, "3", 'Future Orders'!$C268, "B", 'Future Orders'!$B268, "1")</f>
        <v>0</v>
      </c>
      <c r="AC268" s="159">
        <f>SUMIFS('Future Orders'!$I268, 'Future Orders'!$D268, "3", 'Future Orders'!$C268, "B", 'Future Orders'!$B268, "1")</f>
        <v>0</v>
      </c>
      <c r="AD268" s="159">
        <f>SUMIFS('Future Orders'!$F268, 'Future Orders'!$D268, "3", 'Future Orders'!$C268, "A", 'Future Orders'!$B268, "2")</f>
        <v>0</v>
      </c>
      <c r="AE268" s="159">
        <f>SUMIFS('Future Orders'!$I268, 'Future Orders'!$D268, "3", 'Future Orders'!$C268, "A", 'Future Orders'!$B268, "2")</f>
        <v>0</v>
      </c>
      <c r="AF268" s="159">
        <f>SUMIFS('Future Orders'!$F268, 'Future Orders'!$D268, "3", 'Future Orders'!$C268, "B", 'Future Orders'!$B268, "2")</f>
        <v>0</v>
      </c>
      <c r="AG268" s="157">
        <f>SUMIFS('Future Orders'!$I268, 'Future Orders'!$D268, "3", 'Future Orders'!$C268, "B", 'Future Orders'!$B268, "2")</f>
        <v>0</v>
      </c>
      <c r="AH268" s="157">
        <f>SUMIFS('Future Orders'!$F268, 'Future Orders'!$D268, "4", 'Future Orders'!$C268, "A", 'Future Orders'!$B268, "1")</f>
        <v>0</v>
      </c>
      <c r="AI268" s="157">
        <f>SUMIFS('Future Orders'!$I268, 'Future Orders'!$D268, "4", 'Future Orders'!$C268, "A", 'Future Orders'!$B268, "1")</f>
        <v>0</v>
      </c>
      <c r="AJ268" s="157">
        <f>SUMIFS('Future Orders'!$F268, 'Future Orders'!$D268, "4", 'Future Orders'!$C268, "B", 'Future Orders'!$B268, "1")</f>
        <v>0</v>
      </c>
      <c r="AK268" s="157">
        <f>SUMIFS('Future Orders'!$I268, 'Future Orders'!$D268, "4", 'Future Orders'!$C268, "B", 'Future Orders'!$B268, "1")</f>
        <v>0</v>
      </c>
      <c r="AL268" s="157">
        <f>SUMIFS('Future Orders'!$F268, 'Future Orders'!$D268, "4", 'Future Orders'!$C268, "A", 'Future Orders'!$B268, "2")</f>
        <v>0</v>
      </c>
      <c r="AM268" s="157">
        <f>SUMIFS('Future Orders'!$I268, 'Future Orders'!$D268, "4", 'Future Orders'!$C268, "A", 'Future Orders'!$B268, "2")</f>
        <v>0</v>
      </c>
      <c r="AN268" s="171">
        <f>SUMIFS('Future Orders'!$F268, 'Future Orders'!$D268, "4", 'Future Orders'!$C268, "B", 'Future Orders'!$B268, "2")</f>
        <v>0</v>
      </c>
      <c r="AO268" s="171">
        <f>SUMIFS('Future Orders'!$I268, 'Future Orders'!$D268, "4", 'Future Orders'!$C268, "B", 'Future Orders'!$B268, "2")</f>
        <v>0</v>
      </c>
      <c r="AP268" s="171">
        <f>SUMIFS('Future Orders'!$H268, 'Future Orders'!$C268, "A", 'Future Orders'!$B268, "1")</f>
        <v>0</v>
      </c>
      <c r="AQ268" s="171">
        <f>SUMIFS('Future Orders'!$I268, 'Future Orders'!$C268, "B", 'Future Orders'!$B268, "1")</f>
        <v>0</v>
      </c>
      <c r="AR268" s="171">
        <f>SUMIFS('Future Orders'!$H268, 'Future Orders'!$C268, "A", 'Future Orders'!$B268, "2")</f>
        <v>8896.8</v>
      </c>
      <c r="AS268" s="171">
        <f>SUMIFS('Future Orders'!$I268, 'Future Orders'!$C268, "B", 'Future Orders'!$B268, "2")</f>
        <v>0</v>
      </c>
      <c r="AT268" s="145"/>
      <c r="AU268" s="172"/>
      <c r="AV268" s="172"/>
      <c r="AW268" s="172"/>
      <c r="AX268" s="172"/>
      <c r="AY268" s="172"/>
      <c r="AZ268" s="172"/>
      <c r="BA268" s="172"/>
      <c r="BB268" s="172"/>
      <c r="BC268" s="172"/>
      <c r="BD268" s="172"/>
      <c r="BE268" s="172"/>
      <c r="BF268" s="172"/>
      <c r="BG268" s="172"/>
      <c r="BH268" s="172"/>
      <c r="BI268" s="172"/>
      <c r="BJ268" s="172"/>
      <c r="BK268" s="172"/>
      <c r="BL268" s="172"/>
      <c r="BM268" s="172"/>
      <c r="BN268" s="172"/>
      <c r="BO268" s="172"/>
      <c r="BP268" s="172"/>
      <c r="BQ268" s="172"/>
      <c r="BR268" s="172"/>
      <c r="BS268" s="172"/>
      <c r="BT268" s="172"/>
      <c r="BU268" s="172"/>
      <c r="BV268" s="172"/>
      <c r="BW268" s="172"/>
      <c r="BX268" s="172"/>
      <c r="BY268" s="172"/>
      <c r="BZ268" s="172"/>
      <c r="CA268" s="179"/>
      <c r="CB268" s="179"/>
      <c r="CC268" s="179"/>
      <c r="CD268" s="179"/>
      <c r="CE268" s="179"/>
      <c r="CF268" s="179"/>
      <c r="CG268" s="179"/>
      <c r="CH268" s="179"/>
      <c r="CI268" s="179"/>
      <c r="CJ268" s="179"/>
      <c r="CK268" s="179"/>
      <c r="CL268" s="179"/>
      <c r="CM268" s="179"/>
      <c r="CN268" s="179"/>
      <c r="CO268" s="179"/>
      <c r="CP268" s="179"/>
    </row>
    <row r="269" ht="15.75" customHeight="1">
      <c r="A269" s="151">
        <v>42163.0</v>
      </c>
      <c r="B269" s="152">
        <v>2.0</v>
      </c>
      <c r="C269" s="152" t="s">
        <v>45</v>
      </c>
      <c r="D269" s="152">
        <v>2.0</v>
      </c>
      <c r="E269" s="153">
        <v>6326.0</v>
      </c>
      <c r="F269" s="153">
        <f>SUM(('Future Orders'!$E269) * (1.1))</f>
        <v>6958.6</v>
      </c>
      <c r="G269" s="154">
        <v>1.2</v>
      </c>
      <c r="H269" s="155">
        <v>7591.2</v>
      </c>
      <c r="I269" s="155">
        <f>SUM(('Future Orders'!$H269) * (1.1))</f>
        <v>8350.32</v>
      </c>
      <c r="J269" s="159">
        <f>SUMIFS('Future Orders'!$F269, 'Future Orders'!$D269, "1", 'Future Orders'!$C269, "A", 'Future Orders'!$B269, "1")</f>
        <v>0</v>
      </c>
      <c r="K269" s="157">
        <f>SUMIFS('Future Orders'!$I269, 'Future Orders'!$D269, "1", 'Future Orders'!$C269, "A", 'Future Orders'!$B269, "1")</f>
        <v>0</v>
      </c>
      <c r="L269" s="157">
        <f>SUMIFS('Future Orders'!$F269, 'Future Orders'!$D269, "1", 'Future Orders'!$C269, "B", 'Future Orders'!$B269, "1")</f>
        <v>0</v>
      </c>
      <c r="M269" s="157">
        <f>SUMIFS('Future Orders'!$I269, 'Future Orders'!$D269, "1", 'Future Orders'!$C269, "B", 'Future Orders'!$B269, "1")</f>
        <v>0</v>
      </c>
      <c r="N269" s="159">
        <f>SUMIFS('Future Orders'!$F269, 'Future Orders'!$D269, "1", 'Future Orders'!$C269, "A", 'Future Orders'!$B269, "2")</f>
        <v>0</v>
      </c>
      <c r="O269" s="157">
        <f>SUMIFS('Future Orders'!$I269, 'Future Orders'!$D269, "1", 'Future Orders'!$C269, "A", 'Future Orders'!$B269, "2")</f>
        <v>0</v>
      </c>
      <c r="P269" s="157">
        <f>SUMIFS('Future Orders'!$E269, 'Future Orders'!$D269, "1", 'Future Orders'!$C269, "B", 'Future Orders'!$B269, "2")</f>
        <v>0</v>
      </c>
      <c r="Q269" s="157">
        <f>SUMIFS('Future Orders'!$I269, 'Future Orders'!$D269, "1", 'Future Orders'!$C269, "B", 'Future Orders'!$B269, "2")</f>
        <v>0</v>
      </c>
      <c r="R269" s="159">
        <f>SUMIFS('Future Orders'!$F269, 'Future Orders'!$D269, "2", 'Future Orders'!$C269, "A", 'Future Orders'!$B269, "1")</f>
        <v>0</v>
      </c>
      <c r="S269" s="157">
        <f>SUMIFS('Future Orders'!$I269, 'Future Orders'!$D269, "2", 'Future Orders'!$C269, "A", 'Future Orders'!$B269, "1")</f>
        <v>0</v>
      </c>
      <c r="T269" s="159">
        <f>SUMIFS('Future Orders'!$F269, 'Future Orders'!$D269, "2", 'Future Orders'!$C269, "B", 'Future Orders'!$B269, "1")</f>
        <v>0</v>
      </c>
      <c r="U269" s="157">
        <f>SUMIFS('Future Orders'!$I269, 'Future Orders'!$D269, "2", 'Future Orders'!$C269, "B", 'Future Orders'!$B269, "1")</f>
        <v>0</v>
      </c>
      <c r="V269" s="159">
        <f>SUMIFS('Future Orders'!$F269, 'Future Orders'!$D269, "2", 'Future Orders'!$C269, "A", 'Future Orders'!$B269, "2")</f>
        <v>6958.6</v>
      </c>
      <c r="W269" s="157">
        <f>SUMIFS('Future Orders'!$I269, 'Future Orders'!$D269, "2", 'Future Orders'!$C269, "A", 'Future Orders'!$B269, "2")</f>
        <v>8350.32</v>
      </c>
      <c r="X269" s="159">
        <f>SUMIFS('Future Orders'!$F269, 'Future Orders'!$D269, "2", 'Future Orders'!$C269, "B", 'Future Orders'!$B269, "2")</f>
        <v>0</v>
      </c>
      <c r="Y269" s="159">
        <f>SUMIFS('Future Orders'!$I269, 'Future Orders'!$D269, "2", 'Future Orders'!$C269, "B", 'Future Orders'!$B269, "2")</f>
        <v>0</v>
      </c>
      <c r="Z269" s="159">
        <f>SUMIFS('Future Orders'!$F269, 'Future Orders'!$D269, "3", 'Future Orders'!$C269, "A", 'Future Orders'!$B269, "1")</f>
        <v>0</v>
      </c>
      <c r="AA269" s="159">
        <f>SUMIFS('Future Orders'!$I269, 'Future Orders'!$D269, "3", 'Future Orders'!$C269, "A", 'Future Orders'!$B269, "1")</f>
        <v>0</v>
      </c>
      <c r="AB269" s="159">
        <f>SUMIFS('Future Orders'!$F269, 'Future Orders'!$D269, "3", 'Future Orders'!$C269, "B", 'Future Orders'!$B269, "1")</f>
        <v>0</v>
      </c>
      <c r="AC269" s="159">
        <f>SUMIFS('Future Orders'!$I269, 'Future Orders'!$D269, "3", 'Future Orders'!$C269, "B", 'Future Orders'!$B269, "1")</f>
        <v>0</v>
      </c>
      <c r="AD269" s="159">
        <f>SUMIFS('Future Orders'!$F269, 'Future Orders'!$D269, "3", 'Future Orders'!$C269, "A", 'Future Orders'!$B269, "2")</f>
        <v>0</v>
      </c>
      <c r="AE269" s="159">
        <f>SUMIFS('Future Orders'!$I269, 'Future Orders'!$D269, "3", 'Future Orders'!$C269, "A", 'Future Orders'!$B269, "2")</f>
        <v>0</v>
      </c>
      <c r="AF269" s="159">
        <f>SUMIFS('Future Orders'!$F269, 'Future Orders'!$D269, "3", 'Future Orders'!$C269, "B", 'Future Orders'!$B269, "2")</f>
        <v>0</v>
      </c>
      <c r="AG269" s="157">
        <f>SUMIFS('Future Orders'!$I269, 'Future Orders'!$D269, "3", 'Future Orders'!$C269, "B", 'Future Orders'!$B269, "2")</f>
        <v>0</v>
      </c>
      <c r="AH269" s="157">
        <f>SUMIFS('Future Orders'!$F269, 'Future Orders'!$D269, "4", 'Future Orders'!$C269, "A", 'Future Orders'!$B269, "1")</f>
        <v>0</v>
      </c>
      <c r="AI269" s="157">
        <f>SUMIFS('Future Orders'!$I269, 'Future Orders'!$D269, "4", 'Future Orders'!$C269, "A", 'Future Orders'!$B269, "1")</f>
        <v>0</v>
      </c>
      <c r="AJ269" s="157">
        <f>SUMIFS('Future Orders'!$F269, 'Future Orders'!$D269, "4", 'Future Orders'!$C269, "B", 'Future Orders'!$B269, "1")</f>
        <v>0</v>
      </c>
      <c r="AK269" s="157">
        <f>SUMIFS('Future Orders'!$I269, 'Future Orders'!$D269, "4", 'Future Orders'!$C269, "B", 'Future Orders'!$B269, "1")</f>
        <v>0</v>
      </c>
      <c r="AL269" s="157">
        <f>SUMIFS('Future Orders'!$F269, 'Future Orders'!$D269, "4", 'Future Orders'!$C269, "A", 'Future Orders'!$B269, "2")</f>
        <v>0</v>
      </c>
      <c r="AM269" s="157">
        <f>SUMIFS('Future Orders'!$I269, 'Future Orders'!$D269, "4", 'Future Orders'!$C269, "A", 'Future Orders'!$B269, "2")</f>
        <v>0</v>
      </c>
      <c r="AN269" s="171">
        <f>SUMIFS('Future Orders'!$F269, 'Future Orders'!$D269, "4", 'Future Orders'!$C269, "B", 'Future Orders'!$B269, "2")</f>
        <v>0</v>
      </c>
      <c r="AO269" s="171">
        <f>SUMIFS('Future Orders'!$I269, 'Future Orders'!$D269, "4", 'Future Orders'!$C269, "B", 'Future Orders'!$B269, "2")</f>
        <v>0</v>
      </c>
      <c r="AP269" s="171">
        <f>SUMIFS('Future Orders'!$H269, 'Future Orders'!$C269, "A", 'Future Orders'!$B269, "1")</f>
        <v>0</v>
      </c>
      <c r="AQ269" s="171">
        <f>SUMIFS('Future Orders'!$I269, 'Future Orders'!$C269, "B", 'Future Orders'!$B269, "1")</f>
        <v>0</v>
      </c>
      <c r="AR269" s="171">
        <f>SUMIFS('Future Orders'!$H269, 'Future Orders'!$C269, "A", 'Future Orders'!$B269, "2")</f>
        <v>7591.2</v>
      </c>
      <c r="AS269" s="171">
        <f>SUMIFS('Future Orders'!$I269, 'Future Orders'!$C269, "B", 'Future Orders'!$B269, "2")</f>
        <v>0</v>
      </c>
      <c r="AT269" s="145"/>
      <c r="AU269" s="172"/>
      <c r="AV269" s="172"/>
      <c r="AW269" s="172"/>
      <c r="AX269" s="172"/>
      <c r="AY269" s="172"/>
      <c r="AZ269" s="172"/>
      <c r="BA269" s="172"/>
      <c r="BB269" s="172"/>
      <c r="BC269" s="172"/>
      <c r="BD269" s="172"/>
      <c r="BE269" s="172"/>
      <c r="BF269" s="172"/>
      <c r="BG269" s="172"/>
      <c r="BH269" s="172"/>
      <c r="BI269" s="172"/>
      <c r="BJ269" s="172"/>
      <c r="BK269" s="172"/>
      <c r="BL269" s="172"/>
      <c r="BM269" s="172"/>
      <c r="BN269" s="172"/>
      <c r="BO269" s="172"/>
      <c r="BP269" s="172"/>
      <c r="BQ269" s="172"/>
      <c r="BR269" s="172"/>
      <c r="BS269" s="172"/>
      <c r="BT269" s="172"/>
      <c r="BU269" s="172"/>
      <c r="BV269" s="172"/>
      <c r="BW269" s="172"/>
      <c r="BX269" s="172"/>
      <c r="BY269" s="172"/>
      <c r="BZ269" s="172"/>
      <c r="CA269" s="179"/>
      <c r="CB269" s="179"/>
      <c r="CC269" s="179"/>
      <c r="CD269" s="179"/>
      <c r="CE269" s="179"/>
      <c r="CF269" s="179"/>
      <c r="CG269" s="179"/>
      <c r="CH269" s="179"/>
      <c r="CI269" s="179"/>
      <c r="CJ269" s="179"/>
      <c r="CK269" s="179"/>
      <c r="CL269" s="179"/>
      <c r="CM269" s="179"/>
      <c r="CN269" s="179"/>
      <c r="CO269" s="179"/>
      <c r="CP269" s="179"/>
    </row>
    <row r="270" ht="15.75" customHeight="1">
      <c r="A270" s="151">
        <v>42163.0</v>
      </c>
      <c r="B270" s="152">
        <v>1.0</v>
      </c>
      <c r="C270" s="152" t="s">
        <v>46</v>
      </c>
      <c r="D270" s="152">
        <v>3.0</v>
      </c>
      <c r="E270" s="153">
        <v>2516.0</v>
      </c>
      <c r="F270" s="153">
        <f>SUM(('Future Orders'!$E270) * (1.1))</f>
        <v>2767.6</v>
      </c>
      <c r="G270" s="154">
        <v>8.3</v>
      </c>
      <c r="H270" s="155">
        <v>20882.800000000003</v>
      </c>
      <c r="I270" s="155">
        <f>SUM(('Future Orders'!$H270) * (1.1))</f>
        <v>22971.08</v>
      </c>
      <c r="J270" s="159">
        <f>SUMIFS('Future Orders'!$F270, 'Future Orders'!$D270, "1", 'Future Orders'!$C270, "A", 'Future Orders'!$B270, "1")</f>
        <v>0</v>
      </c>
      <c r="K270" s="157">
        <f>SUMIFS('Future Orders'!$I270, 'Future Orders'!$D270, "1", 'Future Orders'!$C270, "A", 'Future Orders'!$B270, "1")</f>
        <v>0</v>
      </c>
      <c r="L270" s="157">
        <f>SUMIFS('Future Orders'!$F270, 'Future Orders'!$D270, "1", 'Future Orders'!$C270, "B", 'Future Orders'!$B270, "1")</f>
        <v>0</v>
      </c>
      <c r="M270" s="157">
        <f>SUMIFS('Future Orders'!$I270, 'Future Orders'!$D270, "1", 'Future Orders'!$C270, "B", 'Future Orders'!$B270, "1")</f>
        <v>0</v>
      </c>
      <c r="N270" s="159">
        <f>SUMIFS('Future Orders'!$F270, 'Future Orders'!$D270, "1", 'Future Orders'!$C270, "A", 'Future Orders'!$B270, "2")</f>
        <v>0</v>
      </c>
      <c r="O270" s="157">
        <f>SUMIFS('Future Orders'!$I270, 'Future Orders'!$D270, "1", 'Future Orders'!$C270, "A", 'Future Orders'!$B270, "2")</f>
        <v>0</v>
      </c>
      <c r="P270" s="157">
        <f>SUMIFS('Future Orders'!$E270, 'Future Orders'!$D270, "1", 'Future Orders'!$C270, "B", 'Future Orders'!$B270, "2")</f>
        <v>0</v>
      </c>
      <c r="Q270" s="157">
        <f>SUMIFS('Future Orders'!$I270, 'Future Orders'!$D270, "1", 'Future Orders'!$C270, "B", 'Future Orders'!$B270, "2")</f>
        <v>0</v>
      </c>
      <c r="R270" s="159">
        <f>SUMIFS('Future Orders'!$F270, 'Future Orders'!$D270, "2", 'Future Orders'!$C270, "A", 'Future Orders'!$B270, "1")</f>
        <v>0</v>
      </c>
      <c r="S270" s="157">
        <f>SUMIFS('Future Orders'!$I270, 'Future Orders'!$D270, "2", 'Future Orders'!$C270, "A", 'Future Orders'!$B270, "1")</f>
        <v>0</v>
      </c>
      <c r="T270" s="159">
        <f>SUMIFS('Future Orders'!$F270, 'Future Orders'!$D270, "2", 'Future Orders'!$C270, "B", 'Future Orders'!$B270, "1")</f>
        <v>0</v>
      </c>
      <c r="U270" s="157">
        <f>SUMIFS('Future Orders'!$I270, 'Future Orders'!$D270, "2", 'Future Orders'!$C270, "B", 'Future Orders'!$B270, "1")</f>
        <v>0</v>
      </c>
      <c r="V270" s="159">
        <f>SUMIFS('Future Orders'!$F270, 'Future Orders'!$D270, "2", 'Future Orders'!$C270, "A", 'Future Orders'!$B270, "2")</f>
        <v>0</v>
      </c>
      <c r="W270" s="157">
        <f>SUMIFS('Future Orders'!$I270, 'Future Orders'!$D270, "2", 'Future Orders'!$C270, "A", 'Future Orders'!$B270, "2")</f>
        <v>0</v>
      </c>
      <c r="X270" s="159">
        <f>SUMIFS('Future Orders'!$F270, 'Future Orders'!$D270, "2", 'Future Orders'!$C270, "B", 'Future Orders'!$B270, "2")</f>
        <v>0</v>
      </c>
      <c r="Y270" s="159">
        <f>SUMIFS('Future Orders'!$I270, 'Future Orders'!$D270, "2", 'Future Orders'!$C270, "B", 'Future Orders'!$B270, "2")</f>
        <v>0</v>
      </c>
      <c r="Z270" s="159">
        <f>SUMIFS('Future Orders'!$F270, 'Future Orders'!$D270, "3", 'Future Orders'!$C270, "A", 'Future Orders'!$B270, "1")</f>
        <v>0</v>
      </c>
      <c r="AA270" s="159">
        <f>SUMIFS('Future Orders'!$I270, 'Future Orders'!$D270, "3", 'Future Orders'!$C270, "A", 'Future Orders'!$B270, "1")</f>
        <v>0</v>
      </c>
      <c r="AB270" s="159">
        <f>SUMIFS('Future Orders'!$F270, 'Future Orders'!$D270, "3", 'Future Orders'!$C270, "B", 'Future Orders'!$B270, "1")</f>
        <v>2767.6</v>
      </c>
      <c r="AC270" s="159">
        <f>SUMIFS('Future Orders'!$I270, 'Future Orders'!$D270, "3", 'Future Orders'!$C270, "B", 'Future Orders'!$B270, "1")</f>
        <v>22971.08</v>
      </c>
      <c r="AD270" s="159">
        <f>SUMIFS('Future Orders'!$F270, 'Future Orders'!$D270, "3", 'Future Orders'!$C270, "A", 'Future Orders'!$B270, "2")</f>
        <v>0</v>
      </c>
      <c r="AE270" s="159">
        <f>SUMIFS('Future Orders'!$I270, 'Future Orders'!$D270, "3", 'Future Orders'!$C270, "A", 'Future Orders'!$B270, "2")</f>
        <v>0</v>
      </c>
      <c r="AF270" s="159">
        <f>SUMIFS('Future Orders'!$F270, 'Future Orders'!$D270, "3", 'Future Orders'!$C270, "B", 'Future Orders'!$B270, "2")</f>
        <v>0</v>
      </c>
      <c r="AG270" s="157">
        <f>SUMIFS('Future Orders'!$I270, 'Future Orders'!$D270, "3", 'Future Orders'!$C270, "B", 'Future Orders'!$B270, "2")</f>
        <v>0</v>
      </c>
      <c r="AH270" s="157">
        <f>SUMIFS('Future Orders'!$F270, 'Future Orders'!$D270, "4", 'Future Orders'!$C270, "A", 'Future Orders'!$B270, "1")</f>
        <v>0</v>
      </c>
      <c r="AI270" s="157">
        <f>SUMIFS('Future Orders'!$I270, 'Future Orders'!$D270, "4", 'Future Orders'!$C270, "A", 'Future Orders'!$B270, "1")</f>
        <v>0</v>
      </c>
      <c r="AJ270" s="157">
        <f>SUMIFS('Future Orders'!$F270, 'Future Orders'!$D270, "4", 'Future Orders'!$C270, "B", 'Future Orders'!$B270, "1")</f>
        <v>0</v>
      </c>
      <c r="AK270" s="157">
        <f>SUMIFS('Future Orders'!$I270, 'Future Orders'!$D270, "4", 'Future Orders'!$C270, "B", 'Future Orders'!$B270, "1")</f>
        <v>0</v>
      </c>
      <c r="AL270" s="157">
        <f>SUMIFS('Future Orders'!$F270, 'Future Orders'!$D270, "4", 'Future Orders'!$C270, "A", 'Future Orders'!$B270, "2")</f>
        <v>0</v>
      </c>
      <c r="AM270" s="157">
        <f>SUMIFS('Future Orders'!$I270, 'Future Orders'!$D270, "4", 'Future Orders'!$C270, "A", 'Future Orders'!$B270, "2")</f>
        <v>0</v>
      </c>
      <c r="AN270" s="171">
        <f>SUMIFS('Future Orders'!$F270, 'Future Orders'!$D270, "4", 'Future Orders'!$C270, "B", 'Future Orders'!$B270, "2")</f>
        <v>0</v>
      </c>
      <c r="AO270" s="171">
        <f>SUMIFS('Future Orders'!$I270, 'Future Orders'!$D270, "4", 'Future Orders'!$C270, "B", 'Future Orders'!$B270, "2")</f>
        <v>0</v>
      </c>
      <c r="AP270" s="171">
        <f>SUMIFS('Future Orders'!$H270, 'Future Orders'!$C270, "A", 'Future Orders'!$B270, "1")</f>
        <v>0</v>
      </c>
      <c r="AQ270" s="171">
        <f>SUMIFS('Future Orders'!$I270, 'Future Orders'!$C270, "B", 'Future Orders'!$B270, "1")</f>
        <v>22971.08</v>
      </c>
      <c r="AR270" s="171">
        <f>SUMIFS('Future Orders'!$H270, 'Future Orders'!$C270, "A", 'Future Orders'!$B270, "2")</f>
        <v>0</v>
      </c>
      <c r="AS270" s="171">
        <f>SUMIFS('Future Orders'!$I270, 'Future Orders'!$C270, "B", 'Future Orders'!$B270, "2")</f>
        <v>0</v>
      </c>
      <c r="AT270" s="145"/>
      <c r="AU270" s="172"/>
      <c r="AV270" s="172"/>
      <c r="AW270" s="172"/>
      <c r="AX270" s="172"/>
      <c r="AY270" s="172"/>
      <c r="AZ270" s="172"/>
      <c r="BA270" s="172"/>
      <c r="BB270" s="172"/>
      <c r="BC270" s="172"/>
      <c r="BD270" s="172"/>
      <c r="BE270" s="172"/>
      <c r="BF270" s="172"/>
      <c r="BG270" s="172"/>
      <c r="BH270" s="172"/>
      <c r="BI270" s="172"/>
      <c r="BJ270" s="172"/>
      <c r="BK270" s="172"/>
      <c r="BL270" s="172"/>
      <c r="BM270" s="172"/>
      <c r="BN270" s="172"/>
      <c r="BO270" s="172"/>
      <c r="BP270" s="172"/>
      <c r="BQ270" s="172"/>
      <c r="BR270" s="172"/>
      <c r="BS270" s="172"/>
      <c r="BT270" s="172"/>
      <c r="BU270" s="172"/>
      <c r="BV270" s="172"/>
      <c r="BW270" s="172"/>
      <c r="BX270" s="172"/>
      <c r="BY270" s="172"/>
      <c r="BZ270" s="172"/>
      <c r="CA270" s="179"/>
      <c r="CB270" s="179"/>
      <c r="CC270" s="179"/>
      <c r="CD270" s="179"/>
      <c r="CE270" s="179"/>
      <c r="CF270" s="179"/>
      <c r="CG270" s="179"/>
      <c r="CH270" s="179"/>
      <c r="CI270" s="179"/>
      <c r="CJ270" s="179"/>
      <c r="CK270" s="179"/>
      <c r="CL270" s="179"/>
      <c r="CM270" s="179"/>
      <c r="CN270" s="179"/>
      <c r="CO270" s="179"/>
      <c r="CP270" s="179"/>
    </row>
    <row r="271" ht="15.75" customHeight="1">
      <c r="A271" s="151">
        <v>42163.0</v>
      </c>
      <c r="B271" s="152">
        <v>2.0</v>
      </c>
      <c r="C271" s="152" t="s">
        <v>46</v>
      </c>
      <c r="D271" s="152">
        <v>3.0</v>
      </c>
      <c r="E271" s="153">
        <v>3476.0</v>
      </c>
      <c r="F271" s="153">
        <f>SUM(('Future Orders'!$E271) * (1.1))</f>
        <v>3823.6</v>
      </c>
      <c r="G271" s="154">
        <v>8.3</v>
      </c>
      <c r="H271" s="155">
        <v>28850.800000000003</v>
      </c>
      <c r="I271" s="155">
        <f>SUM(('Future Orders'!$H271) * (1.1))</f>
        <v>31735.88</v>
      </c>
      <c r="J271" s="159">
        <f>SUMIFS('Future Orders'!$F271, 'Future Orders'!$D271, "1", 'Future Orders'!$C271, "A", 'Future Orders'!$B271, "1")</f>
        <v>0</v>
      </c>
      <c r="K271" s="157">
        <f>SUMIFS('Future Orders'!$I271, 'Future Orders'!$D271, "1", 'Future Orders'!$C271, "A", 'Future Orders'!$B271, "1")</f>
        <v>0</v>
      </c>
      <c r="L271" s="157">
        <f>SUMIFS('Future Orders'!$F271, 'Future Orders'!$D271, "1", 'Future Orders'!$C271, "B", 'Future Orders'!$B271, "1")</f>
        <v>0</v>
      </c>
      <c r="M271" s="157">
        <f>SUMIFS('Future Orders'!$I271, 'Future Orders'!$D271, "1", 'Future Orders'!$C271, "B", 'Future Orders'!$B271, "1")</f>
        <v>0</v>
      </c>
      <c r="N271" s="159">
        <f>SUMIFS('Future Orders'!$F271, 'Future Orders'!$D271, "1", 'Future Orders'!$C271, "A", 'Future Orders'!$B271, "2")</f>
        <v>0</v>
      </c>
      <c r="O271" s="157">
        <f>SUMIFS('Future Orders'!$I271, 'Future Orders'!$D271, "1", 'Future Orders'!$C271, "A", 'Future Orders'!$B271, "2")</f>
        <v>0</v>
      </c>
      <c r="P271" s="157">
        <f>SUMIFS('Future Orders'!$E271, 'Future Orders'!$D271, "1", 'Future Orders'!$C271, "B", 'Future Orders'!$B271, "2")</f>
        <v>0</v>
      </c>
      <c r="Q271" s="157">
        <f>SUMIFS('Future Orders'!$I271, 'Future Orders'!$D271, "1", 'Future Orders'!$C271, "B", 'Future Orders'!$B271, "2")</f>
        <v>0</v>
      </c>
      <c r="R271" s="159">
        <f>SUMIFS('Future Orders'!$F271, 'Future Orders'!$D271, "2", 'Future Orders'!$C271, "A", 'Future Orders'!$B271, "1")</f>
        <v>0</v>
      </c>
      <c r="S271" s="157">
        <f>SUMIFS('Future Orders'!$I271, 'Future Orders'!$D271, "2", 'Future Orders'!$C271, "A", 'Future Orders'!$B271, "1")</f>
        <v>0</v>
      </c>
      <c r="T271" s="159">
        <f>SUMIFS('Future Orders'!$F271, 'Future Orders'!$D271, "2", 'Future Orders'!$C271, "B", 'Future Orders'!$B271, "1")</f>
        <v>0</v>
      </c>
      <c r="U271" s="157">
        <f>SUMIFS('Future Orders'!$I271, 'Future Orders'!$D271, "2", 'Future Orders'!$C271, "B", 'Future Orders'!$B271, "1")</f>
        <v>0</v>
      </c>
      <c r="V271" s="159">
        <f>SUMIFS('Future Orders'!$F271, 'Future Orders'!$D271, "2", 'Future Orders'!$C271, "A", 'Future Orders'!$B271, "2")</f>
        <v>0</v>
      </c>
      <c r="W271" s="157">
        <f>SUMIFS('Future Orders'!$I271, 'Future Orders'!$D271, "2", 'Future Orders'!$C271, "A", 'Future Orders'!$B271, "2")</f>
        <v>0</v>
      </c>
      <c r="X271" s="159">
        <f>SUMIFS('Future Orders'!$F271, 'Future Orders'!$D271, "2", 'Future Orders'!$C271, "B", 'Future Orders'!$B271, "2")</f>
        <v>0</v>
      </c>
      <c r="Y271" s="159">
        <f>SUMIFS('Future Orders'!$I271, 'Future Orders'!$D271, "2", 'Future Orders'!$C271, "B", 'Future Orders'!$B271, "2")</f>
        <v>0</v>
      </c>
      <c r="Z271" s="159">
        <f>SUMIFS('Future Orders'!$F271, 'Future Orders'!$D271, "3", 'Future Orders'!$C271, "A", 'Future Orders'!$B271, "1")</f>
        <v>0</v>
      </c>
      <c r="AA271" s="159">
        <f>SUMIFS('Future Orders'!$I271, 'Future Orders'!$D271, "3", 'Future Orders'!$C271, "A", 'Future Orders'!$B271, "1")</f>
        <v>0</v>
      </c>
      <c r="AB271" s="159">
        <f>SUMIFS('Future Orders'!$F271, 'Future Orders'!$D271, "3", 'Future Orders'!$C271, "B", 'Future Orders'!$B271, "1")</f>
        <v>0</v>
      </c>
      <c r="AC271" s="159">
        <f>SUMIFS('Future Orders'!$I271, 'Future Orders'!$D271, "3", 'Future Orders'!$C271, "B", 'Future Orders'!$B271, "1")</f>
        <v>0</v>
      </c>
      <c r="AD271" s="159">
        <f>SUMIFS('Future Orders'!$F271, 'Future Orders'!$D271, "3", 'Future Orders'!$C271, "A", 'Future Orders'!$B271, "2")</f>
        <v>0</v>
      </c>
      <c r="AE271" s="159">
        <f>SUMIFS('Future Orders'!$I271, 'Future Orders'!$D271, "3", 'Future Orders'!$C271, "A", 'Future Orders'!$B271, "2")</f>
        <v>0</v>
      </c>
      <c r="AF271" s="159">
        <f>SUMIFS('Future Orders'!$F271, 'Future Orders'!$D271, "3", 'Future Orders'!$C271, "B", 'Future Orders'!$B271, "2")</f>
        <v>3823.6</v>
      </c>
      <c r="AG271" s="157">
        <f>SUMIFS('Future Orders'!$I271, 'Future Orders'!$D271, "3", 'Future Orders'!$C271, "B", 'Future Orders'!$B271, "2")</f>
        <v>31735.88</v>
      </c>
      <c r="AH271" s="157">
        <f>SUMIFS('Future Orders'!$F271, 'Future Orders'!$D271, "4", 'Future Orders'!$C271, "A", 'Future Orders'!$B271, "1")</f>
        <v>0</v>
      </c>
      <c r="AI271" s="157">
        <f>SUMIFS('Future Orders'!$I271, 'Future Orders'!$D271, "4", 'Future Orders'!$C271, "A", 'Future Orders'!$B271, "1")</f>
        <v>0</v>
      </c>
      <c r="AJ271" s="157">
        <f>SUMIFS('Future Orders'!$F271, 'Future Orders'!$D271, "4", 'Future Orders'!$C271, "B", 'Future Orders'!$B271, "1")</f>
        <v>0</v>
      </c>
      <c r="AK271" s="157">
        <f>SUMIFS('Future Orders'!$I271, 'Future Orders'!$D271, "4", 'Future Orders'!$C271, "B", 'Future Orders'!$B271, "1")</f>
        <v>0</v>
      </c>
      <c r="AL271" s="157">
        <f>SUMIFS('Future Orders'!$F271, 'Future Orders'!$D271, "4", 'Future Orders'!$C271, "A", 'Future Orders'!$B271, "2")</f>
        <v>0</v>
      </c>
      <c r="AM271" s="157">
        <f>SUMIFS('Future Orders'!$I271, 'Future Orders'!$D271, "4", 'Future Orders'!$C271, "A", 'Future Orders'!$B271, "2")</f>
        <v>0</v>
      </c>
      <c r="AN271" s="171">
        <f>SUMIFS('Future Orders'!$F271, 'Future Orders'!$D271, "4", 'Future Orders'!$C271, "B", 'Future Orders'!$B271, "2")</f>
        <v>0</v>
      </c>
      <c r="AO271" s="171">
        <f>SUMIFS('Future Orders'!$I271, 'Future Orders'!$D271, "4", 'Future Orders'!$C271, "B", 'Future Orders'!$B271, "2")</f>
        <v>0</v>
      </c>
      <c r="AP271" s="171">
        <f>SUMIFS('Future Orders'!$H271, 'Future Orders'!$C271, "A", 'Future Orders'!$B271, "1")</f>
        <v>0</v>
      </c>
      <c r="AQ271" s="171">
        <f>SUMIFS('Future Orders'!$I271, 'Future Orders'!$C271, "B", 'Future Orders'!$B271, "1")</f>
        <v>0</v>
      </c>
      <c r="AR271" s="171">
        <f>SUMIFS('Future Orders'!$H271, 'Future Orders'!$C271, "A", 'Future Orders'!$B271, "2")</f>
        <v>0</v>
      </c>
      <c r="AS271" s="171">
        <f>SUMIFS('Future Orders'!$I271, 'Future Orders'!$C271, "B", 'Future Orders'!$B271, "2")</f>
        <v>31735.88</v>
      </c>
      <c r="AT271" s="145"/>
      <c r="AU271" s="172"/>
      <c r="AV271" s="172"/>
      <c r="AW271" s="172"/>
      <c r="AX271" s="172"/>
      <c r="AY271" s="172"/>
      <c r="AZ271" s="172"/>
      <c r="BA271" s="172"/>
      <c r="BB271" s="172"/>
      <c r="BC271" s="172"/>
      <c r="BD271" s="172"/>
      <c r="BE271" s="172"/>
      <c r="BF271" s="172"/>
      <c r="BG271" s="172"/>
      <c r="BH271" s="172"/>
      <c r="BI271" s="172"/>
      <c r="BJ271" s="172"/>
      <c r="BK271" s="172"/>
      <c r="BL271" s="172"/>
      <c r="BM271" s="172"/>
      <c r="BN271" s="172"/>
      <c r="BO271" s="172"/>
      <c r="BP271" s="172"/>
      <c r="BQ271" s="172"/>
      <c r="BR271" s="172"/>
      <c r="BS271" s="172"/>
      <c r="BT271" s="172"/>
      <c r="BU271" s="172"/>
      <c r="BV271" s="172"/>
      <c r="BW271" s="172"/>
      <c r="BX271" s="172"/>
      <c r="BY271" s="172"/>
      <c r="BZ271" s="172"/>
      <c r="CA271" s="179"/>
      <c r="CB271" s="179"/>
      <c r="CC271" s="179"/>
      <c r="CD271" s="179"/>
      <c r="CE271" s="179"/>
      <c r="CF271" s="179"/>
      <c r="CG271" s="179"/>
      <c r="CH271" s="179"/>
      <c r="CI271" s="179"/>
      <c r="CJ271" s="179"/>
      <c r="CK271" s="179"/>
      <c r="CL271" s="179"/>
      <c r="CM271" s="179"/>
      <c r="CN271" s="179"/>
      <c r="CO271" s="179"/>
      <c r="CP271" s="179"/>
    </row>
    <row r="272" ht="15.75" customHeight="1">
      <c r="A272" s="151">
        <v>42170.0</v>
      </c>
      <c r="B272" s="152">
        <v>1.0</v>
      </c>
      <c r="C272" s="152" t="s">
        <v>45</v>
      </c>
      <c r="D272" s="152">
        <v>1.0</v>
      </c>
      <c r="E272" s="153">
        <v>5038.0</v>
      </c>
      <c r="F272" s="153">
        <f>SUM(('Future Orders'!$E272) * (1.1))</f>
        <v>5541.8</v>
      </c>
      <c r="G272" s="154">
        <v>2.2</v>
      </c>
      <c r="H272" s="155">
        <v>11083.6</v>
      </c>
      <c r="I272" s="155">
        <f>SUM(('Future Orders'!$H272) * (1.1))</f>
        <v>12191.96</v>
      </c>
      <c r="J272" s="159">
        <f>SUMIFS('Future Orders'!$F272, 'Future Orders'!$D272, "1", 'Future Orders'!$C272, "A", 'Future Orders'!$B272, "1")</f>
        <v>5541.8</v>
      </c>
      <c r="K272" s="157">
        <f>SUMIFS('Future Orders'!$I272, 'Future Orders'!$D272, "1", 'Future Orders'!$C272, "A", 'Future Orders'!$B272, "1")</f>
        <v>12191.96</v>
      </c>
      <c r="L272" s="157">
        <f>SUMIFS('Future Orders'!$F272, 'Future Orders'!$D272, "1", 'Future Orders'!$C272, "B", 'Future Orders'!$B272, "1")</f>
        <v>0</v>
      </c>
      <c r="M272" s="157">
        <f>SUMIFS('Future Orders'!$I272, 'Future Orders'!$D272, "1", 'Future Orders'!$C272, "B", 'Future Orders'!$B272, "1")</f>
        <v>0</v>
      </c>
      <c r="N272" s="159">
        <f>SUMIFS('Future Orders'!$F272, 'Future Orders'!$D272, "1", 'Future Orders'!$C272, "A", 'Future Orders'!$B272, "2")</f>
        <v>0</v>
      </c>
      <c r="O272" s="157">
        <f>SUMIFS('Future Orders'!$I272, 'Future Orders'!$D272, "1", 'Future Orders'!$C272, "A", 'Future Orders'!$B272, "2")</f>
        <v>0</v>
      </c>
      <c r="P272" s="157">
        <f>SUMIFS('Future Orders'!$E272, 'Future Orders'!$D272, "1", 'Future Orders'!$C272, "B", 'Future Orders'!$B272, "2")</f>
        <v>0</v>
      </c>
      <c r="Q272" s="157">
        <f>SUMIFS('Future Orders'!$I272, 'Future Orders'!$D272, "1", 'Future Orders'!$C272, "B", 'Future Orders'!$B272, "2")</f>
        <v>0</v>
      </c>
      <c r="R272" s="159">
        <f>SUMIFS('Future Orders'!$F272, 'Future Orders'!$D272, "2", 'Future Orders'!$C272, "A", 'Future Orders'!$B272, "1")</f>
        <v>0</v>
      </c>
      <c r="S272" s="157">
        <f>SUMIFS('Future Orders'!$I272, 'Future Orders'!$D272, "2", 'Future Orders'!$C272, "A", 'Future Orders'!$B272, "1")</f>
        <v>0</v>
      </c>
      <c r="T272" s="159">
        <f>SUMIFS('Future Orders'!$F272, 'Future Orders'!$D272, "2", 'Future Orders'!$C272, "B", 'Future Orders'!$B272, "1")</f>
        <v>0</v>
      </c>
      <c r="U272" s="157">
        <f>SUMIFS('Future Orders'!$I272, 'Future Orders'!$D272, "2", 'Future Orders'!$C272, "B", 'Future Orders'!$B272, "1")</f>
        <v>0</v>
      </c>
      <c r="V272" s="159">
        <f>SUMIFS('Future Orders'!$F272, 'Future Orders'!$D272, "2", 'Future Orders'!$C272, "A", 'Future Orders'!$B272, "2")</f>
        <v>0</v>
      </c>
      <c r="W272" s="157">
        <f>SUMIFS('Future Orders'!$I272, 'Future Orders'!$D272, "2", 'Future Orders'!$C272, "A", 'Future Orders'!$B272, "2")</f>
        <v>0</v>
      </c>
      <c r="X272" s="159">
        <f>SUMIFS('Future Orders'!$F272, 'Future Orders'!$D272, "2", 'Future Orders'!$C272, "B", 'Future Orders'!$B272, "2")</f>
        <v>0</v>
      </c>
      <c r="Y272" s="159">
        <f>SUMIFS('Future Orders'!$I272, 'Future Orders'!$D272, "2", 'Future Orders'!$C272, "B", 'Future Orders'!$B272, "2")</f>
        <v>0</v>
      </c>
      <c r="Z272" s="159">
        <f>SUMIFS('Future Orders'!$F272, 'Future Orders'!$D272, "3", 'Future Orders'!$C272, "A", 'Future Orders'!$B272, "1")</f>
        <v>0</v>
      </c>
      <c r="AA272" s="159">
        <f>SUMIFS('Future Orders'!$I272, 'Future Orders'!$D272, "3", 'Future Orders'!$C272, "A", 'Future Orders'!$B272, "1")</f>
        <v>0</v>
      </c>
      <c r="AB272" s="159">
        <f>SUMIFS('Future Orders'!$F272, 'Future Orders'!$D272, "3", 'Future Orders'!$C272, "B", 'Future Orders'!$B272, "1")</f>
        <v>0</v>
      </c>
      <c r="AC272" s="159">
        <f>SUMIFS('Future Orders'!$I272, 'Future Orders'!$D272, "3", 'Future Orders'!$C272, "B", 'Future Orders'!$B272, "1")</f>
        <v>0</v>
      </c>
      <c r="AD272" s="159">
        <f>SUMIFS('Future Orders'!$F272, 'Future Orders'!$D272, "3", 'Future Orders'!$C272, "A", 'Future Orders'!$B272, "2")</f>
        <v>0</v>
      </c>
      <c r="AE272" s="159">
        <f>SUMIFS('Future Orders'!$I272, 'Future Orders'!$D272, "3", 'Future Orders'!$C272, "A", 'Future Orders'!$B272, "2")</f>
        <v>0</v>
      </c>
      <c r="AF272" s="159">
        <f>SUMIFS('Future Orders'!$F272, 'Future Orders'!$D272, "3", 'Future Orders'!$C272, "B", 'Future Orders'!$B272, "2")</f>
        <v>0</v>
      </c>
      <c r="AG272" s="157">
        <f>SUMIFS('Future Orders'!$I272, 'Future Orders'!$D272, "3", 'Future Orders'!$C272, "B", 'Future Orders'!$B272, "2")</f>
        <v>0</v>
      </c>
      <c r="AH272" s="157">
        <f>SUMIFS('Future Orders'!$F272, 'Future Orders'!$D272, "4", 'Future Orders'!$C272, "A", 'Future Orders'!$B272, "1")</f>
        <v>0</v>
      </c>
      <c r="AI272" s="157">
        <f>SUMIFS('Future Orders'!$I272, 'Future Orders'!$D272, "4", 'Future Orders'!$C272, "A", 'Future Orders'!$B272, "1")</f>
        <v>0</v>
      </c>
      <c r="AJ272" s="157">
        <f>SUMIFS('Future Orders'!$F272, 'Future Orders'!$D272, "4", 'Future Orders'!$C272, "B", 'Future Orders'!$B272, "1")</f>
        <v>0</v>
      </c>
      <c r="AK272" s="157">
        <f>SUMIFS('Future Orders'!$I272, 'Future Orders'!$D272, "4", 'Future Orders'!$C272, "B", 'Future Orders'!$B272, "1")</f>
        <v>0</v>
      </c>
      <c r="AL272" s="157">
        <f>SUMIFS('Future Orders'!$F272, 'Future Orders'!$D272, "4", 'Future Orders'!$C272, "A", 'Future Orders'!$B272, "2")</f>
        <v>0</v>
      </c>
      <c r="AM272" s="157">
        <f>SUMIFS('Future Orders'!$I272, 'Future Orders'!$D272, "4", 'Future Orders'!$C272, "A", 'Future Orders'!$B272, "2")</f>
        <v>0</v>
      </c>
      <c r="AN272" s="171">
        <f>SUMIFS('Future Orders'!$F272, 'Future Orders'!$D272, "4", 'Future Orders'!$C272, "B", 'Future Orders'!$B272, "2")</f>
        <v>0</v>
      </c>
      <c r="AO272" s="171">
        <f>SUMIFS('Future Orders'!$I272, 'Future Orders'!$D272, "4", 'Future Orders'!$C272, "B", 'Future Orders'!$B272, "2")</f>
        <v>0</v>
      </c>
      <c r="AP272" s="171">
        <f>SUMIFS('Future Orders'!$H272, 'Future Orders'!$C272, "A", 'Future Orders'!$B272, "1")</f>
        <v>11083.6</v>
      </c>
      <c r="AQ272" s="171">
        <f>SUMIFS('Future Orders'!$I272, 'Future Orders'!$C272, "B", 'Future Orders'!$B272, "1")</f>
        <v>0</v>
      </c>
      <c r="AR272" s="171">
        <f>SUMIFS('Future Orders'!$H272, 'Future Orders'!$C272, "A", 'Future Orders'!$B272, "2")</f>
        <v>0</v>
      </c>
      <c r="AS272" s="171">
        <f>SUMIFS('Future Orders'!$I272, 'Future Orders'!$C272, "B", 'Future Orders'!$B272, "2")</f>
        <v>0</v>
      </c>
      <c r="AT272" s="145"/>
      <c r="AU272" s="172"/>
      <c r="AV272" s="172"/>
      <c r="AW272" s="172"/>
      <c r="AX272" s="172"/>
      <c r="AY272" s="172"/>
      <c r="AZ272" s="172"/>
      <c r="BA272" s="172"/>
      <c r="BB272" s="172"/>
      <c r="BC272" s="172"/>
      <c r="BD272" s="172"/>
      <c r="BE272" s="172"/>
      <c r="BF272" s="172"/>
      <c r="BG272" s="172"/>
      <c r="BH272" s="172"/>
      <c r="BI272" s="172"/>
      <c r="BJ272" s="172"/>
      <c r="BK272" s="172"/>
      <c r="BL272" s="172"/>
      <c r="BM272" s="172"/>
      <c r="BN272" s="172"/>
      <c r="BO272" s="172"/>
      <c r="BP272" s="172"/>
      <c r="BQ272" s="172"/>
      <c r="BR272" s="172"/>
      <c r="BS272" s="172"/>
      <c r="BT272" s="172"/>
      <c r="BU272" s="172"/>
      <c r="BV272" s="172"/>
      <c r="BW272" s="172"/>
      <c r="BX272" s="172"/>
      <c r="BY272" s="172"/>
      <c r="BZ272" s="172"/>
      <c r="CA272" s="179"/>
      <c r="CB272" s="179"/>
      <c r="CC272" s="179"/>
      <c r="CD272" s="179"/>
      <c r="CE272" s="179"/>
      <c r="CF272" s="179"/>
      <c r="CG272" s="179"/>
      <c r="CH272" s="179"/>
      <c r="CI272" s="179"/>
      <c r="CJ272" s="179"/>
      <c r="CK272" s="179"/>
      <c r="CL272" s="179"/>
      <c r="CM272" s="179"/>
      <c r="CN272" s="179"/>
      <c r="CO272" s="179"/>
      <c r="CP272" s="179"/>
    </row>
    <row r="273" ht="15.75" customHeight="1">
      <c r="A273" s="151">
        <v>42170.0</v>
      </c>
      <c r="B273" s="152">
        <v>1.0</v>
      </c>
      <c r="C273" s="152" t="s">
        <v>45</v>
      </c>
      <c r="D273" s="152">
        <v>2.0</v>
      </c>
      <c r="E273" s="153">
        <v>6755.0</v>
      </c>
      <c r="F273" s="153">
        <f>SUM(('Future Orders'!$E273) * (1.1))</f>
        <v>7430.5</v>
      </c>
      <c r="G273" s="154">
        <v>1.2</v>
      </c>
      <c r="H273" s="155">
        <v>8106.0</v>
      </c>
      <c r="I273" s="155">
        <f>SUM(('Future Orders'!$H273) * (1.1))</f>
        <v>8916.6</v>
      </c>
      <c r="J273" s="159">
        <f>SUMIFS('Future Orders'!$F273, 'Future Orders'!$D273, "1", 'Future Orders'!$C273, "A", 'Future Orders'!$B273, "1")</f>
        <v>0</v>
      </c>
      <c r="K273" s="157">
        <f>SUMIFS('Future Orders'!$I273, 'Future Orders'!$D273, "1", 'Future Orders'!$C273, "A", 'Future Orders'!$B273, "1")</f>
        <v>0</v>
      </c>
      <c r="L273" s="157">
        <f>SUMIFS('Future Orders'!$F273, 'Future Orders'!$D273, "1", 'Future Orders'!$C273, "B", 'Future Orders'!$B273, "1")</f>
        <v>0</v>
      </c>
      <c r="M273" s="157">
        <f>SUMIFS('Future Orders'!$I273, 'Future Orders'!$D273, "1", 'Future Orders'!$C273, "B", 'Future Orders'!$B273, "1")</f>
        <v>0</v>
      </c>
      <c r="N273" s="159">
        <f>SUMIFS('Future Orders'!$F273, 'Future Orders'!$D273, "1", 'Future Orders'!$C273, "A", 'Future Orders'!$B273, "2")</f>
        <v>0</v>
      </c>
      <c r="O273" s="157">
        <f>SUMIFS('Future Orders'!$I273, 'Future Orders'!$D273, "1", 'Future Orders'!$C273, "A", 'Future Orders'!$B273, "2")</f>
        <v>0</v>
      </c>
      <c r="P273" s="157">
        <f>SUMIFS('Future Orders'!$E273, 'Future Orders'!$D273, "1", 'Future Orders'!$C273, "B", 'Future Orders'!$B273, "2")</f>
        <v>0</v>
      </c>
      <c r="Q273" s="157">
        <f>SUMIFS('Future Orders'!$I273, 'Future Orders'!$D273, "1", 'Future Orders'!$C273, "B", 'Future Orders'!$B273, "2")</f>
        <v>0</v>
      </c>
      <c r="R273" s="159">
        <f>SUMIFS('Future Orders'!$F273, 'Future Orders'!$D273, "2", 'Future Orders'!$C273, "A", 'Future Orders'!$B273, "1")</f>
        <v>7430.5</v>
      </c>
      <c r="S273" s="157">
        <f>SUMIFS('Future Orders'!$I273, 'Future Orders'!$D273, "2", 'Future Orders'!$C273, "A", 'Future Orders'!$B273, "1")</f>
        <v>8916.6</v>
      </c>
      <c r="T273" s="159">
        <f>SUMIFS('Future Orders'!$F273, 'Future Orders'!$D273, "2", 'Future Orders'!$C273, "B", 'Future Orders'!$B273, "1")</f>
        <v>0</v>
      </c>
      <c r="U273" s="157">
        <f>SUMIFS('Future Orders'!$I273, 'Future Orders'!$D273, "2", 'Future Orders'!$C273, "B", 'Future Orders'!$B273, "1")</f>
        <v>0</v>
      </c>
      <c r="V273" s="159">
        <f>SUMIFS('Future Orders'!$F273, 'Future Orders'!$D273, "2", 'Future Orders'!$C273, "A", 'Future Orders'!$B273, "2")</f>
        <v>0</v>
      </c>
      <c r="W273" s="157">
        <f>SUMIFS('Future Orders'!$I273, 'Future Orders'!$D273, "2", 'Future Orders'!$C273, "A", 'Future Orders'!$B273, "2")</f>
        <v>0</v>
      </c>
      <c r="X273" s="159">
        <f>SUMIFS('Future Orders'!$F273, 'Future Orders'!$D273, "2", 'Future Orders'!$C273, "B", 'Future Orders'!$B273, "2")</f>
        <v>0</v>
      </c>
      <c r="Y273" s="159">
        <f>SUMIFS('Future Orders'!$I273, 'Future Orders'!$D273, "2", 'Future Orders'!$C273, "B", 'Future Orders'!$B273, "2")</f>
        <v>0</v>
      </c>
      <c r="Z273" s="159">
        <f>SUMIFS('Future Orders'!$F273, 'Future Orders'!$D273, "3", 'Future Orders'!$C273, "A", 'Future Orders'!$B273, "1")</f>
        <v>0</v>
      </c>
      <c r="AA273" s="159">
        <f>SUMIFS('Future Orders'!$I273, 'Future Orders'!$D273, "3", 'Future Orders'!$C273, "A", 'Future Orders'!$B273, "1")</f>
        <v>0</v>
      </c>
      <c r="AB273" s="159">
        <f>SUMIFS('Future Orders'!$F273, 'Future Orders'!$D273, "3", 'Future Orders'!$C273, "B", 'Future Orders'!$B273, "1")</f>
        <v>0</v>
      </c>
      <c r="AC273" s="159">
        <f>SUMIFS('Future Orders'!$I273, 'Future Orders'!$D273, "3", 'Future Orders'!$C273, "B", 'Future Orders'!$B273, "1")</f>
        <v>0</v>
      </c>
      <c r="AD273" s="159">
        <f>SUMIFS('Future Orders'!$F273, 'Future Orders'!$D273, "3", 'Future Orders'!$C273, "A", 'Future Orders'!$B273, "2")</f>
        <v>0</v>
      </c>
      <c r="AE273" s="159">
        <f>SUMIFS('Future Orders'!$I273, 'Future Orders'!$D273, "3", 'Future Orders'!$C273, "A", 'Future Orders'!$B273, "2")</f>
        <v>0</v>
      </c>
      <c r="AF273" s="159">
        <f>SUMIFS('Future Orders'!$F273, 'Future Orders'!$D273, "3", 'Future Orders'!$C273, "B", 'Future Orders'!$B273, "2")</f>
        <v>0</v>
      </c>
      <c r="AG273" s="157">
        <f>SUMIFS('Future Orders'!$I273, 'Future Orders'!$D273, "3", 'Future Orders'!$C273, "B", 'Future Orders'!$B273, "2")</f>
        <v>0</v>
      </c>
      <c r="AH273" s="157">
        <f>SUMIFS('Future Orders'!$F273, 'Future Orders'!$D273, "4", 'Future Orders'!$C273, "A", 'Future Orders'!$B273, "1")</f>
        <v>0</v>
      </c>
      <c r="AI273" s="157">
        <f>SUMIFS('Future Orders'!$I273, 'Future Orders'!$D273, "4", 'Future Orders'!$C273, "A", 'Future Orders'!$B273, "1")</f>
        <v>0</v>
      </c>
      <c r="AJ273" s="157">
        <f>SUMIFS('Future Orders'!$F273, 'Future Orders'!$D273, "4", 'Future Orders'!$C273, "B", 'Future Orders'!$B273, "1")</f>
        <v>0</v>
      </c>
      <c r="AK273" s="157">
        <f>SUMIFS('Future Orders'!$I273, 'Future Orders'!$D273, "4", 'Future Orders'!$C273, "B", 'Future Orders'!$B273, "1")</f>
        <v>0</v>
      </c>
      <c r="AL273" s="157">
        <f>SUMIFS('Future Orders'!$F273, 'Future Orders'!$D273, "4", 'Future Orders'!$C273, "A", 'Future Orders'!$B273, "2")</f>
        <v>0</v>
      </c>
      <c r="AM273" s="157">
        <f>SUMIFS('Future Orders'!$I273, 'Future Orders'!$D273, "4", 'Future Orders'!$C273, "A", 'Future Orders'!$B273, "2")</f>
        <v>0</v>
      </c>
      <c r="AN273" s="171">
        <f>SUMIFS('Future Orders'!$F273, 'Future Orders'!$D273, "4", 'Future Orders'!$C273, "B", 'Future Orders'!$B273, "2")</f>
        <v>0</v>
      </c>
      <c r="AO273" s="171">
        <f>SUMIFS('Future Orders'!$I273, 'Future Orders'!$D273, "4", 'Future Orders'!$C273, "B", 'Future Orders'!$B273, "2")</f>
        <v>0</v>
      </c>
      <c r="AP273" s="171">
        <f>SUMIFS('Future Orders'!$H273, 'Future Orders'!$C273, "A", 'Future Orders'!$B273, "1")</f>
        <v>8106</v>
      </c>
      <c r="AQ273" s="171">
        <f>SUMIFS('Future Orders'!$I273, 'Future Orders'!$C273, "B", 'Future Orders'!$B273, "1")</f>
        <v>0</v>
      </c>
      <c r="AR273" s="171">
        <f>SUMIFS('Future Orders'!$H273, 'Future Orders'!$C273, "A", 'Future Orders'!$B273, "2")</f>
        <v>0</v>
      </c>
      <c r="AS273" s="171">
        <f>SUMIFS('Future Orders'!$I273, 'Future Orders'!$C273, "B", 'Future Orders'!$B273, "2")</f>
        <v>0</v>
      </c>
      <c r="AT273" s="145"/>
      <c r="AU273" s="172"/>
      <c r="AV273" s="172"/>
      <c r="AW273" s="172"/>
      <c r="AX273" s="172"/>
      <c r="AY273" s="172"/>
      <c r="AZ273" s="172"/>
      <c r="BA273" s="172"/>
      <c r="BB273" s="172"/>
      <c r="BC273" s="172"/>
      <c r="BD273" s="172"/>
      <c r="BE273" s="172"/>
      <c r="BF273" s="172"/>
      <c r="BG273" s="172"/>
      <c r="BH273" s="172"/>
      <c r="BI273" s="172"/>
      <c r="BJ273" s="172"/>
      <c r="BK273" s="172"/>
      <c r="BL273" s="172"/>
      <c r="BM273" s="172"/>
      <c r="BN273" s="172"/>
      <c r="BO273" s="172"/>
      <c r="BP273" s="172"/>
      <c r="BQ273" s="172"/>
      <c r="BR273" s="172"/>
      <c r="BS273" s="172"/>
      <c r="BT273" s="172"/>
      <c r="BU273" s="172"/>
      <c r="BV273" s="172"/>
      <c r="BW273" s="172"/>
      <c r="BX273" s="172"/>
      <c r="BY273" s="172"/>
      <c r="BZ273" s="172"/>
      <c r="CA273" s="179"/>
      <c r="CB273" s="179"/>
      <c r="CC273" s="179"/>
      <c r="CD273" s="179"/>
      <c r="CE273" s="179"/>
      <c r="CF273" s="179"/>
      <c r="CG273" s="179"/>
      <c r="CH273" s="179"/>
      <c r="CI273" s="179"/>
      <c r="CJ273" s="179"/>
      <c r="CK273" s="179"/>
      <c r="CL273" s="179"/>
      <c r="CM273" s="179"/>
      <c r="CN273" s="179"/>
      <c r="CO273" s="179"/>
      <c r="CP273" s="179"/>
    </row>
    <row r="274" ht="15.75" customHeight="1">
      <c r="A274" s="151">
        <v>42170.0</v>
      </c>
      <c r="B274" s="152">
        <v>2.0</v>
      </c>
      <c r="C274" s="152" t="s">
        <v>45</v>
      </c>
      <c r="D274" s="152">
        <v>1.0</v>
      </c>
      <c r="E274" s="153">
        <v>4232.0</v>
      </c>
      <c r="F274" s="153">
        <f>SUM(('Future Orders'!$E274) * (1.1))</f>
        <v>4655.2</v>
      </c>
      <c r="G274" s="154">
        <v>2.2</v>
      </c>
      <c r="H274" s="155">
        <v>9310.400000000001</v>
      </c>
      <c r="I274" s="155">
        <f>SUM(('Future Orders'!$H274) * (1.1))</f>
        <v>10241.44</v>
      </c>
      <c r="J274" s="159">
        <f>SUMIFS('Future Orders'!$F274, 'Future Orders'!$D274, "1", 'Future Orders'!$C274, "A", 'Future Orders'!$B274, "1")</f>
        <v>0</v>
      </c>
      <c r="K274" s="157">
        <f>SUMIFS('Future Orders'!$I274, 'Future Orders'!$D274, "1", 'Future Orders'!$C274, "A", 'Future Orders'!$B274, "1")</f>
        <v>0</v>
      </c>
      <c r="L274" s="157">
        <f>SUMIFS('Future Orders'!$F274, 'Future Orders'!$D274, "1", 'Future Orders'!$C274, "B", 'Future Orders'!$B274, "1")</f>
        <v>0</v>
      </c>
      <c r="M274" s="157">
        <f>SUMIFS('Future Orders'!$I274, 'Future Orders'!$D274, "1", 'Future Orders'!$C274, "B", 'Future Orders'!$B274, "1")</f>
        <v>0</v>
      </c>
      <c r="N274" s="159">
        <f>SUMIFS('Future Orders'!$F274, 'Future Orders'!$D274, "1", 'Future Orders'!$C274, "A", 'Future Orders'!$B274, "2")</f>
        <v>4655.2</v>
      </c>
      <c r="O274" s="157">
        <f>SUMIFS('Future Orders'!$I274, 'Future Orders'!$D274, "1", 'Future Orders'!$C274, "A", 'Future Orders'!$B274, "2")</f>
        <v>10241.44</v>
      </c>
      <c r="P274" s="157">
        <f>SUMIFS('Future Orders'!$E274, 'Future Orders'!$D274, "1", 'Future Orders'!$C274, "B", 'Future Orders'!$B274, "2")</f>
        <v>0</v>
      </c>
      <c r="Q274" s="157">
        <f>SUMIFS('Future Orders'!$I274, 'Future Orders'!$D274, "1", 'Future Orders'!$C274, "B", 'Future Orders'!$B274, "2")</f>
        <v>0</v>
      </c>
      <c r="R274" s="159">
        <f>SUMIFS('Future Orders'!$F274, 'Future Orders'!$D274, "2", 'Future Orders'!$C274, "A", 'Future Orders'!$B274, "1")</f>
        <v>0</v>
      </c>
      <c r="S274" s="157">
        <f>SUMIFS('Future Orders'!$I274, 'Future Orders'!$D274, "2", 'Future Orders'!$C274, "A", 'Future Orders'!$B274, "1")</f>
        <v>0</v>
      </c>
      <c r="T274" s="159">
        <f>SUMIFS('Future Orders'!$F274, 'Future Orders'!$D274, "2", 'Future Orders'!$C274, "B", 'Future Orders'!$B274, "1")</f>
        <v>0</v>
      </c>
      <c r="U274" s="157">
        <f>SUMIFS('Future Orders'!$I274, 'Future Orders'!$D274, "2", 'Future Orders'!$C274, "B", 'Future Orders'!$B274, "1")</f>
        <v>0</v>
      </c>
      <c r="V274" s="159">
        <f>SUMIFS('Future Orders'!$F274, 'Future Orders'!$D274, "2", 'Future Orders'!$C274, "A", 'Future Orders'!$B274, "2")</f>
        <v>0</v>
      </c>
      <c r="W274" s="157">
        <f>SUMIFS('Future Orders'!$I274, 'Future Orders'!$D274, "2", 'Future Orders'!$C274, "A", 'Future Orders'!$B274, "2")</f>
        <v>0</v>
      </c>
      <c r="X274" s="159">
        <f>SUMIFS('Future Orders'!$F274, 'Future Orders'!$D274, "2", 'Future Orders'!$C274, "B", 'Future Orders'!$B274, "2")</f>
        <v>0</v>
      </c>
      <c r="Y274" s="159">
        <f>SUMIFS('Future Orders'!$I274, 'Future Orders'!$D274, "2", 'Future Orders'!$C274, "B", 'Future Orders'!$B274, "2")</f>
        <v>0</v>
      </c>
      <c r="Z274" s="159">
        <f>SUMIFS('Future Orders'!$F274, 'Future Orders'!$D274, "3", 'Future Orders'!$C274, "A", 'Future Orders'!$B274, "1")</f>
        <v>0</v>
      </c>
      <c r="AA274" s="159">
        <f>SUMIFS('Future Orders'!$I274, 'Future Orders'!$D274, "3", 'Future Orders'!$C274, "A", 'Future Orders'!$B274, "1")</f>
        <v>0</v>
      </c>
      <c r="AB274" s="159">
        <f>SUMIFS('Future Orders'!$F274, 'Future Orders'!$D274, "3", 'Future Orders'!$C274, "B", 'Future Orders'!$B274, "1")</f>
        <v>0</v>
      </c>
      <c r="AC274" s="159">
        <f>SUMIFS('Future Orders'!$I274, 'Future Orders'!$D274, "3", 'Future Orders'!$C274, "B", 'Future Orders'!$B274, "1")</f>
        <v>0</v>
      </c>
      <c r="AD274" s="159">
        <f>SUMIFS('Future Orders'!$F274, 'Future Orders'!$D274, "3", 'Future Orders'!$C274, "A", 'Future Orders'!$B274, "2")</f>
        <v>0</v>
      </c>
      <c r="AE274" s="159">
        <f>SUMIFS('Future Orders'!$I274, 'Future Orders'!$D274, "3", 'Future Orders'!$C274, "A", 'Future Orders'!$B274, "2")</f>
        <v>0</v>
      </c>
      <c r="AF274" s="159">
        <f>SUMIFS('Future Orders'!$F274, 'Future Orders'!$D274, "3", 'Future Orders'!$C274, "B", 'Future Orders'!$B274, "2")</f>
        <v>0</v>
      </c>
      <c r="AG274" s="157">
        <f>SUMIFS('Future Orders'!$I274, 'Future Orders'!$D274, "3", 'Future Orders'!$C274, "B", 'Future Orders'!$B274, "2")</f>
        <v>0</v>
      </c>
      <c r="AH274" s="157">
        <f>SUMIFS('Future Orders'!$F274, 'Future Orders'!$D274, "4", 'Future Orders'!$C274, "A", 'Future Orders'!$B274, "1")</f>
        <v>0</v>
      </c>
      <c r="AI274" s="157">
        <f>SUMIFS('Future Orders'!$I274, 'Future Orders'!$D274, "4", 'Future Orders'!$C274, "A", 'Future Orders'!$B274, "1")</f>
        <v>0</v>
      </c>
      <c r="AJ274" s="157">
        <f>SUMIFS('Future Orders'!$F274, 'Future Orders'!$D274, "4", 'Future Orders'!$C274, "B", 'Future Orders'!$B274, "1")</f>
        <v>0</v>
      </c>
      <c r="AK274" s="157">
        <f>SUMIFS('Future Orders'!$I274, 'Future Orders'!$D274, "4", 'Future Orders'!$C274, "B", 'Future Orders'!$B274, "1")</f>
        <v>0</v>
      </c>
      <c r="AL274" s="157">
        <f>SUMIFS('Future Orders'!$F274, 'Future Orders'!$D274, "4", 'Future Orders'!$C274, "A", 'Future Orders'!$B274, "2")</f>
        <v>0</v>
      </c>
      <c r="AM274" s="157">
        <f>SUMIFS('Future Orders'!$I274, 'Future Orders'!$D274, "4", 'Future Orders'!$C274, "A", 'Future Orders'!$B274, "2")</f>
        <v>0</v>
      </c>
      <c r="AN274" s="171">
        <f>SUMIFS('Future Orders'!$F274, 'Future Orders'!$D274, "4", 'Future Orders'!$C274, "B", 'Future Orders'!$B274, "2")</f>
        <v>0</v>
      </c>
      <c r="AO274" s="171">
        <f>SUMIFS('Future Orders'!$I274, 'Future Orders'!$D274, "4", 'Future Orders'!$C274, "B", 'Future Orders'!$B274, "2")</f>
        <v>0</v>
      </c>
      <c r="AP274" s="171">
        <f>SUMIFS('Future Orders'!$H274, 'Future Orders'!$C274, "A", 'Future Orders'!$B274, "1")</f>
        <v>0</v>
      </c>
      <c r="AQ274" s="171">
        <f>SUMIFS('Future Orders'!$I274, 'Future Orders'!$C274, "B", 'Future Orders'!$B274, "1")</f>
        <v>0</v>
      </c>
      <c r="AR274" s="171">
        <f>SUMIFS('Future Orders'!$H274, 'Future Orders'!$C274, "A", 'Future Orders'!$B274, "2")</f>
        <v>9310.4</v>
      </c>
      <c r="AS274" s="171">
        <f>SUMIFS('Future Orders'!$I274, 'Future Orders'!$C274, "B", 'Future Orders'!$B274, "2")</f>
        <v>0</v>
      </c>
      <c r="AT274" s="145"/>
      <c r="AU274" s="172"/>
      <c r="AV274" s="172"/>
      <c r="AW274" s="172"/>
      <c r="AX274" s="172"/>
      <c r="AY274" s="172"/>
      <c r="AZ274" s="172"/>
      <c r="BA274" s="172"/>
      <c r="BB274" s="172"/>
      <c r="BC274" s="172"/>
      <c r="BD274" s="172"/>
      <c r="BE274" s="172"/>
      <c r="BF274" s="172"/>
      <c r="BG274" s="172"/>
      <c r="BH274" s="172"/>
      <c r="BI274" s="172"/>
      <c r="BJ274" s="172"/>
      <c r="BK274" s="172"/>
      <c r="BL274" s="172"/>
      <c r="BM274" s="172"/>
      <c r="BN274" s="172"/>
      <c r="BO274" s="172"/>
      <c r="BP274" s="172"/>
      <c r="BQ274" s="172"/>
      <c r="BR274" s="172"/>
      <c r="BS274" s="172"/>
      <c r="BT274" s="172"/>
      <c r="BU274" s="172"/>
      <c r="BV274" s="172"/>
      <c r="BW274" s="172"/>
      <c r="BX274" s="172"/>
      <c r="BY274" s="172"/>
      <c r="BZ274" s="172"/>
      <c r="CA274" s="179"/>
      <c r="CB274" s="179"/>
      <c r="CC274" s="179"/>
      <c r="CD274" s="179"/>
      <c r="CE274" s="179"/>
      <c r="CF274" s="179"/>
      <c r="CG274" s="179"/>
      <c r="CH274" s="179"/>
      <c r="CI274" s="179"/>
      <c r="CJ274" s="179"/>
      <c r="CK274" s="179"/>
      <c r="CL274" s="179"/>
      <c r="CM274" s="179"/>
      <c r="CN274" s="179"/>
      <c r="CO274" s="179"/>
      <c r="CP274" s="179"/>
    </row>
    <row r="275" ht="15.75" customHeight="1">
      <c r="A275" s="151">
        <v>42170.0</v>
      </c>
      <c r="B275" s="152">
        <v>2.0</v>
      </c>
      <c r="C275" s="152" t="s">
        <v>45</v>
      </c>
      <c r="D275" s="152">
        <v>2.0</v>
      </c>
      <c r="E275" s="153">
        <v>8161.0</v>
      </c>
      <c r="F275" s="153">
        <f>SUM(('Future Orders'!$E275) * (1.1))</f>
        <v>8977.1</v>
      </c>
      <c r="G275" s="154">
        <v>1.2</v>
      </c>
      <c r="H275" s="155">
        <v>9793.199999999999</v>
      </c>
      <c r="I275" s="155">
        <f>SUM(('Future Orders'!$H275) * (1.1))</f>
        <v>10772.52</v>
      </c>
      <c r="J275" s="159">
        <f>SUMIFS('Future Orders'!$F275, 'Future Orders'!$D275, "1", 'Future Orders'!$C275, "A", 'Future Orders'!$B275, "1")</f>
        <v>0</v>
      </c>
      <c r="K275" s="157">
        <f>SUMIFS('Future Orders'!$I275, 'Future Orders'!$D275, "1", 'Future Orders'!$C275, "A", 'Future Orders'!$B275, "1")</f>
        <v>0</v>
      </c>
      <c r="L275" s="157">
        <f>SUMIFS('Future Orders'!$F275, 'Future Orders'!$D275, "1", 'Future Orders'!$C275, "B", 'Future Orders'!$B275, "1")</f>
        <v>0</v>
      </c>
      <c r="M275" s="157">
        <f>SUMIFS('Future Orders'!$I275, 'Future Orders'!$D275, "1", 'Future Orders'!$C275, "B", 'Future Orders'!$B275, "1")</f>
        <v>0</v>
      </c>
      <c r="N275" s="159">
        <f>SUMIFS('Future Orders'!$F275, 'Future Orders'!$D275, "1", 'Future Orders'!$C275, "A", 'Future Orders'!$B275, "2")</f>
        <v>0</v>
      </c>
      <c r="O275" s="157">
        <f>SUMIFS('Future Orders'!$I275, 'Future Orders'!$D275, "1", 'Future Orders'!$C275, "A", 'Future Orders'!$B275, "2")</f>
        <v>0</v>
      </c>
      <c r="P275" s="157">
        <f>SUMIFS('Future Orders'!$E275, 'Future Orders'!$D275, "1", 'Future Orders'!$C275, "B", 'Future Orders'!$B275, "2")</f>
        <v>0</v>
      </c>
      <c r="Q275" s="157">
        <f>SUMIFS('Future Orders'!$I275, 'Future Orders'!$D275, "1", 'Future Orders'!$C275, "B", 'Future Orders'!$B275, "2")</f>
        <v>0</v>
      </c>
      <c r="R275" s="159">
        <f>SUMIFS('Future Orders'!$F275, 'Future Orders'!$D275, "2", 'Future Orders'!$C275, "A", 'Future Orders'!$B275, "1")</f>
        <v>0</v>
      </c>
      <c r="S275" s="157">
        <f>SUMIFS('Future Orders'!$I275, 'Future Orders'!$D275, "2", 'Future Orders'!$C275, "A", 'Future Orders'!$B275, "1")</f>
        <v>0</v>
      </c>
      <c r="T275" s="159">
        <f>SUMIFS('Future Orders'!$F275, 'Future Orders'!$D275, "2", 'Future Orders'!$C275, "B", 'Future Orders'!$B275, "1")</f>
        <v>0</v>
      </c>
      <c r="U275" s="157">
        <f>SUMIFS('Future Orders'!$I275, 'Future Orders'!$D275, "2", 'Future Orders'!$C275, "B", 'Future Orders'!$B275, "1")</f>
        <v>0</v>
      </c>
      <c r="V275" s="159">
        <f>SUMIFS('Future Orders'!$F275, 'Future Orders'!$D275, "2", 'Future Orders'!$C275, "A", 'Future Orders'!$B275, "2")</f>
        <v>8977.1</v>
      </c>
      <c r="W275" s="157">
        <f>SUMIFS('Future Orders'!$I275, 'Future Orders'!$D275, "2", 'Future Orders'!$C275, "A", 'Future Orders'!$B275, "2")</f>
        <v>10772.52</v>
      </c>
      <c r="X275" s="159">
        <f>SUMIFS('Future Orders'!$F275, 'Future Orders'!$D275, "2", 'Future Orders'!$C275, "B", 'Future Orders'!$B275, "2")</f>
        <v>0</v>
      </c>
      <c r="Y275" s="159">
        <f>SUMIFS('Future Orders'!$I275, 'Future Orders'!$D275, "2", 'Future Orders'!$C275, "B", 'Future Orders'!$B275, "2")</f>
        <v>0</v>
      </c>
      <c r="Z275" s="159">
        <f>SUMIFS('Future Orders'!$F275, 'Future Orders'!$D275, "3", 'Future Orders'!$C275, "A", 'Future Orders'!$B275, "1")</f>
        <v>0</v>
      </c>
      <c r="AA275" s="159">
        <f>SUMIFS('Future Orders'!$I275, 'Future Orders'!$D275, "3", 'Future Orders'!$C275, "A", 'Future Orders'!$B275, "1")</f>
        <v>0</v>
      </c>
      <c r="AB275" s="159">
        <f>SUMIFS('Future Orders'!$F275, 'Future Orders'!$D275, "3", 'Future Orders'!$C275, "B", 'Future Orders'!$B275, "1")</f>
        <v>0</v>
      </c>
      <c r="AC275" s="159">
        <f>SUMIFS('Future Orders'!$I275, 'Future Orders'!$D275, "3", 'Future Orders'!$C275, "B", 'Future Orders'!$B275, "1")</f>
        <v>0</v>
      </c>
      <c r="AD275" s="159">
        <f>SUMIFS('Future Orders'!$F275, 'Future Orders'!$D275, "3", 'Future Orders'!$C275, "A", 'Future Orders'!$B275, "2")</f>
        <v>0</v>
      </c>
      <c r="AE275" s="159">
        <f>SUMIFS('Future Orders'!$I275, 'Future Orders'!$D275, "3", 'Future Orders'!$C275, "A", 'Future Orders'!$B275, "2")</f>
        <v>0</v>
      </c>
      <c r="AF275" s="159">
        <f>SUMIFS('Future Orders'!$F275, 'Future Orders'!$D275, "3", 'Future Orders'!$C275, "B", 'Future Orders'!$B275, "2")</f>
        <v>0</v>
      </c>
      <c r="AG275" s="157">
        <f>SUMIFS('Future Orders'!$I275, 'Future Orders'!$D275, "3", 'Future Orders'!$C275, "B", 'Future Orders'!$B275, "2")</f>
        <v>0</v>
      </c>
      <c r="AH275" s="157">
        <f>SUMIFS('Future Orders'!$F275, 'Future Orders'!$D275, "4", 'Future Orders'!$C275, "A", 'Future Orders'!$B275, "1")</f>
        <v>0</v>
      </c>
      <c r="AI275" s="157">
        <f>SUMIFS('Future Orders'!$I275, 'Future Orders'!$D275, "4", 'Future Orders'!$C275, "A", 'Future Orders'!$B275, "1")</f>
        <v>0</v>
      </c>
      <c r="AJ275" s="157">
        <f>SUMIFS('Future Orders'!$F275, 'Future Orders'!$D275, "4", 'Future Orders'!$C275, "B", 'Future Orders'!$B275, "1")</f>
        <v>0</v>
      </c>
      <c r="AK275" s="157">
        <f>SUMIFS('Future Orders'!$I275, 'Future Orders'!$D275, "4", 'Future Orders'!$C275, "B", 'Future Orders'!$B275, "1")</f>
        <v>0</v>
      </c>
      <c r="AL275" s="157">
        <f>SUMIFS('Future Orders'!$F275, 'Future Orders'!$D275, "4", 'Future Orders'!$C275, "A", 'Future Orders'!$B275, "2")</f>
        <v>0</v>
      </c>
      <c r="AM275" s="157">
        <f>SUMIFS('Future Orders'!$I275, 'Future Orders'!$D275, "4", 'Future Orders'!$C275, "A", 'Future Orders'!$B275, "2")</f>
        <v>0</v>
      </c>
      <c r="AN275" s="171">
        <f>SUMIFS('Future Orders'!$F275, 'Future Orders'!$D275, "4", 'Future Orders'!$C275, "B", 'Future Orders'!$B275, "2")</f>
        <v>0</v>
      </c>
      <c r="AO275" s="171">
        <f>SUMIFS('Future Orders'!$I275, 'Future Orders'!$D275, "4", 'Future Orders'!$C275, "B", 'Future Orders'!$B275, "2")</f>
        <v>0</v>
      </c>
      <c r="AP275" s="171">
        <f>SUMIFS('Future Orders'!$H275, 'Future Orders'!$C275, "A", 'Future Orders'!$B275, "1")</f>
        <v>0</v>
      </c>
      <c r="AQ275" s="171">
        <f>SUMIFS('Future Orders'!$I275, 'Future Orders'!$C275, "B", 'Future Orders'!$B275, "1")</f>
        <v>0</v>
      </c>
      <c r="AR275" s="171">
        <f>SUMIFS('Future Orders'!$H275, 'Future Orders'!$C275, "A", 'Future Orders'!$B275, "2")</f>
        <v>9793.2</v>
      </c>
      <c r="AS275" s="171">
        <f>SUMIFS('Future Orders'!$I275, 'Future Orders'!$C275, "B", 'Future Orders'!$B275, "2")</f>
        <v>0</v>
      </c>
      <c r="AT275" s="145"/>
      <c r="AU275" s="172"/>
      <c r="AV275" s="172"/>
      <c r="AW275" s="172"/>
      <c r="AX275" s="172"/>
      <c r="AY275" s="172"/>
      <c r="AZ275" s="172"/>
      <c r="BA275" s="172"/>
      <c r="BB275" s="172"/>
      <c r="BC275" s="172"/>
      <c r="BD275" s="172"/>
      <c r="BE275" s="172"/>
      <c r="BF275" s="172"/>
      <c r="BG275" s="172"/>
      <c r="BH275" s="172"/>
      <c r="BI275" s="172"/>
      <c r="BJ275" s="172"/>
      <c r="BK275" s="172"/>
      <c r="BL275" s="172"/>
      <c r="BM275" s="172"/>
      <c r="BN275" s="172"/>
      <c r="BO275" s="172"/>
      <c r="BP275" s="172"/>
      <c r="BQ275" s="172"/>
      <c r="BR275" s="172"/>
      <c r="BS275" s="172"/>
      <c r="BT275" s="172"/>
      <c r="BU275" s="172"/>
      <c r="BV275" s="172"/>
      <c r="BW275" s="172"/>
      <c r="BX275" s="172"/>
      <c r="BY275" s="172"/>
      <c r="BZ275" s="172"/>
      <c r="CA275" s="179"/>
      <c r="CB275" s="179"/>
      <c r="CC275" s="179"/>
      <c r="CD275" s="179"/>
      <c r="CE275" s="179"/>
      <c r="CF275" s="179"/>
      <c r="CG275" s="179"/>
      <c r="CH275" s="179"/>
      <c r="CI275" s="179"/>
      <c r="CJ275" s="179"/>
      <c r="CK275" s="179"/>
      <c r="CL275" s="179"/>
      <c r="CM275" s="179"/>
      <c r="CN275" s="179"/>
      <c r="CO275" s="179"/>
      <c r="CP275" s="179"/>
    </row>
    <row r="276" ht="15.75" customHeight="1">
      <c r="A276" s="151">
        <v>42170.0</v>
      </c>
      <c r="B276" s="152">
        <v>1.0</v>
      </c>
      <c r="C276" s="152" t="s">
        <v>46</v>
      </c>
      <c r="D276" s="152">
        <v>3.0</v>
      </c>
      <c r="E276" s="153">
        <v>2060.0</v>
      </c>
      <c r="F276" s="153">
        <f>SUM(('Future Orders'!$E276) * (1.1))</f>
        <v>2266</v>
      </c>
      <c r="G276" s="154">
        <v>8.3</v>
      </c>
      <c r="H276" s="155">
        <v>17098.0</v>
      </c>
      <c r="I276" s="155">
        <f>SUM(('Future Orders'!$H276) * (1.1))</f>
        <v>18807.8</v>
      </c>
      <c r="J276" s="159">
        <f>SUMIFS('Future Orders'!$F276, 'Future Orders'!$D276, "1", 'Future Orders'!$C276, "A", 'Future Orders'!$B276, "1")</f>
        <v>0</v>
      </c>
      <c r="K276" s="157">
        <f>SUMIFS('Future Orders'!$I276, 'Future Orders'!$D276, "1", 'Future Orders'!$C276, "A", 'Future Orders'!$B276, "1")</f>
        <v>0</v>
      </c>
      <c r="L276" s="157">
        <f>SUMIFS('Future Orders'!$F276, 'Future Orders'!$D276, "1", 'Future Orders'!$C276, "B", 'Future Orders'!$B276, "1")</f>
        <v>0</v>
      </c>
      <c r="M276" s="157">
        <f>SUMIFS('Future Orders'!$I276, 'Future Orders'!$D276, "1", 'Future Orders'!$C276, "B", 'Future Orders'!$B276, "1")</f>
        <v>0</v>
      </c>
      <c r="N276" s="159">
        <f>SUMIFS('Future Orders'!$F276, 'Future Orders'!$D276, "1", 'Future Orders'!$C276, "A", 'Future Orders'!$B276, "2")</f>
        <v>0</v>
      </c>
      <c r="O276" s="157">
        <f>SUMIFS('Future Orders'!$I276, 'Future Orders'!$D276, "1", 'Future Orders'!$C276, "A", 'Future Orders'!$B276, "2")</f>
        <v>0</v>
      </c>
      <c r="P276" s="157">
        <f>SUMIFS('Future Orders'!$E276, 'Future Orders'!$D276, "1", 'Future Orders'!$C276, "B", 'Future Orders'!$B276, "2")</f>
        <v>0</v>
      </c>
      <c r="Q276" s="157">
        <f>SUMIFS('Future Orders'!$I276, 'Future Orders'!$D276, "1", 'Future Orders'!$C276, "B", 'Future Orders'!$B276, "2")</f>
        <v>0</v>
      </c>
      <c r="R276" s="159">
        <f>SUMIFS('Future Orders'!$F276, 'Future Orders'!$D276, "2", 'Future Orders'!$C276, "A", 'Future Orders'!$B276, "1")</f>
        <v>0</v>
      </c>
      <c r="S276" s="157">
        <f>SUMIFS('Future Orders'!$I276, 'Future Orders'!$D276, "2", 'Future Orders'!$C276, "A", 'Future Orders'!$B276, "1")</f>
        <v>0</v>
      </c>
      <c r="T276" s="159">
        <f>SUMIFS('Future Orders'!$F276, 'Future Orders'!$D276, "2", 'Future Orders'!$C276, "B", 'Future Orders'!$B276, "1")</f>
        <v>0</v>
      </c>
      <c r="U276" s="157">
        <f>SUMIFS('Future Orders'!$I276, 'Future Orders'!$D276, "2", 'Future Orders'!$C276, "B", 'Future Orders'!$B276, "1")</f>
        <v>0</v>
      </c>
      <c r="V276" s="159">
        <f>SUMIFS('Future Orders'!$F276, 'Future Orders'!$D276, "2", 'Future Orders'!$C276, "A", 'Future Orders'!$B276, "2")</f>
        <v>0</v>
      </c>
      <c r="W276" s="157">
        <f>SUMIFS('Future Orders'!$I276, 'Future Orders'!$D276, "2", 'Future Orders'!$C276, "A", 'Future Orders'!$B276, "2")</f>
        <v>0</v>
      </c>
      <c r="X276" s="159">
        <f>SUMIFS('Future Orders'!$F276, 'Future Orders'!$D276, "2", 'Future Orders'!$C276, "B", 'Future Orders'!$B276, "2")</f>
        <v>0</v>
      </c>
      <c r="Y276" s="159">
        <f>SUMIFS('Future Orders'!$I276, 'Future Orders'!$D276, "2", 'Future Orders'!$C276, "B", 'Future Orders'!$B276, "2")</f>
        <v>0</v>
      </c>
      <c r="Z276" s="159">
        <f>SUMIFS('Future Orders'!$F276, 'Future Orders'!$D276, "3", 'Future Orders'!$C276, "A", 'Future Orders'!$B276, "1")</f>
        <v>0</v>
      </c>
      <c r="AA276" s="159">
        <f>SUMIFS('Future Orders'!$I276, 'Future Orders'!$D276, "3", 'Future Orders'!$C276, "A", 'Future Orders'!$B276, "1")</f>
        <v>0</v>
      </c>
      <c r="AB276" s="159">
        <f>SUMIFS('Future Orders'!$F276, 'Future Orders'!$D276, "3", 'Future Orders'!$C276, "B", 'Future Orders'!$B276, "1")</f>
        <v>2266</v>
      </c>
      <c r="AC276" s="159">
        <f>SUMIFS('Future Orders'!$I276, 'Future Orders'!$D276, "3", 'Future Orders'!$C276, "B", 'Future Orders'!$B276, "1")</f>
        <v>18807.8</v>
      </c>
      <c r="AD276" s="159">
        <f>SUMIFS('Future Orders'!$F276, 'Future Orders'!$D276, "3", 'Future Orders'!$C276, "A", 'Future Orders'!$B276, "2")</f>
        <v>0</v>
      </c>
      <c r="AE276" s="159">
        <f>SUMIFS('Future Orders'!$I276, 'Future Orders'!$D276, "3", 'Future Orders'!$C276, "A", 'Future Orders'!$B276, "2")</f>
        <v>0</v>
      </c>
      <c r="AF276" s="159">
        <f>SUMIFS('Future Orders'!$F276, 'Future Orders'!$D276, "3", 'Future Orders'!$C276, "B", 'Future Orders'!$B276, "2")</f>
        <v>0</v>
      </c>
      <c r="AG276" s="157">
        <f>SUMIFS('Future Orders'!$I276, 'Future Orders'!$D276, "3", 'Future Orders'!$C276, "B", 'Future Orders'!$B276, "2")</f>
        <v>0</v>
      </c>
      <c r="AH276" s="157">
        <f>SUMIFS('Future Orders'!$F276, 'Future Orders'!$D276, "4", 'Future Orders'!$C276, "A", 'Future Orders'!$B276, "1")</f>
        <v>0</v>
      </c>
      <c r="AI276" s="157">
        <f>SUMIFS('Future Orders'!$I276, 'Future Orders'!$D276, "4", 'Future Orders'!$C276, "A", 'Future Orders'!$B276, "1")</f>
        <v>0</v>
      </c>
      <c r="AJ276" s="157">
        <f>SUMIFS('Future Orders'!$F276, 'Future Orders'!$D276, "4", 'Future Orders'!$C276, "B", 'Future Orders'!$B276, "1")</f>
        <v>0</v>
      </c>
      <c r="AK276" s="157">
        <f>SUMIFS('Future Orders'!$I276, 'Future Orders'!$D276, "4", 'Future Orders'!$C276, "B", 'Future Orders'!$B276, "1")</f>
        <v>0</v>
      </c>
      <c r="AL276" s="157">
        <f>SUMIFS('Future Orders'!$F276, 'Future Orders'!$D276, "4", 'Future Orders'!$C276, "A", 'Future Orders'!$B276, "2")</f>
        <v>0</v>
      </c>
      <c r="AM276" s="157">
        <f>SUMIFS('Future Orders'!$I276, 'Future Orders'!$D276, "4", 'Future Orders'!$C276, "A", 'Future Orders'!$B276, "2")</f>
        <v>0</v>
      </c>
      <c r="AN276" s="171">
        <f>SUMIFS('Future Orders'!$F276, 'Future Orders'!$D276, "4", 'Future Orders'!$C276, "B", 'Future Orders'!$B276, "2")</f>
        <v>0</v>
      </c>
      <c r="AO276" s="171">
        <f>SUMIFS('Future Orders'!$I276, 'Future Orders'!$D276, "4", 'Future Orders'!$C276, "B", 'Future Orders'!$B276, "2")</f>
        <v>0</v>
      </c>
      <c r="AP276" s="171">
        <f>SUMIFS('Future Orders'!$H276, 'Future Orders'!$C276, "A", 'Future Orders'!$B276, "1")</f>
        <v>0</v>
      </c>
      <c r="AQ276" s="171">
        <f>SUMIFS('Future Orders'!$I276, 'Future Orders'!$C276, "B", 'Future Orders'!$B276, "1")</f>
        <v>18807.8</v>
      </c>
      <c r="AR276" s="171">
        <f>SUMIFS('Future Orders'!$H276, 'Future Orders'!$C276, "A", 'Future Orders'!$B276, "2")</f>
        <v>0</v>
      </c>
      <c r="AS276" s="171">
        <f>SUMIFS('Future Orders'!$I276, 'Future Orders'!$C276, "B", 'Future Orders'!$B276, "2")</f>
        <v>0</v>
      </c>
      <c r="AT276" s="145"/>
      <c r="AU276" s="172"/>
      <c r="AV276" s="172"/>
      <c r="AW276" s="172"/>
      <c r="AX276" s="172"/>
      <c r="AY276" s="172"/>
      <c r="AZ276" s="172"/>
      <c r="BA276" s="172"/>
      <c r="BB276" s="172"/>
      <c r="BC276" s="172"/>
      <c r="BD276" s="172"/>
      <c r="BE276" s="172"/>
      <c r="BF276" s="172"/>
      <c r="BG276" s="172"/>
      <c r="BH276" s="172"/>
      <c r="BI276" s="172"/>
      <c r="BJ276" s="172"/>
      <c r="BK276" s="172"/>
      <c r="BL276" s="172"/>
      <c r="BM276" s="172"/>
      <c r="BN276" s="172"/>
      <c r="BO276" s="172"/>
      <c r="BP276" s="172"/>
      <c r="BQ276" s="172"/>
      <c r="BR276" s="172"/>
      <c r="BS276" s="172"/>
      <c r="BT276" s="172"/>
      <c r="BU276" s="172"/>
      <c r="BV276" s="172"/>
      <c r="BW276" s="172"/>
      <c r="BX276" s="172"/>
      <c r="BY276" s="172"/>
      <c r="BZ276" s="172"/>
      <c r="CA276" s="179"/>
      <c r="CB276" s="179"/>
      <c r="CC276" s="179"/>
      <c r="CD276" s="179"/>
      <c r="CE276" s="179"/>
      <c r="CF276" s="179"/>
      <c r="CG276" s="179"/>
      <c r="CH276" s="179"/>
      <c r="CI276" s="179"/>
      <c r="CJ276" s="179"/>
      <c r="CK276" s="179"/>
      <c r="CL276" s="179"/>
      <c r="CM276" s="179"/>
      <c r="CN276" s="179"/>
      <c r="CO276" s="179"/>
      <c r="CP276" s="179"/>
    </row>
    <row r="277" ht="15.75" customHeight="1">
      <c r="A277" s="151">
        <v>42170.0</v>
      </c>
      <c r="B277" s="152">
        <v>2.0</v>
      </c>
      <c r="C277" s="152" t="s">
        <v>46</v>
      </c>
      <c r="D277" s="152">
        <v>3.0</v>
      </c>
      <c r="E277" s="153">
        <v>2197.0</v>
      </c>
      <c r="F277" s="153">
        <f>SUM(('Future Orders'!$E277) * (1.1))</f>
        <v>2416.7</v>
      </c>
      <c r="G277" s="154">
        <v>8.3</v>
      </c>
      <c r="H277" s="155">
        <v>18235.100000000002</v>
      </c>
      <c r="I277" s="155">
        <f>SUM(('Future Orders'!$H277) * (1.1))</f>
        <v>20058.61</v>
      </c>
      <c r="J277" s="159">
        <f>SUMIFS('Future Orders'!$F277, 'Future Orders'!$D277, "1", 'Future Orders'!$C277, "A", 'Future Orders'!$B277, "1")</f>
        <v>0</v>
      </c>
      <c r="K277" s="157">
        <f>SUMIFS('Future Orders'!$I277, 'Future Orders'!$D277, "1", 'Future Orders'!$C277, "A", 'Future Orders'!$B277, "1")</f>
        <v>0</v>
      </c>
      <c r="L277" s="157">
        <f>SUMIFS('Future Orders'!$F277, 'Future Orders'!$D277, "1", 'Future Orders'!$C277, "B", 'Future Orders'!$B277, "1")</f>
        <v>0</v>
      </c>
      <c r="M277" s="157">
        <f>SUMIFS('Future Orders'!$I277, 'Future Orders'!$D277, "1", 'Future Orders'!$C277, "B", 'Future Orders'!$B277, "1")</f>
        <v>0</v>
      </c>
      <c r="N277" s="159">
        <f>SUMIFS('Future Orders'!$F277, 'Future Orders'!$D277, "1", 'Future Orders'!$C277, "A", 'Future Orders'!$B277, "2")</f>
        <v>0</v>
      </c>
      <c r="O277" s="157">
        <f>SUMIFS('Future Orders'!$I277, 'Future Orders'!$D277, "1", 'Future Orders'!$C277, "A", 'Future Orders'!$B277, "2")</f>
        <v>0</v>
      </c>
      <c r="P277" s="157">
        <f>SUMIFS('Future Orders'!$E277, 'Future Orders'!$D277, "1", 'Future Orders'!$C277, "B", 'Future Orders'!$B277, "2")</f>
        <v>0</v>
      </c>
      <c r="Q277" s="157">
        <f>SUMIFS('Future Orders'!$I277, 'Future Orders'!$D277, "1", 'Future Orders'!$C277, "B", 'Future Orders'!$B277, "2")</f>
        <v>0</v>
      </c>
      <c r="R277" s="159">
        <f>SUMIFS('Future Orders'!$F277, 'Future Orders'!$D277, "2", 'Future Orders'!$C277, "A", 'Future Orders'!$B277, "1")</f>
        <v>0</v>
      </c>
      <c r="S277" s="157">
        <f>SUMIFS('Future Orders'!$I277, 'Future Orders'!$D277, "2", 'Future Orders'!$C277, "A", 'Future Orders'!$B277, "1")</f>
        <v>0</v>
      </c>
      <c r="T277" s="159">
        <f>SUMIFS('Future Orders'!$F277, 'Future Orders'!$D277, "2", 'Future Orders'!$C277, "B", 'Future Orders'!$B277, "1")</f>
        <v>0</v>
      </c>
      <c r="U277" s="157">
        <f>SUMIFS('Future Orders'!$I277, 'Future Orders'!$D277, "2", 'Future Orders'!$C277, "B", 'Future Orders'!$B277, "1")</f>
        <v>0</v>
      </c>
      <c r="V277" s="159">
        <f>SUMIFS('Future Orders'!$F277, 'Future Orders'!$D277, "2", 'Future Orders'!$C277, "A", 'Future Orders'!$B277, "2")</f>
        <v>0</v>
      </c>
      <c r="W277" s="157">
        <f>SUMIFS('Future Orders'!$I277, 'Future Orders'!$D277, "2", 'Future Orders'!$C277, "A", 'Future Orders'!$B277, "2")</f>
        <v>0</v>
      </c>
      <c r="X277" s="159">
        <f>SUMIFS('Future Orders'!$F277, 'Future Orders'!$D277, "2", 'Future Orders'!$C277, "B", 'Future Orders'!$B277, "2")</f>
        <v>0</v>
      </c>
      <c r="Y277" s="159">
        <f>SUMIFS('Future Orders'!$I277, 'Future Orders'!$D277, "2", 'Future Orders'!$C277, "B", 'Future Orders'!$B277, "2")</f>
        <v>0</v>
      </c>
      <c r="Z277" s="159">
        <f>SUMIFS('Future Orders'!$F277, 'Future Orders'!$D277, "3", 'Future Orders'!$C277, "A", 'Future Orders'!$B277, "1")</f>
        <v>0</v>
      </c>
      <c r="AA277" s="159">
        <f>SUMIFS('Future Orders'!$I277, 'Future Orders'!$D277, "3", 'Future Orders'!$C277, "A", 'Future Orders'!$B277, "1")</f>
        <v>0</v>
      </c>
      <c r="AB277" s="159">
        <f>SUMIFS('Future Orders'!$F277, 'Future Orders'!$D277, "3", 'Future Orders'!$C277, "B", 'Future Orders'!$B277, "1")</f>
        <v>0</v>
      </c>
      <c r="AC277" s="159">
        <f>SUMIFS('Future Orders'!$I277, 'Future Orders'!$D277, "3", 'Future Orders'!$C277, "B", 'Future Orders'!$B277, "1")</f>
        <v>0</v>
      </c>
      <c r="AD277" s="159">
        <f>SUMIFS('Future Orders'!$F277, 'Future Orders'!$D277, "3", 'Future Orders'!$C277, "A", 'Future Orders'!$B277, "2")</f>
        <v>0</v>
      </c>
      <c r="AE277" s="159">
        <f>SUMIFS('Future Orders'!$I277, 'Future Orders'!$D277, "3", 'Future Orders'!$C277, "A", 'Future Orders'!$B277, "2")</f>
        <v>0</v>
      </c>
      <c r="AF277" s="159">
        <f>SUMIFS('Future Orders'!$F277, 'Future Orders'!$D277, "3", 'Future Orders'!$C277, "B", 'Future Orders'!$B277, "2")</f>
        <v>2416.7</v>
      </c>
      <c r="AG277" s="157">
        <f>SUMIFS('Future Orders'!$I277, 'Future Orders'!$D277, "3", 'Future Orders'!$C277, "B", 'Future Orders'!$B277, "2")</f>
        <v>20058.61</v>
      </c>
      <c r="AH277" s="157">
        <f>SUMIFS('Future Orders'!$F277, 'Future Orders'!$D277, "4", 'Future Orders'!$C277, "A", 'Future Orders'!$B277, "1")</f>
        <v>0</v>
      </c>
      <c r="AI277" s="157">
        <f>SUMIFS('Future Orders'!$I277, 'Future Orders'!$D277, "4", 'Future Orders'!$C277, "A", 'Future Orders'!$B277, "1")</f>
        <v>0</v>
      </c>
      <c r="AJ277" s="157">
        <f>SUMIFS('Future Orders'!$F277, 'Future Orders'!$D277, "4", 'Future Orders'!$C277, "B", 'Future Orders'!$B277, "1")</f>
        <v>0</v>
      </c>
      <c r="AK277" s="157">
        <f>SUMIFS('Future Orders'!$I277, 'Future Orders'!$D277, "4", 'Future Orders'!$C277, "B", 'Future Orders'!$B277, "1")</f>
        <v>0</v>
      </c>
      <c r="AL277" s="157">
        <f>SUMIFS('Future Orders'!$F277, 'Future Orders'!$D277, "4", 'Future Orders'!$C277, "A", 'Future Orders'!$B277, "2")</f>
        <v>0</v>
      </c>
      <c r="AM277" s="157">
        <f>SUMIFS('Future Orders'!$I277, 'Future Orders'!$D277, "4", 'Future Orders'!$C277, "A", 'Future Orders'!$B277, "2")</f>
        <v>0</v>
      </c>
      <c r="AN277" s="171">
        <f>SUMIFS('Future Orders'!$F277, 'Future Orders'!$D277, "4", 'Future Orders'!$C277, "B", 'Future Orders'!$B277, "2")</f>
        <v>0</v>
      </c>
      <c r="AO277" s="171">
        <f>SUMIFS('Future Orders'!$I277, 'Future Orders'!$D277, "4", 'Future Orders'!$C277, "B", 'Future Orders'!$B277, "2")</f>
        <v>0</v>
      </c>
      <c r="AP277" s="171">
        <f>SUMIFS('Future Orders'!$H277, 'Future Orders'!$C277, "A", 'Future Orders'!$B277, "1")</f>
        <v>0</v>
      </c>
      <c r="AQ277" s="171">
        <f>SUMIFS('Future Orders'!$I277, 'Future Orders'!$C277, "B", 'Future Orders'!$B277, "1")</f>
        <v>0</v>
      </c>
      <c r="AR277" s="171">
        <f>SUMIFS('Future Orders'!$H277, 'Future Orders'!$C277, "A", 'Future Orders'!$B277, "2")</f>
        <v>0</v>
      </c>
      <c r="AS277" s="171">
        <f>SUMIFS('Future Orders'!$I277, 'Future Orders'!$C277, "B", 'Future Orders'!$B277, "2")</f>
        <v>20058.61</v>
      </c>
      <c r="AT277" s="145"/>
      <c r="AU277" s="172"/>
      <c r="AV277" s="172"/>
      <c r="AW277" s="172"/>
      <c r="AX277" s="172"/>
      <c r="AY277" s="172"/>
      <c r="AZ277" s="172"/>
      <c r="BA277" s="172"/>
      <c r="BB277" s="172"/>
      <c r="BC277" s="172"/>
      <c r="BD277" s="172"/>
      <c r="BE277" s="172"/>
      <c r="BF277" s="172"/>
      <c r="BG277" s="172"/>
      <c r="BH277" s="172"/>
      <c r="BI277" s="172"/>
      <c r="BJ277" s="172"/>
      <c r="BK277" s="172"/>
      <c r="BL277" s="172"/>
      <c r="BM277" s="172"/>
      <c r="BN277" s="172"/>
      <c r="BO277" s="172"/>
      <c r="BP277" s="172"/>
      <c r="BQ277" s="172"/>
      <c r="BR277" s="172"/>
      <c r="BS277" s="172"/>
      <c r="BT277" s="172"/>
      <c r="BU277" s="172"/>
      <c r="BV277" s="172"/>
      <c r="BW277" s="172"/>
      <c r="BX277" s="172"/>
      <c r="BY277" s="172"/>
      <c r="BZ277" s="172"/>
      <c r="CA277" s="179"/>
      <c r="CB277" s="179"/>
      <c r="CC277" s="179"/>
      <c r="CD277" s="179"/>
      <c r="CE277" s="179"/>
      <c r="CF277" s="179"/>
      <c r="CG277" s="179"/>
      <c r="CH277" s="179"/>
      <c r="CI277" s="179"/>
      <c r="CJ277" s="179"/>
      <c r="CK277" s="179"/>
      <c r="CL277" s="179"/>
      <c r="CM277" s="179"/>
      <c r="CN277" s="179"/>
      <c r="CO277" s="179"/>
      <c r="CP277" s="179"/>
    </row>
    <row r="278" ht="15.75" customHeight="1">
      <c r="A278" s="151">
        <v>42177.0</v>
      </c>
      <c r="B278" s="152">
        <v>1.0</v>
      </c>
      <c r="C278" s="152" t="s">
        <v>45</v>
      </c>
      <c r="D278" s="152">
        <v>1.0</v>
      </c>
      <c r="E278" s="153">
        <v>4650.0</v>
      </c>
      <c r="F278" s="153">
        <f>SUM(('Future Orders'!$E278) * (1.1))</f>
        <v>5115</v>
      </c>
      <c r="G278" s="154">
        <v>2.2</v>
      </c>
      <c r="H278" s="155">
        <v>10230.0</v>
      </c>
      <c r="I278" s="155">
        <f>SUM(('Future Orders'!$H278) * (1.1))</f>
        <v>11253</v>
      </c>
      <c r="J278" s="159">
        <f>SUMIFS('Future Orders'!$F278, 'Future Orders'!$D278, "1", 'Future Orders'!$C278, "A", 'Future Orders'!$B278, "1")</f>
        <v>5115</v>
      </c>
      <c r="K278" s="157">
        <f>SUMIFS('Future Orders'!$I278, 'Future Orders'!$D278, "1", 'Future Orders'!$C278, "A", 'Future Orders'!$B278, "1")</f>
        <v>11253</v>
      </c>
      <c r="L278" s="157">
        <f>SUMIFS('Future Orders'!$F278, 'Future Orders'!$D278, "1", 'Future Orders'!$C278, "B", 'Future Orders'!$B278, "1")</f>
        <v>0</v>
      </c>
      <c r="M278" s="157">
        <f>SUMIFS('Future Orders'!$I278, 'Future Orders'!$D278, "1", 'Future Orders'!$C278, "B", 'Future Orders'!$B278, "1")</f>
        <v>0</v>
      </c>
      <c r="N278" s="159">
        <f>SUMIFS('Future Orders'!$F278, 'Future Orders'!$D278, "1", 'Future Orders'!$C278, "A", 'Future Orders'!$B278, "2")</f>
        <v>0</v>
      </c>
      <c r="O278" s="157">
        <f>SUMIFS('Future Orders'!$I278, 'Future Orders'!$D278, "1", 'Future Orders'!$C278, "A", 'Future Orders'!$B278, "2")</f>
        <v>0</v>
      </c>
      <c r="P278" s="157">
        <f>SUMIFS('Future Orders'!$E278, 'Future Orders'!$D278, "1", 'Future Orders'!$C278, "B", 'Future Orders'!$B278, "2")</f>
        <v>0</v>
      </c>
      <c r="Q278" s="157">
        <f>SUMIFS('Future Orders'!$I278, 'Future Orders'!$D278, "1", 'Future Orders'!$C278, "B", 'Future Orders'!$B278, "2")</f>
        <v>0</v>
      </c>
      <c r="R278" s="159">
        <f>SUMIFS('Future Orders'!$F278, 'Future Orders'!$D278, "2", 'Future Orders'!$C278, "A", 'Future Orders'!$B278, "1")</f>
        <v>0</v>
      </c>
      <c r="S278" s="157">
        <f>SUMIFS('Future Orders'!$I278, 'Future Orders'!$D278, "2", 'Future Orders'!$C278, "A", 'Future Orders'!$B278, "1")</f>
        <v>0</v>
      </c>
      <c r="T278" s="159">
        <f>SUMIFS('Future Orders'!$F278, 'Future Orders'!$D278, "2", 'Future Orders'!$C278, "B", 'Future Orders'!$B278, "1")</f>
        <v>0</v>
      </c>
      <c r="U278" s="157">
        <f>SUMIFS('Future Orders'!$I278, 'Future Orders'!$D278, "2", 'Future Orders'!$C278, "B", 'Future Orders'!$B278, "1")</f>
        <v>0</v>
      </c>
      <c r="V278" s="159">
        <f>SUMIFS('Future Orders'!$F278, 'Future Orders'!$D278, "2", 'Future Orders'!$C278, "A", 'Future Orders'!$B278, "2")</f>
        <v>0</v>
      </c>
      <c r="W278" s="157">
        <f>SUMIFS('Future Orders'!$I278, 'Future Orders'!$D278, "2", 'Future Orders'!$C278, "A", 'Future Orders'!$B278, "2")</f>
        <v>0</v>
      </c>
      <c r="X278" s="159">
        <f>SUMIFS('Future Orders'!$F278, 'Future Orders'!$D278, "2", 'Future Orders'!$C278, "B", 'Future Orders'!$B278, "2")</f>
        <v>0</v>
      </c>
      <c r="Y278" s="159">
        <f>SUMIFS('Future Orders'!$I278, 'Future Orders'!$D278, "2", 'Future Orders'!$C278, "B", 'Future Orders'!$B278, "2")</f>
        <v>0</v>
      </c>
      <c r="Z278" s="159">
        <f>SUMIFS('Future Orders'!$F278, 'Future Orders'!$D278, "3", 'Future Orders'!$C278, "A", 'Future Orders'!$B278, "1")</f>
        <v>0</v>
      </c>
      <c r="AA278" s="159">
        <f>SUMIFS('Future Orders'!$I278, 'Future Orders'!$D278, "3", 'Future Orders'!$C278, "A", 'Future Orders'!$B278, "1")</f>
        <v>0</v>
      </c>
      <c r="AB278" s="159">
        <f>SUMIFS('Future Orders'!$F278, 'Future Orders'!$D278, "3", 'Future Orders'!$C278, "B", 'Future Orders'!$B278, "1")</f>
        <v>0</v>
      </c>
      <c r="AC278" s="159">
        <f>SUMIFS('Future Orders'!$I278, 'Future Orders'!$D278, "3", 'Future Orders'!$C278, "B", 'Future Orders'!$B278, "1")</f>
        <v>0</v>
      </c>
      <c r="AD278" s="159">
        <f>SUMIFS('Future Orders'!$F278, 'Future Orders'!$D278, "3", 'Future Orders'!$C278, "A", 'Future Orders'!$B278, "2")</f>
        <v>0</v>
      </c>
      <c r="AE278" s="159">
        <f>SUMIFS('Future Orders'!$I278, 'Future Orders'!$D278, "3", 'Future Orders'!$C278, "A", 'Future Orders'!$B278, "2")</f>
        <v>0</v>
      </c>
      <c r="AF278" s="159">
        <f>SUMIFS('Future Orders'!$F278, 'Future Orders'!$D278, "3", 'Future Orders'!$C278, "B", 'Future Orders'!$B278, "2")</f>
        <v>0</v>
      </c>
      <c r="AG278" s="157">
        <f>SUMIFS('Future Orders'!$I278, 'Future Orders'!$D278, "3", 'Future Orders'!$C278, "B", 'Future Orders'!$B278, "2")</f>
        <v>0</v>
      </c>
      <c r="AH278" s="157">
        <f>SUMIFS('Future Orders'!$F278, 'Future Orders'!$D278, "4", 'Future Orders'!$C278, "A", 'Future Orders'!$B278, "1")</f>
        <v>0</v>
      </c>
      <c r="AI278" s="157">
        <f>SUMIFS('Future Orders'!$I278, 'Future Orders'!$D278, "4", 'Future Orders'!$C278, "A", 'Future Orders'!$B278, "1")</f>
        <v>0</v>
      </c>
      <c r="AJ278" s="157">
        <f>SUMIFS('Future Orders'!$F278, 'Future Orders'!$D278, "4", 'Future Orders'!$C278, "B", 'Future Orders'!$B278, "1")</f>
        <v>0</v>
      </c>
      <c r="AK278" s="157">
        <f>SUMIFS('Future Orders'!$I278, 'Future Orders'!$D278, "4", 'Future Orders'!$C278, "B", 'Future Orders'!$B278, "1")</f>
        <v>0</v>
      </c>
      <c r="AL278" s="157">
        <f>SUMIFS('Future Orders'!$F278, 'Future Orders'!$D278, "4", 'Future Orders'!$C278, "A", 'Future Orders'!$B278, "2")</f>
        <v>0</v>
      </c>
      <c r="AM278" s="157">
        <f>SUMIFS('Future Orders'!$I278, 'Future Orders'!$D278, "4", 'Future Orders'!$C278, "A", 'Future Orders'!$B278, "2")</f>
        <v>0</v>
      </c>
      <c r="AN278" s="171">
        <f>SUMIFS('Future Orders'!$F278, 'Future Orders'!$D278, "4", 'Future Orders'!$C278, "B", 'Future Orders'!$B278, "2")</f>
        <v>0</v>
      </c>
      <c r="AO278" s="171">
        <f>SUMIFS('Future Orders'!$I278, 'Future Orders'!$D278, "4", 'Future Orders'!$C278, "B", 'Future Orders'!$B278, "2")</f>
        <v>0</v>
      </c>
      <c r="AP278" s="171">
        <f>SUMIFS('Future Orders'!$H278, 'Future Orders'!$C278, "A", 'Future Orders'!$B278, "1")</f>
        <v>10230</v>
      </c>
      <c r="AQ278" s="171">
        <f>SUMIFS('Future Orders'!$I278, 'Future Orders'!$C278, "B", 'Future Orders'!$B278, "1")</f>
        <v>0</v>
      </c>
      <c r="AR278" s="171">
        <f>SUMIFS('Future Orders'!$H278, 'Future Orders'!$C278, "A", 'Future Orders'!$B278, "2")</f>
        <v>0</v>
      </c>
      <c r="AS278" s="171">
        <f>SUMIFS('Future Orders'!$I278, 'Future Orders'!$C278, "B", 'Future Orders'!$B278, "2")</f>
        <v>0</v>
      </c>
      <c r="AT278" s="145"/>
      <c r="AU278" s="172"/>
      <c r="AV278" s="172"/>
      <c r="AW278" s="172"/>
      <c r="AX278" s="172"/>
      <c r="AY278" s="172"/>
      <c r="AZ278" s="172"/>
      <c r="BA278" s="172"/>
      <c r="BB278" s="172"/>
      <c r="BC278" s="172"/>
      <c r="BD278" s="172"/>
      <c r="BE278" s="172"/>
      <c r="BF278" s="172"/>
      <c r="BG278" s="172"/>
      <c r="BH278" s="172"/>
      <c r="BI278" s="172"/>
      <c r="BJ278" s="172"/>
      <c r="BK278" s="172"/>
      <c r="BL278" s="172"/>
      <c r="BM278" s="172"/>
      <c r="BN278" s="172"/>
      <c r="BO278" s="172"/>
      <c r="BP278" s="172"/>
      <c r="BQ278" s="172"/>
      <c r="BR278" s="172"/>
      <c r="BS278" s="172"/>
      <c r="BT278" s="172"/>
      <c r="BU278" s="172"/>
      <c r="BV278" s="172"/>
      <c r="BW278" s="172"/>
      <c r="BX278" s="172"/>
      <c r="BY278" s="172"/>
      <c r="BZ278" s="172"/>
      <c r="CA278" s="179"/>
      <c r="CB278" s="179"/>
      <c r="CC278" s="179"/>
      <c r="CD278" s="179"/>
      <c r="CE278" s="179"/>
      <c r="CF278" s="179"/>
      <c r="CG278" s="179"/>
      <c r="CH278" s="179"/>
      <c r="CI278" s="179"/>
      <c r="CJ278" s="179"/>
      <c r="CK278" s="179"/>
      <c r="CL278" s="179"/>
      <c r="CM278" s="179"/>
      <c r="CN278" s="179"/>
      <c r="CO278" s="179"/>
      <c r="CP278" s="179"/>
    </row>
    <row r="279" ht="15.75" customHeight="1">
      <c r="A279" s="151">
        <v>42177.0</v>
      </c>
      <c r="B279" s="152">
        <v>1.0</v>
      </c>
      <c r="C279" s="152" t="s">
        <v>45</v>
      </c>
      <c r="D279" s="152">
        <v>2.0</v>
      </c>
      <c r="E279" s="153">
        <v>6790.0</v>
      </c>
      <c r="F279" s="153">
        <f>SUM(('Future Orders'!$E279) * (1.1))</f>
        <v>7469</v>
      </c>
      <c r="G279" s="154">
        <v>1.2</v>
      </c>
      <c r="H279" s="155">
        <v>8148.0</v>
      </c>
      <c r="I279" s="155">
        <f>SUM(('Future Orders'!$H279) * (1.1))</f>
        <v>8962.8</v>
      </c>
      <c r="J279" s="159">
        <f>SUMIFS('Future Orders'!$F279, 'Future Orders'!$D279, "1", 'Future Orders'!$C279, "A", 'Future Orders'!$B279, "1")</f>
        <v>0</v>
      </c>
      <c r="K279" s="157">
        <f>SUMIFS('Future Orders'!$I279, 'Future Orders'!$D279, "1", 'Future Orders'!$C279, "A", 'Future Orders'!$B279, "1")</f>
        <v>0</v>
      </c>
      <c r="L279" s="157">
        <f>SUMIFS('Future Orders'!$F279, 'Future Orders'!$D279, "1", 'Future Orders'!$C279, "B", 'Future Orders'!$B279, "1")</f>
        <v>0</v>
      </c>
      <c r="M279" s="157">
        <f>SUMIFS('Future Orders'!$I279, 'Future Orders'!$D279, "1", 'Future Orders'!$C279, "B", 'Future Orders'!$B279, "1")</f>
        <v>0</v>
      </c>
      <c r="N279" s="159">
        <f>SUMIFS('Future Orders'!$F279, 'Future Orders'!$D279, "1", 'Future Orders'!$C279, "A", 'Future Orders'!$B279, "2")</f>
        <v>0</v>
      </c>
      <c r="O279" s="157">
        <f>SUMIFS('Future Orders'!$I279, 'Future Orders'!$D279, "1", 'Future Orders'!$C279, "A", 'Future Orders'!$B279, "2")</f>
        <v>0</v>
      </c>
      <c r="P279" s="157">
        <f>SUMIFS('Future Orders'!$E279, 'Future Orders'!$D279, "1", 'Future Orders'!$C279, "B", 'Future Orders'!$B279, "2")</f>
        <v>0</v>
      </c>
      <c r="Q279" s="157">
        <f>SUMIFS('Future Orders'!$I279, 'Future Orders'!$D279, "1", 'Future Orders'!$C279, "B", 'Future Orders'!$B279, "2")</f>
        <v>0</v>
      </c>
      <c r="R279" s="159">
        <f>SUMIFS('Future Orders'!$F279, 'Future Orders'!$D279, "2", 'Future Orders'!$C279, "A", 'Future Orders'!$B279, "1")</f>
        <v>7469</v>
      </c>
      <c r="S279" s="157">
        <f>SUMIFS('Future Orders'!$I279, 'Future Orders'!$D279, "2", 'Future Orders'!$C279, "A", 'Future Orders'!$B279, "1")</f>
        <v>8962.8</v>
      </c>
      <c r="T279" s="159">
        <f>SUMIFS('Future Orders'!$F279, 'Future Orders'!$D279, "2", 'Future Orders'!$C279, "B", 'Future Orders'!$B279, "1")</f>
        <v>0</v>
      </c>
      <c r="U279" s="157">
        <f>SUMIFS('Future Orders'!$I279, 'Future Orders'!$D279, "2", 'Future Orders'!$C279, "B", 'Future Orders'!$B279, "1")</f>
        <v>0</v>
      </c>
      <c r="V279" s="159">
        <f>SUMIFS('Future Orders'!$F279, 'Future Orders'!$D279, "2", 'Future Orders'!$C279, "A", 'Future Orders'!$B279, "2")</f>
        <v>0</v>
      </c>
      <c r="W279" s="157">
        <f>SUMIFS('Future Orders'!$I279, 'Future Orders'!$D279, "2", 'Future Orders'!$C279, "A", 'Future Orders'!$B279, "2")</f>
        <v>0</v>
      </c>
      <c r="X279" s="159">
        <f>SUMIFS('Future Orders'!$F279, 'Future Orders'!$D279, "2", 'Future Orders'!$C279, "B", 'Future Orders'!$B279, "2")</f>
        <v>0</v>
      </c>
      <c r="Y279" s="159">
        <f>SUMIFS('Future Orders'!$I279, 'Future Orders'!$D279, "2", 'Future Orders'!$C279, "B", 'Future Orders'!$B279, "2")</f>
        <v>0</v>
      </c>
      <c r="Z279" s="159">
        <f>SUMIFS('Future Orders'!$F279, 'Future Orders'!$D279, "3", 'Future Orders'!$C279, "A", 'Future Orders'!$B279, "1")</f>
        <v>0</v>
      </c>
      <c r="AA279" s="159">
        <f>SUMIFS('Future Orders'!$I279, 'Future Orders'!$D279, "3", 'Future Orders'!$C279, "A", 'Future Orders'!$B279, "1")</f>
        <v>0</v>
      </c>
      <c r="AB279" s="159">
        <f>SUMIFS('Future Orders'!$F279, 'Future Orders'!$D279, "3", 'Future Orders'!$C279, "B", 'Future Orders'!$B279, "1")</f>
        <v>0</v>
      </c>
      <c r="AC279" s="159">
        <f>SUMIFS('Future Orders'!$I279, 'Future Orders'!$D279, "3", 'Future Orders'!$C279, "B", 'Future Orders'!$B279, "1")</f>
        <v>0</v>
      </c>
      <c r="AD279" s="159">
        <f>SUMIFS('Future Orders'!$F279, 'Future Orders'!$D279, "3", 'Future Orders'!$C279, "A", 'Future Orders'!$B279, "2")</f>
        <v>0</v>
      </c>
      <c r="AE279" s="159">
        <f>SUMIFS('Future Orders'!$I279, 'Future Orders'!$D279, "3", 'Future Orders'!$C279, "A", 'Future Orders'!$B279, "2")</f>
        <v>0</v>
      </c>
      <c r="AF279" s="159">
        <f>SUMIFS('Future Orders'!$F279, 'Future Orders'!$D279, "3", 'Future Orders'!$C279, "B", 'Future Orders'!$B279, "2")</f>
        <v>0</v>
      </c>
      <c r="AG279" s="157">
        <f>SUMIFS('Future Orders'!$I279, 'Future Orders'!$D279, "3", 'Future Orders'!$C279, "B", 'Future Orders'!$B279, "2")</f>
        <v>0</v>
      </c>
      <c r="AH279" s="157">
        <f>SUMIFS('Future Orders'!$F279, 'Future Orders'!$D279, "4", 'Future Orders'!$C279, "A", 'Future Orders'!$B279, "1")</f>
        <v>0</v>
      </c>
      <c r="AI279" s="157">
        <f>SUMIFS('Future Orders'!$I279, 'Future Orders'!$D279, "4", 'Future Orders'!$C279, "A", 'Future Orders'!$B279, "1")</f>
        <v>0</v>
      </c>
      <c r="AJ279" s="157">
        <f>SUMIFS('Future Orders'!$F279, 'Future Orders'!$D279, "4", 'Future Orders'!$C279, "B", 'Future Orders'!$B279, "1")</f>
        <v>0</v>
      </c>
      <c r="AK279" s="157">
        <f>SUMIFS('Future Orders'!$I279, 'Future Orders'!$D279, "4", 'Future Orders'!$C279, "B", 'Future Orders'!$B279, "1")</f>
        <v>0</v>
      </c>
      <c r="AL279" s="157">
        <f>SUMIFS('Future Orders'!$F279, 'Future Orders'!$D279, "4", 'Future Orders'!$C279, "A", 'Future Orders'!$B279, "2")</f>
        <v>0</v>
      </c>
      <c r="AM279" s="157">
        <f>SUMIFS('Future Orders'!$I279, 'Future Orders'!$D279, "4", 'Future Orders'!$C279, "A", 'Future Orders'!$B279, "2")</f>
        <v>0</v>
      </c>
      <c r="AN279" s="171">
        <f>SUMIFS('Future Orders'!$F279, 'Future Orders'!$D279, "4", 'Future Orders'!$C279, "B", 'Future Orders'!$B279, "2")</f>
        <v>0</v>
      </c>
      <c r="AO279" s="171">
        <f>SUMIFS('Future Orders'!$I279, 'Future Orders'!$D279, "4", 'Future Orders'!$C279, "B", 'Future Orders'!$B279, "2")</f>
        <v>0</v>
      </c>
      <c r="AP279" s="171">
        <f>SUMIFS('Future Orders'!$H279, 'Future Orders'!$C279, "A", 'Future Orders'!$B279, "1")</f>
        <v>8148</v>
      </c>
      <c r="AQ279" s="171">
        <f>SUMIFS('Future Orders'!$I279, 'Future Orders'!$C279, "B", 'Future Orders'!$B279, "1")</f>
        <v>0</v>
      </c>
      <c r="AR279" s="171">
        <f>SUMIFS('Future Orders'!$H279, 'Future Orders'!$C279, "A", 'Future Orders'!$B279, "2")</f>
        <v>0</v>
      </c>
      <c r="AS279" s="171">
        <f>SUMIFS('Future Orders'!$I279, 'Future Orders'!$C279, "B", 'Future Orders'!$B279, "2")</f>
        <v>0</v>
      </c>
      <c r="AT279" s="145"/>
      <c r="AU279" s="172"/>
      <c r="AV279" s="172"/>
      <c r="AW279" s="172"/>
      <c r="AX279" s="172"/>
      <c r="AY279" s="172"/>
      <c r="AZ279" s="172"/>
      <c r="BA279" s="172"/>
      <c r="BB279" s="172"/>
      <c r="BC279" s="172"/>
      <c r="BD279" s="172"/>
      <c r="BE279" s="172"/>
      <c r="BF279" s="172"/>
      <c r="BG279" s="172"/>
      <c r="BH279" s="172"/>
      <c r="BI279" s="172"/>
      <c r="BJ279" s="172"/>
      <c r="BK279" s="172"/>
      <c r="BL279" s="172"/>
      <c r="BM279" s="172"/>
      <c r="BN279" s="172"/>
      <c r="BO279" s="172"/>
      <c r="BP279" s="172"/>
      <c r="BQ279" s="172"/>
      <c r="BR279" s="172"/>
      <c r="BS279" s="172"/>
      <c r="BT279" s="172"/>
      <c r="BU279" s="172"/>
      <c r="BV279" s="172"/>
      <c r="BW279" s="172"/>
      <c r="BX279" s="172"/>
      <c r="BY279" s="172"/>
      <c r="BZ279" s="172"/>
      <c r="CA279" s="179"/>
      <c r="CB279" s="179"/>
      <c r="CC279" s="179"/>
      <c r="CD279" s="179"/>
      <c r="CE279" s="179"/>
      <c r="CF279" s="179"/>
      <c r="CG279" s="179"/>
      <c r="CH279" s="179"/>
      <c r="CI279" s="179"/>
      <c r="CJ279" s="179"/>
      <c r="CK279" s="179"/>
      <c r="CL279" s="179"/>
      <c r="CM279" s="179"/>
      <c r="CN279" s="179"/>
      <c r="CO279" s="179"/>
      <c r="CP279" s="179"/>
    </row>
    <row r="280" ht="15.75" customHeight="1">
      <c r="A280" s="151">
        <v>42177.0</v>
      </c>
      <c r="B280" s="152">
        <v>2.0</v>
      </c>
      <c r="C280" s="152" t="s">
        <v>45</v>
      </c>
      <c r="D280" s="152">
        <v>1.0</v>
      </c>
      <c r="E280" s="153">
        <v>2982.0</v>
      </c>
      <c r="F280" s="153">
        <f>SUM(('Future Orders'!$E280) * (1.1))</f>
        <v>3280.2</v>
      </c>
      <c r="G280" s="154">
        <v>2.2</v>
      </c>
      <c r="H280" s="155">
        <v>6560.400000000001</v>
      </c>
      <c r="I280" s="155">
        <f>SUM(('Future Orders'!$H280) * (1.1))</f>
        <v>7216.44</v>
      </c>
      <c r="J280" s="159">
        <f>SUMIFS('Future Orders'!$F280, 'Future Orders'!$D280, "1", 'Future Orders'!$C280, "A", 'Future Orders'!$B280, "1")</f>
        <v>0</v>
      </c>
      <c r="K280" s="157">
        <f>SUMIFS('Future Orders'!$I280, 'Future Orders'!$D280, "1", 'Future Orders'!$C280, "A", 'Future Orders'!$B280, "1")</f>
        <v>0</v>
      </c>
      <c r="L280" s="157">
        <f>SUMIFS('Future Orders'!$F280, 'Future Orders'!$D280, "1", 'Future Orders'!$C280, "B", 'Future Orders'!$B280, "1")</f>
        <v>0</v>
      </c>
      <c r="M280" s="157">
        <f>SUMIFS('Future Orders'!$I280, 'Future Orders'!$D280, "1", 'Future Orders'!$C280, "B", 'Future Orders'!$B280, "1")</f>
        <v>0</v>
      </c>
      <c r="N280" s="159">
        <f>SUMIFS('Future Orders'!$F280, 'Future Orders'!$D280, "1", 'Future Orders'!$C280, "A", 'Future Orders'!$B280, "2")</f>
        <v>3280.2</v>
      </c>
      <c r="O280" s="157">
        <f>SUMIFS('Future Orders'!$I280, 'Future Orders'!$D280, "1", 'Future Orders'!$C280, "A", 'Future Orders'!$B280, "2")</f>
        <v>7216.44</v>
      </c>
      <c r="P280" s="157">
        <f>SUMIFS('Future Orders'!$E280, 'Future Orders'!$D280, "1", 'Future Orders'!$C280, "B", 'Future Orders'!$B280, "2")</f>
        <v>0</v>
      </c>
      <c r="Q280" s="157">
        <f>SUMIFS('Future Orders'!$I280, 'Future Orders'!$D280, "1", 'Future Orders'!$C280, "B", 'Future Orders'!$B280, "2")</f>
        <v>0</v>
      </c>
      <c r="R280" s="159">
        <f>SUMIFS('Future Orders'!$F280, 'Future Orders'!$D280, "2", 'Future Orders'!$C280, "A", 'Future Orders'!$B280, "1")</f>
        <v>0</v>
      </c>
      <c r="S280" s="157">
        <f>SUMIFS('Future Orders'!$I280, 'Future Orders'!$D280, "2", 'Future Orders'!$C280, "A", 'Future Orders'!$B280, "1")</f>
        <v>0</v>
      </c>
      <c r="T280" s="159">
        <f>SUMIFS('Future Orders'!$F280, 'Future Orders'!$D280, "2", 'Future Orders'!$C280, "B", 'Future Orders'!$B280, "1")</f>
        <v>0</v>
      </c>
      <c r="U280" s="157">
        <f>SUMIFS('Future Orders'!$I280, 'Future Orders'!$D280, "2", 'Future Orders'!$C280, "B", 'Future Orders'!$B280, "1")</f>
        <v>0</v>
      </c>
      <c r="V280" s="159">
        <f>SUMIFS('Future Orders'!$F280, 'Future Orders'!$D280, "2", 'Future Orders'!$C280, "A", 'Future Orders'!$B280, "2")</f>
        <v>0</v>
      </c>
      <c r="W280" s="157">
        <f>SUMIFS('Future Orders'!$I280, 'Future Orders'!$D280, "2", 'Future Orders'!$C280, "A", 'Future Orders'!$B280, "2")</f>
        <v>0</v>
      </c>
      <c r="X280" s="159">
        <f>SUMIFS('Future Orders'!$F280, 'Future Orders'!$D280, "2", 'Future Orders'!$C280, "B", 'Future Orders'!$B280, "2")</f>
        <v>0</v>
      </c>
      <c r="Y280" s="159">
        <f>SUMIFS('Future Orders'!$I280, 'Future Orders'!$D280, "2", 'Future Orders'!$C280, "B", 'Future Orders'!$B280, "2")</f>
        <v>0</v>
      </c>
      <c r="Z280" s="159">
        <f>SUMIFS('Future Orders'!$F280, 'Future Orders'!$D280, "3", 'Future Orders'!$C280, "A", 'Future Orders'!$B280, "1")</f>
        <v>0</v>
      </c>
      <c r="AA280" s="159">
        <f>SUMIFS('Future Orders'!$I280, 'Future Orders'!$D280, "3", 'Future Orders'!$C280, "A", 'Future Orders'!$B280, "1")</f>
        <v>0</v>
      </c>
      <c r="AB280" s="159">
        <f>SUMIFS('Future Orders'!$F280, 'Future Orders'!$D280, "3", 'Future Orders'!$C280, "B", 'Future Orders'!$B280, "1")</f>
        <v>0</v>
      </c>
      <c r="AC280" s="159">
        <f>SUMIFS('Future Orders'!$I280, 'Future Orders'!$D280, "3", 'Future Orders'!$C280, "B", 'Future Orders'!$B280, "1")</f>
        <v>0</v>
      </c>
      <c r="AD280" s="159">
        <f>SUMIFS('Future Orders'!$F280, 'Future Orders'!$D280, "3", 'Future Orders'!$C280, "A", 'Future Orders'!$B280, "2")</f>
        <v>0</v>
      </c>
      <c r="AE280" s="159">
        <f>SUMIFS('Future Orders'!$I280, 'Future Orders'!$D280, "3", 'Future Orders'!$C280, "A", 'Future Orders'!$B280, "2")</f>
        <v>0</v>
      </c>
      <c r="AF280" s="159">
        <f>SUMIFS('Future Orders'!$F280, 'Future Orders'!$D280, "3", 'Future Orders'!$C280, "B", 'Future Orders'!$B280, "2")</f>
        <v>0</v>
      </c>
      <c r="AG280" s="157">
        <f>SUMIFS('Future Orders'!$I280, 'Future Orders'!$D280, "3", 'Future Orders'!$C280, "B", 'Future Orders'!$B280, "2")</f>
        <v>0</v>
      </c>
      <c r="AH280" s="157">
        <f>SUMIFS('Future Orders'!$F280, 'Future Orders'!$D280, "4", 'Future Orders'!$C280, "A", 'Future Orders'!$B280, "1")</f>
        <v>0</v>
      </c>
      <c r="AI280" s="157">
        <f>SUMIFS('Future Orders'!$I280, 'Future Orders'!$D280, "4", 'Future Orders'!$C280, "A", 'Future Orders'!$B280, "1")</f>
        <v>0</v>
      </c>
      <c r="AJ280" s="157">
        <f>SUMIFS('Future Orders'!$F280, 'Future Orders'!$D280, "4", 'Future Orders'!$C280, "B", 'Future Orders'!$B280, "1")</f>
        <v>0</v>
      </c>
      <c r="AK280" s="157">
        <f>SUMIFS('Future Orders'!$I280, 'Future Orders'!$D280, "4", 'Future Orders'!$C280, "B", 'Future Orders'!$B280, "1")</f>
        <v>0</v>
      </c>
      <c r="AL280" s="157">
        <f>SUMIFS('Future Orders'!$F280, 'Future Orders'!$D280, "4", 'Future Orders'!$C280, "A", 'Future Orders'!$B280, "2")</f>
        <v>0</v>
      </c>
      <c r="AM280" s="157">
        <f>SUMIFS('Future Orders'!$I280, 'Future Orders'!$D280, "4", 'Future Orders'!$C280, "A", 'Future Orders'!$B280, "2")</f>
        <v>0</v>
      </c>
      <c r="AN280" s="171">
        <f>SUMIFS('Future Orders'!$F280, 'Future Orders'!$D280, "4", 'Future Orders'!$C280, "B", 'Future Orders'!$B280, "2")</f>
        <v>0</v>
      </c>
      <c r="AO280" s="171">
        <f>SUMIFS('Future Orders'!$I280, 'Future Orders'!$D280, "4", 'Future Orders'!$C280, "B", 'Future Orders'!$B280, "2")</f>
        <v>0</v>
      </c>
      <c r="AP280" s="171">
        <f>SUMIFS('Future Orders'!$H280, 'Future Orders'!$C280, "A", 'Future Orders'!$B280, "1")</f>
        <v>0</v>
      </c>
      <c r="AQ280" s="171">
        <f>SUMIFS('Future Orders'!$I280, 'Future Orders'!$C280, "B", 'Future Orders'!$B280, "1")</f>
        <v>0</v>
      </c>
      <c r="AR280" s="171">
        <f>SUMIFS('Future Orders'!$H280, 'Future Orders'!$C280, "A", 'Future Orders'!$B280, "2")</f>
        <v>6560.4</v>
      </c>
      <c r="AS280" s="171">
        <f>SUMIFS('Future Orders'!$I280, 'Future Orders'!$C280, "B", 'Future Orders'!$B280, "2")</f>
        <v>0</v>
      </c>
      <c r="AT280" s="145"/>
      <c r="AU280" s="172"/>
      <c r="AV280" s="172"/>
      <c r="AW280" s="172"/>
      <c r="AX280" s="172"/>
      <c r="AY280" s="172"/>
      <c r="AZ280" s="172"/>
      <c r="BA280" s="172"/>
      <c r="BB280" s="172"/>
      <c r="BC280" s="172"/>
      <c r="BD280" s="172"/>
      <c r="BE280" s="172"/>
      <c r="BF280" s="172"/>
      <c r="BG280" s="172"/>
      <c r="BH280" s="172"/>
      <c r="BI280" s="172"/>
      <c r="BJ280" s="172"/>
      <c r="BK280" s="172"/>
      <c r="BL280" s="172"/>
      <c r="BM280" s="172"/>
      <c r="BN280" s="172"/>
      <c r="BO280" s="172"/>
      <c r="BP280" s="172"/>
      <c r="BQ280" s="172"/>
      <c r="BR280" s="172"/>
      <c r="BS280" s="172"/>
      <c r="BT280" s="172"/>
      <c r="BU280" s="172"/>
      <c r="BV280" s="172"/>
      <c r="BW280" s="172"/>
      <c r="BX280" s="172"/>
      <c r="BY280" s="172"/>
      <c r="BZ280" s="172"/>
      <c r="CA280" s="179"/>
      <c r="CB280" s="179"/>
      <c r="CC280" s="179"/>
      <c r="CD280" s="179"/>
      <c r="CE280" s="179"/>
      <c r="CF280" s="179"/>
      <c r="CG280" s="179"/>
      <c r="CH280" s="179"/>
      <c r="CI280" s="179"/>
      <c r="CJ280" s="179"/>
      <c r="CK280" s="179"/>
      <c r="CL280" s="179"/>
      <c r="CM280" s="179"/>
      <c r="CN280" s="179"/>
      <c r="CO280" s="179"/>
      <c r="CP280" s="179"/>
    </row>
    <row r="281" ht="15.75" customHeight="1">
      <c r="A281" s="151">
        <v>42177.0</v>
      </c>
      <c r="B281" s="152">
        <v>2.0</v>
      </c>
      <c r="C281" s="152" t="s">
        <v>45</v>
      </c>
      <c r="D281" s="152">
        <v>2.0</v>
      </c>
      <c r="E281" s="153">
        <v>6792.0</v>
      </c>
      <c r="F281" s="153">
        <f>SUM(('Future Orders'!$E281) * (1.1))</f>
        <v>7471.2</v>
      </c>
      <c r="G281" s="154">
        <v>1.2</v>
      </c>
      <c r="H281" s="155">
        <v>8150.4</v>
      </c>
      <c r="I281" s="155">
        <f>SUM(('Future Orders'!$H281) * (1.1))</f>
        <v>8965.44</v>
      </c>
      <c r="J281" s="159">
        <f>SUMIFS('Future Orders'!$F281, 'Future Orders'!$D281, "1", 'Future Orders'!$C281, "A", 'Future Orders'!$B281, "1")</f>
        <v>0</v>
      </c>
      <c r="K281" s="157">
        <f>SUMIFS('Future Orders'!$I281, 'Future Orders'!$D281, "1", 'Future Orders'!$C281, "A", 'Future Orders'!$B281, "1")</f>
        <v>0</v>
      </c>
      <c r="L281" s="157">
        <f>SUMIFS('Future Orders'!$F281, 'Future Orders'!$D281, "1", 'Future Orders'!$C281, "B", 'Future Orders'!$B281, "1")</f>
        <v>0</v>
      </c>
      <c r="M281" s="157">
        <f>SUMIFS('Future Orders'!$I281, 'Future Orders'!$D281, "1", 'Future Orders'!$C281, "B", 'Future Orders'!$B281, "1")</f>
        <v>0</v>
      </c>
      <c r="N281" s="159">
        <f>SUMIFS('Future Orders'!$F281, 'Future Orders'!$D281, "1", 'Future Orders'!$C281, "A", 'Future Orders'!$B281, "2")</f>
        <v>0</v>
      </c>
      <c r="O281" s="157">
        <f>SUMIFS('Future Orders'!$I281, 'Future Orders'!$D281, "1", 'Future Orders'!$C281, "A", 'Future Orders'!$B281, "2")</f>
        <v>0</v>
      </c>
      <c r="P281" s="157">
        <f>SUMIFS('Future Orders'!$E281, 'Future Orders'!$D281, "1", 'Future Orders'!$C281, "B", 'Future Orders'!$B281, "2")</f>
        <v>0</v>
      </c>
      <c r="Q281" s="157">
        <f>SUMIFS('Future Orders'!$I281, 'Future Orders'!$D281, "1", 'Future Orders'!$C281, "B", 'Future Orders'!$B281, "2")</f>
        <v>0</v>
      </c>
      <c r="R281" s="159">
        <f>SUMIFS('Future Orders'!$F281, 'Future Orders'!$D281, "2", 'Future Orders'!$C281, "A", 'Future Orders'!$B281, "1")</f>
        <v>0</v>
      </c>
      <c r="S281" s="157">
        <f>SUMIFS('Future Orders'!$I281, 'Future Orders'!$D281, "2", 'Future Orders'!$C281, "A", 'Future Orders'!$B281, "1")</f>
        <v>0</v>
      </c>
      <c r="T281" s="159">
        <f>SUMIFS('Future Orders'!$F281, 'Future Orders'!$D281, "2", 'Future Orders'!$C281, "B", 'Future Orders'!$B281, "1")</f>
        <v>0</v>
      </c>
      <c r="U281" s="157">
        <f>SUMIFS('Future Orders'!$I281, 'Future Orders'!$D281, "2", 'Future Orders'!$C281, "B", 'Future Orders'!$B281, "1")</f>
        <v>0</v>
      </c>
      <c r="V281" s="159">
        <f>SUMIFS('Future Orders'!$F281, 'Future Orders'!$D281, "2", 'Future Orders'!$C281, "A", 'Future Orders'!$B281, "2")</f>
        <v>7471.2</v>
      </c>
      <c r="W281" s="157">
        <f>SUMIFS('Future Orders'!$I281, 'Future Orders'!$D281, "2", 'Future Orders'!$C281, "A", 'Future Orders'!$B281, "2")</f>
        <v>8965.44</v>
      </c>
      <c r="X281" s="159">
        <f>SUMIFS('Future Orders'!$F281, 'Future Orders'!$D281, "2", 'Future Orders'!$C281, "B", 'Future Orders'!$B281, "2")</f>
        <v>0</v>
      </c>
      <c r="Y281" s="159">
        <f>SUMIFS('Future Orders'!$I281, 'Future Orders'!$D281, "2", 'Future Orders'!$C281, "B", 'Future Orders'!$B281, "2")</f>
        <v>0</v>
      </c>
      <c r="Z281" s="159">
        <f>SUMIFS('Future Orders'!$F281, 'Future Orders'!$D281, "3", 'Future Orders'!$C281, "A", 'Future Orders'!$B281, "1")</f>
        <v>0</v>
      </c>
      <c r="AA281" s="159">
        <f>SUMIFS('Future Orders'!$I281, 'Future Orders'!$D281, "3", 'Future Orders'!$C281, "A", 'Future Orders'!$B281, "1")</f>
        <v>0</v>
      </c>
      <c r="AB281" s="159">
        <f>SUMIFS('Future Orders'!$F281, 'Future Orders'!$D281, "3", 'Future Orders'!$C281, "B", 'Future Orders'!$B281, "1")</f>
        <v>0</v>
      </c>
      <c r="AC281" s="159">
        <f>SUMIFS('Future Orders'!$I281, 'Future Orders'!$D281, "3", 'Future Orders'!$C281, "B", 'Future Orders'!$B281, "1")</f>
        <v>0</v>
      </c>
      <c r="AD281" s="159">
        <f>SUMIFS('Future Orders'!$F281, 'Future Orders'!$D281, "3", 'Future Orders'!$C281, "A", 'Future Orders'!$B281, "2")</f>
        <v>0</v>
      </c>
      <c r="AE281" s="159">
        <f>SUMIFS('Future Orders'!$I281, 'Future Orders'!$D281, "3", 'Future Orders'!$C281, "A", 'Future Orders'!$B281, "2")</f>
        <v>0</v>
      </c>
      <c r="AF281" s="159">
        <f>SUMIFS('Future Orders'!$F281, 'Future Orders'!$D281, "3", 'Future Orders'!$C281, "B", 'Future Orders'!$B281, "2")</f>
        <v>0</v>
      </c>
      <c r="AG281" s="157">
        <f>SUMIFS('Future Orders'!$I281, 'Future Orders'!$D281, "3", 'Future Orders'!$C281, "B", 'Future Orders'!$B281, "2")</f>
        <v>0</v>
      </c>
      <c r="AH281" s="157">
        <f>SUMIFS('Future Orders'!$F281, 'Future Orders'!$D281, "4", 'Future Orders'!$C281, "A", 'Future Orders'!$B281, "1")</f>
        <v>0</v>
      </c>
      <c r="AI281" s="157">
        <f>SUMIFS('Future Orders'!$I281, 'Future Orders'!$D281, "4", 'Future Orders'!$C281, "A", 'Future Orders'!$B281, "1")</f>
        <v>0</v>
      </c>
      <c r="AJ281" s="157">
        <f>SUMIFS('Future Orders'!$F281, 'Future Orders'!$D281, "4", 'Future Orders'!$C281, "B", 'Future Orders'!$B281, "1")</f>
        <v>0</v>
      </c>
      <c r="AK281" s="157">
        <f>SUMIFS('Future Orders'!$I281, 'Future Orders'!$D281, "4", 'Future Orders'!$C281, "B", 'Future Orders'!$B281, "1")</f>
        <v>0</v>
      </c>
      <c r="AL281" s="157">
        <f>SUMIFS('Future Orders'!$F281, 'Future Orders'!$D281, "4", 'Future Orders'!$C281, "A", 'Future Orders'!$B281, "2")</f>
        <v>0</v>
      </c>
      <c r="AM281" s="157">
        <f>SUMIFS('Future Orders'!$I281, 'Future Orders'!$D281, "4", 'Future Orders'!$C281, "A", 'Future Orders'!$B281, "2")</f>
        <v>0</v>
      </c>
      <c r="AN281" s="171">
        <f>SUMIFS('Future Orders'!$F281, 'Future Orders'!$D281, "4", 'Future Orders'!$C281, "B", 'Future Orders'!$B281, "2")</f>
        <v>0</v>
      </c>
      <c r="AO281" s="171">
        <f>SUMIFS('Future Orders'!$I281, 'Future Orders'!$D281, "4", 'Future Orders'!$C281, "B", 'Future Orders'!$B281, "2")</f>
        <v>0</v>
      </c>
      <c r="AP281" s="171">
        <f>SUMIFS('Future Orders'!$H281, 'Future Orders'!$C281, "A", 'Future Orders'!$B281, "1")</f>
        <v>0</v>
      </c>
      <c r="AQ281" s="171">
        <f>SUMIFS('Future Orders'!$I281, 'Future Orders'!$C281, "B", 'Future Orders'!$B281, "1")</f>
        <v>0</v>
      </c>
      <c r="AR281" s="171">
        <f>SUMIFS('Future Orders'!$H281, 'Future Orders'!$C281, "A", 'Future Orders'!$B281, "2")</f>
        <v>8150.4</v>
      </c>
      <c r="AS281" s="171">
        <f>SUMIFS('Future Orders'!$I281, 'Future Orders'!$C281, "B", 'Future Orders'!$B281, "2")</f>
        <v>0</v>
      </c>
      <c r="AT281" s="145"/>
      <c r="AU281" s="172"/>
      <c r="AV281" s="172"/>
      <c r="AW281" s="172"/>
      <c r="AX281" s="172"/>
      <c r="AY281" s="172"/>
      <c r="AZ281" s="172"/>
      <c r="BA281" s="172"/>
      <c r="BB281" s="172"/>
      <c r="BC281" s="172"/>
      <c r="BD281" s="172"/>
      <c r="BE281" s="172"/>
      <c r="BF281" s="172"/>
      <c r="BG281" s="172"/>
      <c r="BH281" s="172"/>
      <c r="BI281" s="172"/>
      <c r="BJ281" s="172"/>
      <c r="BK281" s="172"/>
      <c r="BL281" s="172"/>
      <c r="BM281" s="172"/>
      <c r="BN281" s="172"/>
      <c r="BO281" s="172"/>
      <c r="BP281" s="172"/>
      <c r="BQ281" s="172"/>
      <c r="BR281" s="172"/>
      <c r="BS281" s="172"/>
      <c r="BT281" s="172"/>
      <c r="BU281" s="172"/>
      <c r="BV281" s="172"/>
      <c r="BW281" s="172"/>
      <c r="BX281" s="172"/>
      <c r="BY281" s="172"/>
      <c r="BZ281" s="172"/>
      <c r="CA281" s="179"/>
      <c r="CB281" s="179"/>
      <c r="CC281" s="179"/>
      <c r="CD281" s="179"/>
      <c r="CE281" s="179"/>
      <c r="CF281" s="179"/>
      <c r="CG281" s="179"/>
      <c r="CH281" s="179"/>
      <c r="CI281" s="179"/>
      <c r="CJ281" s="179"/>
      <c r="CK281" s="179"/>
      <c r="CL281" s="179"/>
      <c r="CM281" s="179"/>
      <c r="CN281" s="179"/>
      <c r="CO281" s="179"/>
      <c r="CP281" s="179"/>
    </row>
    <row r="282" ht="15.75" customHeight="1">
      <c r="A282" s="151">
        <v>42177.0</v>
      </c>
      <c r="B282" s="152">
        <v>1.0</v>
      </c>
      <c r="C282" s="152" t="s">
        <v>46</v>
      </c>
      <c r="D282" s="152">
        <v>3.0</v>
      </c>
      <c r="E282" s="153">
        <v>2490.0</v>
      </c>
      <c r="F282" s="153">
        <f>SUM(('Future Orders'!$E282) * (1.1))</f>
        <v>2739</v>
      </c>
      <c r="G282" s="154">
        <v>8.3</v>
      </c>
      <c r="H282" s="155">
        <v>20667.0</v>
      </c>
      <c r="I282" s="155">
        <f>SUM(('Future Orders'!$H282) * (1.1))</f>
        <v>22733.7</v>
      </c>
      <c r="J282" s="159">
        <f>SUMIFS('Future Orders'!$F282, 'Future Orders'!$D282, "1", 'Future Orders'!$C282, "A", 'Future Orders'!$B282, "1")</f>
        <v>0</v>
      </c>
      <c r="K282" s="157">
        <f>SUMIFS('Future Orders'!$I282, 'Future Orders'!$D282, "1", 'Future Orders'!$C282, "A", 'Future Orders'!$B282, "1")</f>
        <v>0</v>
      </c>
      <c r="L282" s="157">
        <f>SUMIFS('Future Orders'!$F282, 'Future Orders'!$D282, "1", 'Future Orders'!$C282, "B", 'Future Orders'!$B282, "1")</f>
        <v>0</v>
      </c>
      <c r="M282" s="157">
        <f>SUMIFS('Future Orders'!$I282, 'Future Orders'!$D282, "1", 'Future Orders'!$C282, "B", 'Future Orders'!$B282, "1")</f>
        <v>0</v>
      </c>
      <c r="N282" s="159">
        <f>SUMIFS('Future Orders'!$F282, 'Future Orders'!$D282, "1", 'Future Orders'!$C282, "A", 'Future Orders'!$B282, "2")</f>
        <v>0</v>
      </c>
      <c r="O282" s="157">
        <f>SUMIFS('Future Orders'!$I282, 'Future Orders'!$D282, "1", 'Future Orders'!$C282, "A", 'Future Orders'!$B282, "2")</f>
        <v>0</v>
      </c>
      <c r="P282" s="157">
        <f>SUMIFS('Future Orders'!$E282, 'Future Orders'!$D282, "1", 'Future Orders'!$C282, "B", 'Future Orders'!$B282, "2")</f>
        <v>0</v>
      </c>
      <c r="Q282" s="157">
        <f>SUMIFS('Future Orders'!$I282, 'Future Orders'!$D282, "1", 'Future Orders'!$C282, "B", 'Future Orders'!$B282, "2")</f>
        <v>0</v>
      </c>
      <c r="R282" s="159">
        <f>SUMIFS('Future Orders'!$F282, 'Future Orders'!$D282, "2", 'Future Orders'!$C282, "A", 'Future Orders'!$B282, "1")</f>
        <v>0</v>
      </c>
      <c r="S282" s="157">
        <f>SUMIFS('Future Orders'!$I282, 'Future Orders'!$D282, "2", 'Future Orders'!$C282, "A", 'Future Orders'!$B282, "1")</f>
        <v>0</v>
      </c>
      <c r="T282" s="159">
        <f>SUMIFS('Future Orders'!$F282, 'Future Orders'!$D282, "2", 'Future Orders'!$C282, "B", 'Future Orders'!$B282, "1")</f>
        <v>0</v>
      </c>
      <c r="U282" s="157">
        <f>SUMIFS('Future Orders'!$I282, 'Future Orders'!$D282, "2", 'Future Orders'!$C282, "B", 'Future Orders'!$B282, "1")</f>
        <v>0</v>
      </c>
      <c r="V282" s="159">
        <f>SUMIFS('Future Orders'!$F282, 'Future Orders'!$D282, "2", 'Future Orders'!$C282, "A", 'Future Orders'!$B282, "2")</f>
        <v>0</v>
      </c>
      <c r="W282" s="157">
        <f>SUMIFS('Future Orders'!$I282, 'Future Orders'!$D282, "2", 'Future Orders'!$C282, "A", 'Future Orders'!$B282, "2")</f>
        <v>0</v>
      </c>
      <c r="X282" s="159">
        <f>SUMIFS('Future Orders'!$F282, 'Future Orders'!$D282, "2", 'Future Orders'!$C282, "B", 'Future Orders'!$B282, "2")</f>
        <v>0</v>
      </c>
      <c r="Y282" s="159">
        <f>SUMIFS('Future Orders'!$I282, 'Future Orders'!$D282, "2", 'Future Orders'!$C282, "B", 'Future Orders'!$B282, "2")</f>
        <v>0</v>
      </c>
      <c r="Z282" s="159">
        <f>SUMIFS('Future Orders'!$F282, 'Future Orders'!$D282, "3", 'Future Orders'!$C282, "A", 'Future Orders'!$B282, "1")</f>
        <v>0</v>
      </c>
      <c r="AA282" s="159">
        <f>SUMIFS('Future Orders'!$I282, 'Future Orders'!$D282, "3", 'Future Orders'!$C282, "A", 'Future Orders'!$B282, "1")</f>
        <v>0</v>
      </c>
      <c r="AB282" s="159">
        <f>SUMIFS('Future Orders'!$F282, 'Future Orders'!$D282, "3", 'Future Orders'!$C282, "B", 'Future Orders'!$B282, "1")</f>
        <v>2739</v>
      </c>
      <c r="AC282" s="159">
        <f>SUMIFS('Future Orders'!$I282, 'Future Orders'!$D282, "3", 'Future Orders'!$C282, "B", 'Future Orders'!$B282, "1")</f>
        <v>22733.7</v>
      </c>
      <c r="AD282" s="159">
        <f>SUMIFS('Future Orders'!$F282, 'Future Orders'!$D282, "3", 'Future Orders'!$C282, "A", 'Future Orders'!$B282, "2")</f>
        <v>0</v>
      </c>
      <c r="AE282" s="159">
        <f>SUMIFS('Future Orders'!$I282, 'Future Orders'!$D282, "3", 'Future Orders'!$C282, "A", 'Future Orders'!$B282, "2")</f>
        <v>0</v>
      </c>
      <c r="AF282" s="159">
        <f>SUMIFS('Future Orders'!$F282, 'Future Orders'!$D282, "3", 'Future Orders'!$C282, "B", 'Future Orders'!$B282, "2")</f>
        <v>0</v>
      </c>
      <c r="AG282" s="157">
        <f>SUMIFS('Future Orders'!$I282, 'Future Orders'!$D282, "3", 'Future Orders'!$C282, "B", 'Future Orders'!$B282, "2")</f>
        <v>0</v>
      </c>
      <c r="AH282" s="157">
        <f>SUMIFS('Future Orders'!$F282, 'Future Orders'!$D282, "4", 'Future Orders'!$C282, "A", 'Future Orders'!$B282, "1")</f>
        <v>0</v>
      </c>
      <c r="AI282" s="157">
        <f>SUMIFS('Future Orders'!$I282, 'Future Orders'!$D282, "4", 'Future Orders'!$C282, "A", 'Future Orders'!$B282, "1")</f>
        <v>0</v>
      </c>
      <c r="AJ282" s="157">
        <f>SUMIFS('Future Orders'!$F282, 'Future Orders'!$D282, "4", 'Future Orders'!$C282, "B", 'Future Orders'!$B282, "1")</f>
        <v>0</v>
      </c>
      <c r="AK282" s="157">
        <f>SUMIFS('Future Orders'!$I282, 'Future Orders'!$D282, "4", 'Future Orders'!$C282, "B", 'Future Orders'!$B282, "1")</f>
        <v>0</v>
      </c>
      <c r="AL282" s="157">
        <f>SUMIFS('Future Orders'!$F282, 'Future Orders'!$D282, "4", 'Future Orders'!$C282, "A", 'Future Orders'!$B282, "2")</f>
        <v>0</v>
      </c>
      <c r="AM282" s="157">
        <f>SUMIFS('Future Orders'!$I282, 'Future Orders'!$D282, "4", 'Future Orders'!$C282, "A", 'Future Orders'!$B282, "2")</f>
        <v>0</v>
      </c>
      <c r="AN282" s="171">
        <f>SUMIFS('Future Orders'!$F282, 'Future Orders'!$D282, "4", 'Future Orders'!$C282, "B", 'Future Orders'!$B282, "2")</f>
        <v>0</v>
      </c>
      <c r="AO282" s="171">
        <f>SUMIFS('Future Orders'!$I282, 'Future Orders'!$D282, "4", 'Future Orders'!$C282, "B", 'Future Orders'!$B282, "2")</f>
        <v>0</v>
      </c>
      <c r="AP282" s="171">
        <f>SUMIFS('Future Orders'!$H282, 'Future Orders'!$C282, "A", 'Future Orders'!$B282, "1")</f>
        <v>0</v>
      </c>
      <c r="AQ282" s="171">
        <f>SUMIFS('Future Orders'!$I282, 'Future Orders'!$C282, "B", 'Future Orders'!$B282, "1")</f>
        <v>22733.7</v>
      </c>
      <c r="AR282" s="171">
        <f>SUMIFS('Future Orders'!$H282, 'Future Orders'!$C282, "A", 'Future Orders'!$B282, "2")</f>
        <v>0</v>
      </c>
      <c r="AS282" s="171">
        <f>SUMIFS('Future Orders'!$I282, 'Future Orders'!$C282, "B", 'Future Orders'!$B282, "2")</f>
        <v>0</v>
      </c>
      <c r="AT282" s="145"/>
      <c r="AU282" s="172"/>
      <c r="AV282" s="172"/>
      <c r="AW282" s="172"/>
      <c r="AX282" s="172"/>
      <c r="AY282" s="172"/>
      <c r="AZ282" s="172"/>
      <c r="BA282" s="172"/>
      <c r="BB282" s="172"/>
      <c r="BC282" s="172"/>
      <c r="BD282" s="172"/>
      <c r="BE282" s="172"/>
      <c r="BF282" s="172"/>
      <c r="BG282" s="172"/>
      <c r="BH282" s="172"/>
      <c r="BI282" s="172"/>
      <c r="BJ282" s="172"/>
      <c r="BK282" s="172"/>
      <c r="BL282" s="172"/>
      <c r="BM282" s="172"/>
      <c r="BN282" s="172"/>
      <c r="BO282" s="172"/>
      <c r="BP282" s="172"/>
      <c r="BQ282" s="172"/>
      <c r="BR282" s="172"/>
      <c r="BS282" s="172"/>
      <c r="BT282" s="172"/>
      <c r="BU282" s="172"/>
      <c r="BV282" s="172"/>
      <c r="BW282" s="172"/>
      <c r="BX282" s="172"/>
      <c r="BY282" s="172"/>
      <c r="BZ282" s="172"/>
      <c r="CA282" s="179"/>
      <c r="CB282" s="179"/>
      <c r="CC282" s="179"/>
      <c r="CD282" s="179"/>
      <c r="CE282" s="179"/>
      <c r="CF282" s="179"/>
      <c r="CG282" s="179"/>
      <c r="CH282" s="179"/>
      <c r="CI282" s="179"/>
      <c r="CJ282" s="179"/>
      <c r="CK282" s="179"/>
      <c r="CL282" s="179"/>
      <c r="CM282" s="179"/>
      <c r="CN282" s="179"/>
      <c r="CO282" s="179"/>
      <c r="CP282" s="179"/>
    </row>
    <row r="283" ht="15.75" customHeight="1">
      <c r="A283" s="151">
        <v>42177.0</v>
      </c>
      <c r="B283" s="152">
        <v>2.0</v>
      </c>
      <c r="C283" s="152" t="s">
        <v>46</v>
      </c>
      <c r="D283" s="152">
        <v>3.0</v>
      </c>
      <c r="E283" s="153">
        <v>2848.0</v>
      </c>
      <c r="F283" s="153">
        <f>SUM(('Future Orders'!$E283) * (1.1))</f>
        <v>3132.8</v>
      </c>
      <c r="G283" s="154">
        <v>8.3</v>
      </c>
      <c r="H283" s="155">
        <v>23638.4</v>
      </c>
      <c r="I283" s="155">
        <f>SUM(('Future Orders'!$H283) * (1.1))</f>
        <v>26002.24</v>
      </c>
      <c r="J283" s="159">
        <f>SUMIFS('Future Orders'!$F283, 'Future Orders'!$D283, "1", 'Future Orders'!$C283, "A", 'Future Orders'!$B283, "1")</f>
        <v>0</v>
      </c>
      <c r="K283" s="157">
        <f>SUMIFS('Future Orders'!$I283, 'Future Orders'!$D283, "1", 'Future Orders'!$C283, "A", 'Future Orders'!$B283, "1")</f>
        <v>0</v>
      </c>
      <c r="L283" s="157">
        <f>SUMIFS('Future Orders'!$F283, 'Future Orders'!$D283, "1", 'Future Orders'!$C283, "B", 'Future Orders'!$B283, "1")</f>
        <v>0</v>
      </c>
      <c r="M283" s="157">
        <f>SUMIFS('Future Orders'!$I283, 'Future Orders'!$D283, "1", 'Future Orders'!$C283, "B", 'Future Orders'!$B283, "1")</f>
        <v>0</v>
      </c>
      <c r="N283" s="159">
        <f>SUMIFS('Future Orders'!$F283, 'Future Orders'!$D283, "1", 'Future Orders'!$C283, "A", 'Future Orders'!$B283, "2")</f>
        <v>0</v>
      </c>
      <c r="O283" s="157">
        <f>SUMIFS('Future Orders'!$I283, 'Future Orders'!$D283, "1", 'Future Orders'!$C283, "A", 'Future Orders'!$B283, "2")</f>
        <v>0</v>
      </c>
      <c r="P283" s="157">
        <f>SUMIFS('Future Orders'!$E283, 'Future Orders'!$D283, "1", 'Future Orders'!$C283, "B", 'Future Orders'!$B283, "2")</f>
        <v>0</v>
      </c>
      <c r="Q283" s="157">
        <f>SUMIFS('Future Orders'!$I283, 'Future Orders'!$D283, "1", 'Future Orders'!$C283, "B", 'Future Orders'!$B283, "2")</f>
        <v>0</v>
      </c>
      <c r="R283" s="159">
        <f>SUMIFS('Future Orders'!$F283, 'Future Orders'!$D283, "2", 'Future Orders'!$C283, "A", 'Future Orders'!$B283, "1")</f>
        <v>0</v>
      </c>
      <c r="S283" s="157">
        <f>SUMIFS('Future Orders'!$I283, 'Future Orders'!$D283, "2", 'Future Orders'!$C283, "A", 'Future Orders'!$B283, "1")</f>
        <v>0</v>
      </c>
      <c r="T283" s="159">
        <f>SUMIFS('Future Orders'!$F283, 'Future Orders'!$D283, "2", 'Future Orders'!$C283, "B", 'Future Orders'!$B283, "1")</f>
        <v>0</v>
      </c>
      <c r="U283" s="157">
        <f>SUMIFS('Future Orders'!$I283, 'Future Orders'!$D283, "2", 'Future Orders'!$C283, "B", 'Future Orders'!$B283, "1")</f>
        <v>0</v>
      </c>
      <c r="V283" s="159">
        <f>SUMIFS('Future Orders'!$F283, 'Future Orders'!$D283, "2", 'Future Orders'!$C283, "A", 'Future Orders'!$B283, "2")</f>
        <v>0</v>
      </c>
      <c r="W283" s="157">
        <f>SUMIFS('Future Orders'!$I283, 'Future Orders'!$D283, "2", 'Future Orders'!$C283, "A", 'Future Orders'!$B283, "2")</f>
        <v>0</v>
      </c>
      <c r="X283" s="159">
        <f>SUMIFS('Future Orders'!$F283, 'Future Orders'!$D283, "2", 'Future Orders'!$C283, "B", 'Future Orders'!$B283, "2")</f>
        <v>0</v>
      </c>
      <c r="Y283" s="159">
        <f>SUMIFS('Future Orders'!$I283, 'Future Orders'!$D283, "2", 'Future Orders'!$C283, "B", 'Future Orders'!$B283, "2")</f>
        <v>0</v>
      </c>
      <c r="Z283" s="159">
        <f>SUMIFS('Future Orders'!$F283, 'Future Orders'!$D283, "3", 'Future Orders'!$C283, "A", 'Future Orders'!$B283, "1")</f>
        <v>0</v>
      </c>
      <c r="AA283" s="159">
        <f>SUMIFS('Future Orders'!$I283, 'Future Orders'!$D283, "3", 'Future Orders'!$C283, "A", 'Future Orders'!$B283, "1")</f>
        <v>0</v>
      </c>
      <c r="AB283" s="159">
        <f>SUMIFS('Future Orders'!$F283, 'Future Orders'!$D283, "3", 'Future Orders'!$C283, "B", 'Future Orders'!$B283, "1")</f>
        <v>0</v>
      </c>
      <c r="AC283" s="159">
        <f>SUMIFS('Future Orders'!$I283, 'Future Orders'!$D283, "3", 'Future Orders'!$C283, "B", 'Future Orders'!$B283, "1")</f>
        <v>0</v>
      </c>
      <c r="AD283" s="159">
        <f>SUMIFS('Future Orders'!$F283, 'Future Orders'!$D283, "3", 'Future Orders'!$C283, "A", 'Future Orders'!$B283, "2")</f>
        <v>0</v>
      </c>
      <c r="AE283" s="159">
        <f>SUMIFS('Future Orders'!$I283, 'Future Orders'!$D283, "3", 'Future Orders'!$C283, "A", 'Future Orders'!$B283, "2")</f>
        <v>0</v>
      </c>
      <c r="AF283" s="159">
        <f>SUMIFS('Future Orders'!$F283, 'Future Orders'!$D283, "3", 'Future Orders'!$C283, "B", 'Future Orders'!$B283, "2")</f>
        <v>3132.8</v>
      </c>
      <c r="AG283" s="157">
        <f>SUMIFS('Future Orders'!$I283, 'Future Orders'!$D283, "3", 'Future Orders'!$C283, "B", 'Future Orders'!$B283, "2")</f>
        <v>26002.24</v>
      </c>
      <c r="AH283" s="157">
        <f>SUMIFS('Future Orders'!$F283, 'Future Orders'!$D283, "4", 'Future Orders'!$C283, "A", 'Future Orders'!$B283, "1")</f>
        <v>0</v>
      </c>
      <c r="AI283" s="157">
        <f>SUMIFS('Future Orders'!$I283, 'Future Orders'!$D283, "4", 'Future Orders'!$C283, "A", 'Future Orders'!$B283, "1")</f>
        <v>0</v>
      </c>
      <c r="AJ283" s="157">
        <f>SUMIFS('Future Orders'!$F283, 'Future Orders'!$D283, "4", 'Future Orders'!$C283, "B", 'Future Orders'!$B283, "1")</f>
        <v>0</v>
      </c>
      <c r="AK283" s="157">
        <f>SUMIFS('Future Orders'!$I283, 'Future Orders'!$D283, "4", 'Future Orders'!$C283, "B", 'Future Orders'!$B283, "1")</f>
        <v>0</v>
      </c>
      <c r="AL283" s="157">
        <f>SUMIFS('Future Orders'!$F283, 'Future Orders'!$D283, "4", 'Future Orders'!$C283, "A", 'Future Orders'!$B283, "2")</f>
        <v>0</v>
      </c>
      <c r="AM283" s="157">
        <f>SUMIFS('Future Orders'!$I283, 'Future Orders'!$D283, "4", 'Future Orders'!$C283, "A", 'Future Orders'!$B283, "2")</f>
        <v>0</v>
      </c>
      <c r="AN283" s="171">
        <f>SUMIFS('Future Orders'!$F283, 'Future Orders'!$D283, "4", 'Future Orders'!$C283, "B", 'Future Orders'!$B283, "2")</f>
        <v>0</v>
      </c>
      <c r="AO283" s="171">
        <f>SUMIFS('Future Orders'!$I283, 'Future Orders'!$D283, "4", 'Future Orders'!$C283, "B", 'Future Orders'!$B283, "2")</f>
        <v>0</v>
      </c>
      <c r="AP283" s="171">
        <f>SUMIFS('Future Orders'!$H283, 'Future Orders'!$C283, "A", 'Future Orders'!$B283, "1")</f>
        <v>0</v>
      </c>
      <c r="AQ283" s="171">
        <f>SUMIFS('Future Orders'!$I283, 'Future Orders'!$C283, "B", 'Future Orders'!$B283, "1")</f>
        <v>0</v>
      </c>
      <c r="AR283" s="171">
        <f>SUMIFS('Future Orders'!$H283, 'Future Orders'!$C283, "A", 'Future Orders'!$B283, "2")</f>
        <v>0</v>
      </c>
      <c r="AS283" s="171">
        <f>SUMIFS('Future Orders'!$I283, 'Future Orders'!$C283, "B", 'Future Orders'!$B283, "2")</f>
        <v>26002.24</v>
      </c>
      <c r="AT283" s="145"/>
      <c r="AU283" s="172"/>
      <c r="AV283" s="172"/>
      <c r="AW283" s="172"/>
      <c r="AX283" s="172"/>
      <c r="AY283" s="172"/>
      <c r="AZ283" s="172"/>
      <c r="BA283" s="172"/>
      <c r="BB283" s="172"/>
      <c r="BC283" s="172"/>
      <c r="BD283" s="172"/>
      <c r="BE283" s="172"/>
      <c r="BF283" s="172"/>
      <c r="BG283" s="172"/>
      <c r="BH283" s="172"/>
      <c r="BI283" s="172"/>
      <c r="BJ283" s="172"/>
      <c r="BK283" s="172"/>
      <c r="BL283" s="172"/>
      <c r="BM283" s="172"/>
      <c r="BN283" s="172"/>
      <c r="BO283" s="172"/>
      <c r="BP283" s="172"/>
      <c r="BQ283" s="172"/>
      <c r="BR283" s="172"/>
      <c r="BS283" s="172"/>
      <c r="BT283" s="172"/>
      <c r="BU283" s="172"/>
      <c r="BV283" s="172"/>
      <c r="BW283" s="172"/>
      <c r="BX283" s="172"/>
      <c r="BY283" s="172"/>
      <c r="BZ283" s="172"/>
      <c r="CA283" s="179"/>
      <c r="CB283" s="179"/>
      <c r="CC283" s="179"/>
      <c r="CD283" s="179"/>
      <c r="CE283" s="179"/>
      <c r="CF283" s="179"/>
      <c r="CG283" s="179"/>
      <c r="CH283" s="179"/>
      <c r="CI283" s="179"/>
      <c r="CJ283" s="179"/>
      <c r="CK283" s="179"/>
      <c r="CL283" s="179"/>
      <c r="CM283" s="179"/>
      <c r="CN283" s="179"/>
      <c r="CO283" s="179"/>
      <c r="CP283" s="179"/>
    </row>
    <row r="284" ht="15.75" customHeight="1">
      <c r="A284" s="151">
        <v>42184.0</v>
      </c>
      <c r="B284" s="152">
        <v>1.0</v>
      </c>
      <c r="C284" s="152" t="s">
        <v>45</v>
      </c>
      <c r="D284" s="152">
        <v>1.0</v>
      </c>
      <c r="E284" s="153">
        <v>5914.0</v>
      </c>
      <c r="F284" s="153">
        <f>SUM(('Future Orders'!$E284) * (1.1))</f>
        <v>6505.4</v>
      </c>
      <c r="G284" s="154">
        <v>2.2</v>
      </c>
      <c r="H284" s="155">
        <v>13010.800000000001</v>
      </c>
      <c r="I284" s="155">
        <f>SUM(('Future Orders'!$H284) * (1.1))</f>
        <v>14311.88</v>
      </c>
      <c r="J284" s="159">
        <f>SUMIFS('Future Orders'!$F284, 'Future Orders'!$D284, "1", 'Future Orders'!$C284, "A", 'Future Orders'!$B284, "1")</f>
        <v>6505.4</v>
      </c>
      <c r="K284" s="157">
        <f>SUMIFS('Future Orders'!$I284, 'Future Orders'!$D284, "1", 'Future Orders'!$C284, "A", 'Future Orders'!$B284, "1")</f>
        <v>14311.88</v>
      </c>
      <c r="L284" s="157">
        <f>SUMIFS('Future Orders'!$F284, 'Future Orders'!$D284, "1", 'Future Orders'!$C284, "B", 'Future Orders'!$B284, "1")</f>
        <v>0</v>
      </c>
      <c r="M284" s="157">
        <f>SUMIFS('Future Orders'!$I284, 'Future Orders'!$D284, "1", 'Future Orders'!$C284, "B", 'Future Orders'!$B284, "1")</f>
        <v>0</v>
      </c>
      <c r="N284" s="159">
        <f>SUMIFS('Future Orders'!$F284, 'Future Orders'!$D284, "1", 'Future Orders'!$C284, "A", 'Future Orders'!$B284, "2")</f>
        <v>0</v>
      </c>
      <c r="O284" s="157">
        <f>SUMIFS('Future Orders'!$I284, 'Future Orders'!$D284, "1", 'Future Orders'!$C284, "A", 'Future Orders'!$B284, "2")</f>
        <v>0</v>
      </c>
      <c r="P284" s="157">
        <f>SUMIFS('Future Orders'!$E284, 'Future Orders'!$D284, "1", 'Future Orders'!$C284, "B", 'Future Orders'!$B284, "2")</f>
        <v>0</v>
      </c>
      <c r="Q284" s="157">
        <f>SUMIFS('Future Orders'!$I284, 'Future Orders'!$D284, "1", 'Future Orders'!$C284, "B", 'Future Orders'!$B284, "2")</f>
        <v>0</v>
      </c>
      <c r="R284" s="159">
        <f>SUMIFS('Future Orders'!$F284, 'Future Orders'!$D284, "2", 'Future Orders'!$C284, "A", 'Future Orders'!$B284, "1")</f>
        <v>0</v>
      </c>
      <c r="S284" s="157">
        <f>SUMIFS('Future Orders'!$I284, 'Future Orders'!$D284, "2", 'Future Orders'!$C284, "A", 'Future Orders'!$B284, "1")</f>
        <v>0</v>
      </c>
      <c r="T284" s="159">
        <f>SUMIFS('Future Orders'!$F284, 'Future Orders'!$D284, "2", 'Future Orders'!$C284, "B", 'Future Orders'!$B284, "1")</f>
        <v>0</v>
      </c>
      <c r="U284" s="157">
        <f>SUMIFS('Future Orders'!$I284, 'Future Orders'!$D284, "2", 'Future Orders'!$C284, "B", 'Future Orders'!$B284, "1")</f>
        <v>0</v>
      </c>
      <c r="V284" s="159">
        <f>SUMIFS('Future Orders'!$F284, 'Future Orders'!$D284, "2", 'Future Orders'!$C284, "A", 'Future Orders'!$B284, "2")</f>
        <v>0</v>
      </c>
      <c r="W284" s="157">
        <f>SUMIFS('Future Orders'!$I284, 'Future Orders'!$D284, "2", 'Future Orders'!$C284, "A", 'Future Orders'!$B284, "2")</f>
        <v>0</v>
      </c>
      <c r="X284" s="159">
        <f>SUMIFS('Future Orders'!$F284, 'Future Orders'!$D284, "2", 'Future Orders'!$C284, "B", 'Future Orders'!$B284, "2")</f>
        <v>0</v>
      </c>
      <c r="Y284" s="159">
        <f>SUMIFS('Future Orders'!$I284, 'Future Orders'!$D284, "2", 'Future Orders'!$C284, "B", 'Future Orders'!$B284, "2")</f>
        <v>0</v>
      </c>
      <c r="Z284" s="159">
        <f>SUMIFS('Future Orders'!$F284, 'Future Orders'!$D284, "3", 'Future Orders'!$C284, "A", 'Future Orders'!$B284, "1")</f>
        <v>0</v>
      </c>
      <c r="AA284" s="159">
        <f>SUMIFS('Future Orders'!$I284, 'Future Orders'!$D284, "3", 'Future Orders'!$C284, "A", 'Future Orders'!$B284, "1")</f>
        <v>0</v>
      </c>
      <c r="AB284" s="159">
        <f>SUMIFS('Future Orders'!$F284, 'Future Orders'!$D284, "3", 'Future Orders'!$C284, "B", 'Future Orders'!$B284, "1")</f>
        <v>0</v>
      </c>
      <c r="AC284" s="159">
        <f>SUMIFS('Future Orders'!$I284, 'Future Orders'!$D284, "3", 'Future Orders'!$C284, "B", 'Future Orders'!$B284, "1")</f>
        <v>0</v>
      </c>
      <c r="AD284" s="159">
        <f>SUMIFS('Future Orders'!$F284, 'Future Orders'!$D284, "3", 'Future Orders'!$C284, "A", 'Future Orders'!$B284, "2")</f>
        <v>0</v>
      </c>
      <c r="AE284" s="159">
        <f>SUMIFS('Future Orders'!$I284, 'Future Orders'!$D284, "3", 'Future Orders'!$C284, "A", 'Future Orders'!$B284, "2")</f>
        <v>0</v>
      </c>
      <c r="AF284" s="159">
        <f>SUMIFS('Future Orders'!$F284, 'Future Orders'!$D284, "3", 'Future Orders'!$C284, "B", 'Future Orders'!$B284, "2")</f>
        <v>0</v>
      </c>
      <c r="AG284" s="157">
        <f>SUMIFS('Future Orders'!$I284, 'Future Orders'!$D284, "3", 'Future Orders'!$C284, "B", 'Future Orders'!$B284, "2")</f>
        <v>0</v>
      </c>
      <c r="AH284" s="157">
        <f>SUMIFS('Future Orders'!$F284, 'Future Orders'!$D284, "4", 'Future Orders'!$C284, "A", 'Future Orders'!$B284, "1")</f>
        <v>0</v>
      </c>
      <c r="AI284" s="157">
        <f>SUMIFS('Future Orders'!$I284, 'Future Orders'!$D284, "4", 'Future Orders'!$C284, "A", 'Future Orders'!$B284, "1")</f>
        <v>0</v>
      </c>
      <c r="AJ284" s="157">
        <f>SUMIFS('Future Orders'!$F284, 'Future Orders'!$D284, "4", 'Future Orders'!$C284, "B", 'Future Orders'!$B284, "1")</f>
        <v>0</v>
      </c>
      <c r="AK284" s="157">
        <f>SUMIFS('Future Orders'!$I284, 'Future Orders'!$D284, "4", 'Future Orders'!$C284, "B", 'Future Orders'!$B284, "1")</f>
        <v>0</v>
      </c>
      <c r="AL284" s="157">
        <f>SUMIFS('Future Orders'!$F284, 'Future Orders'!$D284, "4", 'Future Orders'!$C284, "A", 'Future Orders'!$B284, "2")</f>
        <v>0</v>
      </c>
      <c r="AM284" s="157">
        <f>SUMIFS('Future Orders'!$I284, 'Future Orders'!$D284, "4", 'Future Orders'!$C284, "A", 'Future Orders'!$B284, "2")</f>
        <v>0</v>
      </c>
      <c r="AN284" s="171">
        <f>SUMIFS('Future Orders'!$F284, 'Future Orders'!$D284, "4", 'Future Orders'!$C284, "B", 'Future Orders'!$B284, "2")</f>
        <v>0</v>
      </c>
      <c r="AO284" s="171">
        <f>SUMIFS('Future Orders'!$I284, 'Future Orders'!$D284, "4", 'Future Orders'!$C284, "B", 'Future Orders'!$B284, "2")</f>
        <v>0</v>
      </c>
      <c r="AP284" s="171">
        <f>SUMIFS('Future Orders'!$H284, 'Future Orders'!$C284, "A", 'Future Orders'!$B284, "1")</f>
        <v>13010.8</v>
      </c>
      <c r="AQ284" s="171">
        <f>SUMIFS('Future Orders'!$I284, 'Future Orders'!$C284, "B", 'Future Orders'!$B284, "1")</f>
        <v>0</v>
      </c>
      <c r="AR284" s="171">
        <f>SUMIFS('Future Orders'!$H284, 'Future Orders'!$C284, "A", 'Future Orders'!$B284, "2")</f>
        <v>0</v>
      </c>
      <c r="AS284" s="171">
        <f>SUMIFS('Future Orders'!$I284, 'Future Orders'!$C284, "B", 'Future Orders'!$B284, "2")</f>
        <v>0</v>
      </c>
      <c r="AT284" s="145"/>
      <c r="AU284" s="172"/>
      <c r="AV284" s="172"/>
      <c r="AW284" s="172"/>
      <c r="AX284" s="172"/>
      <c r="AY284" s="172"/>
      <c r="AZ284" s="172"/>
      <c r="BA284" s="172"/>
      <c r="BB284" s="172"/>
      <c r="BC284" s="172"/>
      <c r="BD284" s="172"/>
      <c r="BE284" s="172"/>
      <c r="BF284" s="172"/>
      <c r="BG284" s="172"/>
      <c r="BH284" s="172"/>
      <c r="BI284" s="172"/>
      <c r="BJ284" s="172"/>
      <c r="BK284" s="172"/>
      <c r="BL284" s="172"/>
      <c r="BM284" s="172"/>
      <c r="BN284" s="172"/>
      <c r="BO284" s="172"/>
      <c r="BP284" s="172"/>
      <c r="BQ284" s="172"/>
      <c r="BR284" s="172"/>
      <c r="BS284" s="172"/>
      <c r="BT284" s="172"/>
      <c r="BU284" s="172"/>
      <c r="BV284" s="172"/>
      <c r="BW284" s="172"/>
      <c r="BX284" s="172"/>
      <c r="BY284" s="172"/>
      <c r="BZ284" s="172"/>
      <c r="CA284" s="179"/>
      <c r="CB284" s="179"/>
      <c r="CC284" s="179"/>
      <c r="CD284" s="179"/>
      <c r="CE284" s="179"/>
      <c r="CF284" s="179"/>
      <c r="CG284" s="179"/>
      <c r="CH284" s="179"/>
      <c r="CI284" s="179"/>
      <c r="CJ284" s="179"/>
      <c r="CK284" s="179"/>
      <c r="CL284" s="179"/>
      <c r="CM284" s="179"/>
      <c r="CN284" s="179"/>
      <c r="CO284" s="179"/>
      <c r="CP284" s="179"/>
    </row>
    <row r="285" ht="15.75" customHeight="1">
      <c r="A285" s="151">
        <v>42184.0</v>
      </c>
      <c r="B285" s="152">
        <v>1.0</v>
      </c>
      <c r="C285" s="152" t="s">
        <v>45</v>
      </c>
      <c r="D285" s="152">
        <v>2.0</v>
      </c>
      <c r="E285" s="153">
        <v>5831.0</v>
      </c>
      <c r="F285" s="153">
        <f>SUM(('Future Orders'!$E285) * (1.1))</f>
        <v>6414.1</v>
      </c>
      <c r="G285" s="154">
        <v>1.2</v>
      </c>
      <c r="H285" s="155">
        <v>6997.2</v>
      </c>
      <c r="I285" s="155">
        <f>SUM(('Future Orders'!$H285) * (1.1))</f>
        <v>7696.92</v>
      </c>
      <c r="J285" s="159">
        <f>SUMIFS('Future Orders'!$F285, 'Future Orders'!$D285, "1", 'Future Orders'!$C285, "A", 'Future Orders'!$B285, "1")</f>
        <v>0</v>
      </c>
      <c r="K285" s="157">
        <f>SUMIFS('Future Orders'!$I285, 'Future Orders'!$D285, "1", 'Future Orders'!$C285, "A", 'Future Orders'!$B285, "1")</f>
        <v>0</v>
      </c>
      <c r="L285" s="157">
        <f>SUMIFS('Future Orders'!$F285, 'Future Orders'!$D285, "1", 'Future Orders'!$C285, "B", 'Future Orders'!$B285, "1")</f>
        <v>0</v>
      </c>
      <c r="M285" s="157">
        <f>SUMIFS('Future Orders'!$I285, 'Future Orders'!$D285, "1", 'Future Orders'!$C285, "B", 'Future Orders'!$B285, "1")</f>
        <v>0</v>
      </c>
      <c r="N285" s="159">
        <f>SUMIFS('Future Orders'!$F285, 'Future Orders'!$D285, "1", 'Future Orders'!$C285, "A", 'Future Orders'!$B285, "2")</f>
        <v>0</v>
      </c>
      <c r="O285" s="157">
        <f>SUMIFS('Future Orders'!$I285, 'Future Orders'!$D285, "1", 'Future Orders'!$C285, "A", 'Future Orders'!$B285, "2")</f>
        <v>0</v>
      </c>
      <c r="P285" s="157">
        <f>SUMIFS('Future Orders'!$E285, 'Future Orders'!$D285, "1", 'Future Orders'!$C285, "B", 'Future Orders'!$B285, "2")</f>
        <v>0</v>
      </c>
      <c r="Q285" s="157">
        <f>SUMIFS('Future Orders'!$I285, 'Future Orders'!$D285, "1", 'Future Orders'!$C285, "B", 'Future Orders'!$B285, "2")</f>
        <v>0</v>
      </c>
      <c r="R285" s="159">
        <f>SUMIFS('Future Orders'!$F285, 'Future Orders'!$D285, "2", 'Future Orders'!$C285, "A", 'Future Orders'!$B285, "1")</f>
        <v>6414.1</v>
      </c>
      <c r="S285" s="157">
        <f>SUMIFS('Future Orders'!$I285, 'Future Orders'!$D285, "2", 'Future Orders'!$C285, "A", 'Future Orders'!$B285, "1")</f>
        <v>7696.92</v>
      </c>
      <c r="T285" s="159">
        <f>SUMIFS('Future Orders'!$F285, 'Future Orders'!$D285, "2", 'Future Orders'!$C285, "B", 'Future Orders'!$B285, "1")</f>
        <v>0</v>
      </c>
      <c r="U285" s="157">
        <f>SUMIFS('Future Orders'!$I285, 'Future Orders'!$D285, "2", 'Future Orders'!$C285, "B", 'Future Orders'!$B285, "1")</f>
        <v>0</v>
      </c>
      <c r="V285" s="159">
        <f>SUMIFS('Future Orders'!$F285, 'Future Orders'!$D285, "2", 'Future Orders'!$C285, "A", 'Future Orders'!$B285, "2")</f>
        <v>0</v>
      </c>
      <c r="W285" s="157">
        <f>SUMIFS('Future Orders'!$I285, 'Future Orders'!$D285, "2", 'Future Orders'!$C285, "A", 'Future Orders'!$B285, "2")</f>
        <v>0</v>
      </c>
      <c r="X285" s="159">
        <f>SUMIFS('Future Orders'!$F285, 'Future Orders'!$D285, "2", 'Future Orders'!$C285, "B", 'Future Orders'!$B285, "2")</f>
        <v>0</v>
      </c>
      <c r="Y285" s="159">
        <f>SUMIFS('Future Orders'!$I285, 'Future Orders'!$D285, "2", 'Future Orders'!$C285, "B", 'Future Orders'!$B285, "2")</f>
        <v>0</v>
      </c>
      <c r="Z285" s="159">
        <f>SUMIFS('Future Orders'!$F285, 'Future Orders'!$D285, "3", 'Future Orders'!$C285, "A", 'Future Orders'!$B285, "1")</f>
        <v>0</v>
      </c>
      <c r="AA285" s="159">
        <f>SUMIFS('Future Orders'!$I285, 'Future Orders'!$D285, "3", 'Future Orders'!$C285, "A", 'Future Orders'!$B285, "1")</f>
        <v>0</v>
      </c>
      <c r="AB285" s="159">
        <f>SUMIFS('Future Orders'!$F285, 'Future Orders'!$D285, "3", 'Future Orders'!$C285, "B", 'Future Orders'!$B285, "1")</f>
        <v>0</v>
      </c>
      <c r="AC285" s="159">
        <f>SUMIFS('Future Orders'!$I285, 'Future Orders'!$D285, "3", 'Future Orders'!$C285, "B", 'Future Orders'!$B285, "1")</f>
        <v>0</v>
      </c>
      <c r="AD285" s="159">
        <f>SUMIFS('Future Orders'!$F285, 'Future Orders'!$D285, "3", 'Future Orders'!$C285, "A", 'Future Orders'!$B285, "2")</f>
        <v>0</v>
      </c>
      <c r="AE285" s="159">
        <f>SUMIFS('Future Orders'!$I285, 'Future Orders'!$D285, "3", 'Future Orders'!$C285, "A", 'Future Orders'!$B285, "2")</f>
        <v>0</v>
      </c>
      <c r="AF285" s="159">
        <f>SUMIFS('Future Orders'!$F285, 'Future Orders'!$D285, "3", 'Future Orders'!$C285, "B", 'Future Orders'!$B285, "2")</f>
        <v>0</v>
      </c>
      <c r="AG285" s="157">
        <f>SUMIFS('Future Orders'!$I285, 'Future Orders'!$D285, "3", 'Future Orders'!$C285, "B", 'Future Orders'!$B285, "2")</f>
        <v>0</v>
      </c>
      <c r="AH285" s="157">
        <f>SUMIFS('Future Orders'!$F285, 'Future Orders'!$D285, "4", 'Future Orders'!$C285, "A", 'Future Orders'!$B285, "1")</f>
        <v>0</v>
      </c>
      <c r="AI285" s="157">
        <f>SUMIFS('Future Orders'!$I285, 'Future Orders'!$D285, "4", 'Future Orders'!$C285, "A", 'Future Orders'!$B285, "1")</f>
        <v>0</v>
      </c>
      <c r="AJ285" s="157">
        <f>SUMIFS('Future Orders'!$F285, 'Future Orders'!$D285, "4", 'Future Orders'!$C285, "B", 'Future Orders'!$B285, "1")</f>
        <v>0</v>
      </c>
      <c r="AK285" s="157">
        <f>SUMIFS('Future Orders'!$I285, 'Future Orders'!$D285, "4", 'Future Orders'!$C285, "B", 'Future Orders'!$B285, "1")</f>
        <v>0</v>
      </c>
      <c r="AL285" s="157">
        <f>SUMIFS('Future Orders'!$F285, 'Future Orders'!$D285, "4", 'Future Orders'!$C285, "A", 'Future Orders'!$B285, "2")</f>
        <v>0</v>
      </c>
      <c r="AM285" s="157">
        <f>SUMIFS('Future Orders'!$I285, 'Future Orders'!$D285, "4", 'Future Orders'!$C285, "A", 'Future Orders'!$B285, "2")</f>
        <v>0</v>
      </c>
      <c r="AN285" s="171">
        <f>SUMIFS('Future Orders'!$F285, 'Future Orders'!$D285, "4", 'Future Orders'!$C285, "B", 'Future Orders'!$B285, "2")</f>
        <v>0</v>
      </c>
      <c r="AO285" s="171">
        <f>SUMIFS('Future Orders'!$I285, 'Future Orders'!$D285, "4", 'Future Orders'!$C285, "B", 'Future Orders'!$B285, "2")</f>
        <v>0</v>
      </c>
      <c r="AP285" s="171">
        <f>SUMIFS('Future Orders'!$H285, 'Future Orders'!$C285, "A", 'Future Orders'!$B285, "1")</f>
        <v>6997.2</v>
      </c>
      <c r="AQ285" s="171">
        <f>SUMIFS('Future Orders'!$I285, 'Future Orders'!$C285, "B", 'Future Orders'!$B285, "1")</f>
        <v>0</v>
      </c>
      <c r="AR285" s="171">
        <f>SUMIFS('Future Orders'!$H285, 'Future Orders'!$C285, "A", 'Future Orders'!$B285, "2")</f>
        <v>0</v>
      </c>
      <c r="AS285" s="171">
        <f>SUMIFS('Future Orders'!$I285, 'Future Orders'!$C285, "B", 'Future Orders'!$B285, "2")</f>
        <v>0</v>
      </c>
      <c r="AT285" s="145"/>
      <c r="AU285" s="172"/>
      <c r="AV285" s="172"/>
      <c r="AW285" s="172"/>
      <c r="AX285" s="172"/>
      <c r="AY285" s="172"/>
      <c r="AZ285" s="172"/>
      <c r="BA285" s="172"/>
      <c r="BB285" s="172"/>
      <c r="BC285" s="172"/>
      <c r="BD285" s="172"/>
      <c r="BE285" s="172"/>
      <c r="BF285" s="172"/>
      <c r="BG285" s="172"/>
      <c r="BH285" s="172"/>
      <c r="BI285" s="172"/>
      <c r="BJ285" s="172"/>
      <c r="BK285" s="172"/>
      <c r="BL285" s="172"/>
      <c r="BM285" s="172"/>
      <c r="BN285" s="172"/>
      <c r="BO285" s="172"/>
      <c r="BP285" s="172"/>
      <c r="BQ285" s="172"/>
      <c r="BR285" s="172"/>
      <c r="BS285" s="172"/>
      <c r="BT285" s="172"/>
      <c r="BU285" s="172"/>
      <c r="BV285" s="172"/>
      <c r="BW285" s="172"/>
      <c r="BX285" s="172"/>
      <c r="BY285" s="172"/>
      <c r="BZ285" s="172"/>
      <c r="CA285" s="179"/>
      <c r="CB285" s="179"/>
      <c r="CC285" s="179"/>
      <c r="CD285" s="179"/>
      <c r="CE285" s="179"/>
      <c r="CF285" s="179"/>
      <c r="CG285" s="179"/>
      <c r="CH285" s="179"/>
      <c r="CI285" s="179"/>
      <c r="CJ285" s="179"/>
      <c r="CK285" s="179"/>
      <c r="CL285" s="179"/>
      <c r="CM285" s="179"/>
      <c r="CN285" s="179"/>
      <c r="CO285" s="179"/>
      <c r="CP285" s="179"/>
    </row>
    <row r="286" ht="15.75" customHeight="1">
      <c r="A286" s="151">
        <v>42184.0</v>
      </c>
      <c r="B286" s="152">
        <v>2.0</v>
      </c>
      <c r="C286" s="152" t="s">
        <v>45</v>
      </c>
      <c r="D286" s="152">
        <v>1.0</v>
      </c>
      <c r="E286" s="153">
        <v>4112.0</v>
      </c>
      <c r="F286" s="153">
        <f>SUM(('Future Orders'!$E286) * (1.1))</f>
        <v>4523.2</v>
      </c>
      <c r="G286" s="154">
        <v>2.2</v>
      </c>
      <c r="H286" s="155">
        <v>9046.400000000001</v>
      </c>
      <c r="I286" s="155">
        <f>SUM(('Future Orders'!$H286) * (1.1))</f>
        <v>9951.04</v>
      </c>
      <c r="J286" s="159">
        <f>SUMIFS('Future Orders'!$F286, 'Future Orders'!$D286, "1", 'Future Orders'!$C286, "A", 'Future Orders'!$B286, "1")</f>
        <v>0</v>
      </c>
      <c r="K286" s="157">
        <f>SUMIFS('Future Orders'!$I286, 'Future Orders'!$D286, "1", 'Future Orders'!$C286, "A", 'Future Orders'!$B286, "1")</f>
        <v>0</v>
      </c>
      <c r="L286" s="157">
        <f>SUMIFS('Future Orders'!$F286, 'Future Orders'!$D286, "1", 'Future Orders'!$C286, "B", 'Future Orders'!$B286, "1")</f>
        <v>0</v>
      </c>
      <c r="M286" s="157">
        <f>SUMIFS('Future Orders'!$I286, 'Future Orders'!$D286, "1", 'Future Orders'!$C286, "B", 'Future Orders'!$B286, "1")</f>
        <v>0</v>
      </c>
      <c r="N286" s="159">
        <f>SUMIFS('Future Orders'!$F286, 'Future Orders'!$D286, "1", 'Future Orders'!$C286, "A", 'Future Orders'!$B286, "2")</f>
        <v>4523.2</v>
      </c>
      <c r="O286" s="157">
        <f>SUMIFS('Future Orders'!$I286, 'Future Orders'!$D286, "1", 'Future Orders'!$C286, "A", 'Future Orders'!$B286, "2")</f>
        <v>9951.04</v>
      </c>
      <c r="P286" s="157">
        <f>SUMIFS('Future Orders'!$E286, 'Future Orders'!$D286, "1", 'Future Orders'!$C286, "B", 'Future Orders'!$B286, "2")</f>
        <v>0</v>
      </c>
      <c r="Q286" s="157">
        <f>SUMIFS('Future Orders'!$I286, 'Future Orders'!$D286, "1", 'Future Orders'!$C286, "B", 'Future Orders'!$B286, "2")</f>
        <v>0</v>
      </c>
      <c r="R286" s="159">
        <f>SUMIFS('Future Orders'!$F286, 'Future Orders'!$D286, "2", 'Future Orders'!$C286, "A", 'Future Orders'!$B286, "1")</f>
        <v>0</v>
      </c>
      <c r="S286" s="157">
        <f>SUMIFS('Future Orders'!$I286, 'Future Orders'!$D286, "2", 'Future Orders'!$C286, "A", 'Future Orders'!$B286, "1")</f>
        <v>0</v>
      </c>
      <c r="T286" s="159">
        <f>SUMIFS('Future Orders'!$F286, 'Future Orders'!$D286, "2", 'Future Orders'!$C286, "B", 'Future Orders'!$B286, "1")</f>
        <v>0</v>
      </c>
      <c r="U286" s="157">
        <f>SUMIFS('Future Orders'!$I286, 'Future Orders'!$D286, "2", 'Future Orders'!$C286, "B", 'Future Orders'!$B286, "1")</f>
        <v>0</v>
      </c>
      <c r="V286" s="159">
        <f>SUMIFS('Future Orders'!$F286, 'Future Orders'!$D286, "2", 'Future Orders'!$C286, "A", 'Future Orders'!$B286, "2")</f>
        <v>0</v>
      </c>
      <c r="W286" s="157">
        <f>SUMIFS('Future Orders'!$I286, 'Future Orders'!$D286, "2", 'Future Orders'!$C286, "A", 'Future Orders'!$B286, "2")</f>
        <v>0</v>
      </c>
      <c r="X286" s="159">
        <f>SUMIFS('Future Orders'!$F286, 'Future Orders'!$D286, "2", 'Future Orders'!$C286, "B", 'Future Orders'!$B286, "2")</f>
        <v>0</v>
      </c>
      <c r="Y286" s="159">
        <f>SUMIFS('Future Orders'!$I286, 'Future Orders'!$D286, "2", 'Future Orders'!$C286, "B", 'Future Orders'!$B286, "2")</f>
        <v>0</v>
      </c>
      <c r="Z286" s="159">
        <f>SUMIFS('Future Orders'!$F286, 'Future Orders'!$D286, "3", 'Future Orders'!$C286, "A", 'Future Orders'!$B286, "1")</f>
        <v>0</v>
      </c>
      <c r="AA286" s="159">
        <f>SUMIFS('Future Orders'!$I286, 'Future Orders'!$D286, "3", 'Future Orders'!$C286, "A", 'Future Orders'!$B286, "1")</f>
        <v>0</v>
      </c>
      <c r="AB286" s="159">
        <f>SUMIFS('Future Orders'!$F286, 'Future Orders'!$D286, "3", 'Future Orders'!$C286, "B", 'Future Orders'!$B286, "1")</f>
        <v>0</v>
      </c>
      <c r="AC286" s="159">
        <f>SUMIFS('Future Orders'!$I286, 'Future Orders'!$D286, "3", 'Future Orders'!$C286, "B", 'Future Orders'!$B286, "1")</f>
        <v>0</v>
      </c>
      <c r="AD286" s="159">
        <f>SUMIFS('Future Orders'!$F286, 'Future Orders'!$D286, "3", 'Future Orders'!$C286, "A", 'Future Orders'!$B286, "2")</f>
        <v>0</v>
      </c>
      <c r="AE286" s="159">
        <f>SUMIFS('Future Orders'!$I286, 'Future Orders'!$D286, "3", 'Future Orders'!$C286, "A", 'Future Orders'!$B286, "2")</f>
        <v>0</v>
      </c>
      <c r="AF286" s="159">
        <f>SUMIFS('Future Orders'!$F286, 'Future Orders'!$D286, "3", 'Future Orders'!$C286, "B", 'Future Orders'!$B286, "2")</f>
        <v>0</v>
      </c>
      <c r="AG286" s="157">
        <f>SUMIFS('Future Orders'!$I286, 'Future Orders'!$D286, "3", 'Future Orders'!$C286, "B", 'Future Orders'!$B286, "2")</f>
        <v>0</v>
      </c>
      <c r="AH286" s="157">
        <f>SUMIFS('Future Orders'!$F286, 'Future Orders'!$D286, "4", 'Future Orders'!$C286, "A", 'Future Orders'!$B286, "1")</f>
        <v>0</v>
      </c>
      <c r="AI286" s="157">
        <f>SUMIFS('Future Orders'!$I286, 'Future Orders'!$D286, "4", 'Future Orders'!$C286, "A", 'Future Orders'!$B286, "1")</f>
        <v>0</v>
      </c>
      <c r="AJ286" s="157">
        <f>SUMIFS('Future Orders'!$F286, 'Future Orders'!$D286, "4", 'Future Orders'!$C286, "B", 'Future Orders'!$B286, "1")</f>
        <v>0</v>
      </c>
      <c r="AK286" s="157">
        <f>SUMIFS('Future Orders'!$I286, 'Future Orders'!$D286, "4", 'Future Orders'!$C286, "B", 'Future Orders'!$B286, "1")</f>
        <v>0</v>
      </c>
      <c r="AL286" s="157">
        <f>SUMIFS('Future Orders'!$F286, 'Future Orders'!$D286, "4", 'Future Orders'!$C286, "A", 'Future Orders'!$B286, "2")</f>
        <v>0</v>
      </c>
      <c r="AM286" s="157">
        <f>SUMIFS('Future Orders'!$I286, 'Future Orders'!$D286, "4", 'Future Orders'!$C286, "A", 'Future Orders'!$B286, "2")</f>
        <v>0</v>
      </c>
      <c r="AN286" s="171">
        <f>SUMIFS('Future Orders'!$F286, 'Future Orders'!$D286, "4", 'Future Orders'!$C286, "B", 'Future Orders'!$B286, "2")</f>
        <v>0</v>
      </c>
      <c r="AO286" s="171">
        <f>SUMIFS('Future Orders'!$I286, 'Future Orders'!$D286, "4", 'Future Orders'!$C286, "B", 'Future Orders'!$B286, "2")</f>
        <v>0</v>
      </c>
      <c r="AP286" s="171">
        <f>SUMIFS('Future Orders'!$H286, 'Future Orders'!$C286, "A", 'Future Orders'!$B286, "1")</f>
        <v>0</v>
      </c>
      <c r="AQ286" s="171">
        <f>SUMIFS('Future Orders'!$I286, 'Future Orders'!$C286, "B", 'Future Orders'!$B286, "1")</f>
        <v>0</v>
      </c>
      <c r="AR286" s="171">
        <f>SUMIFS('Future Orders'!$H286, 'Future Orders'!$C286, "A", 'Future Orders'!$B286, "2")</f>
        <v>9046.4</v>
      </c>
      <c r="AS286" s="171">
        <f>SUMIFS('Future Orders'!$I286, 'Future Orders'!$C286, "B", 'Future Orders'!$B286, "2")</f>
        <v>0</v>
      </c>
      <c r="AT286" s="145"/>
      <c r="AU286" s="172"/>
      <c r="AV286" s="172"/>
      <c r="AW286" s="172"/>
      <c r="AX286" s="172"/>
      <c r="AY286" s="172"/>
      <c r="AZ286" s="172"/>
      <c r="BA286" s="172"/>
      <c r="BB286" s="172"/>
      <c r="BC286" s="172"/>
      <c r="BD286" s="172"/>
      <c r="BE286" s="172"/>
      <c r="BF286" s="172"/>
      <c r="BG286" s="172"/>
      <c r="BH286" s="172"/>
      <c r="BI286" s="172"/>
      <c r="BJ286" s="172"/>
      <c r="BK286" s="172"/>
      <c r="BL286" s="172"/>
      <c r="BM286" s="172"/>
      <c r="BN286" s="172"/>
      <c r="BO286" s="172"/>
      <c r="BP286" s="172"/>
      <c r="BQ286" s="172"/>
      <c r="BR286" s="172"/>
      <c r="BS286" s="172"/>
      <c r="BT286" s="172"/>
      <c r="BU286" s="172"/>
      <c r="BV286" s="172"/>
      <c r="BW286" s="172"/>
      <c r="BX286" s="172"/>
      <c r="BY286" s="172"/>
      <c r="BZ286" s="172"/>
      <c r="CA286" s="179"/>
      <c r="CB286" s="179"/>
      <c r="CC286" s="179"/>
      <c r="CD286" s="179"/>
      <c r="CE286" s="179"/>
      <c r="CF286" s="179"/>
      <c r="CG286" s="179"/>
      <c r="CH286" s="179"/>
      <c r="CI286" s="179"/>
      <c r="CJ286" s="179"/>
      <c r="CK286" s="179"/>
      <c r="CL286" s="179"/>
      <c r="CM286" s="179"/>
      <c r="CN286" s="179"/>
      <c r="CO286" s="179"/>
      <c r="CP286" s="179"/>
    </row>
    <row r="287" ht="15.75" customHeight="1">
      <c r="A287" s="151">
        <v>42184.0</v>
      </c>
      <c r="B287" s="152">
        <v>2.0</v>
      </c>
      <c r="C287" s="152" t="s">
        <v>45</v>
      </c>
      <c r="D287" s="152">
        <v>2.0</v>
      </c>
      <c r="E287" s="153">
        <v>5532.0</v>
      </c>
      <c r="F287" s="153">
        <f>SUM(('Future Orders'!$E287) * (1.1))</f>
        <v>6085.2</v>
      </c>
      <c r="G287" s="154">
        <v>1.2</v>
      </c>
      <c r="H287" s="155">
        <v>6638.4</v>
      </c>
      <c r="I287" s="155">
        <f>SUM(('Future Orders'!$H287) * (1.1))</f>
        <v>7302.24</v>
      </c>
      <c r="J287" s="159">
        <f>SUMIFS('Future Orders'!$F287, 'Future Orders'!$D287, "1", 'Future Orders'!$C287, "A", 'Future Orders'!$B287, "1")</f>
        <v>0</v>
      </c>
      <c r="K287" s="157">
        <f>SUMIFS('Future Orders'!$I287, 'Future Orders'!$D287, "1", 'Future Orders'!$C287, "A", 'Future Orders'!$B287, "1")</f>
        <v>0</v>
      </c>
      <c r="L287" s="157">
        <f>SUMIFS('Future Orders'!$F287, 'Future Orders'!$D287, "1", 'Future Orders'!$C287, "B", 'Future Orders'!$B287, "1")</f>
        <v>0</v>
      </c>
      <c r="M287" s="157">
        <f>SUMIFS('Future Orders'!$I287, 'Future Orders'!$D287, "1", 'Future Orders'!$C287, "B", 'Future Orders'!$B287, "1")</f>
        <v>0</v>
      </c>
      <c r="N287" s="159">
        <f>SUMIFS('Future Orders'!$F287, 'Future Orders'!$D287, "1", 'Future Orders'!$C287, "A", 'Future Orders'!$B287, "2")</f>
        <v>0</v>
      </c>
      <c r="O287" s="157">
        <f>SUMIFS('Future Orders'!$I287, 'Future Orders'!$D287, "1", 'Future Orders'!$C287, "A", 'Future Orders'!$B287, "2")</f>
        <v>0</v>
      </c>
      <c r="P287" s="157">
        <f>SUMIFS('Future Orders'!$E287, 'Future Orders'!$D287, "1", 'Future Orders'!$C287, "B", 'Future Orders'!$B287, "2")</f>
        <v>0</v>
      </c>
      <c r="Q287" s="157">
        <f>SUMIFS('Future Orders'!$I287, 'Future Orders'!$D287, "1", 'Future Orders'!$C287, "B", 'Future Orders'!$B287, "2")</f>
        <v>0</v>
      </c>
      <c r="R287" s="159">
        <f>SUMIFS('Future Orders'!$F287, 'Future Orders'!$D287, "2", 'Future Orders'!$C287, "A", 'Future Orders'!$B287, "1")</f>
        <v>0</v>
      </c>
      <c r="S287" s="157">
        <f>SUMIFS('Future Orders'!$I287, 'Future Orders'!$D287, "2", 'Future Orders'!$C287, "A", 'Future Orders'!$B287, "1")</f>
        <v>0</v>
      </c>
      <c r="T287" s="159">
        <f>SUMIFS('Future Orders'!$F287, 'Future Orders'!$D287, "2", 'Future Orders'!$C287, "B", 'Future Orders'!$B287, "1")</f>
        <v>0</v>
      </c>
      <c r="U287" s="157">
        <f>SUMIFS('Future Orders'!$I287, 'Future Orders'!$D287, "2", 'Future Orders'!$C287, "B", 'Future Orders'!$B287, "1")</f>
        <v>0</v>
      </c>
      <c r="V287" s="159">
        <f>SUMIFS('Future Orders'!$F287, 'Future Orders'!$D287, "2", 'Future Orders'!$C287, "A", 'Future Orders'!$B287, "2")</f>
        <v>6085.2</v>
      </c>
      <c r="W287" s="157">
        <f>SUMIFS('Future Orders'!$I287, 'Future Orders'!$D287, "2", 'Future Orders'!$C287, "A", 'Future Orders'!$B287, "2")</f>
        <v>7302.24</v>
      </c>
      <c r="X287" s="159">
        <f>SUMIFS('Future Orders'!$F287, 'Future Orders'!$D287, "2", 'Future Orders'!$C287, "B", 'Future Orders'!$B287, "2")</f>
        <v>0</v>
      </c>
      <c r="Y287" s="159">
        <f>SUMIFS('Future Orders'!$I287, 'Future Orders'!$D287, "2", 'Future Orders'!$C287, "B", 'Future Orders'!$B287, "2")</f>
        <v>0</v>
      </c>
      <c r="Z287" s="159">
        <f>SUMIFS('Future Orders'!$F287, 'Future Orders'!$D287, "3", 'Future Orders'!$C287, "A", 'Future Orders'!$B287, "1")</f>
        <v>0</v>
      </c>
      <c r="AA287" s="159">
        <f>SUMIFS('Future Orders'!$I287, 'Future Orders'!$D287, "3", 'Future Orders'!$C287, "A", 'Future Orders'!$B287, "1")</f>
        <v>0</v>
      </c>
      <c r="AB287" s="159">
        <f>SUMIFS('Future Orders'!$F287, 'Future Orders'!$D287, "3", 'Future Orders'!$C287, "B", 'Future Orders'!$B287, "1")</f>
        <v>0</v>
      </c>
      <c r="AC287" s="159">
        <f>SUMIFS('Future Orders'!$I287, 'Future Orders'!$D287, "3", 'Future Orders'!$C287, "B", 'Future Orders'!$B287, "1")</f>
        <v>0</v>
      </c>
      <c r="AD287" s="159">
        <f>SUMIFS('Future Orders'!$F287, 'Future Orders'!$D287, "3", 'Future Orders'!$C287, "A", 'Future Orders'!$B287, "2")</f>
        <v>0</v>
      </c>
      <c r="AE287" s="159">
        <f>SUMIFS('Future Orders'!$I287, 'Future Orders'!$D287, "3", 'Future Orders'!$C287, "A", 'Future Orders'!$B287, "2")</f>
        <v>0</v>
      </c>
      <c r="AF287" s="159">
        <f>SUMIFS('Future Orders'!$F287, 'Future Orders'!$D287, "3", 'Future Orders'!$C287, "B", 'Future Orders'!$B287, "2")</f>
        <v>0</v>
      </c>
      <c r="AG287" s="157">
        <f>SUMIFS('Future Orders'!$I287, 'Future Orders'!$D287, "3", 'Future Orders'!$C287, "B", 'Future Orders'!$B287, "2")</f>
        <v>0</v>
      </c>
      <c r="AH287" s="157">
        <f>SUMIFS('Future Orders'!$F287, 'Future Orders'!$D287, "4", 'Future Orders'!$C287, "A", 'Future Orders'!$B287, "1")</f>
        <v>0</v>
      </c>
      <c r="AI287" s="157">
        <f>SUMIFS('Future Orders'!$I287, 'Future Orders'!$D287, "4", 'Future Orders'!$C287, "A", 'Future Orders'!$B287, "1")</f>
        <v>0</v>
      </c>
      <c r="AJ287" s="157">
        <f>SUMIFS('Future Orders'!$F287, 'Future Orders'!$D287, "4", 'Future Orders'!$C287, "B", 'Future Orders'!$B287, "1")</f>
        <v>0</v>
      </c>
      <c r="AK287" s="157">
        <f>SUMIFS('Future Orders'!$I287, 'Future Orders'!$D287, "4", 'Future Orders'!$C287, "B", 'Future Orders'!$B287, "1")</f>
        <v>0</v>
      </c>
      <c r="AL287" s="157">
        <f>SUMIFS('Future Orders'!$F287, 'Future Orders'!$D287, "4", 'Future Orders'!$C287, "A", 'Future Orders'!$B287, "2")</f>
        <v>0</v>
      </c>
      <c r="AM287" s="157">
        <f>SUMIFS('Future Orders'!$I287, 'Future Orders'!$D287, "4", 'Future Orders'!$C287, "A", 'Future Orders'!$B287, "2")</f>
        <v>0</v>
      </c>
      <c r="AN287" s="171">
        <f>SUMIFS('Future Orders'!$F287, 'Future Orders'!$D287, "4", 'Future Orders'!$C287, "B", 'Future Orders'!$B287, "2")</f>
        <v>0</v>
      </c>
      <c r="AO287" s="171">
        <f>SUMIFS('Future Orders'!$I287, 'Future Orders'!$D287, "4", 'Future Orders'!$C287, "B", 'Future Orders'!$B287, "2")</f>
        <v>0</v>
      </c>
      <c r="AP287" s="171">
        <f>SUMIFS('Future Orders'!$H287, 'Future Orders'!$C287, "A", 'Future Orders'!$B287, "1")</f>
        <v>0</v>
      </c>
      <c r="AQ287" s="171">
        <f>SUMIFS('Future Orders'!$I287, 'Future Orders'!$C287, "B", 'Future Orders'!$B287, "1")</f>
        <v>0</v>
      </c>
      <c r="AR287" s="171">
        <f>SUMIFS('Future Orders'!$H287, 'Future Orders'!$C287, "A", 'Future Orders'!$B287, "2")</f>
        <v>6638.4</v>
      </c>
      <c r="AS287" s="171">
        <f>SUMIFS('Future Orders'!$I287, 'Future Orders'!$C287, "B", 'Future Orders'!$B287, "2")</f>
        <v>0</v>
      </c>
      <c r="AT287" s="145"/>
      <c r="AU287" s="172"/>
      <c r="AV287" s="172"/>
      <c r="AW287" s="172"/>
      <c r="AX287" s="172"/>
      <c r="AY287" s="172"/>
      <c r="AZ287" s="172"/>
      <c r="BA287" s="172"/>
      <c r="BB287" s="172"/>
      <c r="BC287" s="172"/>
      <c r="BD287" s="172"/>
      <c r="BE287" s="172"/>
      <c r="BF287" s="172"/>
      <c r="BG287" s="172"/>
      <c r="BH287" s="172"/>
      <c r="BI287" s="172"/>
      <c r="BJ287" s="172"/>
      <c r="BK287" s="172"/>
      <c r="BL287" s="172"/>
      <c r="BM287" s="172"/>
      <c r="BN287" s="172"/>
      <c r="BO287" s="172"/>
      <c r="BP287" s="172"/>
      <c r="BQ287" s="172"/>
      <c r="BR287" s="172"/>
      <c r="BS287" s="172"/>
      <c r="BT287" s="172"/>
      <c r="BU287" s="172"/>
      <c r="BV287" s="172"/>
      <c r="BW287" s="172"/>
      <c r="BX287" s="172"/>
      <c r="BY287" s="172"/>
      <c r="BZ287" s="172"/>
      <c r="CA287" s="179"/>
      <c r="CB287" s="179"/>
      <c r="CC287" s="179"/>
      <c r="CD287" s="179"/>
      <c r="CE287" s="179"/>
      <c r="CF287" s="179"/>
      <c r="CG287" s="179"/>
      <c r="CH287" s="179"/>
      <c r="CI287" s="179"/>
      <c r="CJ287" s="179"/>
      <c r="CK287" s="179"/>
      <c r="CL287" s="179"/>
      <c r="CM287" s="179"/>
      <c r="CN287" s="179"/>
      <c r="CO287" s="179"/>
      <c r="CP287" s="179"/>
    </row>
    <row r="288" ht="15.75" customHeight="1">
      <c r="A288" s="151">
        <v>42184.0</v>
      </c>
      <c r="B288" s="152">
        <v>1.0</v>
      </c>
      <c r="C288" s="152" t="s">
        <v>46</v>
      </c>
      <c r="D288" s="152">
        <v>3.0</v>
      </c>
      <c r="E288" s="153">
        <v>2181.0</v>
      </c>
      <c r="F288" s="153">
        <f>SUM(('Future Orders'!$E288) * (1.1))</f>
        <v>2399.1</v>
      </c>
      <c r="G288" s="154">
        <v>8.3</v>
      </c>
      <c r="H288" s="155">
        <v>18102.300000000003</v>
      </c>
      <c r="I288" s="155">
        <f>SUM(('Future Orders'!$H288) * (1.1))</f>
        <v>19912.53</v>
      </c>
      <c r="J288" s="159">
        <f>SUMIFS('Future Orders'!$F288, 'Future Orders'!$D288, "1", 'Future Orders'!$C288, "A", 'Future Orders'!$B288, "1")</f>
        <v>0</v>
      </c>
      <c r="K288" s="157">
        <f>SUMIFS('Future Orders'!$I288, 'Future Orders'!$D288, "1", 'Future Orders'!$C288, "A", 'Future Orders'!$B288, "1")</f>
        <v>0</v>
      </c>
      <c r="L288" s="157">
        <f>SUMIFS('Future Orders'!$F288, 'Future Orders'!$D288, "1", 'Future Orders'!$C288, "B", 'Future Orders'!$B288, "1")</f>
        <v>0</v>
      </c>
      <c r="M288" s="157">
        <f>SUMIFS('Future Orders'!$I288, 'Future Orders'!$D288, "1", 'Future Orders'!$C288, "B", 'Future Orders'!$B288, "1")</f>
        <v>0</v>
      </c>
      <c r="N288" s="159">
        <f>SUMIFS('Future Orders'!$F288, 'Future Orders'!$D288, "1", 'Future Orders'!$C288, "A", 'Future Orders'!$B288, "2")</f>
        <v>0</v>
      </c>
      <c r="O288" s="157">
        <f>SUMIFS('Future Orders'!$I288, 'Future Orders'!$D288, "1", 'Future Orders'!$C288, "A", 'Future Orders'!$B288, "2")</f>
        <v>0</v>
      </c>
      <c r="P288" s="157">
        <f>SUMIFS('Future Orders'!$E288, 'Future Orders'!$D288, "1", 'Future Orders'!$C288, "B", 'Future Orders'!$B288, "2")</f>
        <v>0</v>
      </c>
      <c r="Q288" s="157">
        <f>SUMIFS('Future Orders'!$I288, 'Future Orders'!$D288, "1", 'Future Orders'!$C288, "B", 'Future Orders'!$B288, "2")</f>
        <v>0</v>
      </c>
      <c r="R288" s="159">
        <f>SUMIFS('Future Orders'!$F288, 'Future Orders'!$D288, "2", 'Future Orders'!$C288, "A", 'Future Orders'!$B288, "1")</f>
        <v>0</v>
      </c>
      <c r="S288" s="157">
        <f>SUMIFS('Future Orders'!$I288, 'Future Orders'!$D288, "2", 'Future Orders'!$C288, "A", 'Future Orders'!$B288, "1")</f>
        <v>0</v>
      </c>
      <c r="T288" s="159">
        <f>SUMIFS('Future Orders'!$F288, 'Future Orders'!$D288, "2", 'Future Orders'!$C288, "B", 'Future Orders'!$B288, "1")</f>
        <v>0</v>
      </c>
      <c r="U288" s="157">
        <f>SUMIFS('Future Orders'!$I288, 'Future Orders'!$D288, "2", 'Future Orders'!$C288, "B", 'Future Orders'!$B288, "1")</f>
        <v>0</v>
      </c>
      <c r="V288" s="159">
        <f>SUMIFS('Future Orders'!$F288, 'Future Orders'!$D288, "2", 'Future Orders'!$C288, "A", 'Future Orders'!$B288, "2")</f>
        <v>0</v>
      </c>
      <c r="W288" s="157">
        <f>SUMIFS('Future Orders'!$I288, 'Future Orders'!$D288, "2", 'Future Orders'!$C288, "A", 'Future Orders'!$B288, "2")</f>
        <v>0</v>
      </c>
      <c r="X288" s="159">
        <f>SUMIFS('Future Orders'!$F288, 'Future Orders'!$D288, "2", 'Future Orders'!$C288, "B", 'Future Orders'!$B288, "2")</f>
        <v>0</v>
      </c>
      <c r="Y288" s="159">
        <f>SUMIFS('Future Orders'!$I288, 'Future Orders'!$D288, "2", 'Future Orders'!$C288, "B", 'Future Orders'!$B288, "2")</f>
        <v>0</v>
      </c>
      <c r="Z288" s="159">
        <f>SUMIFS('Future Orders'!$F288, 'Future Orders'!$D288, "3", 'Future Orders'!$C288, "A", 'Future Orders'!$B288, "1")</f>
        <v>0</v>
      </c>
      <c r="AA288" s="159">
        <f>SUMIFS('Future Orders'!$I288, 'Future Orders'!$D288, "3", 'Future Orders'!$C288, "A", 'Future Orders'!$B288, "1")</f>
        <v>0</v>
      </c>
      <c r="AB288" s="159">
        <f>SUMIFS('Future Orders'!$F288, 'Future Orders'!$D288, "3", 'Future Orders'!$C288, "B", 'Future Orders'!$B288, "1")</f>
        <v>2399.1</v>
      </c>
      <c r="AC288" s="159">
        <f>SUMIFS('Future Orders'!$I288, 'Future Orders'!$D288, "3", 'Future Orders'!$C288, "B", 'Future Orders'!$B288, "1")</f>
        <v>19912.53</v>
      </c>
      <c r="AD288" s="159">
        <f>SUMIFS('Future Orders'!$F288, 'Future Orders'!$D288, "3", 'Future Orders'!$C288, "A", 'Future Orders'!$B288, "2")</f>
        <v>0</v>
      </c>
      <c r="AE288" s="159">
        <f>SUMIFS('Future Orders'!$I288, 'Future Orders'!$D288, "3", 'Future Orders'!$C288, "A", 'Future Orders'!$B288, "2")</f>
        <v>0</v>
      </c>
      <c r="AF288" s="159">
        <f>SUMIFS('Future Orders'!$F288, 'Future Orders'!$D288, "3", 'Future Orders'!$C288, "B", 'Future Orders'!$B288, "2")</f>
        <v>0</v>
      </c>
      <c r="AG288" s="157">
        <f>SUMIFS('Future Orders'!$I288, 'Future Orders'!$D288, "3", 'Future Orders'!$C288, "B", 'Future Orders'!$B288, "2")</f>
        <v>0</v>
      </c>
      <c r="AH288" s="157">
        <f>SUMIFS('Future Orders'!$F288, 'Future Orders'!$D288, "4", 'Future Orders'!$C288, "A", 'Future Orders'!$B288, "1")</f>
        <v>0</v>
      </c>
      <c r="AI288" s="157">
        <f>SUMIFS('Future Orders'!$I288, 'Future Orders'!$D288, "4", 'Future Orders'!$C288, "A", 'Future Orders'!$B288, "1")</f>
        <v>0</v>
      </c>
      <c r="AJ288" s="157">
        <f>SUMIFS('Future Orders'!$F288, 'Future Orders'!$D288, "4", 'Future Orders'!$C288, "B", 'Future Orders'!$B288, "1")</f>
        <v>0</v>
      </c>
      <c r="AK288" s="157">
        <f>SUMIFS('Future Orders'!$I288, 'Future Orders'!$D288, "4", 'Future Orders'!$C288, "B", 'Future Orders'!$B288, "1")</f>
        <v>0</v>
      </c>
      <c r="AL288" s="157">
        <f>SUMIFS('Future Orders'!$F288, 'Future Orders'!$D288, "4", 'Future Orders'!$C288, "A", 'Future Orders'!$B288, "2")</f>
        <v>0</v>
      </c>
      <c r="AM288" s="157">
        <f>SUMIFS('Future Orders'!$I288, 'Future Orders'!$D288, "4", 'Future Orders'!$C288, "A", 'Future Orders'!$B288, "2")</f>
        <v>0</v>
      </c>
      <c r="AN288" s="171">
        <f>SUMIFS('Future Orders'!$F288, 'Future Orders'!$D288, "4", 'Future Orders'!$C288, "B", 'Future Orders'!$B288, "2")</f>
        <v>0</v>
      </c>
      <c r="AO288" s="171">
        <f>SUMIFS('Future Orders'!$I288, 'Future Orders'!$D288, "4", 'Future Orders'!$C288, "B", 'Future Orders'!$B288, "2")</f>
        <v>0</v>
      </c>
      <c r="AP288" s="171">
        <f>SUMIFS('Future Orders'!$H288, 'Future Orders'!$C288, "A", 'Future Orders'!$B288, "1")</f>
        <v>0</v>
      </c>
      <c r="AQ288" s="171">
        <f>SUMIFS('Future Orders'!$I288, 'Future Orders'!$C288, "B", 'Future Orders'!$B288, "1")</f>
        <v>19912.53</v>
      </c>
      <c r="AR288" s="171">
        <f>SUMIFS('Future Orders'!$H288, 'Future Orders'!$C288, "A", 'Future Orders'!$B288, "2")</f>
        <v>0</v>
      </c>
      <c r="AS288" s="171">
        <f>SUMIFS('Future Orders'!$I288, 'Future Orders'!$C288, "B", 'Future Orders'!$B288, "2")</f>
        <v>0</v>
      </c>
      <c r="AT288" s="145"/>
      <c r="AU288" s="172"/>
      <c r="AV288" s="172"/>
      <c r="AW288" s="172"/>
      <c r="AX288" s="172"/>
      <c r="AY288" s="172"/>
      <c r="AZ288" s="172"/>
      <c r="BA288" s="172"/>
      <c r="BB288" s="172"/>
      <c r="BC288" s="172"/>
      <c r="BD288" s="172"/>
      <c r="BE288" s="172"/>
      <c r="BF288" s="172"/>
      <c r="BG288" s="172"/>
      <c r="BH288" s="172"/>
      <c r="BI288" s="172"/>
      <c r="BJ288" s="172"/>
      <c r="BK288" s="172"/>
      <c r="BL288" s="172"/>
      <c r="BM288" s="172"/>
      <c r="BN288" s="172"/>
      <c r="BO288" s="172"/>
      <c r="BP288" s="172"/>
      <c r="BQ288" s="172"/>
      <c r="BR288" s="172"/>
      <c r="BS288" s="172"/>
      <c r="BT288" s="172"/>
      <c r="BU288" s="172"/>
      <c r="BV288" s="172"/>
      <c r="BW288" s="172"/>
      <c r="BX288" s="172"/>
      <c r="BY288" s="172"/>
      <c r="BZ288" s="172"/>
      <c r="CA288" s="179"/>
      <c r="CB288" s="179"/>
      <c r="CC288" s="179"/>
      <c r="CD288" s="179"/>
      <c r="CE288" s="179"/>
      <c r="CF288" s="179"/>
      <c r="CG288" s="179"/>
      <c r="CH288" s="179"/>
      <c r="CI288" s="179"/>
      <c r="CJ288" s="179"/>
      <c r="CK288" s="179"/>
      <c r="CL288" s="179"/>
      <c r="CM288" s="179"/>
      <c r="CN288" s="179"/>
      <c r="CO288" s="179"/>
      <c r="CP288" s="179"/>
    </row>
    <row r="289" ht="15.75" customHeight="1">
      <c r="A289" s="151">
        <v>42184.0</v>
      </c>
      <c r="B289" s="152">
        <v>2.0</v>
      </c>
      <c r="C289" s="152" t="s">
        <v>46</v>
      </c>
      <c r="D289" s="152">
        <v>3.0</v>
      </c>
      <c r="E289" s="153">
        <v>2683.0</v>
      </c>
      <c r="F289" s="153">
        <f>SUM(('Future Orders'!$E289) * (1.1))</f>
        <v>2951.3</v>
      </c>
      <c r="G289" s="154">
        <v>8.3</v>
      </c>
      <c r="H289" s="155">
        <v>22268.9</v>
      </c>
      <c r="I289" s="155">
        <f>SUM(('Future Orders'!$H289) * (1.1))</f>
        <v>24495.79</v>
      </c>
      <c r="J289" s="159">
        <f>SUMIFS('Future Orders'!$F289, 'Future Orders'!$D289, "1", 'Future Orders'!$C289, "A", 'Future Orders'!$B289, "1")</f>
        <v>0</v>
      </c>
      <c r="K289" s="157">
        <f>SUMIFS('Future Orders'!$I289, 'Future Orders'!$D289, "1", 'Future Orders'!$C289, "A", 'Future Orders'!$B289, "1")</f>
        <v>0</v>
      </c>
      <c r="L289" s="157">
        <f>SUMIFS('Future Orders'!$F289, 'Future Orders'!$D289, "1", 'Future Orders'!$C289, "B", 'Future Orders'!$B289, "1")</f>
        <v>0</v>
      </c>
      <c r="M289" s="157">
        <f>SUMIFS('Future Orders'!$I289, 'Future Orders'!$D289, "1", 'Future Orders'!$C289, "B", 'Future Orders'!$B289, "1")</f>
        <v>0</v>
      </c>
      <c r="N289" s="159">
        <f>SUMIFS('Future Orders'!$F289, 'Future Orders'!$D289, "1", 'Future Orders'!$C289, "A", 'Future Orders'!$B289, "2")</f>
        <v>0</v>
      </c>
      <c r="O289" s="157">
        <f>SUMIFS('Future Orders'!$I289, 'Future Orders'!$D289, "1", 'Future Orders'!$C289, "A", 'Future Orders'!$B289, "2")</f>
        <v>0</v>
      </c>
      <c r="P289" s="157">
        <f>SUMIFS('Future Orders'!$E289, 'Future Orders'!$D289, "1", 'Future Orders'!$C289, "B", 'Future Orders'!$B289, "2")</f>
        <v>0</v>
      </c>
      <c r="Q289" s="157">
        <f>SUMIFS('Future Orders'!$I289, 'Future Orders'!$D289, "1", 'Future Orders'!$C289, "B", 'Future Orders'!$B289, "2")</f>
        <v>0</v>
      </c>
      <c r="R289" s="159">
        <f>SUMIFS('Future Orders'!$F289, 'Future Orders'!$D289, "2", 'Future Orders'!$C289, "A", 'Future Orders'!$B289, "1")</f>
        <v>0</v>
      </c>
      <c r="S289" s="157">
        <f>SUMIFS('Future Orders'!$I289, 'Future Orders'!$D289, "2", 'Future Orders'!$C289, "A", 'Future Orders'!$B289, "1")</f>
        <v>0</v>
      </c>
      <c r="T289" s="159">
        <f>SUMIFS('Future Orders'!$F289, 'Future Orders'!$D289, "2", 'Future Orders'!$C289, "B", 'Future Orders'!$B289, "1")</f>
        <v>0</v>
      </c>
      <c r="U289" s="157">
        <f>SUMIFS('Future Orders'!$I289, 'Future Orders'!$D289, "2", 'Future Orders'!$C289, "B", 'Future Orders'!$B289, "1")</f>
        <v>0</v>
      </c>
      <c r="V289" s="159">
        <f>SUMIFS('Future Orders'!$F289, 'Future Orders'!$D289, "2", 'Future Orders'!$C289, "A", 'Future Orders'!$B289, "2")</f>
        <v>0</v>
      </c>
      <c r="W289" s="157">
        <f>SUMIFS('Future Orders'!$I289, 'Future Orders'!$D289, "2", 'Future Orders'!$C289, "A", 'Future Orders'!$B289, "2")</f>
        <v>0</v>
      </c>
      <c r="X289" s="159">
        <f>SUMIFS('Future Orders'!$F289, 'Future Orders'!$D289, "2", 'Future Orders'!$C289, "B", 'Future Orders'!$B289, "2")</f>
        <v>0</v>
      </c>
      <c r="Y289" s="159">
        <f>SUMIFS('Future Orders'!$I289, 'Future Orders'!$D289, "2", 'Future Orders'!$C289, "B", 'Future Orders'!$B289, "2")</f>
        <v>0</v>
      </c>
      <c r="Z289" s="159">
        <f>SUMIFS('Future Orders'!$F289, 'Future Orders'!$D289, "3", 'Future Orders'!$C289, "A", 'Future Orders'!$B289, "1")</f>
        <v>0</v>
      </c>
      <c r="AA289" s="159">
        <f>SUMIFS('Future Orders'!$I289, 'Future Orders'!$D289, "3", 'Future Orders'!$C289, "A", 'Future Orders'!$B289, "1")</f>
        <v>0</v>
      </c>
      <c r="AB289" s="159">
        <f>SUMIFS('Future Orders'!$F289, 'Future Orders'!$D289, "3", 'Future Orders'!$C289, "B", 'Future Orders'!$B289, "1")</f>
        <v>0</v>
      </c>
      <c r="AC289" s="159">
        <f>SUMIFS('Future Orders'!$I289, 'Future Orders'!$D289, "3", 'Future Orders'!$C289, "B", 'Future Orders'!$B289, "1")</f>
        <v>0</v>
      </c>
      <c r="AD289" s="159">
        <f>SUMIFS('Future Orders'!$F289, 'Future Orders'!$D289, "3", 'Future Orders'!$C289, "A", 'Future Orders'!$B289, "2")</f>
        <v>0</v>
      </c>
      <c r="AE289" s="159">
        <f>SUMIFS('Future Orders'!$I289, 'Future Orders'!$D289, "3", 'Future Orders'!$C289, "A", 'Future Orders'!$B289, "2")</f>
        <v>0</v>
      </c>
      <c r="AF289" s="159">
        <f>SUMIFS('Future Orders'!$F289, 'Future Orders'!$D289, "3", 'Future Orders'!$C289, "B", 'Future Orders'!$B289, "2")</f>
        <v>2951.3</v>
      </c>
      <c r="AG289" s="157">
        <f>SUMIFS('Future Orders'!$I289, 'Future Orders'!$D289, "3", 'Future Orders'!$C289, "B", 'Future Orders'!$B289, "2")</f>
        <v>24495.79</v>
      </c>
      <c r="AH289" s="157">
        <f>SUMIFS('Future Orders'!$F289, 'Future Orders'!$D289, "4", 'Future Orders'!$C289, "A", 'Future Orders'!$B289, "1")</f>
        <v>0</v>
      </c>
      <c r="AI289" s="157">
        <f>SUMIFS('Future Orders'!$I289, 'Future Orders'!$D289, "4", 'Future Orders'!$C289, "A", 'Future Orders'!$B289, "1")</f>
        <v>0</v>
      </c>
      <c r="AJ289" s="157">
        <f>SUMIFS('Future Orders'!$F289, 'Future Orders'!$D289, "4", 'Future Orders'!$C289, "B", 'Future Orders'!$B289, "1")</f>
        <v>0</v>
      </c>
      <c r="AK289" s="157">
        <f>SUMIFS('Future Orders'!$I289, 'Future Orders'!$D289, "4", 'Future Orders'!$C289, "B", 'Future Orders'!$B289, "1")</f>
        <v>0</v>
      </c>
      <c r="AL289" s="157">
        <f>SUMIFS('Future Orders'!$F289, 'Future Orders'!$D289, "4", 'Future Orders'!$C289, "A", 'Future Orders'!$B289, "2")</f>
        <v>0</v>
      </c>
      <c r="AM289" s="157">
        <f>SUMIFS('Future Orders'!$I289, 'Future Orders'!$D289, "4", 'Future Orders'!$C289, "A", 'Future Orders'!$B289, "2")</f>
        <v>0</v>
      </c>
      <c r="AN289" s="171">
        <f>SUMIFS('Future Orders'!$F289, 'Future Orders'!$D289, "4", 'Future Orders'!$C289, "B", 'Future Orders'!$B289, "2")</f>
        <v>0</v>
      </c>
      <c r="AO289" s="171">
        <f>SUMIFS('Future Orders'!$I289, 'Future Orders'!$D289, "4", 'Future Orders'!$C289, "B", 'Future Orders'!$B289, "2")</f>
        <v>0</v>
      </c>
      <c r="AP289" s="171">
        <f>SUMIFS('Future Orders'!$H289, 'Future Orders'!$C289, "A", 'Future Orders'!$B289, "1")</f>
        <v>0</v>
      </c>
      <c r="AQ289" s="171">
        <f>SUMIFS('Future Orders'!$I289, 'Future Orders'!$C289, "B", 'Future Orders'!$B289, "1")</f>
        <v>0</v>
      </c>
      <c r="AR289" s="171">
        <f>SUMIFS('Future Orders'!$H289, 'Future Orders'!$C289, "A", 'Future Orders'!$B289, "2")</f>
        <v>0</v>
      </c>
      <c r="AS289" s="171">
        <f>SUMIFS('Future Orders'!$I289, 'Future Orders'!$C289, "B", 'Future Orders'!$B289, "2")</f>
        <v>24495.79</v>
      </c>
      <c r="AT289" s="145"/>
      <c r="AU289" s="172"/>
      <c r="AV289" s="172"/>
      <c r="AW289" s="172"/>
      <c r="AX289" s="172"/>
      <c r="AY289" s="172"/>
      <c r="AZ289" s="172"/>
      <c r="BA289" s="172"/>
      <c r="BB289" s="172"/>
      <c r="BC289" s="172"/>
      <c r="BD289" s="172"/>
      <c r="BE289" s="172"/>
      <c r="BF289" s="172"/>
      <c r="BG289" s="172"/>
      <c r="BH289" s="172"/>
      <c r="BI289" s="172"/>
      <c r="BJ289" s="172"/>
      <c r="BK289" s="172"/>
      <c r="BL289" s="172"/>
      <c r="BM289" s="172"/>
      <c r="BN289" s="172"/>
      <c r="BO289" s="172"/>
      <c r="BP289" s="172"/>
      <c r="BQ289" s="172"/>
      <c r="BR289" s="172"/>
      <c r="BS289" s="172"/>
      <c r="BT289" s="172"/>
      <c r="BU289" s="172"/>
      <c r="BV289" s="172"/>
      <c r="BW289" s="172"/>
      <c r="BX289" s="172"/>
      <c r="BY289" s="172"/>
      <c r="BZ289" s="172"/>
      <c r="CA289" s="179"/>
      <c r="CB289" s="179"/>
      <c r="CC289" s="179"/>
      <c r="CD289" s="179"/>
      <c r="CE289" s="179"/>
      <c r="CF289" s="179"/>
      <c r="CG289" s="179"/>
      <c r="CH289" s="179"/>
      <c r="CI289" s="179"/>
      <c r="CJ289" s="179"/>
      <c r="CK289" s="179"/>
      <c r="CL289" s="179"/>
      <c r="CM289" s="179"/>
      <c r="CN289" s="179"/>
      <c r="CO289" s="179"/>
      <c r="CP289" s="179"/>
    </row>
    <row r="290" ht="15.75" customHeight="1">
      <c r="A290" s="151">
        <v>42191.0</v>
      </c>
      <c r="B290" s="152">
        <v>1.0</v>
      </c>
      <c r="C290" s="152" t="s">
        <v>45</v>
      </c>
      <c r="D290" s="152">
        <v>1.0</v>
      </c>
      <c r="E290" s="153">
        <v>5835.0</v>
      </c>
      <c r="F290" s="153">
        <f>SUM(('Future Orders'!$E290) * (1.1))</f>
        <v>6418.5</v>
      </c>
      <c r="G290" s="154">
        <v>2.2</v>
      </c>
      <c r="H290" s="155">
        <v>12837.000000000002</v>
      </c>
      <c r="I290" s="155">
        <f>SUM(('Future Orders'!$H290) * (1.1))</f>
        <v>14120.7</v>
      </c>
      <c r="J290" s="159">
        <f>SUMIFS('Future Orders'!$F290, 'Future Orders'!$D290, "1", 'Future Orders'!$C290, "A", 'Future Orders'!$B290, "1")</f>
        <v>6418.5</v>
      </c>
      <c r="K290" s="157">
        <f>SUMIFS('Future Orders'!$I290, 'Future Orders'!$D290, "1", 'Future Orders'!$C290, "A", 'Future Orders'!$B290, "1")</f>
        <v>14120.7</v>
      </c>
      <c r="L290" s="157">
        <f>SUMIFS('Future Orders'!$F290, 'Future Orders'!$D290, "1", 'Future Orders'!$C290, "B", 'Future Orders'!$B290, "1")</f>
        <v>0</v>
      </c>
      <c r="M290" s="157">
        <f>SUMIFS('Future Orders'!$I290, 'Future Orders'!$D290, "1", 'Future Orders'!$C290, "B", 'Future Orders'!$B290, "1")</f>
        <v>0</v>
      </c>
      <c r="N290" s="159">
        <f>SUMIFS('Future Orders'!$F290, 'Future Orders'!$D290, "1", 'Future Orders'!$C290, "A", 'Future Orders'!$B290, "2")</f>
        <v>0</v>
      </c>
      <c r="O290" s="157">
        <f>SUMIFS('Future Orders'!$I290, 'Future Orders'!$D290, "1", 'Future Orders'!$C290, "A", 'Future Orders'!$B290, "2")</f>
        <v>0</v>
      </c>
      <c r="P290" s="157">
        <f>SUMIFS('Future Orders'!$E290, 'Future Orders'!$D290, "1", 'Future Orders'!$C290, "B", 'Future Orders'!$B290, "2")</f>
        <v>0</v>
      </c>
      <c r="Q290" s="157">
        <f>SUMIFS('Future Orders'!$I290, 'Future Orders'!$D290, "1", 'Future Orders'!$C290, "B", 'Future Orders'!$B290, "2")</f>
        <v>0</v>
      </c>
      <c r="R290" s="159">
        <f>SUMIFS('Future Orders'!$F290, 'Future Orders'!$D290, "2", 'Future Orders'!$C290, "A", 'Future Orders'!$B290, "1")</f>
        <v>0</v>
      </c>
      <c r="S290" s="157">
        <f>SUMIFS('Future Orders'!$I290, 'Future Orders'!$D290, "2", 'Future Orders'!$C290, "A", 'Future Orders'!$B290, "1")</f>
        <v>0</v>
      </c>
      <c r="T290" s="159">
        <f>SUMIFS('Future Orders'!$F290, 'Future Orders'!$D290, "2", 'Future Orders'!$C290, "B", 'Future Orders'!$B290, "1")</f>
        <v>0</v>
      </c>
      <c r="U290" s="157">
        <f>SUMIFS('Future Orders'!$I290, 'Future Orders'!$D290, "2", 'Future Orders'!$C290, "B", 'Future Orders'!$B290, "1")</f>
        <v>0</v>
      </c>
      <c r="V290" s="159">
        <f>SUMIFS('Future Orders'!$F290, 'Future Orders'!$D290, "2", 'Future Orders'!$C290, "A", 'Future Orders'!$B290, "2")</f>
        <v>0</v>
      </c>
      <c r="W290" s="157">
        <f>SUMIFS('Future Orders'!$I290, 'Future Orders'!$D290, "2", 'Future Orders'!$C290, "A", 'Future Orders'!$B290, "2")</f>
        <v>0</v>
      </c>
      <c r="X290" s="159">
        <f>SUMIFS('Future Orders'!$F290, 'Future Orders'!$D290, "2", 'Future Orders'!$C290, "B", 'Future Orders'!$B290, "2")</f>
        <v>0</v>
      </c>
      <c r="Y290" s="159">
        <f>SUMIFS('Future Orders'!$I290, 'Future Orders'!$D290, "2", 'Future Orders'!$C290, "B", 'Future Orders'!$B290, "2")</f>
        <v>0</v>
      </c>
      <c r="Z290" s="159">
        <f>SUMIFS('Future Orders'!$F290, 'Future Orders'!$D290, "3", 'Future Orders'!$C290, "A", 'Future Orders'!$B290, "1")</f>
        <v>0</v>
      </c>
      <c r="AA290" s="159">
        <f>SUMIFS('Future Orders'!$I290, 'Future Orders'!$D290, "3", 'Future Orders'!$C290, "A", 'Future Orders'!$B290, "1")</f>
        <v>0</v>
      </c>
      <c r="AB290" s="159">
        <f>SUMIFS('Future Orders'!$F290, 'Future Orders'!$D290, "3", 'Future Orders'!$C290, "B", 'Future Orders'!$B290, "1")</f>
        <v>0</v>
      </c>
      <c r="AC290" s="159">
        <f>SUMIFS('Future Orders'!$I290, 'Future Orders'!$D290, "3", 'Future Orders'!$C290, "B", 'Future Orders'!$B290, "1")</f>
        <v>0</v>
      </c>
      <c r="AD290" s="159">
        <f>SUMIFS('Future Orders'!$F290, 'Future Orders'!$D290, "3", 'Future Orders'!$C290, "A", 'Future Orders'!$B290, "2")</f>
        <v>0</v>
      </c>
      <c r="AE290" s="159">
        <f>SUMIFS('Future Orders'!$I290, 'Future Orders'!$D290, "3", 'Future Orders'!$C290, "A", 'Future Orders'!$B290, "2")</f>
        <v>0</v>
      </c>
      <c r="AF290" s="159">
        <f>SUMIFS('Future Orders'!$F290, 'Future Orders'!$D290, "3", 'Future Orders'!$C290, "B", 'Future Orders'!$B290, "2")</f>
        <v>0</v>
      </c>
      <c r="AG290" s="157">
        <f>SUMIFS('Future Orders'!$I290, 'Future Orders'!$D290, "3", 'Future Orders'!$C290, "B", 'Future Orders'!$B290, "2")</f>
        <v>0</v>
      </c>
      <c r="AH290" s="157">
        <f>SUMIFS('Future Orders'!$F290, 'Future Orders'!$D290, "4", 'Future Orders'!$C290, "A", 'Future Orders'!$B290, "1")</f>
        <v>0</v>
      </c>
      <c r="AI290" s="157">
        <f>SUMIFS('Future Orders'!$I290, 'Future Orders'!$D290, "4", 'Future Orders'!$C290, "A", 'Future Orders'!$B290, "1")</f>
        <v>0</v>
      </c>
      <c r="AJ290" s="157">
        <f>SUMIFS('Future Orders'!$F290, 'Future Orders'!$D290, "4", 'Future Orders'!$C290, "B", 'Future Orders'!$B290, "1")</f>
        <v>0</v>
      </c>
      <c r="AK290" s="157">
        <f>SUMIFS('Future Orders'!$I290, 'Future Orders'!$D290, "4", 'Future Orders'!$C290, "B", 'Future Orders'!$B290, "1")</f>
        <v>0</v>
      </c>
      <c r="AL290" s="157">
        <f>SUMIFS('Future Orders'!$F290, 'Future Orders'!$D290, "4", 'Future Orders'!$C290, "A", 'Future Orders'!$B290, "2")</f>
        <v>0</v>
      </c>
      <c r="AM290" s="157">
        <f>SUMIFS('Future Orders'!$I290, 'Future Orders'!$D290, "4", 'Future Orders'!$C290, "A", 'Future Orders'!$B290, "2")</f>
        <v>0</v>
      </c>
      <c r="AN290" s="171">
        <f>SUMIFS('Future Orders'!$F290, 'Future Orders'!$D290, "4", 'Future Orders'!$C290, "B", 'Future Orders'!$B290, "2")</f>
        <v>0</v>
      </c>
      <c r="AO290" s="171">
        <f>SUMIFS('Future Orders'!$I290, 'Future Orders'!$D290, "4", 'Future Orders'!$C290, "B", 'Future Orders'!$B290, "2")</f>
        <v>0</v>
      </c>
      <c r="AP290" s="171">
        <f>SUMIFS('Future Orders'!$H290, 'Future Orders'!$C290, "A", 'Future Orders'!$B290, "1")</f>
        <v>12837</v>
      </c>
      <c r="AQ290" s="171">
        <f>SUMIFS('Future Orders'!$I290, 'Future Orders'!$C290, "B", 'Future Orders'!$B290, "1")</f>
        <v>0</v>
      </c>
      <c r="AR290" s="171">
        <f>SUMIFS('Future Orders'!$H290, 'Future Orders'!$C290, "A", 'Future Orders'!$B290, "2")</f>
        <v>0</v>
      </c>
      <c r="AS290" s="171">
        <f>SUMIFS('Future Orders'!$I290, 'Future Orders'!$C290, "B", 'Future Orders'!$B290, "2")</f>
        <v>0</v>
      </c>
      <c r="AT290" s="145"/>
      <c r="AU290" s="172"/>
      <c r="AV290" s="172"/>
      <c r="AW290" s="172"/>
      <c r="AX290" s="172"/>
      <c r="AY290" s="172"/>
      <c r="AZ290" s="172"/>
      <c r="BA290" s="172"/>
      <c r="BB290" s="172"/>
      <c r="BC290" s="172"/>
      <c r="BD290" s="172"/>
      <c r="BE290" s="172"/>
      <c r="BF290" s="172"/>
      <c r="BG290" s="172"/>
      <c r="BH290" s="172"/>
      <c r="BI290" s="172"/>
      <c r="BJ290" s="172"/>
      <c r="BK290" s="172"/>
      <c r="BL290" s="172"/>
      <c r="BM290" s="172"/>
      <c r="BN290" s="172"/>
      <c r="BO290" s="172"/>
      <c r="BP290" s="172"/>
      <c r="BQ290" s="172"/>
      <c r="BR290" s="172"/>
      <c r="BS290" s="172"/>
      <c r="BT290" s="172"/>
      <c r="BU290" s="172"/>
      <c r="BV290" s="172"/>
      <c r="BW290" s="172"/>
      <c r="BX290" s="172"/>
      <c r="BY290" s="172"/>
      <c r="BZ290" s="172"/>
      <c r="CA290" s="179"/>
      <c r="CB290" s="179"/>
      <c r="CC290" s="179"/>
      <c r="CD290" s="179"/>
      <c r="CE290" s="179"/>
      <c r="CF290" s="179"/>
      <c r="CG290" s="179"/>
      <c r="CH290" s="179"/>
      <c r="CI290" s="179"/>
      <c r="CJ290" s="179"/>
      <c r="CK290" s="179"/>
      <c r="CL290" s="179"/>
      <c r="CM290" s="179"/>
      <c r="CN290" s="179"/>
      <c r="CO290" s="179"/>
      <c r="CP290" s="179"/>
    </row>
    <row r="291" ht="15.75" customHeight="1">
      <c r="A291" s="151">
        <v>42191.0</v>
      </c>
      <c r="B291" s="152">
        <v>1.0</v>
      </c>
      <c r="C291" s="152" t="s">
        <v>45</v>
      </c>
      <c r="D291" s="152">
        <v>2.0</v>
      </c>
      <c r="E291" s="153">
        <v>6447.0</v>
      </c>
      <c r="F291" s="153">
        <f>SUM(('Future Orders'!$E291) * (1.1))</f>
        <v>7091.7</v>
      </c>
      <c r="G291" s="154">
        <v>1.2</v>
      </c>
      <c r="H291" s="155">
        <v>7736.4</v>
      </c>
      <c r="I291" s="155">
        <f>SUM(('Future Orders'!$H291) * (1.1))</f>
        <v>8510.04</v>
      </c>
      <c r="J291" s="159">
        <f>SUMIFS('Future Orders'!$F291, 'Future Orders'!$D291, "1", 'Future Orders'!$C291, "A", 'Future Orders'!$B291, "1")</f>
        <v>0</v>
      </c>
      <c r="K291" s="157">
        <f>SUMIFS('Future Orders'!$I291, 'Future Orders'!$D291, "1", 'Future Orders'!$C291, "A", 'Future Orders'!$B291, "1")</f>
        <v>0</v>
      </c>
      <c r="L291" s="157">
        <f>SUMIFS('Future Orders'!$F291, 'Future Orders'!$D291, "1", 'Future Orders'!$C291, "B", 'Future Orders'!$B291, "1")</f>
        <v>0</v>
      </c>
      <c r="M291" s="157">
        <f>SUMIFS('Future Orders'!$I291, 'Future Orders'!$D291, "1", 'Future Orders'!$C291, "B", 'Future Orders'!$B291, "1")</f>
        <v>0</v>
      </c>
      <c r="N291" s="159">
        <f>SUMIFS('Future Orders'!$F291, 'Future Orders'!$D291, "1", 'Future Orders'!$C291, "A", 'Future Orders'!$B291, "2")</f>
        <v>0</v>
      </c>
      <c r="O291" s="157">
        <f>SUMIFS('Future Orders'!$I291, 'Future Orders'!$D291, "1", 'Future Orders'!$C291, "A", 'Future Orders'!$B291, "2")</f>
        <v>0</v>
      </c>
      <c r="P291" s="157">
        <f>SUMIFS('Future Orders'!$E291, 'Future Orders'!$D291, "1", 'Future Orders'!$C291, "B", 'Future Orders'!$B291, "2")</f>
        <v>0</v>
      </c>
      <c r="Q291" s="157">
        <f>SUMIFS('Future Orders'!$I291, 'Future Orders'!$D291, "1", 'Future Orders'!$C291, "B", 'Future Orders'!$B291, "2")</f>
        <v>0</v>
      </c>
      <c r="R291" s="159">
        <f>SUMIFS('Future Orders'!$F291, 'Future Orders'!$D291, "2", 'Future Orders'!$C291, "A", 'Future Orders'!$B291, "1")</f>
        <v>7091.7</v>
      </c>
      <c r="S291" s="157">
        <f>SUMIFS('Future Orders'!$I291, 'Future Orders'!$D291, "2", 'Future Orders'!$C291, "A", 'Future Orders'!$B291, "1")</f>
        <v>8510.04</v>
      </c>
      <c r="T291" s="159">
        <f>SUMIFS('Future Orders'!$F291, 'Future Orders'!$D291, "2", 'Future Orders'!$C291, "B", 'Future Orders'!$B291, "1")</f>
        <v>0</v>
      </c>
      <c r="U291" s="157">
        <f>SUMIFS('Future Orders'!$I291, 'Future Orders'!$D291, "2", 'Future Orders'!$C291, "B", 'Future Orders'!$B291, "1")</f>
        <v>0</v>
      </c>
      <c r="V291" s="159">
        <f>SUMIFS('Future Orders'!$F291, 'Future Orders'!$D291, "2", 'Future Orders'!$C291, "A", 'Future Orders'!$B291, "2")</f>
        <v>0</v>
      </c>
      <c r="W291" s="157">
        <f>SUMIFS('Future Orders'!$I291, 'Future Orders'!$D291, "2", 'Future Orders'!$C291, "A", 'Future Orders'!$B291, "2")</f>
        <v>0</v>
      </c>
      <c r="X291" s="159">
        <f>SUMIFS('Future Orders'!$F291, 'Future Orders'!$D291, "2", 'Future Orders'!$C291, "B", 'Future Orders'!$B291, "2")</f>
        <v>0</v>
      </c>
      <c r="Y291" s="159">
        <f>SUMIFS('Future Orders'!$I291, 'Future Orders'!$D291, "2", 'Future Orders'!$C291, "B", 'Future Orders'!$B291, "2")</f>
        <v>0</v>
      </c>
      <c r="Z291" s="159">
        <f>SUMIFS('Future Orders'!$F291, 'Future Orders'!$D291, "3", 'Future Orders'!$C291, "A", 'Future Orders'!$B291, "1")</f>
        <v>0</v>
      </c>
      <c r="AA291" s="159">
        <f>SUMIFS('Future Orders'!$I291, 'Future Orders'!$D291, "3", 'Future Orders'!$C291, "A", 'Future Orders'!$B291, "1")</f>
        <v>0</v>
      </c>
      <c r="AB291" s="159">
        <f>SUMIFS('Future Orders'!$F291, 'Future Orders'!$D291, "3", 'Future Orders'!$C291, "B", 'Future Orders'!$B291, "1")</f>
        <v>0</v>
      </c>
      <c r="AC291" s="159">
        <f>SUMIFS('Future Orders'!$I291, 'Future Orders'!$D291, "3", 'Future Orders'!$C291, "B", 'Future Orders'!$B291, "1")</f>
        <v>0</v>
      </c>
      <c r="AD291" s="159">
        <f>SUMIFS('Future Orders'!$F291, 'Future Orders'!$D291, "3", 'Future Orders'!$C291, "A", 'Future Orders'!$B291, "2")</f>
        <v>0</v>
      </c>
      <c r="AE291" s="159">
        <f>SUMIFS('Future Orders'!$I291, 'Future Orders'!$D291, "3", 'Future Orders'!$C291, "A", 'Future Orders'!$B291, "2")</f>
        <v>0</v>
      </c>
      <c r="AF291" s="159">
        <f>SUMIFS('Future Orders'!$F291, 'Future Orders'!$D291, "3", 'Future Orders'!$C291, "B", 'Future Orders'!$B291, "2")</f>
        <v>0</v>
      </c>
      <c r="AG291" s="157">
        <f>SUMIFS('Future Orders'!$I291, 'Future Orders'!$D291, "3", 'Future Orders'!$C291, "B", 'Future Orders'!$B291, "2")</f>
        <v>0</v>
      </c>
      <c r="AH291" s="157">
        <f>SUMIFS('Future Orders'!$F291, 'Future Orders'!$D291, "4", 'Future Orders'!$C291, "A", 'Future Orders'!$B291, "1")</f>
        <v>0</v>
      </c>
      <c r="AI291" s="157">
        <f>SUMIFS('Future Orders'!$I291, 'Future Orders'!$D291, "4", 'Future Orders'!$C291, "A", 'Future Orders'!$B291, "1")</f>
        <v>0</v>
      </c>
      <c r="AJ291" s="157">
        <f>SUMIFS('Future Orders'!$F291, 'Future Orders'!$D291, "4", 'Future Orders'!$C291, "B", 'Future Orders'!$B291, "1")</f>
        <v>0</v>
      </c>
      <c r="AK291" s="157">
        <f>SUMIFS('Future Orders'!$I291, 'Future Orders'!$D291, "4", 'Future Orders'!$C291, "B", 'Future Orders'!$B291, "1")</f>
        <v>0</v>
      </c>
      <c r="AL291" s="157">
        <f>SUMIFS('Future Orders'!$F291, 'Future Orders'!$D291, "4", 'Future Orders'!$C291, "A", 'Future Orders'!$B291, "2")</f>
        <v>0</v>
      </c>
      <c r="AM291" s="157">
        <f>SUMIFS('Future Orders'!$I291, 'Future Orders'!$D291, "4", 'Future Orders'!$C291, "A", 'Future Orders'!$B291, "2")</f>
        <v>0</v>
      </c>
      <c r="AN291" s="171">
        <f>SUMIFS('Future Orders'!$F291, 'Future Orders'!$D291, "4", 'Future Orders'!$C291, "B", 'Future Orders'!$B291, "2")</f>
        <v>0</v>
      </c>
      <c r="AO291" s="171">
        <f>SUMIFS('Future Orders'!$I291, 'Future Orders'!$D291, "4", 'Future Orders'!$C291, "B", 'Future Orders'!$B291, "2")</f>
        <v>0</v>
      </c>
      <c r="AP291" s="171">
        <f>SUMIFS('Future Orders'!$H291, 'Future Orders'!$C291, "A", 'Future Orders'!$B291, "1")</f>
        <v>7736.4</v>
      </c>
      <c r="AQ291" s="171">
        <f>SUMIFS('Future Orders'!$I291, 'Future Orders'!$C291, "B", 'Future Orders'!$B291, "1")</f>
        <v>0</v>
      </c>
      <c r="AR291" s="171">
        <f>SUMIFS('Future Orders'!$H291, 'Future Orders'!$C291, "A", 'Future Orders'!$B291, "2")</f>
        <v>0</v>
      </c>
      <c r="AS291" s="171">
        <f>SUMIFS('Future Orders'!$I291, 'Future Orders'!$C291, "B", 'Future Orders'!$B291, "2")</f>
        <v>0</v>
      </c>
      <c r="AT291" s="145"/>
      <c r="AU291" s="172"/>
      <c r="AV291" s="172"/>
      <c r="AW291" s="172"/>
      <c r="AX291" s="172"/>
      <c r="AY291" s="172"/>
      <c r="AZ291" s="172"/>
      <c r="BA291" s="172"/>
      <c r="BB291" s="172"/>
      <c r="BC291" s="172"/>
      <c r="BD291" s="172"/>
      <c r="BE291" s="172"/>
      <c r="BF291" s="172"/>
      <c r="BG291" s="172"/>
      <c r="BH291" s="172"/>
      <c r="BI291" s="172"/>
      <c r="BJ291" s="172"/>
      <c r="BK291" s="172"/>
      <c r="BL291" s="172"/>
      <c r="BM291" s="172"/>
      <c r="BN291" s="172"/>
      <c r="BO291" s="172"/>
      <c r="BP291" s="172"/>
      <c r="BQ291" s="172"/>
      <c r="BR291" s="172"/>
      <c r="BS291" s="172"/>
      <c r="BT291" s="172"/>
      <c r="BU291" s="172"/>
      <c r="BV291" s="172"/>
      <c r="BW291" s="172"/>
      <c r="BX291" s="172"/>
      <c r="BY291" s="172"/>
      <c r="BZ291" s="172"/>
      <c r="CA291" s="179"/>
      <c r="CB291" s="179"/>
      <c r="CC291" s="179"/>
      <c r="CD291" s="179"/>
      <c r="CE291" s="179"/>
      <c r="CF291" s="179"/>
      <c r="CG291" s="179"/>
      <c r="CH291" s="179"/>
      <c r="CI291" s="179"/>
      <c r="CJ291" s="179"/>
      <c r="CK291" s="179"/>
      <c r="CL291" s="179"/>
      <c r="CM291" s="179"/>
      <c r="CN291" s="179"/>
      <c r="CO291" s="179"/>
      <c r="CP291" s="179"/>
    </row>
    <row r="292" ht="15.75" customHeight="1">
      <c r="A292" s="151">
        <v>42191.0</v>
      </c>
      <c r="B292" s="152">
        <v>2.0</v>
      </c>
      <c r="C292" s="152" t="s">
        <v>45</v>
      </c>
      <c r="D292" s="152">
        <v>1.0</v>
      </c>
      <c r="E292" s="153">
        <v>4945.0</v>
      </c>
      <c r="F292" s="153">
        <f>SUM(('Future Orders'!$E292) * (1.1))</f>
        <v>5439.5</v>
      </c>
      <c r="G292" s="154">
        <v>2.2</v>
      </c>
      <c r="H292" s="155">
        <v>10879.0</v>
      </c>
      <c r="I292" s="155">
        <f>SUM(('Future Orders'!$H292) * (1.1))</f>
        <v>11966.9</v>
      </c>
      <c r="J292" s="159">
        <f>SUMIFS('Future Orders'!$F292, 'Future Orders'!$D292, "1", 'Future Orders'!$C292, "A", 'Future Orders'!$B292, "1")</f>
        <v>0</v>
      </c>
      <c r="K292" s="157">
        <f>SUMIFS('Future Orders'!$I292, 'Future Orders'!$D292, "1", 'Future Orders'!$C292, "A", 'Future Orders'!$B292, "1")</f>
        <v>0</v>
      </c>
      <c r="L292" s="157">
        <f>SUMIFS('Future Orders'!$F292, 'Future Orders'!$D292, "1", 'Future Orders'!$C292, "B", 'Future Orders'!$B292, "1")</f>
        <v>0</v>
      </c>
      <c r="M292" s="157">
        <f>SUMIFS('Future Orders'!$I292, 'Future Orders'!$D292, "1", 'Future Orders'!$C292, "B", 'Future Orders'!$B292, "1")</f>
        <v>0</v>
      </c>
      <c r="N292" s="159">
        <f>SUMIFS('Future Orders'!$F292, 'Future Orders'!$D292, "1", 'Future Orders'!$C292, "A", 'Future Orders'!$B292, "2")</f>
        <v>5439.5</v>
      </c>
      <c r="O292" s="157">
        <f>SUMIFS('Future Orders'!$I292, 'Future Orders'!$D292, "1", 'Future Orders'!$C292, "A", 'Future Orders'!$B292, "2")</f>
        <v>11966.9</v>
      </c>
      <c r="P292" s="157">
        <f>SUMIFS('Future Orders'!$E292, 'Future Orders'!$D292, "1", 'Future Orders'!$C292, "B", 'Future Orders'!$B292, "2")</f>
        <v>0</v>
      </c>
      <c r="Q292" s="157">
        <f>SUMIFS('Future Orders'!$I292, 'Future Orders'!$D292, "1", 'Future Orders'!$C292, "B", 'Future Orders'!$B292, "2")</f>
        <v>0</v>
      </c>
      <c r="R292" s="159">
        <f>SUMIFS('Future Orders'!$F292, 'Future Orders'!$D292, "2", 'Future Orders'!$C292, "A", 'Future Orders'!$B292, "1")</f>
        <v>0</v>
      </c>
      <c r="S292" s="157">
        <f>SUMIFS('Future Orders'!$I292, 'Future Orders'!$D292, "2", 'Future Orders'!$C292, "A", 'Future Orders'!$B292, "1")</f>
        <v>0</v>
      </c>
      <c r="T292" s="159">
        <f>SUMIFS('Future Orders'!$F292, 'Future Orders'!$D292, "2", 'Future Orders'!$C292, "B", 'Future Orders'!$B292, "1")</f>
        <v>0</v>
      </c>
      <c r="U292" s="157">
        <f>SUMIFS('Future Orders'!$I292, 'Future Orders'!$D292, "2", 'Future Orders'!$C292, "B", 'Future Orders'!$B292, "1")</f>
        <v>0</v>
      </c>
      <c r="V292" s="159">
        <f>SUMIFS('Future Orders'!$F292, 'Future Orders'!$D292, "2", 'Future Orders'!$C292, "A", 'Future Orders'!$B292, "2")</f>
        <v>0</v>
      </c>
      <c r="W292" s="157">
        <f>SUMIFS('Future Orders'!$I292, 'Future Orders'!$D292, "2", 'Future Orders'!$C292, "A", 'Future Orders'!$B292, "2")</f>
        <v>0</v>
      </c>
      <c r="X292" s="159">
        <f>SUMIFS('Future Orders'!$F292, 'Future Orders'!$D292, "2", 'Future Orders'!$C292, "B", 'Future Orders'!$B292, "2")</f>
        <v>0</v>
      </c>
      <c r="Y292" s="159">
        <f>SUMIFS('Future Orders'!$I292, 'Future Orders'!$D292, "2", 'Future Orders'!$C292, "B", 'Future Orders'!$B292, "2")</f>
        <v>0</v>
      </c>
      <c r="Z292" s="159">
        <f>SUMIFS('Future Orders'!$F292, 'Future Orders'!$D292, "3", 'Future Orders'!$C292, "A", 'Future Orders'!$B292, "1")</f>
        <v>0</v>
      </c>
      <c r="AA292" s="159">
        <f>SUMIFS('Future Orders'!$I292, 'Future Orders'!$D292, "3", 'Future Orders'!$C292, "A", 'Future Orders'!$B292, "1")</f>
        <v>0</v>
      </c>
      <c r="AB292" s="159">
        <f>SUMIFS('Future Orders'!$F292, 'Future Orders'!$D292, "3", 'Future Orders'!$C292, "B", 'Future Orders'!$B292, "1")</f>
        <v>0</v>
      </c>
      <c r="AC292" s="159">
        <f>SUMIFS('Future Orders'!$I292, 'Future Orders'!$D292, "3", 'Future Orders'!$C292, "B", 'Future Orders'!$B292, "1")</f>
        <v>0</v>
      </c>
      <c r="AD292" s="159">
        <f>SUMIFS('Future Orders'!$F292, 'Future Orders'!$D292, "3", 'Future Orders'!$C292, "A", 'Future Orders'!$B292, "2")</f>
        <v>0</v>
      </c>
      <c r="AE292" s="159">
        <f>SUMIFS('Future Orders'!$I292, 'Future Orders'!$D292, "3", 'Future Orders'!$C292, "A", 'Future Orders'!$B292, "2")</f>
        <v>0</v>
      </c>
      <c r="AF292" s="159">
        <f>SUMIFS('Future Orders'!$F292, 'Future Orders'!$D292, "3", 'Future Orders'!$C292, "B", 'Future Orders'!$B292, "2")</f>
        <v>0</v>
      </c>
      <c r="AG292" s="157">
        <f>SUMIFS('Future Orders'!$I292, 'Future Orders'!$D292, "3", 'Future Orders'!$C292, "B", 'Future Orders'!$B292, "2")</f>
        <v>0</v>
      </c>
      <c r="AH292" s="157">
        <f>SUMIFS('Future Orders'!$F292, 'Future Orders'!$D292, "4", 'Future Orders'!$C292, "A", 'Future Orders'!$B292, "1")</f>
        <v>0</v>
      </c>
      <c r="AI292" s="157">
        <f>SUMIFS('Future Orders'!$I292, 'Future Orders'!$D292, "4", 'Future Orders'!$C292, "A", 'Future Orders'!$B292, "1")</f>
        <v>0</v>
      </c>
      <c r="AJ292" s="157">
        <f>SUMIFS('Future Orders'!$F292, 'Future Orders'!$D292, "4", 'Future Orders'!$C292, "B", 'Future Orders'!$B292, "1")</f>
        <v>0</v>
      </c>
      <c r="AK292" s="157">
        <f>SUMIFS('Future Orders'!$I292, 'Future Orders'!$D292, "4", 'Future Orders'!$C292, "B", 'Future Orders'!$B292, "1")</f>
        <v>0</v>
      </c>
      <c r="AL292" s="157">
        <f>SUMIFS('Future Orders'!$F292, 'Future Orders'!$D292, "4", 'Future Orders'!$C292, "A", 'Future Orders'!$B292, "2")</f>
        <v>0</v>
      </c>
      <c r="AM292" s="157">
        <f>SUMIFS('Future Orders'!$I292, 'Future Orders'!$D292, "4", 'Future Orders'!$C292, "A", 'Future Orders'!$B292, "2")</f>
        <v>0</v>
      </c>
      <c r="AN292" s="171">
        <f>SUMIFS('Future Orders'!$F292, 'Future Orders'!$D292, "4", 'Future Orders'!$C292, "B", 'Future Orders'!$B292, "2")</f>
        <v>0</v>
      </c>
      <c r="AO292" s="171">
        <f>SUMIFS('Future Orders'!$I292, 'Future Orders'!$D292, "4", 'Future Orders'!$C292, "B", 'Future Orders'!$B292, "2")</f>
        <v>0</v>
      </c>
      <c r="AP292" s="171">
        <f>SUMIFS('Future Orders'!$H292, 'Future Orders'!$C292, "A", 'Future Orders'!$B292, "1")</f>
        <v>0</v>
      </c>
      <c r="AQ292" s="171">
        <f>SUMIFS('Future Orders'!$I292, 'Future Orders'!$C292, "B", 'Future Orders'!$B292, "1")</f>
        <v>0</v>
      </c>
      <c r="AR292" s="171">
        <f>SUMIFS('Future Orders'!$H292, 'Future Orders'!$C292, "A", 'Future Orders'!$B292, "2")</f>
        <v>10879</v>
      </c>
      <c r="AS292" s="171">
        <f>SUMIFS('Future Orders'!$I292, 'Future Orders'!$C292, "B", 'Future Orders'!$B292, "2")</f>
        <v>0</v>
      </c>
      <c r="AT292" s="145"/>
      <c r="AU292" s="172"/>
      <c r="AV292" s="172"/>
      <c r="AW292" s="172"/>
      <c r="AX292" s="172"/>
      <c r="AY292" s="172"/>
      <c r="AZ292" s="172"/>
      <c r="BA292" s="172"/>
      <c r="BB292" s="172"/>
      <c r="BC292" s="172"/>
      <c r="BD292" s="172"/>
      <c r="BE292" s="172"/>
      <c r="BF292" s="172"/>
      <c r="BG292" s="172"/>
      <c r="BH292" s="172"/>
      <c r="BI292" s="172"/>
      <c r="BJ292" s="172"/>
      <c r="BK292" s="172"/>
      <c r="BL292" s="172"/>
      <c r="BM292" s="172"/>
      <c r="BN292" s="172"/>
      <c r="BO292" s="172"/>
      <c r="BP292" s="172"/>
      <c r="BQ292" s="172"/>
      <c r="BR292" s="172"/>
      <c r="BS292" s="172"/>
      <c r="BT292" s="172"/>
      <c r="BU292" s="172"/>
      <c r="BV292" s="172"/>
      <c r="BW292" s="172"/>
      <c r="BX292" s="172"/>
      <c r="BY292" s="172"/>
      <c r="BZ292" s="172"/>
      <c r="CA292" s="179"/>
      <c r="CB292" s="179"/>
      <c r="CC292" s="179"/>
      <c r="CD292" s="179"/>
      <c r="CE292" s="179"/>
      <c r="CF292" s="179"/>
      <c r="CG292" s="179"/>
      <c r="CH292" s="179"/>
      <c r="CI292" s="179"/>
      <c r="CJ292" s="179"/>
      <c r="CK292" s="179"/>
      <c r="CL292" s="179"/>
      <c r="CM292" s="179"/>
      <c r="CN292" s="179"/>
      <c r="CO292" s="179"/>
      <c r="CP292" s="179"/>
    </row>
    <row r="293" ht="15.75" customHeight="1">
      <c r="A293" s="151">
        <v>42191.0</v>
      </c>
      <c r="B293" s="152">
        <v>2.0</v>
      </c>
      <c r="C293" s="152" t="s">
        <v>45</v>
      </c>
      <c r="D293" s="152">
        <v>2.0</v>
      </c>
      <c r="E293" s="153">
        <v>6325.0</v>
      </c>
      <c r="F293" s="153">
        <f>SUM(('Future Orders'!$E293) * (1.1))</f>
        <v>6957.5</v>
      </c>
      <c r="G293" s="154">
        <v>1.2</v>
      </c>
      <c r="H293" s="155">
        <v>7590.0</v>
      </c>
      <c r="I293" s="155">
        <f>SUM(('Future Orders'!$H293) * (1.1))</f>
        <v>8349</v>
      </c>
      <c r="J293" s="159">
        <f>SUMIFS('Future Orders'!$F293, 'Future Orders'!$D293, "1", 'Future Orders'!$C293, "A", 'Future Orders'!$B293, "1")</f>
        <v>0</v>
      </c>
      <c r="K293" s="157">
        <f>SUMIFS('Future Orders'!$I293, 'Future Orders'!$D293, "1", 'Future Orders'!$C293, "A", 'Future Orders'!$B293, "1")</f>
        <v>0</v>
      </c>
      <c r="L293" s="157">
        <f>SUMIFS('Future Orders'!$F293, 'Future Orders'!$D293, "1", 'Future Orders'!$C293, "B", 'Future Orders'!$B293, "1")</f>
        <v>0</v>
      </c>
      <c r="M293" s="157">
        <f>SUMIFS('Future Orders'!$I293, 'Future Orders'!$D293, "1", 'Future Orders'!$C293, "B", 'Future Orders'!$B293, "1")</f>
        <v>0</v>
      </c>
      <c r="N293" s="159">
        <f>SUMIFS('Future Orders'!$F293, 'Future Orders'!$D293, "1", 'Future Orders'!$C293, "A", 'Future Orders'!$B293, "2")</f>
        <v>0</v>
      </c>
      <c r="O293" s="157">
        <f>SUMIFS('Future Orders'!$I293, 'Future Orders'!$D293, "1", 'Future Orders'!$C293, "A", 'Future Orders'!$B293, "2")</f>
        <v>0</v>
      </c>
      <c r="P293" s="157">
        <f>SUMIFS('Future Orders'!$E293, 'Future Orders'!$D293, "1", 'Future Orders'!$C293, "B", 'Future Orders'!$B293, "2")</f>
        <v>0</v>
      </c>
      <c r="Q293" s="157">
        <f>SUMIFS('Future Orders'!$I293, 'Future Orders'!$D293, "1", 'Future Orders'!$C293, "B", 'Future Orders'!$B293, "2")</f>
        <v>0</v>
      </c>
      <c r="R293" s="159">
        <f>SUMIFS('Future Orders'!$F293, 'Future Orders'!$D293, "2", 'Future Orders'!$C293, "A", 'Future Orders'!$B293, "1")</f>
        <v>0</v>
      </c>
      <c r="S293" s="157">
        <f>SUMIFS('Future Orders'!$I293, 'Future Orders'!$D293, "2", 'Future Orders'!$C293, "A", 'Future Orders'!$B293, "1")</f>
        <v>0</v>
      </c>
      <c r="T293" s="159">
        <f>SUMIFS('Future Orders'!$F293, 'Future Orders'!$D293, "2", 'Future Orders'!$C293, "B", 'Future Orders'!$B293, "1")</f>
        <v>0</v>
      </c>
      <c r="U293" s="157">
        <f>SUMIFS('Future Orders'!$I293, 'Future Orders'!$D293, "2", 'Future Orders'!$C293, "B", 'Future Orders'!$B293, "1")</f>
        <v>0</v>
      </c>
      <c r="V293" s="159">
        <f>SUMIFS('Future Orders'!$F293, 'Future Orders'!$D293, "2", 'Future Orders'!$C293, "A", 'Future Orders'!$B293, "2")</f>
        <v>6957.5</v>
      </c>
      <c r="W293" s="157">
        <f>SUMIFS('Future Orders'!$I293, 'Future Orders'!$D293, "2", 'Future Orders'!$C293, "A", 'Future Orders'!$B293, "2")</f>
        <v>8349</v>
      </c>
      <c r="X293" s="159">
        <f>SUMIFS('Future Orders'!$F293, 'Future Orders'!$D293, "2", 'Future Orders'!$C293, "B", 'Future Orders'!$B293, "2")</f>
        <v>0</v>
      </c>
      <c r="Y293" s="159">
        <f>SUMIFS('Future Orders'!$I293, 'Future Orders'!$D293, "2", 'Future Orders'!$C293, "B", 'Future Orders'!$B293, "2")</f>
        <v>0</v>
      </c>
      <c r="Z293" s="159">
        <f>SUMIFS('Future Orders'!$F293, 'Future Orders'!$D293, "3", 'Future Orders'!$C293, "A", 'Future Orders'!$B293, "1")</f>
        <v>0</v>
      </c>
      <c r="AA293" s="159">
        <f>SUMIFS('Future Orders'!$I293, 'Future Orders'!$D293, "3", 'Future Orders'!$C293, "A", 'Future Orders'!$B293, "1")</f>
        <v>0</v>
      </c>
      <c r="AB293" s="159">
        <f>SUMIFS('Future Orders'!$F293, 'Future Orders'!$D293, "3", 'Future Orders'!$C293, "B", 'Future Orders'!$B293, "1")</f>
        <v>0</v>
      </c>
      <c r="AC293" s="159">
        <f>SUMIFS('Future Orders'!$I293, 'Future Orders'!$D293, "3", 'Future Orders'!$C293, "B", 'Future Orders'!$B293, "1")</f>
        <v>0</v>
      </c>
      <c r="AD293" s="159">
        <f>SUMIFS('Future Orders'!$F293, 'Future Orders'!$D293, "3", 'Future Orders'!$C293, "A", 'Future Orders'!$B293, "2")</f>
        <v>0</v>
      </c>
      <c r="AE293" s="159">
        <f>SUMIFS('Future Orders'!$I293, 'Future Orders'!$D293, "3", 'Future Orders'!$C293, "A", 'Future Orders'!$B293, "2")</f>
        <v>0</v>
      </c>
      <c r="AF293" s="159">
        <f>SUMIFS('Future Orders'!$F293, 'Future Orders'!$D293, "3", 'Future Orders'!$C293, "B", 'Future Orders'!$B293, "2")</f>
        <v>0</v>
      </c>
      <c r="AG293" s="157">
        <f>SUMIFS('Future Orders'!$I293, 'Future Orders'!$D293, "3", 'Future Orders'!$C293, "B", 'Future Orders'!$B293, "2")</f>
        <v>0</v>
      </c>
      <c r="AH293" s="157">
        <f>SUMIFS('Future Orders'!$F293, 'Future Orders'!$D293, "4", 'Future Orders'!$C293, "A", 'Future Orders'!$B293, "1")</f>
        <v>0</v>
      </c>
      <c r="AI293" s="157">
        <f>SUMIFS('Future Orders'!$I293, 'Future Orders'!$D293, "4", 'Future Orders'!$C293, "A", 'Future Orders'!$B293, "1")</f>
        <v>0</v>
      </c>
      <c r="AJ293" s="157">
        <f>SUMIFS('Future Orders'!$F293, 'Future Orders'!$D293, "4", 'Future Orders'!$C293, "B", 'Future Orders'!$B293, "1")</f>
        <v>0</v>
      </c>
      <c r="AK293" s="157">
        <f>SUMIFS('Future Orders'!$I293, 'Future Orders'!$D293, "4", 'Future Orders'!$C293, "B", 'Future Orders'!$B293, "1")</f>
        <v>0</v>
      </c>
      <c r="AL293" s="157">
        <f>SUMIFS('Future Orders'!$F293, 'Future Orders'!$D293, "4", 'Future Orders'!$C293, "A", 'Future Orders'!$B293, "2")</f>
        <v>0</v>
      </c>
      <c r="AM293" s="157">
        <f>SUMIFS('Future Orders'!$I293, 'Future Orders'!$D293, "4", 'Future Orders'!$C293, "A", 'Future Orders'!$B293, "2")</f>
        <v>0</v>
      </c>
      <c r="AN293" s="171">
        <f>SUMIFS('Future Orders'!$F293, 'Future Orders'!$D293, "4", 'Future Orders'!$C293, "B", 'Future Orders'!$B293, "2")</f>
        <v>0</v>
      </c>
      <c r="AO293" s="171">
        <f>SUMIFS('Future Orders'!$I293, 'Future Orders'!$D293, "4", 'Future Orders'!$C293, "B", 'Future Orders'!$B293, "2")</f>
        <v>0</v>
      </c>
      <c r="AP293" s="171">
        <f>SUMIFS('Future Orders'!$H293, 'Future Orders'!$C293, "A", 'Future Orders'!$B293, "1")</f>
        <v>0</v>
      </c>
      <c r="AQ293" s="171">
        <f>SUMIFS('Future Orders'!$I293, 'Future Orders'!$C293, "B", 'Future Orders'!$B293, "1")</f>
        <v>0</v>
      </c>
      <c r="AR293" s="171">
        <f>SUMIFS('Future Orders'!$H293, 'Future Orders'!$C293, "A", 'Future Orders'!$B293, "2")</f>
        <v>7590</v>
      </c>
      <c r="AS293" s="171">
        <f>SUMIFS('Future Orders'!$I293, 'Future Orders'!$C293, "B", 'Future Orders'!$B293, "2")</f>
        <v>0</v>
      </c>
      <c r="AT293" s="145"/>
      <c r="AU293" s="172"/>
      <c r="AV293" s="172"/>
      <c r="AW293" s="172"/>
      <c r="AX293" s="172"/>
      <c r="AY293" s="172"/>
      <c r="AZ293" s="172"/>
      <c r="BA293" s="172"/>
      <c r="BB293" s="172"/>
      <c r="BC293" s="172"/>
      <c r="BD293" s="172"/>
      <c r="BE293" s="172"/>
      <c r="BF293" s="172"/>
      <c r="BG293" s="172"/>
      <c r="BH293" s="172"/>
      <c r="BI293" s="172"/>
      <c r="BJ293" s="172"/>
      <c r="BK293" s="172"/>
      <c r="BL293" s="172"/>
      <c r="BM293" s="172"/>
      <c r="BN293" s="172"/>
      <c r="BO293" s="172"/>
      <c r="BP293" s="172"/>
      <c r="BQ293" s="172"/>
      <c r="BR293" s="172"/>
      <c r="BS293" s="172"/>
      <c r="BT293" s="172"/>
      <c r="BU293" s="172"/>
      <c r="BV293" s="172"/>
      <c r="BW293" s="172"/>
      <c r="BX293" s="172"/>
      <c r="BY293" s="172"/>
      <c r="BZ293" s="172"/>
      <c r="CA293" s="179"/>
      <c r="CB293" s="179"/>
      <c r="CC293" s="179"/>
      <c r="CD293" s="179"/>
      <c r="CE293" s="179"/>
      <c r="CF293" s="179"/>
      <c r="CG293" s="179"/>
      <c r="CH293" s="179"/>
      <c r="CI293" s="179"/>
      <c r="CJ293" s="179"/>
      <c r="CK293" s="179"/>
      <c r="CL293" s="179"/>
      <c r="CM293" s="179"/>
      <c r="CN293" s="179"/>
      <c r="CO293" s="179"/>
      <c r="CP293" s="179"/>
    </row>
    <row r="294" ht="15.75" customHeight="1">
      <c r="A294" s="151">
        <v>42191.0</v>
      </c>
      <c r="B294" s="152">
        <v>1.0</v>
      </c>
      <c r="C294" s="152" t="s">
        <v>46</v>
      </c>
      <c r="D294" s="152">
        <v>3.0</v>
      </c>
      <c r="E294" s="153">
        <v>2506.0</v>
      </c>
      <c r="F294" s="153">
        <f>SUM(('Future Orders'!$E294) * (1.1))</f>
        <v>2756.6</v>
      </c>
      <c r="G294" s="154">
        <v>8.3</v>
      </c>
      <c r="H294" s="155">
        <v>20799.800000000003</v>
      </c>
      <c r="I294" s="155">
        <f>SUM(('Future Orders'!$H294) * (1.1))</f>
        <v>22879.78</v>
      </c>
      <c r="J294" s="159">
        <f>SUMIFS('Future Orders'!$F294, 'Future Orders'!$D294, "1", 'Future Orders'!$C294, "A", 'Future Orders'!$B294, "1")</f>
        <v>0</v>
      </c>
      <c r="K294" s="157">
        <f>SUMIFS('Future Orders'!$I294, 'Future Orders'!$D294, "1", 'Future Orders'!$C294, "A", 'Future Orders'!$B294, "1")</f>
        <v>0</v>
      </c>
      <c r="L294" s="157">
        <f>SUMIFS('Future Orders'!$F294, 'Future Orders'!$D294, "1", 'Future Orders'!$C294, "B", 'Future Orders'!$B294, "1")</f>
        <v>0</v>
      </c>
      <c r="M294" s="157">
        <f>SUMIFS('Future Orders'!$I294, 'Future Orders'!$D294, "1", 'Future Orders'!$C294, "B", 'Future Orders'!$B294, "1")</f>
        <v>0</v>
      </c>
      <c r="N294" s="159">
        <f>SUMIFS('Future Orders'!$F294, 'Future Orders'!$D294, "1", 'Future Orders'!$C294, "A", 'Future Orders'!$B294, "2")</f>
        <v>0</v>
      </c>
      <c r="O294" s="157">
        <f>SUMIFS('Future Orders'!$I294, 'Future Orders'!$D294, "1", 'Future Orders'!$C294, "A", 'Future Orders'!$B294, "2")</f>
        <v>0</v>
      </c>
      <c r="P294" s="157">
        <f>SUMIFS('Future Orders'!$E294, 'Future Orders'!$D294, "1", 'Future Orders'!$C294, "B", 'Future Orders'!$B294, "2")</f>
        <v>0</v>
      </c>
      <c r="Q294" s="157">
        <f>SUMIFS('Future Orders'!$I294, 'Future Orders'!$D294, "1", 'Future Orders'!$C294, "B", 'Future Orders'!$B294, "2")</f>
        <v>0</v>
      </c>
      <c r="R294" s="159">
        <f>SUMIFS('Future Orders'!$F294, 'Future Orders'!$D294, "2", 'Future Orders'!$C294, "A", 'Future Orders'!$B294, "1")</f>
        <v>0</v>
      </c>
      <c r="S294" s="157">
        <f>SUMIFS('Future Orders'!$I294, 'Future Orders'!$D294, "2", 'Future Orders'!$C294, "A", 'Future Orders'!$B294, "1")</f>
        <v>0</v>
      </c>
      <c r="T294" s="159">
        <f>SUMIFS('Future Orders'!$F294, 'Future Orders'!$D294, "2", 'Future Orders'!$C294, "B", 'Future Orders'!$B294, "1")</f>
        <v>0</v>
      </c>
      <c r="U294" s="157">
        <f>SUMIFS('Future Orders'!$I294, 'Future Orders'!$D294, "2", 'Future Orders'!$C294, "B", 'Future Orders'!$B294, "1")</f>
        <v>0</v>
      </c>
      <c r="V294" s="159">
        <f>SUMIFS('Future Orders'!$F294, 'Future Orders'!$D294, "2", 'Future Orders'!$C294, "A", 'Future Orders'!$B294, "2")</f>
        <v>0</v>
      </c>
      <c r="W294" s="157">
        <f>SUMIFS('Future Orders'!$I294, 'Future Orders'!$D294, "2", 'Future Orders'!$C294, "A", 'Future Orders'!$B294, "2")</f>
        <v>0</v>
      </c>
      <c r="X294" s="159">
        <f>SUMIFS('Future Orders'!$F294, 'Future Orders'!$D294, "2", 'Future Orders'!$C294, "B", 'Future Orders'!$B294, "2")</f>
        <v>0</v>
      </c>
      <c r="Y294" s="159">
        <f>SUMIFS('Future Orders'!$I294, 'Future Orders'!$D294, "2", 'Future Orders'!$C294, "B", 'Future Orders'!$B294, "2")</f>
        <v>0</v>
      </c>
      <c r="Z294" s="159">
        <f>SUMIFS('Future Orders'!$F294, 'Future Orders'!$D294, "3", 'Future Orders'!$C294, "A", 'Future Orders'!$B294, "1")</f>
        <v>0</v>
      </c>
      <c r="AA294" s="159">
        <f>SUMIFS('Future Orders'!$I294, 'Future Orders'!$D294, "3", 'Future Orders'!$C294, "A", 'Future Orders'!$B294, "1")</f>
        <v>0</v>
      </c>
      <c r="AB294" s="159">
        <f>SUMIFS('Future Orders'!$F294, 'Future Orders'!$D294, "3", 'Future Orders'!$C294, "B", 'Future Orders'!$B294, "1")</f>
        <v>2756.6</v>
      </c>
      <c r="AC294" s="159">
        <f>SUMIFS('Future Orders'!$I294, 'Future Orders'!$D294, "3", 'Future Orders'!$C294, "B", 'Future Orders'!$B294, "1")</f>
        <v>22879.78</v>
      </c>
      <c r="AD294" s="159">
        <f>SUMIFS('Future Orders'!$F294, 'Future Orders'!$D294, "3", 'Future Orders'!$C294, "A", 'Future Orders'!$B294, "2")</f>
        <v>0</v>
      </c>
      <c r="AE294" s="159">
        <f>SUMIFS('Future Orders'!$I294, 'Future Orders'!$D294, "3", 'Future Orders'!$C294, "A", 'Future Orders'!$B294, "2")</f>
        <v>0</v>
      </c>
      <c r="AF294" s="159">
        <f>SUMIFS('Future Orders'!$F294, 'Future Orders'!$D294, "3", 'Future Orders'!$C294, "B", 'Future Orders'!$B294, "2")</f>
        <v>0</v>
      </c>
      <c r="AG294" s="157">
        <f>SUMIFS('Future Orders'!$I294, 'Future Orders'!$D294, "3", 'Future Orders'!$C294, "B", 'Future Orders'!$B294, "2")</f>
        <v>0</v>
      </c>
      <c r="AH294" s="157">
        <f>SUMIFS('Future Orders'!$F294, 'Future Orders'!$D294, "4", 'Future Orders'!$C294, "A", 'Future Orders'!$B294, "1")</f>
        <v>0</v>
      </c>
      <c r="AI294" s="157">
        <f>SUMIFS('Future Orders'!$I294, 'Future Orders'!$D294, "4", 'Future Orders'!$C294, "A", 'Future Orders'!$B294, "1")</f>
        <v>0</v>
      </c>
      <c r="AJ294" s="157">
        <f>SUMIFS('Future Orders'!$F294, 'Future Orders'!$D294, "4", 'Future Orders'!$C294, "B", 'Future Orders'!$B294, "1")</f>
        <v>0</v>
      </c>
      <c r="AK294" s="157">
        <f>SUMIFS('Future Orders'!$I294, 'Future Orders'!$D294, "4", 'Future Orders'!$C294, "B", 'Future Orders'!$B294, "1")</f>
        <v>0</v>
      </c>
      <c r="AL294" s="157">
        <f>SUMIFS('Future Orders'!$F294, 'Future Orders'!$D294, "4", 'Future Orders'!$C294, "A", 'Future Orders'!$B294, "2")</f>
        <v>0</v>
      </c>
      <c r="AM294" s="157">
        <f>SUMIFS('Future Orders'!$I294, 'Future Orders'!$D294, "4", 'Future Orders'!$C294, "A", 'Future Orders'!$B294, "2")</f>
        <v>0</v>
      </c>
      <c r="AN294" s="171">
        <f>SUMIFS('Future Orders'!$F294, 'Future Orders'!$D294, "4", 'Future Orders'!$C294, "B", 'Future Orders'!$B294, "2")</f>
        <v>0</v>
      </c>
      <c r="AO294" s="171">
        <f>SUMIFS('Future Orders'!$I294, 'Future Orders'!$D294, "4", 'Future Orders'!$C294, "B", 'Future Orders'!$B294, "2")</f>
        <v>0</v>
      </c>
      <c r="AP294" s="171">
        <f>SUMIFS('Future Orders'!$H294, 'Future Orders'!$C294, "A", 'Future Orders'!$B294, "1")</f>
        <v>0</v>
      </c>
      <c r="AQ294" s="171">
        <f>SUMIFS('Future Orders'!$I294, 'Future Orders'!$C294, "B", 'Future Orders'!$B294, "1")</f>
        <v>22879.78</v>
      </c>
      <c r="AR294" s="171">
        <f>SUMIFS('Future Orders'!$H294, 'Future Orders'!$C294, "A", 'Future Orders'!$B294, "2")</f>
        <v>0</v>
      </c>
      <c r="AS294" s="171">
        <f>SUMIFS('Future Orders'!$I294, 'Future Orders'!$C294, "B", 'Future Orders'!$B294, "2")</f>
        <v>0</v>
      </c>
      <c r="AT294" s="145"/>
      <c r="AU294" s="172"/>
      <c r="AV294" s="172"/>
      <c r="AW294" s="172"/>
      <c r="AX294" s="172"/>
      <c r="AY294" s="172"/>
      <c r="AZ294" s="172"/>
      <c r="BA294" s="172"/>
      <c r="BB294" s="172"/>
      <c r="BC294" s="172"/>
      <c r="BD294" s="172"/>
      <c r="BE294" s="172"/>
      <c r="BF294" s="172"/>
      <c r="BG294" s="172"/>
      <c r="BH294" s="172"/>
      <c r="BI294" s="172"/>
      <c r="BJ294" s="172"/>
      <c r="BK294" s="172"/>
      <c r="BL294" s="172"/>
      <c r="BM294" s="172"/>
      <c r="BN294" s="172"/>
      <c r="BO294" s="172"/>
      <c r="BP294" s="172"/>
      <c r="BQ294" s="172"/>
      <c r="BR294" s="172"/>
      <c r="BS294" s="172"/>
      <c r="BT294" s="172"/>
      <c r="BU294" s="172"/>
      <c r="BV294" s="172"/>
      <c r="BW294" s="172"/>
      <c r="BX294" s="172"/>
      <c r="BY294" s="172"/>
      <c r="BZ294" s="172"/>
      <c r="CA294" s="179"/>
      <c r="CB294" s="179"/>
      <c r="CC294" s="179"/>
      <c r="CD294" s="179"/>
      <c r="CE294" s="179"/>
      <c r="CF294" s="179"/>
      <c r="CG294" s="179"/>
      <c r="CH294" s="179"/>
      <c r="CI294" s="179"/>
      <c r="CJ294" s="179"/>
      <c r="CK294" s="179"/>
      <c r="CL294" s="179"/>
      <c r="CM294" s="179"/>
      <c r="CN294" s="179"/>
      <c r="CO294" s="179"/>
      <c r="CP294" s="179"/>
    </row>
    <row r="295" ht="15.75" customHeight="1">
      <c r="A295" s="151">
        <v>42191.0</v>
      </c>
      <c r="B295" s="152">
        <v>2.0</v>
      </c>
      <c r="C295" s="152" t="s">
        <v>46</v>
      </c>
      <c r="D295" s="152">
        <v>3.0</v>
      </c>
      <c r="E295" s="153">
        <v>3464.0</v>
      </c>
      <c r="F295" s="153">
        <f>SUM(('Future Orders'!$E295) * (1.1))</f>
        <v>3810.4</v>
      </c>
      <c r="G295" s="154">
        <v>8.3</v>
      </c>
      <c r="H295" s="155">
        <v>28751.2</v>
      </c>
      <c r="I295" s="155">
        <f>SUM(('Future Orders'!$H295) * (1.1))</f>
        <v>31626.32</v>
      </c>
      <c r="J295" s="159">
        <f>SUMIFS('Future Orders'!$F295, 'Future Orders'!$D295, "1", 'Future Orders'!$C295, "A", 'Future Orders'!$B295, "1")</f>
        <v>0</v>
      </c>
      <c r="K295" s="157">
        <f>SUMIFS('Future Orders'!$I295, 'Future Orders'!$D295, "1", 'Future Orders'!$C295, "A", 'Future Orders'!$B295, "1")</f>
        <v>0</v>
      </c>
      <c r="L295" s="157">
        <f>SUMIFS('Future Orders'!$F295, 'Future Orders'!$D295, "1", 'Future Orders'!$C295, "B", 'Future Orders'!$B295, "1")</f>
        <v>0</v>
      </c>
      <c r="M295" s="157">
        <f>SUMIFS('Future Orders'!$I295, 'Future Orders'!$D295, "1", 'Future Orders'!$C295, "B", 'Future Orders'!$B295, "1")</f>
        <v>0</v>
      </c>
      <c r="N295" s="159">
        <f>SUMIFS('Future Orders'!$F295, 'Future Orders'!$D295, "1", 'Future Orders'!$C295, "A", 'Future Orders'!$B295, "2")</f>
        <v>0</v>
      </c>
      <c r="O295" s="157">
        <f>SUMIFS('Future Orders'!$I295, 'Future Orders'!$D295, "1", 'Future Orders'!$C295, "A", 'Future Orders'!$B295, "2")</f>
        <v>0</v>
      </c>
      <c r="P295" s="157">
        <f>SUMIFS('Future Orders'!$E295, 'Future Orders'!$D295, "1", 'Future Orders'!$C295, "B", 'Future Orders'!$B295, "2")</f>
        <v>0</v>
      </c>
      <c r="Q295" s="157">
        <f>SUMIFS('Future Orders'!$I295, 'Future Orders'!$D295, "1", 'Future Orders'!$C295, "B", 'Future Orders'!$B295, "2")</f>
        <v>0</v>
      </c>
      <c r="R295" s="159">
        <f>SUMIFS('Future Orders'!$F295, 'Future Orders'!$D295, "2", 'Future Orders'!$C295, "A", 'Future Orders'!$B295, "1")</f>
        <v>0</v>
      </c>
      <c r="S295" s="157">
        <f>SUMIFS('Future Orders'!$I295, 'Future Orders'!$D295, "2", 'Future Orders'!$C295, "A", 'Future Orders'!$B295, "1")</f>
        <v>0</v>
      </c>
      <c r="T295" s="159">
        <f>SUMIFS('Future Orders'!$F295, 'Future Orders'!$D295, "2", 'Future Orders'!$C295, "B", 'Future Orders'!$B295, "1")</f>
        <v>0</v>
      </c>
      <c r="U295" s="157">
        <f>SUMIFS('Future Orders'!$I295, 'Future Orders'!$D295, "2", 'Future Orders'!$C295, "B", 'Future Orders'!$B295, "1")</f>
        <v>0</v>
      </c>
      <c r="V295" s="159">
        <f>SUMIFS('Future Orders'!$F295, 'Future Orders'!$D295, "2", 'Future Orders'!$C295, "A", 'Future Orders'!$B295, "2")</f>
        <v>0</v>
      </c>
      <c r="W295" s="157">
        <f>SUMIFS('Future Orders'!$I295, 'Future Orders'!$D295, "2", 'Future Orders'!$C295, "A", 'Future Orders'!$B295, "2")</f>
        <v>0</v>
      </c>
      <c r="X295" s="159">
        <f>SUMIFS('Future Orders'!$F295, 'Future Orders'!$D295, "2", 'Future Orders'!$C295, "B", 'Future Orders'!$B295, "2")</f>
        <v>0</v>
      </c>
      <c r="Y295" s="159">
        <f>SUMIFS('Future Orders'!$I295, 'Future Orders'!$D295, "2", 'Future Orders'!$C295, "B", 'Future Orders'!$B295, "2")</f>
        <v>0</v>
      </c>
      <c r="Z295" s="159">
        <f>SUMIFS('Future Orders'!$F295, 'Future Orders'!$D295, "3", 'Future Orders'!$C295, "A", 'Future Orders'!$B295, "1")</f>
        <v>0</v>
      </c>
      <c r="AA295" s="159">
        <f>SUMIFS('Future Orders'!$I295, 'Future Orders'!$D295, "3", 'Future Orders'!$C295, "A", 'Future Orders'!$B295, "1")</f>
        <v>0</v>
      </c>
      <c r="AB295" s="159">
        <f>SUMIFS('Future Orders'!$F295, 'Future Orders'!$D295, "3", 'Future Orders'!$C295, "B", 'Future Orders'!$B295, "1")</f>
        <v>0</v>
      </c>
      <c r="AC295" s="159">
        <f>SUMIFS('Future Orders'!$I295, 'Future Orders'!$D295, "3", 'Future Orders'!$C295, "B", 'Future Orders'!$B295, "1")</f>
        <v>0</v>
      </c>
      <c r="AD295" s="159">
        <f>SUMIFS('Future Orders'!$F295, 'Future Orders'!$D295, "3", 'Future Orders'!$C295, "A", 'Future Orders'!$B295, "2")</f>
        <v>0</v>
      </c>
      <c r="AE295" s="159">
        <f>SUMIFS('Future Orders'!$I295, 'Future Orders'!$D295, "3", 'Future Orders'!$C295, "A", 'Future Orders'!$B295, "2")</f>
        <v>0</v>
      </c>
      <c r="AF295" s="159">
        <f>SUMIFS('Future Orders'!$F295, 'Future Orders'!$D295, "3", 'Future Orders'!$C295, "B", 'Future Orders'!$B295, "2")</f>
        <v>3810.4</v>
      </c>
      <c r="AG295" s="157">
        <f>SUMIFS('Future Orders'!$I295, 'Future Orders'!$D295, "3", 'Future Orders'!$C295, "B", 'Future Orders'!$B295, "2")</f>
        <v>31626.32</v>
      </c>
      <c r="AH295" s="157">
        <f>SUMIFS('Future Orders'!$F295, 'Future Orders'!$D295, "4", 'Future Orders'!$C295, "A", 'Future Orders'!$B295, "1")</f>
        <v>0</v>
      </c>
      <c r="AI295" s="157">
        <f>SUMIFS('Future Orders'!$I295, 'Future Orders'!$D295, "4", 'Future Orders'!$C295, "A", 'Future Orders'!$B295, "1")</f>
        <v>0</v>
      </c>
      <c r="AJ295" s="157">
        <f>SUMIFS('Future Orders'!$F295, 'Future Orders'!$D295, "4", 'Future Orders'!$C295, "B", 'Future Orders'!$B295, "1")</f>
        <v>0</v>
      </c>
      <c r="AK295" s="157">
        <f>SUMIFS('Future Orders'!$I295, 'Future Orders'!$D295, "4", 'Future Orders'!$C295, "B", 'Future Orders'!$B295, "1")</f>
        <v>0</v>
      </c>
      <c r="AL295" s="157">
        <f>SUMIFS('Future Orders'!$F295, 'Future Orders'!$D295, "4", 'Future Orders'!$C295, "A", 'Future Orders'!$B295, "2")</f>
        <v>0</v>
      </c>
      <c r="AM295" s="157">
        <f>SUMIFS('Future Orders'!$I295, 'Future Orders'!$D295, "4", 'Future Orders'!$C295, "A", 'Future Orders'!$B295, "2")</f>
        <v>0</v>
      </c>
      <c r="AN295" s="171">
        <f>SUMIFS('Future Orders'!$F295, 'Future Orders'!$D295, "4", 'Future Orders'!$C295, "B", 'Future Orders'!$B295, "2")</f>
        <v>0</v>
      </c>
      <c r="AO295" s="171">
        <f>SUMIFS('Future Orders'!$I295, 'Future Orders'!$D295, "4", 'Future Orders'!$C295, "B", 'Future Orders'!$B295, "2")</f>
        <v>0</v>
      </c>
      <c r="AP295" s="171">
        <f>SUMIFS('Future Orders'!$H295, 'Future Orders'!$C295, "A", 'Future Orders'!$B295, "1")</f>
        <v>0</v>
      </c>
      <c r="AQ295" s="171">
        <f>SUMIFS('Future Orders'!$I295, 'Future Orders'!$C295, "B", 'Future Orders'!$B295, "1")</f>
        <v>0</v>
      </c>
      <c r="AR295" s="171">
        <f>SUMIFS('Future Orders'!$H295, 'Future Orders'!$C295, "A", 'Future Orders'!$B295, "2")</f>
        <v>0</v>
      </c>
      <c r="AS295" s="171">
        <f>SUMIFS('Future Orders'!$I295, 'Future Orders'!$C295, "B", 'Future Orders'!$B295, "2")</f>
        <v>31626.32</v>
      </c>
      <c r="AT295" s="145"/>
      <c r="AU295" s="172"/>
      <c r="AV295" s="172"/>
      <c r="AW295" s="172"/>
      <c r="AX295" s="172"/>
      <c r="AY295" s="172"/>
      <c r="AZ295" s="172"/>
      <c r="BA295" s="172"/>
      <c r="BB295" s="172"/>
      <c r="BC295" s="172"/>
      <c r="BD295" s="172"/>
      <c r="BE295" s="172"/>
      <c r="BF295" s="172"/>
      <c r="BG295" s="172"/>
      <c r="BH295" s="172"/>
      <c r="BI295" s="172"/>
      <c r="BJ295" s="172"/>
      <c r="BK295" s="172"/>
      <c r="BL295" s="172"/>
      <c r="BM295" s="172"/>
      <c r="BN295" s="172"/>
      <c r="BO295" s="172"/>
      <c r="BP295" s="172"/>
      <c r="BQ295" s="172"/>
      <c r="BR295" s="172"/>
      <c r="BS295" s="172"/>
      <c r="BT295" s="172"/>
      <c r="BU295" s="172"/>
      <c r="BV295" s="172"/>
      <c r="BW295" s="172"/>
      <c r="BX295" s="172"/>
      <c r="BY295" s="172"/>
      <c r="BZ295" s="172"/>
      <c r="CA295" s="179"/>
      <c r="CB295" s="179"/>
      <c r="CC295" s="179"/>
      <c r="CD295" s="179"/>
      <c r="CE295" s="179"/>
      <c r="CF295" s="179"/>
      <c r="CG295" s="179"/>
      <c r="CH295" s="179"/>
      <c r="CI295" s="179"/>
      <c r="CJ295" s="179"/>
      <c r="CK295" s="179"/>
      <c r="CL295" s="179"/>
      <c r="CM295" s="179"/>
      <c r="CN295" s="179"/>
      <c r="CO295" s="179"/>
      <c r="CP295" s="179"/>
    </row>
    <row r="296" ht="15.75" customHeight="1">
      <c r="A296" s="151">
        <v>42198.0</v>
      </c>
      <c r="B296" s="152">
        <v>1.0</v>
      </c>
      <c r="C296" s="152" t="s">
        <v>45</v>
      </c>
      <c r="D296" s="152">
        <v>1.0</v>
      </c>
      <c r="E296" s="153">
        <v>5542.0</v>
      </c>
      <c r="F296" s="153">
        <f>SUM(('Future Orders'!$E296) * (1.1))</f>
        <v>6096.2</v>
      </c>
      <c r="G296" s="154">
        <v>2.2</v>
      </c>
      <c r="H296" s="155">
        <v>12192.400000000001</v>
      </c>
      <c r="I296" s="155">
        <f>SUM(('Future Orders'!$H296) * (1.1))</f>
        <v>13411.64</v>
      </c>
      <c r="J296" s="159">
        <f>SUMIFS('Future Orders'!$F296, 'Future Orders'!$D296, "1", 'Future Orders'!$C296, "A", 'Future Orders'!$B296, "1")</f>
        <v>6096.2</v>
      </c>
      <c r="K296" s="157">
        <f>SUMIFS('Future Orders'!$I296, 'Future Orders'!$D296, "1", 'Future Orders'!$C296, "A", 'Future Orders'!$B296, "1")</f>
        <v>13411.64</v>
      </c>
      <c r="L296" s="157">
        <f>SUMIFS('Future Orders'!$F296, 'Future Orders'!$D296, "1", 'Future Orders'!$C296, "B", 'Future Orders'!$B296, "1")</f>
        <v>0</v>
      </c>
      <c r="M296" s="157">
        <f>SUMIFS('Future Orders'!$I296, 'Future Orders'!$D296, "1", 'Future Orders'!$C296, "B", 'Future Orders'!$B296, "1")</f>
        <v>0</v>
      </c>
      <c r="N296" s="159">
        <f>SUMIFS('Future Orders'!$F296, 'Future Orders'!$D296, "1", 'Future Orders'!$C296, "A", 'Future Orders'!$B296, "2")</f>
        <v>0</v>
      </c>
      <c r="O296" s="157">
        <f>SUMIFS('Future Orders'!$I296, 'Future Orders'!$D296, "1", 'Future Orders'!$C296, "A", 'Future Orders'!$B296, "2")</f>
        <v>0</v>
      </c>
      <c r="P296" s="157">
        <f>SUMIFS('Future Orders'!$E296, 'Future Orders'!$D296, "1", 'Future Orders'!$C296, "B", 'Future Orders'!$B296, "2")</f>
        <v>0</v>
      </c>
      <c r="Q296" s="157">
        <f>SUMIFS('Future Orders'!$I296, 'Future Orders'!$D296, "1", 'Future Orders'!$C296, "B", 'Future Orders'!$B296, "2")</f>
        <v>0</v>
      </c>
      <c r="R296" s="159">
        <f>SUMIFS('Future Orders'!$F296, 'Future Orders'!$D296, "2", 'Future Orders'!$C296, "A", 'Future Orders'!$B296, "1")</f>
        <v>0</v>
      </c>
      <c r="S296" s="157">
        <f>SUMIFS('Future Orders'!$I296, 'Future Orders'!$D296, "2", 'Future Orders'!$C296, "A", 'Future Orders'!$B296, "1")</f>
        <v>0</v>
      </c>
      <c r="T296" s="159">
        <f>SUMIFS('Future Orders'!$F296, 'Future Orders'!$D296, "2", 'Future Orders'!$C296, "B", 'Future Orders'!$B296, "1")</f>
        <v>0</v>
      </c>
      <c r="U296" s="157">
        <f>SUMIFS('Future Orders'!$I296, 'Future Orders'!$D296, "2", 'Future Orders'!$C296, "B", 'Future Orders'!$B296, "1")</f>
        <v>0</v>
      </c>
      <c r="V296" s="159">
        <f>SUMIFS('Future Orders'!$F296, 'Future Orders'!$D296, "2", 'Future Orders'!$C296, "A", 'Future Orders'!$B296, "2")</f>
        <v>0</v>
      </c>
      <c r="W296" s="157">
        <f>SUMIFS('Future Orders'!$I296, 'Future Orders'!$D296, "2", 'Future Orders'!$C296, "A", 'Future Orders'!$B296, "2")</f>
        <v>0</v>
      </c>
      <c r="X296" s="159">
        <f>SUMIFS('Future Orders'!$F296, 'Future Orders'!$D296, "2", 'Future Orders'!$C296, "B", 'Future Orders'!$B296, "2")</f>
        <v>0</v>
      </c>
      <c r="Y296" s="159">
        <f>SUMIFS('Future Orders'!$I296, 'Future Orders'!$D296, "2", 'Future Orders'!$C296, "B", 'Future Orders'!$B296, "2")</f>
        <v>0</v>
      </c>
      <c r="Z296" s="159">
        <f>SUMIFS('Future Orders'!$F296, 'Future Orders'!$D296, "3", 'Future Orders'!$C296, "A", 'Future Orders'!$B296, "1")</f>
        <v>0</v>
      </c>
      <c r="AA296" s="159">
        <f>SUMIFS('Future Orders'!$I296, 'Future Orders'!$D296, "3", 'Future Orders'!$C296, "A", 'Future Orders'!$B296, "1")</f>
        <v>0</v>
      </c>
      <c r="AB296" s="159">
        <f>SUMIFS('Future Orders'!$F296, 'Future Orders'!$D296, "3", 'Future Orders'!$C296, "B", 'Future Orders'!$B296, "1")</f>
        <v>0</v>
      </c>
      <c r="AC296" s="159">
        <f>SUMIFS('Future Orders'!$I296, 'Future Orders'!$D296, "3", 'Future Orders'!$C296, "B", 'Future Orders'!$B296, "1")</f>
        <v>0</v>
      </c>
      <c r="AD296" s="159">
        <f>SUMIFS('Future Orders'!$F296, 'Future Orders'!$D296, "3", 'Future Orders'!$C296, "A", 'Future Orders'!$B296, "2")</f>
        <v>0</v>
      </c>
      <c r="AE296" s="159">
        <f>SUMIFS('Future Orders'!$I296, 'Future Orders'!$D296, "3", 'Future Orders'!$C296, "A", 'Future Orders'!$B296, "2")</f>
        <v>0</v>
      </c>
      <c r="AF296" s="159">
        <f>SUMIFS('Future Orders'!$F296, 'Future Orders'!$D296, "3", 'Future Orders'!$C296, "B", 'Future Orders'!$B296, "2")</f>
        <v>0</v>
      </c>
      <c r="AG296" s="157">
        <f>SUMIFS('Future Orders'!$I296, 'Future Orders'!$D296, "3", 'Future Orders'!$C296, "B", 'Future Orders'!$B296, "2")</f>
        <v>0</v>
      </c>
      <c r="AH296" s="157">
        <f>SUMIFS('Future Orders'!$F296, 'Future Orders'!$D296, "4", 'Future Orders'!$C296, "A", 'Future Orders'!$B296, "1")</f>
        <v>0</v>
      </c>
      <c r="AI296" s="157">
        <f>SUMIFS('Future Orders'!$I296, 'Future Orders'!$D296, "4", 'Future Orders'!$C296, "A", 'Future Orders'!$B296, "1")</f>
        <v>0</v>
      </c>
      <c r="AJ296" s="157">
        <f>SUMIFS('Future Orders'!$F296, 'Future Orders'!$D296, "4", 'Future Orders'!$C296, "B", 'Future Orders'!$B296, "1")</f>
        <v>0</v>
      </c>
      <c r="AK296" s="157">
        <f>SUMIFS('Future Orders'!$I296, 'Future Orders'!$D296, "4", 'Future Orders'!$C296, "B", 'Future Orders'!$B296, "1")</f>
        <v>0</v>
      </c>
      <c r="AL296" s="157">
        <f>SUMIFS('Future Orders'!$F296, 'Future Orders'!$D296, "4", 'Future Orders'!$C296, "A", 'Future Orders'!$B296, "2")</f>
        <v>0</v>
      </c>
      <c r="AM296" s="157">
        <f>SUMIFS('Future Orders'!$I296, 'Future Orders'!$D296, "4", 'Future Orders'!$C296, "A", 'Future Orders'!$B296, "2")</f>
        <v>0</v>
      </c>
      <c r="AN296" s="171">
        <f>SUMIFS('Future Orders'!$F296, 'Future Orders'!$D296, "4", 'Future Orders'!$C296, "B", 'Future Orders'!$B296, "2")</f>
        <v>0</v>
      </c>
      <c r="AO296" s="171">
        <f>SUMIFS('Future Orders'!$I296, 'Future Orders'!$D296, "4", 'Future Orders'!$C296, "B", 'Future Orders'!$B296, "2")</f>
        <v>0</v>
      </c>
      <c r="AP296" s="171">
        <f>SUMIFS('Future Orders'!$H296, 'Future Orders'!$C296, "A", 'Future Orders'!$B296, "1")</f>
        <v>12192.4</v>
      </c>
      <c r="AQ296" s="171">
        <f>SUMIFS('Future Orders'!$I296, 'Future Orders'!$C296, "B", 'Future Orders'!$B296, "1")</f>
        <v>0</v>
      </c>
      <c r="AR296" s="171">
        <f>SUMIFS('Future Orders'!$H296, 'Future Orders'!$C296, "A", 'Future Orders'!$B296, "2")</f>
        <v>0</v>
      </c>
      <c r="AS296" s="171">
        <f>SUMIFS('Future Orders'!$I296, 'Future Orders'!$C296, "B", 'Future Orders'!$B296, "2")</f>
        <v>0</v>
      </c>
      <c r="AT296" s="145"/>
      <c r="AU296" s="172"/>
      <c r="AV296" s="172"/>
      <c r="AW296" s="172"/>
      <c r="AX296" s="172"/>
      <c r="AY296" s="172"/>
      <c r="AZ296" s="172"/>
      <c r="BA296" s="172"/>
      <c r="BB296" s="172"/>
      <c r="BC296" s="172"/>
      <c r="BD296" s="172"/>
      <c r="BE296" s="172"/>
      <c r="BF296" s="172"/>
      <c r="BG296" s="172"/>
      <c r="BH296" s="172"/>
      <c r="BI296" s="172"/>
      <c r="BJ296" s="172"/>
      <c r="BK296" s="172"/>
      <c r="BL296" s="172"/>
      <c r="BM296" s="172"/>
      <c r="BN296" s="172"/>
      <c r="BO296" s="172"/>
      <c r="BP296" s="172"/>
      <c r="BQ296" s="172"/>
      <c r="BR296" s="172"/>
      <c r="BS296" s="172"/>
      <c r="BT296" s="172"/>
      <c r="BU296" s="172"/>
      <c r="BV296" s="172"/>
      <c r="BW296" s="172"/>
      <c r="BX296" s="172"/>
      <c r="BY296" s="172"/>
      <c r="BZ296" s="172"/>
      <c r="CA296" s="179"/>
      <c r="CB296" s="179"/>
      <c r="CC296" s="179"/>
      <c r="CD296" s="179"/>
      <c r="CE296" s="179"/>
      <c r="CF296" s="179"/>
      <c r="CG296" s="179"/>
      <c r="CH296" s="179"/>
      <c r="CI296" s="179"/>
      <c r="CJ296" s="179"/>
      <c r="CK296" s="179"/>
      <c r="CL296" s="179"/>
      <c r="CM296" s="179"/>
      <c r="CN296" s="179"/>
      <c r="CO296" s="179"/>
      <c r="CP296" s="179"/>
    </row>
    <row r="297" ht="15.75" customHeight="1">
      <c r="A297" s="151">
        <v>42198.0</v>
      </c>
      <c r="B297" s="152">
        <v>1.0</v>
      </c>
      <c r="C297" s="152" t="s">
        <v>45</v>
      </c>
      <c r="D297" s="152">
        <v>2.0</v>
      </c>
      <c r="E297" s="153">
        <v>7062.0</v>
      </c>
      <c r="F297" s="153">
        <f>SUM(('Future Orders'!$E297) * (1.1))</f>
        <v>7768.2</v>
      </c>
      <c r="G297" s="154">
        <v>1.2</v>
      </c>
      <c r="H297" s="155">
        <v>8474.4</v>
      </c>
      <c r="I297" s="155">
        <f>SUM(('Future Orders'!$H297) * (1.1))</f>
        <v>9321.84</v>
      </c>
      <c r="J297" s="159">
        <f>SUMIFS('Future Orders'!$F297, 'Future Orders'!$D297, "1", 'Future Orders'!$C297, "A", 'Future Orders'!$B297, "1")</f>
        <v>0</v>
      </c>
      <c r="K297" s="157">
        <f>SUMIFS('Future Orders'!$I297, 'Future Orders'!$D297, "1", 'Future Orders'!$C297, "A", 'Future Orders'!$B297, "1")</f>
        <v>0</v>
      </c>
      <c r="L297" s="157">
        <f>SUMIFS('Future Orders'!$F297, 'Future Orders'!$D297, "1", 'Future Orders'!$C297, "B", 'Future Orders'!$B297, "1")</f>
        <v>0</v>
      </c>
      <c r="M297" s="157">
        <f>SUMIFS('Future Orders'!$I297, 'Future Orders'!$D297, "1", 'Future Orders'!$C297, "B", 'Future Orders'!$B297, "1")</f>
        <v>0</v>
      </c>
      <c r="N297" s="159">
        <f>SUMIFS('Future Orders'!$F297, 'Future Orders'!$D297, "1", 'Future Orders'!$C297, "A", 'Future Orders'!$B297, "2")</f>
        <v>0</v>
      </c>
      <c r="O297" s="157">
        <f>SUMIFS('Future Orders'!$I297, 'Future Orders'!$D297, "1", 'Future Orders'!$C297, "A", 'Future Orders'!$B297, "2")</f>
        <v>0</v>
      </c>
      <c r="P297" s="157">
        <f>SUMIFS('Future Orders'!$E297, 'Future Orders'!$D297, "1", 'Future Orders'!$C297, "B", 'Future Orders'!$B297, "2")</f>
        <v>0</v>
      </c>
      <c r="Q297" s="157">
        <f>SUMIFS('Future Orders'!$I297, 'Future Orders'!$D297, "1", 'Future Orders'!$C297, "B", 'Future Orders'!$B297, "2")</f>
        <v>0</v>
      </c>
      <c r="R297" s="159">
        <f>SUMIFS('Future Orders'!$F297, 'Future Orders'!$D297, "2", 'Future Orders'!$C297, "A", 'Future Orders'!$B297, "1")</f>
        <v>7768.2</v>
      </c>
      <c r="S297" s="157">
        <f>SUMIFS('Future Orders'!$I297, 'Future Orders'!$D297, "2", 'Future Orders'!$C297, "A", 'Future Orders'!$B297, "1")</f>
        <v>9321.84</v>
      </c>
      <c r="T297" s="159">
        <f>SUMIFS('Future Orders'!$F297, 'Future Orders'!$D297, "2", 'Future Orders'!$C297, "B", 'Future Orders'!$B297, "1")</f>
        <v>0</v>
      </c>
      <c r="U297" s="157">
        <f>SUMIFS('Future Orders'!$I297, 'Future Orders'!$D297, "2", 'Future Orders'!$C297, "B", 'Future Orders'!$B297, "1")</f>
        <v>0</v>
      </c>
      <c r="V297" s="159">
        <f>SUMIFS('Future Orders'!$F297, 'Future Orders'!$D297, "2", 'Future Orders'!$C297, "A", 'Future Orders'!$B297, "2")</f>
        <v>0</v>
      </c>
      <c r="W297" s="157">
        <f>SUMIFS('Future Orders'!$I297, 'Future Orders'!$D297, "2", 'Future Orders'!$C297, "A", 'Future Orders'!$B297, "2")</f>
        <v>0</v>
      </c>
      <c r="X297" s="159">
        <f>SUMIFS('Future Orders'!$F297, 'Future Orders'!$D297, "2", 'Future Orders'!$C297, "B", 'Future Orders'!$B297, "2")</f>
        <v>0</v>
      </c>
      <c r="Y297" s="159">
        <f>SUMIFS('Future Orders'!$I297, 'Future Orders'!$D297, "2", 'Future Orders'!$C297, "B", 'Future Orders'!$B297, "2")</f>
        <v>0</v>
      </c>
      <c r="Z297" s="159">
        <f>SUMIFS('Future Orders'!$F297, 'Future Orders'!$D297, "3", 'Future Orders'!$C297, "A", 'Future Orders'!$B297, "1")</f>
        <v>0</v>
      </c>
      <c r="AA297" s="159">
        <f>SUMIFS('Future Orders'!$I297, 'Future Orders'!$D297, "3", 'Future Orders'!$C297, "A", 'Future Orders'!$B297, "1")</f>
        <v>0</v>
      </c>
      <c r="AB297" s="159">
        <f>SUMIFS('Future Orders'!$F297, 'Future Orders'!$D297, "3", 'Future Orders'!$C297, "B", 'Future Orders'!$B297, "1")</f>
        <v>0</v>
      </c>
      <c r="AC297" s="159">
        <f>SUMIFS('Future Orders'!$I297, 'Future Orders'!$D297, "3", 'Future Orders'!$C297, "B", 'Future Orders'!$B297, "1")</f>
        <v>0</v>
      </c>
      <c r="AD297" s="159">
        <f>SUMIFS('Future Orders'!$F297, 'Future Orders'!$D297, "3", 'Future Orders'!$C297, "A", 'Future Orders'!$B297, "2")</f>
        <v>0</v>
      </c>
      <c r="AE297" s="159">
        <f>SUMIFS('Future Orders'!$I297, 'Future Orders'!$D297, "3", 'Future Orders'!$C297, "A", 'Future Orders'!$B297, "2")</f>
        <v>0</v>
      </c>
      <c r="AF297" s="159">
        <f>SUMIFS('Future Orders'!$F297, 'Future Orders'!$D297, "3", 'Future Orders'!$C297, "B", 'Future Orders'!$B297, "2")</f>
        <v>0</v>
      </c>
      <c r="AG297" s="157">
        <f>SUMIFS('Future Orders'!$I297, 'Future Orders'!$D297, "3", 'Future Orders'!$C297, "B", 'Future Orders'!$B297, "2")</f>
        <v>0</v>
      </c>
      <c r="AH297" s="157">
        <f>SUMIFS('Future Orders'!$F297, 'Future Orders'!$D297, "4", 'Future Orders'!$C297, "A", 'Future Orders'!$B297, "1")</f>
        <v>0</v>
      </c>
      <c r="AI297" s="157">
        <f>SUMIFS('Future Orders'!$I297, 'Future Orders'!$D297, "4", 'Future Orders'!$C297, "A", 'Future Orders'!$B297, "1")</f>
        <v>0</v>
      </c>
      <c r="AJ297" s="157">
        <f>SUMIFS('Future Orders'!$F297, 'Future Orders'!$D297, "4", 'Future Orders'!$C297, "B", 'Future Orders'!$B297, "1")</f>
        <v>0</v>
      </c>
      <c r="AK297" s="157">
        <f>SUMIFS('Future Orders'!$I297, 'Future Orders'!$D297, "4", 'Future Orders'!$C297, "B", 'Future Orders'!$B297, "1")</f>
        <v>0</v>
      </c>
      <c r="AL297" s="157">
        <f>SUMIFS('Future Orders'!$F297, 'Future Orders'!$D297, "4", 'Future Orders'!$C297, "A", 'Future Orders'!$B297, "2")</f>
        <v>0</v>
      </c>
      <c r="AM297" s="157">
        <f>SUMIFS('Future Orders'!$I297, 'Future Orders'!$D297, "4", 'Future Orders'!$C297, "A", 'Future Orders'!$B297, "2")</f>
        <v>0</v>
      </c>
      <c r="AN297" s="171">
        <f>SUMIFS('Future Orders'!$F297, 'Future Orders'!$D297, "4", 'Future Orders'!$C297, "B", 'Future Orders'!$B297, "2")</f>
        <v>0</v>
      </c>
      <c r="AO297" s="171">
        <f>SUMIFS('Future Orders'!$I297, 'Future Orders'!$D297, "4", 'Future Orders'!$C297, "B", 'Future Orders'!$B297, "2")</f>
        <v>0</v>
      </c>
      <c r="AP297" s="171">
        <f>SUMIFS('Future Orders'!$H297, 'Future Orders'!$C297, "A", 'Future Orders'!$B297, "1")</f>
        <v>8474.4</v>
      </c>
      <c r="AQ297" s="171">
        <f>SUMIFS('Future Orders'!$I297, 'Future Orders'!$C297, "B", 'Future Orders'!$B297, "1")</f>
        <v>0</v>
      </c>
      <c r="AR297" s="171">
        <f>SUMIFS('Future Orders'!$H297, 'Future Orders'!$C297, "A", 'Future Orders'!$B297, "2")</f>
        <v>0</v>
      </c>
      <c r="AS297" s="171">
        <f>SUMIFS('Future Orders'!$I297, 'Future Orders'!$C297, "B", 'Future Orders'!$B297, "2")</f>
        <v>0</v>
      </c>
      <c r="AT297" s="145"/>
      <c r="AU297" s="172"/>
      <c r="AV297" s="172"/>
      <c r="AW297" s="172"/>
      <c r="AX297" s="172"/>
      <c r="AY297" s="172"/>
      <c r="AZ297" s="172"/>
      <c r="BA297" s="172"/>
      <c r="BB297" s="172"/>
      <c r="BC297" s="172"/>
      <c r="BD297" s="172"/>
      <c r="BE297" s="172"/>
      <c r="BF297" s="172"/>
      <c r="BG297" s="172"/>
      <c r="BH297" s="172"/>
      <c r="BI297" s="172"/>
      <c r="BJ297" s="172"/>
      <c r="BK297" s="172"/>
      <c r="BL297" s="172"/>
      <c r="BM297" s="172"/>
      <c r="BN297" s="172"/>
      <c r="BO297" s="172"/>
      <c r="BP297" s="172"/>
      <c r="BQ297" s="172"/>
      <c r="BR297" s="172"/>
      <c r="BS297" s="172"/>
      <c r="BT297" s="172"/>
      <c r="BU297" s="172"/>
      <c r="BV297" s="172"/>
      <c r="BW297" s="172"/>
      <c r="BX297" s="172"/>
      <c r="BY297" s="172"/>
      <c r="BZ297" s="172"/>
      <c r="CA297" s="179"/>
      <c r="CB297" s="179"/>
      <c r="CC297" s="179"/>
      <c r="CD297" s="179"/>
      <c r="CE297" s="179"/>
      <c r="CF297" s="179"/>
      <c r="CG297" s="179"/>
      <c r="CH297" s="179"/>
      <c r="CI297" s="179"/>
      <c r="CJ297" s="179"/>
      <c r="CK297" s="179"/>
      <c r="CL297" s="179"/>
      <c r="CM297" s="179"/>
      <c r="CN297" s="179"/>
      <c r="CO297" s="179"/>
      <c r="CP297" s="179"/>
    </row>
    <row r="298" ht="15.75" customHeight="1">
      <c r="A298" s="151">
        <v>42198.0</v>
      </c>
      <c r="B298" s="152">
        <v>2.0</v>
      </c>
      <c r="C298" s="152" t="s">
        <v>45</v>
      </c>
      <c r="D298" s="152">
        <v>1.0</v>
      </c>
      <c r="E298" s="153">
        <v>3776.0</v>
      </c>
      <c r="F298" s="153">
        <f>SUM(('Future Orders'!$E298) * (1.1))</f>
        <v>4153.6</v>
      </c>
      <c r="G298" s="154">
        <v>2.2</v>
      </c>
      <c r="H298" s="155">
        <v>8307.2</v>
      </c>
      <c r="I298" s="155">
        <f>SUM(('Future Orders'!$H298) * (1.1))</f>
        <v>9137.92</v>
      </c>
      <c r="J298" s="159">
        <f>SUMIFS('Future Orders'!$F298, 'Future Orders'!$D298, "1", 'Future Orders'!$C298, "A", 'Future Orders'!$B298, "1")</f>
        <v>0</v>
      </c>
      <c r="K298" s="157">
        <f>SUMIFS('Future Orders'!$I298, 'Future Orders'!$D298, "1", 'Future Orders'!$C298, "A", 'Future Orders'!$B298, "1")</f>
        <v>0</v>
      </c>
      <c r="L298" s="157">
        <f>SUMIFS('Future Orders'!$F298, 'Future Orders'!$D298, "1", 'Future Orders'!$C298, "B", 'Future Orders'!$B298, "1")</f>
        <v>0</v>
      </c>
      <c r="M298" s="157">
        <f>SUMIFS('Future Orders'!$I298, 'Future Orders'!$D298, "1", 'Future Orders'!$C298, "B", 'Future Orders'!$B298, "1")</f>
        <v>0</v>
      </c>
      <c r="N298" s="159">
        <f>SUMIFS('Future Orders'!$F298, 'Future Orders'!$D298, "1", 'Future Orders'!$C298, "A", 'Future Orders'!$B298, "2")</f>
        <v>4153.6</v>
      </c>
      <c r="O298" s="157">
        <f>SUMIFS('Future Orders'!$I298, 'Future Orders'!$D298, "1", 'Future Orders'!$C298, "A", 'Future Orders'!$B298, "2")</f>
        <v>9137.92</v>
      </c>
      <c r="P298" s="157">
        <f>SUMIFS('Future Orders'!$E298, 'Future Orders'!$D298, "1", 'Future Orders'!$C298, "B", 'Future Orders'!$B298, "2")</f>
        <v>0</v>
      </c>
      <c r="Q298" s="157">
        <f>SUMIFS('Future Orders'!$I298, 'Future Orders'!$D298, "1", 'Future Orders'!$C298, "B", 'Future Orders'!$B298, "2")</f>
        <v>0</v>
      </c>
      <c r="R298" s="159">
        <f>SUMIFS('Future Orders'!$F298, 'Future Orders'!$D298, "2", 'Future Orders'!$C298, "A", 'Future Orders'!$B298, "1")</f>
        <v>0</v>
      </c>
      <c r="S298" s="157">
        <f>SUMIFS('Future Orders'!$I298, 'Future Orders'!$D298, "2", 'Future Orders'!$C298, "A", 'Future Orders'!$B298, "1")</f>
        <v>0</v>
      </c>
      <c r="T298" s="159">
        <f>SUMIFS('Future Orders'!$F298, 'Future Orders'!$D298, "2", 'Future Orders'!$C298, "B", 'Future Orders'!$B298, "1")</f>
        <v>0</v>
      </c>
      <c r="U298" s="157">
        <f>SUMIFS('Future Orders'!$I298, 'Future Orders'!$D298, "2", 'Future Orders'!$C298, "B", 'Future Orders'!$B298, "1")</f>
        <v>0</v>
      </c>
      <c r="V298" s="159">
        <f>SUMIFS('Future Orders'!$F298, 'Future Orders'!$D298, "2", 'Future Orders'!$C298, "A", 'Future Orders'!$B298, "2")</f>
        <v>0</v>
      </c>
      <c r="W298" s="157">
        <f>SUMIFS('Future Orders'!$I298, 'Future Orders'!$D298, "2", 'Future Orders'!$C298, "A", 'Future Orders'!$B298, "2")</f>
        <v>0</v>
      </c>
      <c r="X298" s="159">
        <f>SUMIFS('Future Orders'!$F298, 'Future Orders'!$D298, "2", 'Future Orders'!$C298, "B", 'Future Orders'!$B298, "2")</f>
        <v>0</v>
      </c>
      <c r="Y298" s="159">
        <f>SUMIFS('Future Orders'!$I298, 'Future Orders'!$D298, "2", 'Future Orders'!$C298, "B", 'Future Orders'!$B298, "2")</f>
        <v>0</v>
      </c>
      <c r="Z298" s="159">
        <f>SUMIFS('Future Orders'!$F298, 'Future Orders'!$D298, "3", 'Future Orders'!$C298, "A", 'Future Orders'!$B298, "1")</f>
        <v>0</v>
      </c>
      <c r="AA298" s="159">
        <f>SUMIFS('Future Orders'!$I298, 'Future Orders'!$D298, "3", 'Future Orders'!$C298, "A", 'Future Orders'!$B298, "1")</f>
        <v>0</v>
      </c>
      <c r="AB298" s="159">
        <f>SUMIFS('Future Orders'!$F298, 'Future Orders'!$D298, "3", 'Future Orders'!$C298, "B", 'Future Orders'!$B298, "1")</f>
        <v>0</v>
      </c>
      <c r="AC298" s="159">
        <f>SUMIFS('Future Orders'!$I298, 'Future Orders'!$D298, "3", 'Future Orders'!$C298, "B", 'Future Orders'!$B298, "1")</f>
        <v>0</v>
      </c>
      <c r="AD298" s="159">
        <f>SUMIFS('Future Orders'!$F298, 'Future Orders'!$D298, "3", 'Future Orders'!$C298, "A", 'Future Orders'!$B298, "2")</f>
        <v>0</v>
      </c>
      <c r="AE298" s="159">
        <f>SUMIFS('Future Orders'!$I298, 'Future Orders'!$D298, "3", 'Future Orders'!$C298, "A", 'Future Orders'!$B298, "2")</f>
        <v>0</v>
      </c>
      <c r="AF298" s="159">
        <f>SUMIFS('Future Orders'!$F298, 'Future Orders'!$D298, "3", 'Future Orders'!$C298, "B", 'Future Orders'!$B298, "2")</f>
        <v>0</v>
      </c>
      <c r="AG298" s="157">
        <f>SUMIFS('Future Orders'!$I298, 'Future Orders'!$D298, "3", 'Future Orders'!$C298, "B", 'Future Orders'!$B298, "2")</f>
        <v>0</v>
      </c>
      <c r="AH298" s="157">
        <f>SUMIFS('Future Orders'!$F298, 'Future Orders'!$D298, "4", 'Future Orders'!$C298, "A", 'Future Orders'!$B298, "1")</f>
        <v>0</v>
      </c>
      <c r="AI298" s="157">
        <f>SUMIFS('Future Orders'!$I298, 'Future Orders'!$D298, "4", 'Future Orders'!$C298, "A", 'Future Orders'!$B298, "1")</f>
        <v>0</v>
      </c>
      <c r="AJ298" s="157">
        <f>SUMIFS('Future Orders'!$F298, 'Future Orders'!$D298, "4", 'Future Orders'!$C298, "B", 'Future Orders'!$B298, "1")</f>
        <v>0</v>
      </c>
      <c r="AK298" s="157">
        <f>SUMIFS('Future Orders'!$I298, 'Future Orders'!$D298, "4", 'Future Orders'!$C298, "B", 'Future Orders'!$B298, "1")</f>
        <v>0</v>
      </c>
      <c r="AL298" s="157">
        <f>SUMIFS('Future Orders'!$F298, 'Future Orders'!$D298, "4", 'Future Orders'!$C298, "A", 'Future Orders'!$B298, "2")</f>
        <v>0</v>
      </c>
      <c r="AM298" s="157">
        <f>SUMIFS('Future Orders'!$I298, 'Future Orders'!$D298, "4", 'Future Orders'!$C298, "A", 'Future Orders'!$B298, "2")</f>
        <v>0</v>
      </c>
      <c r="AN298" s="171">
        <f>SUMIFS('Future Orders'!$F298, 'Future Orders'!$D298, "4", 'Future Orders'!$C298, "B", 'Future Orders'!$B298, "2")</f>
        <v>0</v>
      </c>
      <c r="AO298" s="171">
        <f>SUMIFS('Future Orders'!$I298, 'Future Orders'!$D298, "4", 'Future Orders'!$C298, "B", 'Future Orders'!$B298, "2")</f>
        <v>0</v>
      </c>
      <c r="AP298" s="171">
        <f>SUMIFS('Future Orders'!$H298, 'Future Orders'!$C298, "A", 'Future Orders'!$B298, "1")</f>
        <v>0</v>
      </c>
      <c r="AQ298" s="171">
        <f>SUMIFS('Future Orders'!$I298, 'Future Orders'!$C298, "B", 'Future Orders'!$B298, "1")</f>
        <v>0</v>
      </c>
      <c r="AR298" s="171">
        <f>SUMIFS('Future Orders'!$H298, 'Future Orders'!$C298, "A", 'Future Orders'!$B298, "2")</f>
        <v>8307.2</v>
      </c>
      <c r="AS298" s="171">
        <f>SUMIFS('Future Orders'!$I298, 'Future Orders'!$C298, "B", 'Future Orders'!$B298, "2")</f>
        <v>0</v>
      </c>
      <c r="AT298" s="145"/>
      <c r="AU298" s="172"/>
      <c r="AV298" s="172"/>
      <c r="AW298" s="172"/>
      <c r="AX298" s="172"/>
      <c r="AY298" s="172"/>
      <c r="AZ298" s="172"/>
      <c r="BA298" s="172"/>
      <c r="BB298" s="172"/>
      <c r="BC298" s="172"/>
      <c r="BD298" s="172"/>
      <c r="BE298" s="172"/>
      <c r="BF298" s="172"/>
      <c r="BG298" s="172"/>
      <c r="BH298" s="172"/>
      <c r="BI298" s="172"/>
      <c r="BJ298" s="172"/>
      <c r="BK298" s="172"/>
      <c r="BL298" s="172"/>
      <c r="BM298" s="172"/>
      <c r="BN298" s="172"/>
      <c r="BO298" s="172"/>
      <c r="BP298" s="172"/>
      <c r="BQ298" s="172"/>
      <c r="BR298" s="172"/>
      <c r="BS298" s="172"/>
      <c r="BT298" s="172"/>
      <c r="BU298" s="172"/>
      <c r="BV298" s="172"/>
      <c r="BW298" s="172"/>
      <c r="BX298" s="172"/>
      <c r="BY298" s="172"/>
      <c r="BZ298" s="172"/>
      <c r="CA298" s="179"/>
      <c r="CB298" s="179"/>
      <c r="CC298" s="179"/>
      <c r="CD298" s="179"/>
      <c r="CE298" s="179"/>
      <c r="CF298" s="179"/>
      <c r="CG298" s="179"/>
      <c r="CH298" s="179"/>
      <c r="CI298" s="179"/>
      <c r="CJ298" s="179"/>
      <c r="CK298" s="179"/>
      <c r="CL298" s="179"/>
      <c r="CM298" s="179"/>
      <c r="CN298" s="179"/>
      <c r="CO298" s="179"/>
      <c r="CP298" s="179"/>
    </row>
    <row r="299" ht="15.75" customHeight="1">
      <c r="A299" s="151">
        <v>42198.0</v>
      </c>
      <c r="B299" s="152">
        <v>2.0</v>
      </c>
      <c r="C299" s="152" t="s">
        <v>45</v>
      </c>
      <c r="D299" s="152">
        <v>2.0</v>
      </c>
      <c r="E299" s="153">
        <v>7860.0</v>
      </c>
      <c r="F299" s="153">
        <f>SUM(('Future Orders'!$E299) * (1.1))</f>
        <v>8646</v>
      </c>
      <c r="G299" s="154">
        <v>1.2</v>
      </c>
      <c r="H299" s="155">
        <v>9432.0</v>
      </c>
      <c r="I299" s="155">
        <f>SUM(('Future Orders'!$H299) * (1.1))</f>
        <v>10375.2</v>
      </c>
      <c r="J299" s="159">
        <f>SUMIFS('Future Orders'!$F299, 'Future Orders'!$D299, "1", 'Future Orders'!$C299, "A", 'Future Orders'!$B299, "1")</f>
        <v>0</v>
      </c>
      <c r="K299" s="157">
        <f>SUMIFS('Future Orders'!$I299, 'Future Orders'!$D299, "1", 'Future Orders'!$C299, "A", 'Future Orders'!$B299, "1")</f>
        <v>0</v>
      </c>
      <c r="L299" s="157">
        <f>SUMIFS('Future Orders'!$F299, 'Future Orders'!$D299, "1", 'Future Orders'!$C299, "B", 'Future Orders'!$B299, "1")</f>
        <v>0</v>
      </c>
      <c r="M299" s="157">
        <f>SUMIFS('Future Orders'!$I299, 'Future Orders'!$D299, "1", 'Future Orders'!$C299, "B", 'Future Orders'!$B299, "1")</f>
        <v>0</v>
      </c>
      <c r="N299" s="159">
        <f>SUMIFS('Future Orders'!$F299, 'Future Orders'!$D299, "1", 'Future Orders'!$C299, "A", 'Future Orders'!$B299, "2")</f>
        <v>0</v>
      </c>
      <c r="O299" s="157">
        <f>SUMIFS('Future Orders'!$I299, 'Future Orders'!$D299, "1", 'Future Orders'!$C299, "A", 'Future Orders'!$B299, "2")</f>
        <v>0</v>
      </c>
      <c r="P299" s="157">
        <f>SUMIFS('Future Orders'!$E299, 'Future Orders'!$D299, "1", 'Future Orders'!$C299, "B", 'Future Orders'!$B299, "2")</f>
        <v>0</v>
      </c>
      <c r="Q299" s="157">
        <f>SUMIFS('Future Orders'!$I299, 'Future Orders'!$D299, "1", 'Future Orders'!$C299, "B", 'Future Orders'!$B299, "2")</f>
        <v>0</v>
      </c>
      <c r="R299" s="159">
        <f>SUMIFS('Future Orders'!$F299, 'Future Orders'!$D299, "2", 'Future Orders'!$C299, "A", 'Future Orders'!$B299, "1")</f>
        <v>0</v>
      </c>
      <c r="S299" s="157">
        <f>SUMIFS('Future Orders'!$I299, 'Future Orders'!$D299, "2", 'Future Orders'!$C299, "A", 'Future Orders'!$B299, "1")</f>
        <v>0</v>
      </c>
      <c r="T299" s="159">
        <f>SUMIFS('Future Orders'!$F299, 'Future Orders'!$D299, "2", 'Future Orders'!$C299, "B", 'Future Orders'!$B299, "1")</f>
        <v>0</v>
      </c>
      <c r="U299" s="157">
        <f>SUMIFS('Future Orders'!$I299, 'Future Orders'!$D299, "2", 'Future Orders'!$C299, "B", 'Future Orders'!$B299, "1")</f>
        <v>0</v>
      </c>
      <c r="V299" s="159">
        <f>SUMIFS('Future Orders'!$F299, 'Future Orders'!$D299, "2", 'Future Orders'!$C299, "A", 'Future Orders'!$B299, "2")</f>
        <v>8646</v>
      </c>
      <c r="W299" s="157">
        <f>SUMIFS('Future Orders'!$I299, 'Future Orders'!$D299, "2", 'Future Orders'!$C299, "A", 'Future Orders'!$B299, "2")</f>
        <v>10375.2</v>
      </c>
      <c r="X299" s="159">
        <f>SUMIFS('Future Orders'!$F299, 'Future Orders'!$D299, "2", 'Future Orders'!$C299, "B", 'Future Orders'!$B299, "2")</f>
        <v>0</v>
      </c>
      <c r="Y299" s="159">
        <f>SUMIFS('Future Orders'!$I299, 'Future Orders'!$D299, "2", 'Future Orders'!$C299, "B", 'Future Orders'!$B299, "2")</f>
        <v>0</v>
      </c>
      <c r="Z299" s="159">
        <f>SUMIFS('Future Orders'!$F299, 'Future Orders'!$D299, "3", 'Future Orders'!$C299, "A", 'Future Orders'!$B299, "1")</f>
        <v>0</v>
      </c>
      <c r="AA299" s="159">
        <f>SUMIFS('Future Orders'!$I299, 'Future Orders'!$D299, "3", 'Future Orders'!$C299, "A", 'Future Orders'!$B299, "1")</f>
        <v>0</v>
      </c>
      <c r="AB299" s="159">
        <f>SUMIFS('Future Orders'!$F299, 'Future Orders'!$D299, "3", 'Future Orders'!$C299, "B", 'Future Orders'!$B299, "1")</f>
        <v>0</v>
      </c>
      <c r="AC299" s="159">
        <f>SUMIFS('Future Orders'!$I299, 'Future Orders'!$D299, "3", 'Future Orders'!$C299, "B", 'Future Orders'!$B299, "1")</f>
        <v>0</v>
      </c>
      <c r="AD299" s="159">
        <f>SUMIFS('Future Orders'!$F299, 'Future Orders'!$D299, "3", 'Future Orders'!$C299, "A", 'Future Orders'!$B299, "2")</f>
        <v>0</v>
      </c>
      <c r="AE299" s="159">
        <f>SUMIFS('Future Orders'!$I299, 'Future Orders'!$D299, "3", 'Future Orders'!$C299, "A", 'Future Orders'!$B299, "2")</f>
        <v>0</v>
      </c>
      <c r="AF299" s="159">
        <f>SUMIFS('Future Orders'!$F299, 'Future Orders'!$D299, "3", 'Future Orders'!$C299, "B", 'Future Orders'!$B299, "2")</f>
        <v>0</v>
      </c>
      <c r="AG299" s="157">
        <f>SUMIFS('Future Orders'!$I299, 'Future Orders'!$D299, "3", 'Future Orders'!$C299, "B", 'Future Orders'!$B299, "2")</f>
        <v>0</v>
      </c>
      <c r="AH299" s="157">
        <f>SUMIFS('Future Orders'!$F299, 'Future Orders'!$D299, "4", 'Future Orders'!$C299, "A", 'Future Orders'!$B299, "1")</f>
        <v>0</v>
      </c>
      <c r="AI299" s="157">
        <f>SUMIFS('Future Orders'!$I299, 'Future Orders'!$D299, "4", 'Future Orders'!$C299, "A", 'Future Orders'!$B299, "1")</f>
        <v>0</v>
      </c>
      <c r="AJ299" s="157">
        <f>SUMIFS('Future Orders'!$F299, 'Future Orders'!$D299, "4", 'Future Orders'!$C299, "B", 'Future Orders'!$B299, "1")</f>
        <v>0</v>
      </c>
      <c r="AK299" s="157">
        <f>SUMIFS('Future Orders'!$I299, 'Future Orders'!$D299, "4", 'Future Orders'!$C299, "B", 'Future Orders'!$B299, "1")</f>
        <v>0</v>
      </c>
      <c r="AL299" s="157">
        <f>SUMIFS('Future Orders'!$F299, 'Future Orders'!$D299, "4", 'Future Orders'!$C299, "A", 'Future Orders'!$B299, "2")</f>
        <v>0</v>
      </c>
      <c r="AM299" s="157">
        <f>SUMIFS('Future Orders'!$I299, 'Future Orders'!$D299, "4", 'Future Orders'!$C299, "A", 'Future Orders'!$B299, "2")</f>
        <v>0</v>
      </c>
      <c r="AN299" s="171">
        <f>SUMIFS('Future Orders'!$F299, 'Future Orders'!$D299, "4", 'Future Orders'!$C299, "B", 'Future Orders'!$B299, "2")</f>
        <v>0</v>
      </c>
      <c r="AO299" s="171">
        <f>SUMIFS('Future Orders'!$I299, 'Future Orders'!$D299, "4", 'Future Orders'!$C299, "B", 'Future Orders'!$B299, "2")</f>
        <v>0</v>
      </c>
      <c r="AP299" s="171">
        <f>SUMIFS('Future Orders'!$H299, 'Future Orders'!$C299, "A", 'Future Orders'!$B299, "1")</f>
        <v>0</v>
      </c>
      <c r="AQ299" s="171">
        <f>SUMIFS('Future Orders'!$I299, 'Future Orders'!$C299, "B", 'Future Orders'!$B299, "1")</f>
        <v>0</v>
      </c>
      <c r="AR299" s="171">
        <f>SUMIFS('Future Orders'!$H299, 'Future Orders'!$C299, "A", 'Future Orders'!$B299, "2")</f>
        <v>9432</v>
      </c>
      <c r="AS299" s="171">
        <f>SUMIFS('Future Orders'!$I299, 'Future Orders'!$C299, "B", 'Future Orders'!$B299, "2")</f>
        <v>0</v>
      </c>
      <c r="AT299" s="145"/>
      <c r="AU299" s="172"/>
      <c r="AV299" s="172"/>
      <c r="AW299" s="172"/>
      <c r="AX299" s="172"/>
      <c r="AY299" s="172"/>
      <c r="AZ299" s="172"/>
      <c r="BA299" s="172"/>
      <c r="BB299" s="172"/>
      <c r="BC299" s="172"/>
      <c r="BD299" s="172"/>
      <c r="BE299" s="172"/>
      <c r="BF299" s="172"/>
      <c r="BG299" s="172"/>
      <c r="BH299" s="172"/>
      <c r="BI299" s="172"/>
      <c r="BJ299" s="172"/>
      <c r="BK299" s="172"/>
      <c r="BL299" s="172"/>
      <c r="BM299" s="172"/>
      <c r="BN299" s="172"/>
      <c r="BO299" s="172"/>
      <c r="BP299" s="172"/>
      <c r="BQ299" s="172"/>
      <c r="BR299" s="172"/>
      <c r="BS299" s="172"/>
      <c r="BT299" s="172"/>
      <c r="BU299" s="172"/>
      <c r="BV299" s="172"/>
      <c r="BW299" s="172"/>
      <c r="BX299" s="172"/>
      <c r="BY299" s="172"/>
      <c r="BZ299" s="172"/>
      <c r="CA299" s="179"/>
      <c r="CB299" s="179"/>
      <c r="CC299" s="179"/>
      <c r="CD299" s="179"/>
      <c r="CE299" s="179"/>
      <c r="CF299" s="179"/>
      <c r="CG299" s="179"/>
      <c r="CH299" s="179"/>
      <c r="CI299" s="179"/>
      <c r="CJ299" s="179"/>
      <c r="CK299" s="179"/>
      <c r="CL299" s="179"/>
      <c r="CM299" s="179"/>
      <c r="CN299" s="179"/>
      <c r="CO299" s="179"/>
      <c r="CP299" s="179"/>
    </row>
    <row r="300" ht="15.75" customHeight="1">
      <c r="A300" s="151">
        <v>42198.0</v>
      </c>
      <c r="B300" s="152">
        <v>1.0</v>
      </c>
      <c r="C300" s="152" t="s">
        <v>46</v>
      </c>
      <c r="D300" s="152">
        <v>3.0</v>
      </c>
      <c r="E300" s="153">
        <v>2254.0</v>
      </c>
      <c r="F300" s="153">
        <f>SUM(('Future Orders'!$E300) * (1.1))</f>
        <v>2479.4</v>
      </c>
      <c r="G300" s="154">
        <v>8.3</v>
      </c>
      <c r="H300" s="155">
        <v>18708.2</v>
      </c>
      <c r="I300" s="155">
        <f>SUM(('Future Orders'!$H300) * (1.1))</f>
        <v>20579.02</v>
      </c>
      <c r="J300" s="159">
        <f>SUMIFS('Future Orders'!$F300, 'Future Orders'!$D300, "1", 'Future Orders'!$C300, "A", 'Future Orders'!$B300, "1")</f>
        <v>0</v>
      </c>
      <c r="K300" s="157">
        <f>SUMIFS('Future Orders'!$I300, 'Future Orders'!$D300, "1", 'Future Orders'!$C300, "A", 'Future Orders'!$B300, "1")</f>
        <v>0</v>
      </c>
      <c r="L300" s="157">
        <f>SUMIFS('Future Orders'!$F300, 'Future Orders'!$D300, "1", 'Future Orders'!$C300, "B", 'Future Orders'!$B300, "1")</f>
        <v>0</v>
      </c>
      <c r="M300" s="157">
        <f>SUMIFS('Future Orders'!$I300, 'Future Orders'!$D300, "1", 'Future Orders'!$C300, "B", 'Future Orders'!$B300, "1")</f>
        <v>0</v>
      </c>
      <c r="N300" s="159">
        <f>SUMIFS('Future Orders'!$F300, 'Future Orders'!$D300, "1", 'Future Orders'!$C300, "A", 'Future Orders'!$B300, "2")</f>
        <v>0</v>
      </c>
      <c r="O300" s="157">
        <f>SUMIFS('Future Orders'!$I300, 'Future Orders'!$D300, "1", 'Future Orders'!$C300, "A", 'Future Orders'!$B300, "2")</f>
        <v>0</v>
      </c>
      <c r="P300" s="157">
        <f>SUMIFS('Future Orders'!$E300, 'Future Orders'!$D300, "1", 'Future Orders'!$C300, "B", 'Future Orders'!$B300, "2")</f>
        <v>0</v>
      </c>
      <c r="Q300" s="157">
        <f>SUMIFS('Future Orders'!$I300, 'Future Orders'!$D300, "1", 'Future Orders'!$C300, "B", 'Future Orders'!$B300, "2")</f>
        <v>0</v>
      </c>
      <c r="R300" s="159">
        <f>SUMIFS('Future Orders'!$F300, 'Future Orders'!$D300, "2", 'Future Orders'!$C300, "A", 'Future Orders'!$B300, "1")</f>
        <v>0</v>
      </c>
      <c r="S300" s="157">
        <f>SUMIFS('Future Orders'!$I300, 'Future Orders'!$D300, "2", 'Future Orders'!$C300, "A", 'Future Orders'!$B300, "1")</f>
        <v>0</v>
      </c>
      <c r="T300" s="159">
        <f>SUMIFS('Future Orders'!$F300, 'Future Orders'!$D300, "2", 'Future Orders'!$C300, "B", 'Future Orders'!$B300, "1")</f>
        <v>0</v>
      </c>
      <c r="U300" s="157">
        <f>SUMIFS('Future Orders'!$I300, 'Future Orders'!$D300, "2", 'Future Orders'!$C300, "B", 'Future Orders'!$B300, "1")</f>
        <v>0</v>
      </c>
      <c r="V300" s="159">
        <f>SUMIFS('Future Orders'!$F300, 'Future Orders'!$D300, "2", 'Future Orders'!$C300, "A", 'Future Orders'!$B300, "2")</f>
        <v>0</v>
      </c>
      <c r="W300" s="157">
        <f>SUMIFS('Future Orders'!$I300, 'Future Orders'!$D300, "2", 'Future Orders'!$C300, "A", 'Future Orders'!$B300, "2")</f>
        <v>0</v>
      </c>
      <c r="X300" s="159">
        <f>SUMIFS('Future Orders'!$F300, 'Future Orders'!$D300, "2", 'Future Orders'!$C300, "B", 'Future Orders'!$B300, "2")</f>
        <v>0</v>
      </c>
      <c r="Y300" s="159">
        <f>SUMIFS('Future Orders'!$I300, 'Future Orders'!$D300, "2", 'Future Orders'!$C300, "B", 'Future Orders'!$B300, "2")</f>
        <v>0</v>
      </c>
      <c r="Z300" s="159">
        <f>SUMIFS('Future Orders'!$F300, 'Future Orders'!$D300, "3", 'Future Orders'!$C300, "A", 'Future Orders'!$B300, "1")</f>
        <v>0</v>
      </c>
      <c r="AA300" s="159">
        <f>SUMIFS('Future Orders'!$I300, 'Future Orders'!$D300, "3", 'Future Orders'!$C300, "A", 'Future Orders'!$B300, "1")</f>
        <v>0</v>
      </c>
      <c r="AB300" s="159">
        <f>SUMIFS('Future Orders'!$F300, 'Future Orders'!$D300, "3", 'Future Orders'!$C300, "B", 'Future Orders'!$B300, "1")</f>
        <v>2479.4</v>
      </c>
      <c r="AC300" s="159">
        <f>SUMIFS('Future Orders'!$I300, 'Future Orders'!$D300, "3", 'Future Orders'!$C300, "B", 'Future Orders'!$B300, "1")</f>
        <v>20579.02</v>
      </c>
      <c r="AD300" s="159">
        <f>SUMIFS('Future Orders'!$F300, 'Future Orders'!$D300, "3", 'Future Orders'!$C300, "A", 'Future Orders'!$B300, "2")</f>
        <v>0</v>
      </c>
      <c r="AE300" s="159">
        <f>SUMIFS('Future Orders'!$I300, 'Future Orders'!$D300, "3", 'Future Orders'!$C300, "A", 'Future Orders'!$B300, "2")</f>
        <v>0</v>
      </c>
      <c r="AF300" s="159">
        <f>SUMIFS('Future Orders'!$F300, 'Future Orders'!$D300, "3", 'Future Orders'!$C300, "B", 'Future Orders'!$B300, "2")</f>
        <v>0</v>
      </c>
      <c r="AG300" s="157">
        <f>SUMIFS('Future Orders'!$I300, 'Future Orders'!$D300, "3", 'Future Orders'!$C300, "B", 'Future Orders'!$B300, "2")</f>
        <v>0</v>
      </c>
      <c r="AH300" s="157">
        <f>SUMIFS('Future Orders'!$F300, 'Future Orders'!$D300, "4", 'Future Orders'!$C300, "A", 'Future Orders'!$B300, "1")</f>
        <v>0</v>
      </c>
      <c r="AI300" s="157">
        <f>SUMIFS('Future Orders'!$I300, 'Future Orders'!$D300, "4", 'Future Orders'!$C300, "A", 'Future Orders'!$B300, "1")</f>
        <v>0</v>
      </c>
      <c r="AJ300" s="157">
        <f>SUMIFS('Future Orders'!$F300, 'Future Orders'!$D300, "4", 'Future Orders'!$C300, "B", 'Future Orders'!$B300, "1")</f>
        <v>0</v>
      </c>
      <c r="AK300" s="157">
        <f>SUMIFS('Future Orders'!$I300, 'Future Orders'!$D300, "4", 'Future Orders'!$C300, "B", 'Future Orders'!$B300, "1")</f>
        <v>0</v>
      </c>
      <c r="AL300" s="157">
        <f>SUMIFS('Future Orders'!$F300, 'Future Orders'!$D300, "4", 'Future Orders'!$C300, "A", 'Future Orders'!$B300, "2")</f>
        <v>0</v>
      </c>
      <c r="AM300" s="157">
        <f>SUMIFS('Future Orders'!$I300, 'Future Orders'!$D300, "4", 'Future Orders'!$C300, "A", 'Future Orders'!$B300, "2")</f>
        <v>0</v>
      </c>
      <c r="AN300" s="171">
        <f>SUMIFS('Future Orders'!$F300, 'Future Orders'!$D300, "4", 'Future Orders'!$C300, "B", 'Future Orders'!$B300, "2")</f>
        <v>0</v>
      </c>
      <c r="AO300" s="171">
        <f>SUMIFS('Future Orders'!$I300, 'Future Orders'!$D300, "4", 'Future Orders'!$C300, "B", 'Future Orders'!$B300, "2")</f>
        <v>0</v>
      </c>
      <c r="AP300" s="171">
        <f>SUMIFS('Future Orders'!$H300, 'Future Orders'!$C300, "A", 'Future Orders'!$B300, "1")</f>
        <v>0</v>
      </c>
      <c r="AQ300" s="171">
        <f>SUMIFS('Future Orders'!$I300, 'Future Orders'!$C300, "B", 'Future Orders'!$B300, "1")</f>
        <v>20579.02</v>
      </c>
      <c r="AR300" s="171">
        <f>SUMIFS('Future Orders'!$H300, 'Future Orders'!$C300, "A", 'Future Orders'!$B300, "2")</f>
        <v>0</v>
      </c>
      <c r="AS300" s="171">
        <f>SUMIFS('Future Orders'!$I300, 'Future Orders'!$C300, "B", 'Future Orders'!$B300, "2")</f>
        <v>0</v>
      </c>
      <c r="AT300" s="145"/>
      <c r="AU300" s="172"/>
      <c r="AV300" s="172"/>
      <c r="AW300" s="172"/>
      <c r="AX300" s="172"/>
      <c r="AY300" s="172"/>
      <c r="AZ300" s="172"/>
      <c r="BA300" s="172"/>
      <c r="BB300" s="172"/>
      <c r="BC300" s="172"/>
      <c r="BD300" s="172"/>
      <c r="BE300" s="172"/>
      <c r="BF300" s="172"/>
      <c r="BG300" s="172"/>
      <c r="BH300" s="172"/>
      <c r="BI300" s="172"/>
      <c r="BJ300" s="172"/>
      <c r="BK300" s="172"/>
      <c r="BL300" s="172"/>
      <c r="BM300" s="172"/>
      <c r="BN300" s="172"/>
      <c r="BO300" s="172"/>
      <c r="BP300" s="172"/>
      <c r="BQ300" s="172"/>
      <c r="BR300" s="172"/>
      <c r="BS300" s="172"/>
      <c r="BT300" s="172"/>
      <c r="BU300" s="172"/>
      <c r="BV300" s="172"/>
      <c r="BW300" s="172"/>
      <c r="BX300" s="172"/>
      <c r="BY300" s="172"/>
      <c r="BZ300" s="172"/>
      <c r="CA300" s="179"/>
      <c r="CB300" s="179"/>
      <c r="CC300" s="179"/>
      <c r="CD300" s="179"/>
      <c r="CE300" s="179"/>
      <c r="CF300" s="179"/>
      <c r="CG300" s="179"/>
      <c r="CH300" s="179"/>
      <c r="CI300" s="179"/>
      <c r="CJ300" s="179"/>
      <c r="CK300" s="179"/>
      <c r="CL300" s="179"/>
      <c r="CM300" s="179"/>
      <c r="CN300" s="179"/>
      <c r="CO300" s="179"/>
      <c r="CP300" s="179"/>
    </row>
    <row r="301" ht="15.75" customHeight="1">
      <c r="A301" s="151">
        <v>42198.0</v>
      </c>
      <c r="B301" s="152">
        <v>2.0</v>
      </c>
      <c r="C301" s="152" t="s">
        <v>46</v>
      </c>
      <c r="D301" s="152">
        <v>3.0</v>
      </c>
      <c r="E301" s="153">
        <v>3084.0</v>
      </c>
      <c r="F301" s="153">
        <f>SUM(('Future Orders'!$E301) * (1.1))</f>
        <v>3392.4</v>
      </c>
      <c r="G301" s="154">
        <v>8.3</v>
      </c>
      <c r="H301" s="155">
        <v>25597.2</v>
      </c>
      <c r="I301" s="155">
        <f>SUM(('Future Orders'!$H301) * (1.1))</f>
        <v>28156.92</v>
      </c>
      <c r="J301" s="159">
        <f>SUMIFS('Future Orders'!$F301, 'Future Orders'!$D301, "1", 'Future Orders'!$C301, "A", 'Future Orders'!$B301, "1")</f>
        <v>0</v>
      </c>
      <c r="K301" s="157">
        <f>SUMIFS('Future Orders'!$I301, 'Future Orders'!$D301, "1", 'Future Orders'!$C301, "A", 'Future Orders'!$B301, "1")</f>
        <v>0</v>
      </c>
      <c r="L301" s="157">
        <f>SUMIFS('Future Orders'!$F301, 'Future Orders'!$D301, "1", 'Future Orders'!$C301, "B", 'Future Orders'!$B301, "1")</f>
        <v>0</v>
      </c>
      <c r="M301" s="157">
        <f>SUMIFS('Future Orders'!$I301, 'Future Orders'!$D301, "1", 'Future Orders'!$C301, "B", 'Future Orders'!$B301, "1")</f>
        <v>0</v>
      </c>
      <c r="N301" s="159">
        <f>SUMIFS('Future Orders'!$F301, 'Future Orders'!$D301, "1", 'Future Orders'!$C301, "A", 'Future Orders'!$B301, "2")</f>
        <v>0</v>
      </c>
      <c r="O301" s="157">
        <f>SUMIFS('Future Orders'!$I301, 'Future Orders'!$D301, "1", 'Future Orders'!$C301, "A", 'Future Orders'!$B301, "2")</f>
        <v>0</v>
      </c>
      <c r="P301" s="157">
        <f>SUMIFS('Future Orders'!$E301, 'Future Orders'!$D301, "1", 'Future Orders'!$C301, "B", 'Future Orders'!$B301, "2")</f>
        <v>0</v>
      </c>
      <c r="Q301" s="157">
        <f>SUMIFS('Future Orders'!$I301, 'Future Orders'!$D301, "1", 'Future Orders'!$C301, "B", 'Future Orders'!$B301, "2")</f>
        <v>0</v>
      </c>
      <c r="R301" s="159">
        <f>SUMIFS('Future Orders'!$F301, 'Future Orders'!$D301, "2", 'Future Orders'!$C301, "A", 'Future Orders'!$B301, "1")</f>
        <v>0</v>
      </c>
      <c r="S301" s="157">
        <f>SUMIFS('Future Orders'!$I301, 'Future Orders'!$D301, "2", 'Future Orders'!$C301, "A", 'Future Orders'!$B301, "1")</f>
        <v>0</v>
      </c>
      <c r="T301" s="159">
        <f>SUMIFS('Future Orders'!$F301, 'Future Orders'!$D301, "2", 'Future Orders'!$C301, "B", 'Future Orders'!$B301, "1")</f>
        <v>0</v>
      </c>
      <c r="U301" s="157">
        <f>SUMIFS('Future Orders'!$I301, 'Future Orders'!$D301, "2", 'Future Orders'!$C301, "B", 'Future Orders'!$B301, "1")</f>
        <v>0</v>
      </c>
      <c r="V301" s="159">
        <f>SUMIFS('Future Orders'!$F301, 'Future Orders'!$D301, "2", 'Future Orders'!$C301, "A", 'Future Orders'!$B301, "2")</f>
        <v>0</v>
      </c>
      <c r="W301" s="157">
        <f>SUMIFS('Future Orders'!$I301, 'Future Orders'!$D301, "2", 'Future Orders'!$C301, "A", 'Future Orders'!$B301, "2")</f>
        <v>0</v>
      </c>
      <c r="X301" s="159">
        <f>SUMIFS('Future Orders'!$F301, 'Future Orders'!$D301, "2", 'Future Orders'!$C301, "B", 'Future Orders'!$B301, "2")</f>
        <v>0</v>
      </c>
      <c r="Y301" s="159">
        <f>SUMIFS('Future Orders'!$I301, 'Future Orders'!$D301, "2", 'Future Orders'!$C301, "B", 'Future Orders'!$B301, "2")</f>
        <v>0</v>
      </c>
      <c r="Z301" s="159">
        <f>SUMIFS('Future Orders'!$F301, 'Future Orders'!$D301, "3", 'Future Orders'!$C301, "A", 'Future Orders'!$B301, "1")</f>
        <v>0</v>
      </c>
      <c r="AA301" s="159">
        <f>SUMIFS('Future Orders'!$I301, 'Future Orders'!$D301, "3", 'Future Orders'!$C301, "A", 'Future Orders'!$B301, "1")</f>
        <v>0</v>
      </c>
      <c r="AB301" s="159">
        <f>SUMIFS('Future Orders'!$F301, 'Future Orders'!$D301, "3", 'Future Orders'!$C301, "B", 'Future Orders'!$B301, "1")</f>
        <v>0</v>
      </c>
      <c r="AC301" s="159">
        <f>SUMIFS('Future Orders'!$I301, 'Future Orders'!$D301, "3", 'Future Orders'!$C301, "B", 'Future Orders'!$B301, "1")</f>
        <v>0</v>
      </c>
      <c r="AD301" s="159">
        <f>SUMIFS('Future Orders'!$F301, 'Future Orders'!$D301, "3", 'Future Orders'!$C301, "A", 'Future Orders'!$B301, "2")</f>
        <v>0</v>
      </c>
      <c r="AE301" s="159">
        <f>SUMIFS('Future Orders'!$I301, 'Future Orders'!$D301, "3", 'Future Orders'!$C301, "A", 'Future Orders'!$B301, "2")</f>
        <v>0</v>
      </c>
      <c r="AF301" s="159">
        <f>SUMIFS('Future Orders'!$F301, 'Future Orders'!$D301, "3", 'Future Orders'!$C301, "B", 'Future Orders'!$B301, "2")</f>
        <v>3392.4</v>
      </c>
      <c r="AG301" s="157">
        <f>SUMIFS('Future Orders'!$I301, 'Future Orders'!$D301, "3", 'Future Orders'!$C301, "B", 'Future Orders'!$B301, "2")</f>
        <v>28156.92</v>
      </c>
      <c r="AH301" s="157">
        <f>SUMIFS('Future Orders'!$F301, 'Future Orders'!$D301, "4", 'Future Orders'!$C301, "A", 'Future Orders'!$B301, "1")</f>
        <v>0</v>
      </c>
      <c r="AI301" s="157">
        <f>SUMIFS('Future Orders'!$I301, 'Future Orders'!$D301, "4", 'Future Orders'!$C301, "A", 'Future Orders'!$B301, "1")</f>
        <v>0</v>
      </c>
      <c r="AJ301" s="157">
        <f>SUMIFS('Future Orders'!$F301, 'Future Orders'!$D301, "4", 'Future Orders'!$C301, "B", 'Future Orders'!$B301, "1")</f>
        <v>0</v>
      </c>
      <c r="AK301" s="157">
        <f>SUMIFS('Future Orders'!$I301, 'Future Orders'!$D301, "4", 'Future Orders'!$C301, "B", 'Future Orders'!$B301, "1")</f>
        <v>0</v>
      </c>
      <c r="AL301" s="157">
        <f>SUMIFS('Future Orders'!$F301, 'Future Orders'!$D301, "4", 'Future Orders'!$C301, "A", 'Future Orders'!$B301, "2")</f>
        <v>0</v>
      </c>
      <c r="AM301" s="157">
        <f>SUMIFS('Future Orders'!$I301, 'Future Orders'!$D301, "4", 'Future Orders'!$C301, "A", 'Future Orders'!$B301, "2")</f>
        <v>0</v>
      </c>
      <c r="AN301" s="171">
        <f>SUMIFS('Future Orders'!$F301, 'Future Orders'!$D301, "4", 'Future Orders'!$C301, "B", 'Future Orders'!$B301, "2")</f>
        <v>0</v>
      </c>
      <c r="AO301" s="171">
        <f>SUMIFS('Future Orders'!$I301, 'Future Orders'!$D301, "4", 'Future Orders'!$C301, "B", 'Future Orders'!$B301, "2")</f>
        <v>0</v>
      </c>
      <c r="AP301" s="171">
        <f>SUMIFS('Future Orders'!$H301, 'Future Orders'!$C301, "A", 'Future Orders'!$B301, "1")</f>
        <v>0</v>
      </c>
      <c r="AQ301" s="171">
        <f>SUMIFS('Future Orders'!$I301, 'Future Orders'!$C301, "B", 'Future Orders'!$B301, "1")</f>
        <v>0</v>
      </c>
      <c r="AR301" s="171">
        <f>SUMIFS('Future Orders'!$H301, 'Future Orders'!$C301, "A", 'Future Orders'!$B301, "2")</f>
        <v>0</v>
      </c>
      <c r="AS301" s="171">
        <f>SUMIFS('Future Orders'!$I301, 'Future Orders'!$C301, "B", 'Future Orders'!$B301, "2")</f>
        <v>28156.92</v>
      </c>
      <c r="AT301" s="145"/>
      <c r="AU301" s="172"/>
      <c r="AV301" s="172"/>
      <c r="AW301" s="172"/>
      <c r="AX301" s="172"/>
      <c r="AY301" s="172"/>
      <c r="AZ301" s="172"/>
      <c r="BA301" s="172"/>
      <c r="BB301" s="172"/>
      <c r="BC301" s="172"/>
      <c r="BD301" s="172"/>
      <c r="BE301" s="172"/>
      <c r="BF301" s="172"/>
      <c r="BG301" s="172"/>
      <c r="BH301" s="172"/>
      <c r="BI301" s="172"/>
      <c r="BJ301" s="172"/>
      <c r="BK301" s="172"/>
      <c r="BL301" s="172"/>
      <c r="BM301" s="172"/>
      <c r="BN301" s="172"/>
      <c r="BO301" s="172"/>
      <c r="BP301" s="172"/>
      <c r="BQ301" s="172"/>
      <c r="BR301" s="172"/>
      <c r="BS301" s="172"/>
      <c r="BT301" s="172"/>
      <c r="BU301" s="172"/>
      <c r="BV301" s="172"/>
      <c r="BW301" s="172"/>
      <c r="BX301" s="172"/>
      <c r="BY301" s="172"/>
      <c r="BZ301" s="172"/>
      <c r="CA301" s="179"/>
      <c r="CB301" s="179"/>
      <c r="CC301" s="179"/>
      <c r="CD301" s="179"/>
      <c r="CE301" s="179"/>
      <c r="CF301" s="179"/>
      <c r="CG301" s="179"/>
      <c r="CH301" s="179"/>
      <c r="CI301" s="179"/>
      <c r="CJ301" s="179"/>
      <c r="CK301" s="179"/>
      <c r="CL301" s="179"/>
      <c r="CM301" s="179"/>
      <c r="CN301" s="179"/>
      <c r="CO301" s="179"/>
      <c r="CP301" s="179"/>
    </row>
    <row r="302" ht="15.75" customHeight="1">
      <c r="A302" s="151">
        <v>42205.0</v>
      </c>
      <c r="B302" s="152">
        <v>1.0</v>
      </c>
      <c r="C302" s="152" t="s">
        <v>45</v>
      </c>
      <c r="D302" s="152">
        <v>1.0</v>
      </c>
      <c r="E302" s="153">
        <v>5355.0</v>
      </c>
      <c r="F302" s="153">
        <f>SUM(('Future Orders'!$E302) * (1.1))</f>
        <v>5890.5</v>
      </c>
      <c r="G302" s="154">
        <v>2.2</v>
      </c>
      <c r="H302" s="155">
        <v>11781.000000000002</v>
      </c>
      <c r="I302" s="155">
        <f>SUM(('Future Orders'!$H302) * (1.1))</f>
        <v>12959.1</v>
      </c>
      <c r="J302" s="159">
        <f>SUMIFS('Future Orders'!$F302, 'Future Orders'!$D302, "1", 'Future Orders'!$C302, "A", 'Future Orders'!$B302, "1")</f>
        <v>5890.5</v>
      </c>
      <c r="K302" s="157">
        <f>SUMIFS('Future Orders'!$I302, 'Future Orders'!$D302, "1", 'Future Orders'!$C302, "A", 'Future Orders'!$B302, "1")</f>
        <v>12959.1</v>
      </c>
      <c r="L302" s="157">
        <f>SUMIFS('Future Orders'!$F302, 'Future Orders'!$D302, "1", 'Future Orders'!$C302, "B", 'Future Orders'!$B302, "1")</f>
        <v>0</v>
      </c>
      <c r="M302" s="157">
        <f>SUMIFS('Future Orders'!$I302, 'Future Orders'!$D302, "1", 'Future Orders'!$C302, "B", 'Future Orders'!$B302, "1")</f>
        <v>0</v>
      </c>
      <c r="N302" s="159">
        <f>SUMIFS('Future Orders'!$F302, 'Future Orders'!$D302, "1", 'Future Orders'!$C302, "A", 'Future Orders'!$B302, "2")</f>
        <v>0</v>
      </c>
      <c r="O302" s="157">
        <f>SUMIFS('Future Orders'!$I302, 'Future Orders'!$D302, "1", 'Future Orders'!$C302, "A", 'Future Orders'!$B302, "2")</f>
        <v>0</v>
      </c>
      <c r="P302" s="157">
        <f>SUMIFS('Future Orders'!$E302, 'Future Orders'!$D302, "1", 'Future Orders'!$C302, "B", 'Future Orders'!$B302, "2")</f>
        <v>0</v>
      </c>
      <c r="Q302" s="157">
        <f>SUMIFS('Future Orders'!$I302, 'Future Orders'!$D302, "1", 'Future Orders'!$C302, "B", 'Future Orders'!$B302, "2")</f>
        <v>0</v>
      </c>
      <c r="R302" s="159">
        <f>SUMIFS('Future Orders'!$F302, 'Future Orders'!$D302, "2", 'Future Orders'!$C302, "A", 'Future Orders'!$B302, "1")</f>
        <v>0</v>
      </c>
      <c r="S302" s="157">
        <f>SUMIFS('Future Orders'!$I302, 'Future Orders'!$D302, "2", 'Future Orders'!$C302, "A", 'Future Orders'!$B302, "1")</f>
        <v>0</v>
      </c>
      <c r="T302" s="159">
        <f>SUMIFS('Future Orders'!$F302, 'Future Orders'!$D302, "2", 'Future Orders'!$C302, "B", 'Future Orders'!$B302, "1")</f>
        <v>0</v>
      </c>
      <c r="U302" s="157">
        <f>SUMIFS('Future Orders'!$I302, 'Future Orders'!$D302, "2", 'Future Orders'!$C302, "B", 'Future Orders'!$B302, "1")</f>
        <v>0</v>
      </c>
      <c r="V302" s="159">
        <f>SUMIFS('Future Orders'!$F302, 'Future Orders'!$D302, "2", 'Future Orders'!$C302, "A", 'Future Orders'!$B302, "2")</f>
        <v>0</v>
      </c>
      <c r="W302" s="157">
        <f>SUMIFS('Future Orders'!$I302, 'Future Orders'!$D302, "2", 'Future Orders'!$C302, "A", 'Future Orders'!$B302, "2")</f>
        <v>0</v>
      </c>
      <c r="X302" s="159">
        <f>SUMIFS('Future Orders'!$F302, 'Future Orders'!$D302, "2", 'Future Orders'!$C302, "B", 'Future Orders'!$B302, "2")</f>
        <v>0</v>
      </c>
      <c r="Y302" s="159">
        <f>SUMIFS('Future Orders'!$I302, 'Future Orders'!$D302, "2", 'Future Orders'!$C302, "B", 'Future Orders'!$B302, "2")</f>
        <v>0</v>
      </c>
      <c r="Z302" s="159">
        <f>SUMIFS('Future Orders'!$F302, 'Future Orders'!$D302, "3", 'Future Orders'!$C302, "A", 'Future Orders'!$B302, "1")</f>
        <v>0</v>
      </c>
      <c r="AA302" s="159">
        <f>SUMIFS('Future Orders'!$I302, 'Future Orders'!$D302, "3", 'Future Orders'!$C302, "A", 'Future Orders'!$B302, "1")</f>
        <v>0</v>
      </c>
      <c r="AB302" s="159">
        <f>SUMIFS('Future Orders'!$F302, 'Future Orders'!$D302, "3", 'Future Orders'!$C302, "B", 'Future Orders'!$B302, "1")</f>
        <v>0</v>
      </c>
      <c r="AC302" s="159">
        <f>SUMIFS('Future Orders'!$I302, 'Future Orders'!$D302, "3", 'Future Orders'!$C302, "B", 'Future Orders'!$B302, "1")</f>
        <v>0</v>
      </c>
      <c r="AD302" s="159">
        <f>SUMIFS('Future Orders'!$F302, 'Future Orders'!$D302, "3", 'Future Orders'!$C302, "A", 'Future Orders'!$B302, "2")</f>
        <v>0</v>
      </c>
      <c r="AE302" s="159">
        <f>SUMIFS('Future Orders'!$I302, 'Future Orders'!$D302, "3", 'Future Orders'!$C302, "A", 'Future Orders'!$B302, "2")</f>
        <v>0</v>
      </c>
      <c r="AF302" s="159">
        <f>SUMIFS('Future Orders'!$F302, 'Future Orders'!$D302, "3", 'Future Orders'!$C302, "B", 'Future Orders'!$B302, "2")</f>
        <v>0</v>
      </c>
      <c r="AG302" s="157">
        <f>SUMIFS('Future Orders'!$I302, 'Future Orders'!$D302, "3", 'Future Orders'!$C302, "B", 'Future Orders'!$B302, "2")</f>
        <v>0</v>
      </c>
      <c r="AH302" s="157">
        <f>SUMIFS('Future Orders'!$F302, 'Future Orders'!$D302, "4", 'Future Orders'!$C302, "A", 'Future Orders'!$B302, "1")</f>
        <v>0</v>
      </c>
      <c r="AI302" s="157">
        <f>SUMIFS('Future Orders'!$I302, 'Future Orders'!$D302, "4", 'Future Orders'!$C302, "A", 'Future Orders'!$B302, "1")</f>
        <v>0</v>
      </c>
      <c r="AJ302" s="157">
        <f>SUMIFS('Future Orders'!$F302, 'Future Orders'!$D302, "4", 'Future Orders'!$C302, "B", 'Future Orders'!$B302, "1")</f>
        <v>0</v>
      </c>
      <c r="AK302" s="157">
        <f>SUMIFS('Future Orders'!$I302, 'Future Orders'!$D302, "4", 'Future Orders'!$C302, "B", 'Future Orders'!$B302, "1")</f>
        <v>0</v>
      </c>
      <c r="AL302" s="157">
        <f>SUMIFS('Future Orders'!$F302, 'Future Orders'!$D302, "4", 'Future Orders'!$C302, "A", 'Future Orders'!$B302, "2")</f>
        <v>0</v>
      </c>
      <c r="AM302" s="157">
        <f>SUMIFS('Future Orders'!$I302, 'Future Orders'!$D302, "4", 'Future Orders'!$C302, "A", 'Future Orders'!$B302, "2")</f>
        <v>0</v>
      </c>
      <c r="AN302" s="171">
        <f>SUMIFS('Future Orders'!$F302, 'Future Orders'!$D302, "4", 'Future Orders'!$C302, "B", 'Future Orders'!$B302, "2")</f>
        <v>0</v>
      </c>
      <c r="AO302" s="171">
        <f>SUMIFS('Future Orders'!$I302, 'Future Orders'!$D302, "4", 'Future Orders'!$C302, "B", 'Future Orders'!$B302, "2")</f>
        <v>0</v>
      </c>
      <c r="AP302" s="171">
        <f>SUMIFS('Future Orders'!$H302, 'Future Orders'!$C302, "A", 'Future Orders'!$B302, "1")</f>
        <v>11781</v>
      </c>
      <c r="AQ302" s="171">
        <f>SUMIFS('Future Orders'!$I302, 'Future Orders'!$C302, "B", 'Future Orders'!$B302, "1")</f>
        <v>0</v>
      </c>
      <c r="AR302" s="171">
        <f>SUMIFS('Future Orders'!$H302, 'Future Orders'!$C302, "A", 'Future Orders'!$B302, "2")</f>
        <v>0</v>
      </c>
      <c r="AS302" s="171">
        <f>SUMIFS('Future Orders'!$I302, 'Future Orders'!$C302, "B", 'Future Orders'!$B302, "2")</f>
        <v>0</v>
      </c>
      <c r="AT302" s="145"/>
      <c r="AU302" s="172"/>
      <c r="AV302" s="172"/>
      <c r="AW302" s="172"/>
      <c r="AX302" s="172"/>
      <c r="AY302" s="172"/>
      <c r="AZ302" s="172"/>
      <c r="BA302" s="172"/>
      <c r="BB302" s="172"/>
      <c r="BC302" s="172"/>
      <c r="BD302" s="172"/>
      <c r="BE302" s="172"/>
      <c r="BF302" s="172"/>
      <c r="BG302" s="172"/>
      <c r="BH302" s="172"/>
      <c r="BI302" s="172"/>
      <c r="BJ302" s="172"/>
      <c r="BK302" s="172"/>
      <c r="BL302" s="172"/>
      <c r="BM302" s="172"/>
      <c r="BN302" s="172"/>
      <c r="BO302" s="172"/>
      <c r="BP302" s="172"/>
      <c r="BQ302" s="172"/>
      <c r="BR302" s="172"/>
      <c r="BS302" s="172"/>
      <c r="BT302" s="172"/>
      <c r="BU302" s="172"/>
      <c r="BV302" s="172"/>
      <c r="BW302" s="172"/>
      <c r="BX302" s="172"/>
      <c r="BY302" s="172"/>
      <c r="BZ302" s="172"/>
      <c r="CA302" s="179"/>
      <c r="CB302" s="179"/>
      <c r="CC302" s="179"/>
      <c r="CD302" s="179"/>
      <c r="CE302" s="179"/>
      <c r="CF302" s="179"/>
      <c r="CG302" s="179"/>
      <c r="CH302" s="179"/>
      <c r="CI302" s="179"/>
      <c r="CJ302" s="179"/>
      <c r="CK302" s="179"/>
      <c r="CL302" s="179"/>
      <c r="CM302" s="179"/>
      <c r="CN302" s="179"/>
      <c r="CO302" s="179"/>
      <c r="CP302" s="179"/>
    </row>
    <row r="303" ht="15.75" customHeight="1">
      <c r="A303" s="151">
        <v>42205.0</v>
      </c>
      <c r="B303" s="152">
        <v>1.0</v>
      </c>
      <c r="C303" s="152" t="s">
        <v>45</v>
      </c>
      <c r="D303" s="152">
        <v>2.0</v>
      </c>
      <c r="E303" s="153">
        <v>6326.0</v>
      </c>
      <c r="F303" s="153">
        <f>SUM(('Future Orders'!$E303) * (1.1))</f>
        <v>6958.6</v>
      </c>
      <c r="G303" s="154">
        <v>1.2</v>
      </c>
      <c r="H303" s="155">
        <v>7591.2</v>
      </c>
      <c r="I303" s="155">
        <f>SUM(('Future Orders'!$H303) * (1.1))</f>
        <v>8350.32</v>
      </c>
      <c r="J303" s="159">
        <f>SUMIFS('Future Orders'!$F303, 'Future Orders'!$D303, "1", 'Future Orders'!$C303, "A", 'Future Orders'!$B303, "1")</f>
        <v>0</v>
      </c>
      <c r="K303" s="157">
        <f>SUMIFS('Future Orders'!$I303, 'Future Orders'!$D303, "1", 'Future Orders'!$C303, "A", 'Future Orders'!$B303, "1")</f>
        <v>0</v>
      </c>
      <c r="L303" s="157">
        <f>SUMIFS('Future Orders'!$F303, 'Future Orders'!$D303, "1", 'Future Orders'!$C303, "B", 'Future Orders'!$B303, "1")</f>
        <v>0</v>
      </c>
      <c r="M303" s="157">
        <f>SUMIFS('Future Orders'!$I303, 'Future Orders'!$D303, "1", 'Future Orders'!$C303, "B", 'Future Orders'!$B303, "1")</f>
        <v>0</v>
      </c>
      <c r="N303" s="159">
        <f>SUMIFS('Future Orders'!$F303, 'Future Orders'!$D303, "1", 'Future Orders'!$C303, "A", 'Future Orders'!$B303, "2")</f>
        <v>0</v>
      </c>
      <c r="O303" s="157">
        <f>SUMIFS('Future Orders'!$I303, 'Future Orders'!$D303, "1", 'Future Orders'!$C303, "A", 'Future Orders'!$B303, "2")</f>
        <v>0</v>
      </c>
      <c r="P303" s="157">
        <f>SUMIFS('Future Orders'!$E303, 'Future Orders'!$D303, "1", 'Future Orders'!$C303, "B", 'Future Orders'!$B303, "2")</f>
        <v>0</v>
      </c>
      <c r="Q303" s="157">
        <f>SUMIFS('Future Orders'!$I303, 'Future Orders'!$D303, "1", 'Future Orders'!$C303, "B", 'Future Orders'!$B303, "2")</f>
        <v>0</v>
      </c>
      <c r="R303" s="159">
        <f>SUMIFS('Future Orders'!$F303, 'Future Orders'!$D303, "2", 'Future Orders'!$C303, "A", 'Future Orders'!$B303, "1")</f>
        <v>6958.6</v>
      </c>
      <c r="S303" s="157">
        <f>SUMIFS('Future Orders'!$I303, 'Future Orders'!$D303, "2", 'Future Orders'!$C303, "A", 'Future Orders'!$B303, "1")</f>
        <v>8350.32</v>
      </c>
      <c r="T303" s="159">
        <f>SUMIFS('Future Orders'!$F303, 'Future Orders'!$D303, "2", 'Future Orders'!$C303, "B", 'Future Orders'!$B303, "1")</f>
        <v>0</v>
      </c>
      <c r="U303" s="157">
        <f>SUMIFS('Future Orders'!$I303, 'Future Orders'!$D303, "2", 'Future Orders'!$C303, "B", 'Future Orders'!$B303, "1")</f>
        <v>0</v>
      </c>
      <c r="V303" s="159">
        <f>SUMIFS('Future Orders'!$F303, 'Future Orders'!$D303, "2", 'Future Orders'!$C303, "A", 'Future Orders'!$B303, "2")</f>
        <v>0</v>
      </c>
      <c r="W303" s="157">
        <f>SUMIFS('Future Orders'!$I303, 'Future Orders'!$D303, "2", 'Future Orders'!$C303, "A", 'Future Orders'!$B303, "2")</f>
        <v>0</v>
      </c>
      <c r="X303" s="159">
        <f>SUMIFS('Future Orders'!$F303, 'Future Orders'!$D303, "2", 'Future Orders'!$C303, "B", 'Future Orders'!$B303, "2")</f>
        <v>0</v>
      </c>
      <c r="Y303" s="159">
        <f>SUMIFS('Future Orders'!$I303, 'Future Orders'!$D303, "2", 'Future Orders'!$C303, "B", 'Future Orders'!$B303, "2")</f>
        <v>0</v>
      </c>
      <c r="Z303" s="159">
        <f>SUMIFS('Future Orders'!$F303, 'Future Orders'!$D303, "3", 'Future Orders'!$C303, "A", 'Future Orders'!$B303, "1")</f>
        <v>0</v>
      </c>
      <c r="AA303" s="159">
        <f>SUMIFS('Future Orders'!$I303, 'Future Orders'!$D303, "3", 'Future Orders'!$C303, "A", 'Future Orders'!$B303, "1")</f>
        <v>0</v>
      </c>
      <c r="AB303" s="159">
        <f>SUMIFS('Future Orders'!$F303, 'Future Orders'!$D303, "3", 'Future Orders'!$C303, "B", 'Future Orders'!$B303, "1")</f>
        <v>0</v>
      </c>
      <c r="AC303" s="159">
        <f>SUMIFS('Future Orders'!$I303, 'Future Orders'!$D303, "3", 'Future Orders'!$C303, "B", 'Future Orders'!$B303, "1")</f>
        <v>0</v>
      </c>
      <c r="AD303" s="159">
        <f>SUMIFS('Future Orders'!$F303, 'Future Orders'!$D303, "3", 'Future Orders'!$C303, "A", 'Future Orders'!$B303, "2")</f>
        <v>0</v>
      </c>
      <c r="AE303" s="159">
        <f>SUMIFS('Future Orders'!$I303, 'Future Orders'!$D303, "3", 'Future Orders'!$C303, "A", 'Future Orders'!$B303, "2")</f>
        <v>0</v>
      </c>
      <c r="AF303" s="159">
        <f>SUMIFS('Future Orders'!$F303, 'Future Orders'!$D303, "3", 'Future Orders'!$C303, "B", 'Future Orders'!$B303, "2")</f>
        <v>0</v>
      </c>
      <c r="AG303" s="157">
        <f>SUMIFS('Future Orders'!$I303, 'Future Orders'!$D303, "3", 'Future Orders'!$C303, "B", 'Future Orders'!$B303, "2")</f>
        <v>0</v>
      </c>
      <c r="AH303" s="157">
        <f>SUMIFS('Future Orders'!$F303, 'Future Orders'!$D303, "4", 'Future Orders'!$C303, "A", 'Future Orders'!$B303, "1")</f>
        <v>0</v>
      </c>
      <c r="AI303" s="157">
        <f>SUMIFS('Future Orders'!$I303, 'Future Orders'!$D303, "4", 'Future Orders'!$C303, "A", 'Future Orders'!$B303, "1")</f>
        <v>0</v>
      </c>
      <c r="AJ303" s="157">
        <f>SUMIFS('Future Orders'!$F303, 'Future Orders'!$D303, "4", 'Future Orders'!$C303, "B", 'Future Orders'!$B303, "1")</f>
        <v>0</v>
      </c>
      <c r="AK303" s="157">
        <f>SUMIFS('Future Orders'!$I303, 'Future Orders'!$D303, "4", 'Future Orders'!$C303, "B", 'Future Orders'!$B303, "1")</f>
        <v>0</v>
      </c>
      <c r="AL303" s="157">
        <f>SUMIFS('Future Orders'!$F303, 'Future Orders'!$D303, "4", 'Future Orders'!$C303, "A", 'Future Orders'!$B303, "2")</f>
        <v>0</v>
      </c>
      <c r="AM303" s="157">
        <f>SUMIFS('Future Orders'!$I303, 'Future Orders'!$D303, "4", 'Future Orders'!$C303, "A", 'Future Orders'!$B303, "2")</f>
        <v>0</v>
      </c>
      <c r="AN303" s="171">
        <f>SUMIFS('Future Orders'!$F303, 'Future Orders'!$D303, "4", 'Future Orders'!$C303, "B", 'Future Orders'!$B303, "2")</f>
        <v>0</v>
      </c>
      <c r="AO303" s="171">
        <f>SUMIFS('Future Orders'!$I303, 'Future Orders'!$D303, "4", 'Future Orders'!$C303, "B", 'Future Orders'!$B303, "2")</f>
        <v>0</v>
      </c>
      <c r="AP303" s="171">
        <f>SUMIFS('Future Orders'!$H303, 'Future Orders'!$C303, "A", 'Future Orders'!$B303, "1")</f>
        <v>7591.2</v>
      </c>
      <c r="AQ303" s="171">
        <f>SUMIFS('Future Orders'!$I303, 'Future Orders'!$C303, "B", 'Future Orders'!$B303, "1")</f>
        <v>0</v>
      </c>
      <c r="AR303" s="171">
        <f>SUMIFS('Future Orders'!$H303, 'Future Orders'!$C303, "A", 'Future Orders'!$B303, "2")</f>
        <v>0</v>
      </c>
      <c r="AS303" s="171">
        <f>SUMIFS('Future Orders'!$I303, 'Future Orders'!$C303, "B", 'Future Orders'!$B303, "2")</f>
        <v>0</v>
      </c>
      <c r="AT303" s="145"/>
      <c r="AU303" s="172"/>
      <c r="AV303" s="172"/>
      <c r="AW303" s="172"/>
      <c r="AX303" s="172"/>
      <c r="AY303" s="172"/>
      <c r="AZ303" s="172"/>
      <c r="BA303" s="172"/>
      <c r="BB303" s="172"/>
      <c r="BC303" s="172"/>
      <c r="BD303" s="172"/>
      <c r="BE303" s="172"/>
      <c r="BF303" s="172"/>
      <c r="BG303" s="172"/>
      <c r="BH303" s="172"/>
      <c r="BI303" s="172"/>
      <c r="BJ303" s="172"/>
      <c r="BK303" s="172"/>
      <c r="BL303" s="172"/>
      <c r="BM303" s="172"/>
      <c r="BN303" s="172"/>
      <c r="BO303" s="172"/>
      <c r="BP303" s="172"/>
      <c r="BQ303" s="172"/>
      <c r="BR303" s="172"/>
      <c r="BS303" s="172"/>
      <c r="BT303" s="172"/>
      <c r="BU303" s="172"/>
      <c r="BV303" s="172"/>
      <c r="BW303" s="172"/>
      <c r="BX303" s="172"/>
      <c r="BY303" s="172"/>
      <c r="BZ303" s="172"/>
      <c r="CA303" s="179"/>
      <c r="CB303" s="179"/>
      <c r="CC303" s="179"/>
      <c r="CD303" s="179"/>
      <c r="CE303" s="179"/>
      <c r="CF303" s="179"/>
      <c r="CG303" s="179"/>
      <c r="CH303" s="179"/>
      <c r="CI303" s="179"/>
      <c r="CJ303" s="179"/>
      <c r="CK303" s="179"/>
      <c r="CL303" s="179"/>
      <c r="CM303" s="179"/>
      <c r="CN303" s="179"/>
      <c r="CO303" s="179"/>
      <c r="CP303" s="179"/>
    </row>
    <row r="304" ht="15.75" customHeight="1">
      <c r="A304" s="151">
        <v>42205.0</v>
      </c>
      <c r="B304" s="152">
        <v>2.0</v>
      </c>
      <c r="C304" s="152" t="s">
        <v>45</v>
      </c>
      <c r="D304" s="152">
        <v>1.0</v>
      </c>
      <c r="E304" s="153">
        <v>4522.0</v>
      </c>
      <c r="F304" s="153">
        <f>SUM(('Future Orders'!$E304) * (1.1))</f>
        <v>4974.2</v>
      </c>
      <c r="G304" s="154">
        <v>2.2</v>
      </c>
      <c r="H304" s="155">
        <v>9948.400000000001</v>
      </c>
      <c r="I304" s="155">
        <f>SUM(('Future Orders'!$H304) * (1.1))</f>
        <v>10943.24</v>
      </c>
      <c r="J304" s="159">
        <f>SUMIFS('Future Orders'!$F304, 'Future Orders'!$D304, "1", 'Future Orders'!$C304, "A", 'Future Orders'!$B304, "1")</f>
        <v>0</v>
      </c>
      <c r="K304" s="157">
        <f>SUMIFS('Future Orders'!$I304, 'Future Orders'!$D304, "1", 'Future Orders'!$C304, "A", 'Future Orders'!$B304, "1")</f>
        <v>0</v>
      </c>
      <c r="L304" s="157">
        <f>SUMIFS('Future Orders'!$F304, 'Future Orders'!$D304, "1", 'Future Orders'!$C304, "B", 'Future Orders'!$B304, "1")</f>
        <v>0</v>
      </c>
      <c r="M304" s="157">
        <f>SUMIFS('Future Orders'!$I304, 'Future Orders'!$D304, "1", 'Future Orders'!$C304, "B", 'Future Orders'!$B304, "1")</f>
        <v>0</v>
      </c>
      <c r="N304" s="159">
        <f>SUMIFS('Future Orders'!$F304, 'Future Orders'!$D304, "1", 'Future Orders'!$C304, "A", 'Future Orders'!$B304, "2")</f>
        <v>4974.2</v>
      </c>
      <c r="O304" s="157">
        <f>SUMIFS('Future Orders'!$I304, 'Future Orders'!$D304, "1", 'Future Orders'!$C304, "A", 'Future Orders'!$B304, "2")</f>
        <v>10943.24</v>
      </c>
      <c r="P304" s="157">
        <f>SUMIFS('Future Orders'!$E304, 'Future Orders'!$D304, "1", 'Future Orders'!$C304, "B", 'Future Orders'!$B304, "2")</f>
        <v>0</v>
      </c>
      <c r="Q304" s="157">
        <f>SUMIFS('Future Orders'!$I304, 'Future Orders'!$D304, "1", 'Future Orders'!$C304, "B", 'Future Orders'!$B304, "2")</f>
        <v>0</v>
      </c>
      <c r="R304" s="159">
        <f>SUMIFS('Future Orders'!$F304, 'Future Orders'!$D304, "2", 'Future Orders'!$C304, "A", 'Future Orders'!$B304, "1")</f>
        <v>0</v>
      </c>
      <c r="S304" s="157">
        <f>SUMIFS('Future Orders'!$I304, 'Future Orders'!$D304, "2", 'Future Orders'!$C304, "A", 'Future Orders'!$B304, "1")</f>
        <v>0</v>
      </c>
      <c r="T304" s="159">
        <f>SUMIFS('Future Orders'!$F304, 'Future Orders'!$D304, "2", 'Future Orders'!$C304, "B", 'Future Orders'!$B304, "1")</f>
        <v>0</v>
      </c>
      <c r="U304" s="157">
        <f>SUMIFS('Future Orders'!$I304, 'Future Orders'!$D304, "2", 'Future Orders'!$C304, "B", 'Future Orders'!$B304, "1")</f>
        <v>0</v>
      </c>
      <c r="V304" s="159">
        <f>SUMIFS('Future Orders'!$F304, 'Future Orders'!$D304, "2", 'Future Orders'!$C304, "A", 'Future Orders'!$B304, "2")</f>
        <v>0</v>
      </c>
      <c r="W304" s="157">
        <f>SUMIFS('Future Orders'!$I304, 'Future Orders'!$D304, "2", 'Future Orders'!$C304, "A", 'Future Orders'!$B304, "2")</f>
        <v>0</v>
      </c>
      <c r="X304" s="159">
        <f>SUMIFS('Future Orders'!$F304, 'Future Orders'!$D304, "2", 'Future Orders'!$C304, "B", 'Future Orders'!$B304, "2")</f>
        <v>0</v>
      </c>
      <c r="Y304" s="159">
        <f>SUMIFS('Future Orders'!$I304, 'Future Orders'!$D304, "2", 'Future Orders'!$C304, "B", 'Future Orders'!$B304, "2")</f>
        <v>0</v>
      </c>
      <c r="Z304" s="159">
        <f>SUMIFS('Future Orders'!$F304, 'Future Orders'!$D304, "3", 'Future Orders'!$C304, "A", 'Future Orders'!$B304, "1")</f>
        <v>0</v>
      </c>
      <c r="AA304" s="159">
        <f>SUMIFS('Future Orders'!$I304, 'Future Orders'!$D304, "3", 'Future Orders'!$C304, "A", 'Future Orders'!$B304, "1")</f>
        <v>0</v>
      </c>
      <c r="AB304" s="159">
        <f>SUMIFS('Future Orders'!$F304, 'Future Orders'!$D304, "3", 'Future Orders'!$C304, "B", 'Future Orders'!$B304, "1")</f>
        <v>0</v>
      </c>
      <c r="AC304" s="159">
        <f>SUMIFS('Future Orders'!$I304, 'Future Orders'!$D304, "3", 'Future Orders'!$C304, "B", 'Future Orders'!$B304, "1")</f>
        <v>0</v>
      </c>
      <c r="AD304" s="159">
        <f>SUMIFS('Future Orders'!$F304, 'Future Orders'!$D304, "3", 'Future Orders'!$C304, "A", 'Future Orders'!$B304, "2")</f>
        <v>0</v>
      </c>
      <c r="AE304" s="159">
        <f>SUMIFS('Future Orders'!$I304, 'Future Orders'!$D304, "3", 'Future Orders'!$C304, "A", 'Future Orders'!$B304, "2")</f>
        <v>0</v>
      </c>
      <c r="AF304" s="159">
        <f>SUMIFS('Future Orders'!$F304, 'Future Orders'!$D304, "3", 'Future Orders'!$C304, "B", 'Future Orders'!$B304, "2")</f>
        <v>0</v>
      </c>
      <c r="AG304" s="157">
        <f>SUMIFS('Future Orders'!$I304, 'Future Orders'!$D304, "3", 'Future Orders'!$C304, "B", 'Future Orders'!$B304, "2")</f>
        <v>0</v>
      </c>
      <c r="AH304" s="157">
        <f>SUMIFS('Future Orders'!$F304, 'Future Orders'!$D304, "4", 'Future Orders'!$C304, "A", 'Future Orders'!$B304, "1")</f>
        <v>0</v>
      </c>
      <c r="AI304" s="157">
        <f>SUMIFS('Future Orders'!$I304, 'Future Orders'!$D304, "4", 'Future Orders'!$C304, "A", 'Future Orders'!$B304, "1")</f>
        <v>0</v>
      </c>
      <c r="AJ304" s="157">
        <f>SUMIFS('Future Orders'!$F304, 'Future Orders'!$D304, "4", 'Future Orders'!$C304, "B", 'Future Orders'!$B304, "1")</f>
        <v>0</v>
      </c>
      <c r="AK304" s="157">
        <f>SUMIFS('Future Orders'!$I304, 'Future Orders'!$D304, "4", 'Future Orders'!$C304, "B", 'Future Orders'!$B304, "1")</f>
        <v>0</v>
      </c>
      <c r="AL304" s="157">
        <f>SUMIFS('Future Orders'!$F304, 'Future Orders'!$D304, "4", 'Future Orders'!$C304, "A", 'Future Orders'!$B304, "2")</f>
        <v>0</v>
      </c>
      <c r="AM304" s="157">
        <f>SUMIFS('Future Orders'!$I304, 'Future Orders'!$D304, "4", 'Future Orders'!$C304, "A", 'Future Orders'!$B304, "2")</f>
        <v>0</v>
      </c>
      <c r="AN304" s="171">
        <f>SUMIFS('Future Orders'!$F304, 'Future Orders'!$D304, "4", 'Future Orders'!$C304, "B", 'Future Orders'!$B304, "2")</f>
        <v>0</v>
      </c>
      <c r="AO304" s="171">
        <f>SUMIFS('Future Orders'!$I304, 'Future Orders'!$D304, "4", 'Future Orders'!$C304, "B", 'Future Orders'!$B304, "2")</f>
        <v>0</v>
      </c>
      <c r="AP304" s="171">
        <f>SUMIFS('Future Orders'!$H304, 'Future Orders'!$C304, "A", 'Future Orders'!$B304, "1")</f>
        <v>0</v>
      </c>
      <c r="AQ304" s="171">
        <f>SUMIFS('Future Orders'!$I304, 'Future Orders'!$C304, "B", 'Future Orders'!$B304, "1")</f>
        <v>0</v>
      </c>
      <c r="AR304" s="171">
        <f>SUMIFS('Future Orders'!$H304, 'Future Orders'!$C304, "A", 'Future Orders'!$B304, "2")</f>
        <v>9948.4</v>
      </c>
      <c r="AS304" s="171">
        <f>SUMIFS('Future Orders'!$I304, 'Future Orders'!$C304, "B", 'Future Orders'!$B304, "2")</f>
        <v>0</v>
      </c>
      <c r="AT304" s="145"/>
      <c r="AU304" s="172"/>
      <c r="AV304" s="172"/>
      <c r="AW304" s="172"/>
      <c r="AX304" s="172"/>
      <c r="AY304" s="172"/>
      <c r="AZ304" s="172"/>
      <c r="BA304" s="172"/>
      <c r="BB304" s="172"/>
      <c r="BC304" s="172"/>
      <c r="BD304" s="172"/>
      <c r="BE304" s="172"/>
      <c r="BF304" s="172"/>
      <c r="BG304" s="172"/>
      <c r="BH304" s="172"/>
      <c r="BI304" s="172"/>
      <c r="BJ304" s="172"/>
      <c r="BK304" s="172"/>
      <c r="BL304" s="172"/>
      <c r="BM304" s="172"/>
      <c r="BN304" s="172"/>
      <c r="BO304" s="172"/>
      <c r="BP304" s="172"/>
      <c r="BQ304" s="172"/>
      <c r="BR304" s="172"/>
      <c r="BS304" s="172"/>
      <c r="BT304" s="172"/>
      <c r="BU304" s="172"/>
      <c r="BV304" s="172"/>
      <c r="BW304" s="172"/>
      <c r="BX304" s="172"/>
      <c r="BY304" s="172"/>
      <c r="BZ304" s="172"/>
      <c r="CA304" s="179"/>
      <c r="CB304" s="179"/>
      <c r="CC304" s="179"/>
      <c r="CD304" s="179"/>
      <c r="CE304" s="179"/>
      <c r="CF304" s="179"/>
      <c r="CG304" s="179"/>
      <c r="CH304" s="179"/>
      <c r="CI304" s="179"/>
      <c r="CJ304" s="179"/>
      <c r="CK304" s="179"/>
      <c r="CL304" s="179"/>
      <c r="CM304" s="179"/>
      <c r="CN304" s="179"/>
      <c r="CO304" s="179"/>
      <c r="CP304" s="179"/>
    </row>
    <row r="305" ht="15.75" customHeight="1">
      <c r="A305" s="151">
        <v>42205.0</v>
      </c>
      <c r="B305" s="152">
        <v>2.0</v>
      </c>
      <c r="C305" s="152" t="s">
        <v>45</v>
      </c>
      <c r="D305" s="152">
        <v>2.0</v>
      </c>
      <c r="E305" s="153">
        <v>6182.0</v>
      </c>
      <c r="F305" s="153">
        <f>SUM(('Future Orders'!$E305) * (1.1))</f>
        <v>6800.2</v>
      </c>
      <c r="G305" s="154">
        <v>1.2</v>
      </c>
      <c r="H305" s="155">
        <v>7418.4</v>
      </c>
      <c r="I305" s="155">
        <f>SUM(('Future Orders'!$H305) * (1.1))</f>
        <v>8160.24</v>
      </c>
      <c r="J305" s="159">
        <f>SUMIFS('Future Orders'!$F305, 'Future Orders'!$D305, "1", 'Future Orders'!$C305, "A", 'Future Orders'!$B305, "1")</f>
        <v>0</v>
      </c>
      <c r="K305" s="157">
        <f>SUMIFS('Future Orders'!$I305, 'Future Orders'!$D305, "1", 'Future Orders'!$C305, "A", 'Future Orders'!$B305, "1")</f>
        <v>0</v>
      </c>
      <c r="L305" s="157">
        <f>SUMIFS('Future Orders'!$F305, 'Future Orders'!$D305, "1", 'Future Orders'!$C305, "B", 'Future Orders'!$B305, "1")</f>
        <v>0</v>
      </c>
      <c r="M305" s="157">
        <f>SUMIFS('Future Orders'!$I305, 'Future Orders'!$D305, "1", 'Future Orders'!$C305, "B", 'Future Orders'!$B305, "1")</f>
        <v>0</v>
      </c>
      <c r="N305" s="159">
        <f>SUMIFS('Future Orders'!$F305, 'Future Orders'!$D305, "1", 'Future Orders'!$C305, "A", 'Future Orders'!$B305, "2")</f>
        <v>0</v>
      </c>
      <c r="O305" s="157">
        <f>SUMIFS('Future Orders'!$I305, 'Future Orders'!$D305, "1", 'Future Orders'!$C305, "A", 'Future Orders'!$B305, "2")</f>
        <v>0</v>
      </c>
      <c r="P305" s="157">
        <f>SUMIFS('Future Orders'!$E305, 'Future Orders'!$D305, "1", 'Future Orders'!$C305, "B", 'Future Orders'!$B305, "2")</f>
        <v>0</v>
      </c>
      <c r="Q305" s="157">
        <f>SUMIFS('Future Orders'!$I305, 'Future Orders'!$D305, "1", 'Future Orders'!$C305, "B", 'Future Orders'!$B305, "2")</f>
        <v>0</v>
      </c>
      <c r="R305" s="159">
        <f>SUMIFS('Future Orders'!$F305, 'Future Orders'!$D305, "2", 'Future Orders'!$C305, "A", 'Future Orders'!$B305, "1")</f>
        <v>0</v>
      </c>
      <c r="S305" s="157">
        <f>SUMIFS('Future Orders'!$I305, 'Future Orders'!$D305, "2", 'Future Orders'!$C305, "A", 'Future Orders'!$B305, "1")</f>
        <v>0</v>
      </c>
      <c r="T305" s="159">
        <f>SUMIFS('Future Orders'!$F305, 'Future Orders'!$D305, "2", 'Future Orders'!$C305, "B", 'Future Orders'!$B305, "1")</f>
        <v>0</v>
      </c>
      <c r="U305" s="157">
        <f>SUMIFS('Future Orders'!$I305, 'Future Orders'!$D305, "2", 'Future Orders'!$C305, "B", 'Future Orders'!$B305, "1")</f>
        <v>0</v>
      </c>
      <c r="V305" s="159">
        <f>SUMIFS('Future Orders'!$F305, 'Future Orders'!$D305, "2", 'Future Orders'!$C305, "A", 'Future Orders'!$B305, "2")</f>
        <v>6800.2</v>
      </c>
      <c r="W305" s="157">
        <f>SUMIFS('Future Orders'!$I305, 'Future Orders'!$D305, "2", 'Future Orders'!$C305, "A", 'Future Orders'!$B305, "2")</f>
        <v>8160.24</v>
      </c>
      <c r="X305" s="159">
        <f>SUMIFS('Future Orders'!$F305, 'Future Orders'!$D305, "2", 'Future Orders'!$C305, "B", 'Future Orders'!$B305, "2")</f>
        <v>0</v>
      </c>
      <c r="Y305" s="159">
        <f>SUMIFS('Future Orders'!$I305, 'Future Orders'!$D305, "2", 'Future Orders'!$C305, "B", 'Future Orders'!$B305, "2")</f>
        <v>0</v>
      </c>
      <c r="Z305" s="159">
        <f>SUMIFS('Future Orders'!$F305, 'Future Orders'!$D305, "3", 'Future Orders'!$C305, "A", 'Future Orders'!$B305, "1")</f>
        <v>0</v>
      </c>
      <c r="AA305" s="159">
        <f>SUMIFS('Future Orders'!$I305, 'Future Orders'!$D305, "3", 'Future Orders'!$C305, "A", 'Future Orders'!$B305, "1")</f>
        <v>0</v>
      </c>
      <c r="AB305" s="159">
        <f>SUMIFS('Future Orders'!$F305, 'Future Orders'!$D305, "3", 'Future Orders'!$C305, "B", 'Future Orders'!$B305, "1")</f>
        <v>0</v>
      </c>
      <c r="AC305" s="159">
        <f>SUMIFS('Future Orders'!$I305, 'Future Orders'!$D305, "3", 'Future Orders'!$C305, "B", 'Future Orders'!$B305, "1")</f>
        <v>0</v>
      </c>
      <c r="AD305" s="159">
        <f>SUMIFS('Future Orders'!$F305, 'Future Orders'!$D305, "3", 'Future Orders'!$C305, "A", 'Future Orders'!$B305, "2")</f>
        <v>0</v>
      </c>
      <c r="AE305" s="159">
        <f>SUMIFS('Future Orders'!$I305, 'Future Orders'!$D305, "3", 'Future Orders'!$C305, "A", 'Future Orders'!$B305, "2")</f>
        <v>0</v>
      </c>
      <c r="AF305" s="159">
        <f>SUMIFS('Future Orders'!$F305, 'Future Orders'!$D305, "3", 'Future Orders'!$C305, "B", 'Future Orders'!$B305, "2")</f>
        <v>0</v>
      </c>
      <c r="AG305" s="157">
        <f>SUMIFS('Future Orders'!$I305, 'Future Orders'!$D305, "3", 'Future Orders'!$C305, "B", 'Future Orders'!$B305, "2")</f>
        <v>0</v>
      </c>
      <c r="AH305" s="157">
        <f>SUMIFS('Future Orders'!$F305, 'Future Orders'!$D305, "4", 'Future Orders'!$C305, "A", 'Future Orders'!$B305, "1")</f>
        <v>0</v>
      </c>
      <c r="AI305" s="157">
        <f>SUMIFS('Future Orders'!$I305, 'Future Orders'!$D305, "4", 'Future Orders'!$C305, "A", 'Future Orders'!$B305, "1")</f>
        <v>0</v>
      </c>
      <c r="AJ305" s="157">
        <f>SUMIFS('Future Orders'!$F305, 'Future Orders'!$D305, "4", 'Future Orders'!$C305, "B", 'Future Orders'!$B305, "1")</f>
        <v>0</v>
      </c>
      <c r="AK305" s="157">
        <f>SUMIFS('Future Orders'!$I305, 'Future Orders'!$D305, "4", 'Future Orders'!$C305, "B", 'Future Orders'!$B305, "1")</f>
        <v>0</v>
      </c>
      <c r="AL305" s="157">
        <f>SUMIFS('Future Orders'!$F305, 'Future Orders'!$D305, "4", 'Future Orders'!$C305, "A", 'Future Orders'!$B305, "2")</f>
        <v>0</v>
      </c>
      <c r="AM305" s="157">
        <f>SUMIFS('Future Orders'!$I305, 'Future Orders'!$D305, "4", 'Future Orders'!$C305, "A", 'Future Orders'!$B305, "2")</f>
        <v>0</v>
      </c>
      <c r="AN305" s="171">
        <f>SUMIFS('Future Orders'!$F305, 'Future Orders'!$D305, "4", 'Future Orders'!$C305, "B", 'Future Orders'!$B305, "2")</f>
        <v>0</v>
      </c>
      <c r="AO305" s="171">
        <f>SUMIFS('Future Orders'!$I305, 'Future Orders'!$D305, "4", 'Future Orders'!$C305, "B", 'Future Orders'!$B305, "2")</f>
        <v>0</v>
      </c>
      <c r="AP305" s="171">
        <f>SUMIFS('Future Orders'!$H305, 'Future Orders'!$C305, "A", 'Future Orders'!$B305, "1")</f>
        <v>0</v>
      </c>
      <c r="AQ305" s="171">
        <f>SUMIFS('Future Orders'!$I305, 'Future Orders'!$C305, "B", 'Future Orders'!$B305, "1")</f>
        <v>0</v>
      </c>
      <c r="AR305" s="171">
        <f>SUMIFS('Future Orders'!$H305, 'Future Orders'!$C305, "A", 'Future Orders'!$B305, "2")</f>
        <v>7418.4</v>
      </c>
      <c r="AS305" s="171">
        <f>SUMIFS('Future Orders'!$I305, 'Future Orders'!$C305, "B", 'Future Orders'!$B305, "2")</f>
        <v>0</v>
      </c>
      <c r="AT305" s="145"/>
      <c r="AU305" s="172"/>
      <c r="AV305" s="172"/>
      <c r="AW305" s="172"/>
      <c r="AX305" s="172"/>
      <c r="AY305" s="172"/>
      <c r="AZ305" s="172"/>
      <c r="BA305" s="172"/>
      <c r="BB305" s="172"/>
      <c r="BC305" s="172"/>
      <c r="BD305" s="172"/>
      <c r="BE305" s="172"/>
      <c r="BF305" s="172"/>
      <c r="BG305" s="172"/>
      <c r="BH305" s="172"/>
      <c r="BI305" s="172"/>
      <c r="BJ305" s="172"/>
      <c r="BK305" s="172"/>
      <c r="BL305" s="172"/>
      <c r="BM305" s="172"/>
      <c r="BN305" s="172"/>
      <c r="BO305" s="172"/>
      <c r="BP305" s="172"/>
      <c r="BQ305" s="172"/>
      <c r="BR305" s="172"/>
      <c r="BS305" s="172"/>
      <c r="BT305" s="172"/>
      <c r="BU305" s="172"/>
      <c r="BV305" s="172"/>
      <c r="BW305" s="172"/>
      <c r="BX305" s="172"/>
      <c r="BY305" s="172"/>
      <c r="BZ305" s="172"/>
      <c r="CA305" s="179"/>
      <c r="CB305" s="179"/>
      <c r="CC305" s="179"/>
      <c r="CD305" s="179"/>
      <c r="CE305" s="179"/>
      <c r="CF305" s="179"/>
      <c r="CG305" s="179"/>
      <c r="CH305" s="179"/>
      <c r="CI305" s="179"/>
      <c r="CJ305" s="179"/>
      <c r="CK305" s="179"/>
      <c r="CL305" s="179"/>
      <c r="CM305" s="179"/>
      <c r="CN305" s="179"/>
      <c r="CO305" s="179"/>
      <c r="CP305" s="179"/>
    </row>
    <row r="306" ht="15.75" customHeight="1">
      <c r="A306" s="151">
        <v>42205.0</v>
      </c>
      <c r="B306" s="152">
        <v>1.0</v>
      </c>
      <c r="C306" s="152" t="s">
        <v>46</v>
      </c>
      <c r="D306" s="152">
        <v>3.0</v>
      </c>
      <c r="E306" s="153">
        <v>2242.0</v>
      </c>
      <c r="F306" s="153">
        <f>SUM(('Future Orders'!$E306) * (1.1))</f>
        <v>2466.2</v>
      </c>
      <c r="G306" s="154">
        <v>8.3</v>
      </c>
      <c r="H306" s="155">
        <v>18608.600000000002</v>
      </c>
      <c r="I306" s="155">
        <f>SUM(('Future Orders'!$H306) * (1.1))</f>
        <v>20469.46</v>
      </c>
      <c r="J306" s="159">
        <f>SUMIFS('Future Orders'!$F306, 'Future Orders'!$D306, "1", 'Future Orders'!$C306, "A", 'Future Orders'!$B306, "1")</f>
        <v>0</v>
      </c>
      <c r="K306" s="157">
        <f>SUMIFS('Future Orders'!$I306, 'Future Orders'!$D306, "1", 'Future Orders'!$C306, "A", 'Future Orders'!$B306, "1")</f>
        <v>0</v>
      </c>
      <c r="L306" s="157">
        <f>SUMIFS('Future Orders'!$F306, 'Future Orders'!$D306, "1", 'Future Orders'!$C306, "B", 'Future Orders'!$B306, "1")</f>
        <v>0</v>
      </c>
      <c r="M306" s="157">
        <f>SUMIFS('Future Orders'!$I306, 'Future Orders'!$D306, "1", 'Future Orders'!$C306, "B", 'Future Orders'!$B306, "1")</f>
        <v>0</v>
      </c>
      <c r="N306" s="159">
        <f>SUMIFS('Future Orders'!$F306, 'Future Orders'!$D306, "1", 'Future Orders'!$C306, "A", 'Future Orders'!$B306, "2")</f>
        <v>0</v>
      </c>
      <c r="O306" s="157">
        <f>SUMIFS('Future Orders'!$I306, 'Future Orders'!$D306, "1", 'Future Orders'!$C306, "A", 'Future Orders'!$B306, "2")</f>
        <v>0</v>
      </c>
      <c r="P306" s="157">
        <f>SUMIFS('Future Orders'!$E306, 'Future Orders'!$D306, "1", 'Future Orders'!$C306, "B", 'Future Orders'!$B306, "2")</f>
        <v>0</v>
      </c>
      <c r="Q306" s="157">
        <f>SUMIFS('Future Orders'!$I306, 'Future Orders'!$D306, "1", 'Future Orders'!$C306, "B", 'Future Orders'!$B306, "2")</f>
        <v>0</v>
      </c>
      <c r="R306" s="159">
        <f>SUMIFS('Future Orders'!$F306, 'Future Orders'!$D306, "2", 'Future Orders'!$C306, "A", 'Future Orders'!$B306, "1")</f>
        <v>0</v>
      </c>
      <c r="S306" s="157">
        <f>SUMIFS('Future Orders'!$I306, 'Future Orders'!$D306, "2", 'Future Orders'!$C306, "A", 'Future Orders'!$B306, "1")</f>
        <v>0</v>
      </c>
      <c r="T306" s="159">
        <f>SUMIFS('Future Orders'!$F306, 'Future Orders'!$D306, "2", 'Future Orders'!$C306, "B", 'Future Orders'!$B306, "1")</f>
        <v>0</v>
      </c>
      <c r="U306" s="157">
        <f>SUMIFS('Future Orders'!$I306, 'Future Orders'!$D306, "2", 'Future Orders'!$C306, "B", 'Future Orders'!$B306, "1")</f>
        <v>0</v>
      </c>
      <c r="V306" s="159">
        <f>SUMIFS('Future Orders'!$F306, 'Future Orders'!$D306, "2", 'Future Orders'!$C306, "A", 'Future Orders'!$B306, "2")</f>
        <v>0</v>
      </c>
      <c r="W306" s="157">
        <f>SUMIFS('Future Orders'!$I306, 'Future Orders'!$D306, "2", 'Future Orders'!$C306, "A", 'Future Orders'!$B306, "2")</f>
        <v>0</v>
      </c>
      <c r="X306" s="159">
        <f>SUMIFS('Future Orders'!$F306, 'Future Orders'!$D306, "2", 'Future Orders'!$C306, "B", 'Future Orders'!$B306, "2")</f>
        <v>0</v>
      </c>
      <c r="Y306" s="159">
        <f>SUMIFS('Future Orders'!$I306, 'Future Orders'!$D306, "2", 'Future Orders'!$C306, "B", 'Future Orders'!$B306, "2")</f>
        <v>0</v>
      </c>
      <c r="Z306" s="159">
        <f>SUMIFS('Future Orders'!$F306, 'Future Orders'!$D306, "3", 'Future Orders'!$C306, "A", 'Future Orders'!$B306, "1")</f>
        <v>0</v>
      </c>
      <c r="AA306" s="159">
        <f>SUMIFS('Future Orders'!$I306, 'Future Orders'!$D306, "3", 'Future Orders'!$C306, "A", 'Future Orders'!$B306, "1")</f>
        <v>0</v>
      </c>
      <c r="AB306" s="159">
        <f>SUMIFS('Future Orders'!$F306, 'Future Orders'!$D306, "3", 'Future Orders'!$C306, "B", 'Future Orders'!$B306, "1")</f>
        <v>2466.2</v>
      </c>
      <c r="AC306" s="159">
        <f>SUMIFS('Future Orders'!$I306, 'Future Orders'!$D306, "3", 'Future Orders'!$C306, "B", 'Future Orders'!$B306, "1")</f>
        <v>20469.46</v>
      </c>
      <c r="AD306" s="159">
        <f>SUMIFS('Future Orders'!$F306, 'Future Orders'!$D306, "3", 'Future Orders'!$C306, "A", 'Future Orders'!$B306, "2")</f>
        <v>0</v>
      </c>
      <c r="AE306" s="159">
        <f>SUMIFS('Future Orders'!$I306, 'Future Orders'!$D306, "3", 'Future Orders'!$C306, "A", 'Future Orders'!$B306, "2")</f>
        <v>0</v>
      </c>
      <c r="AF306" s="159">
        <f>SUMIFS('Future Orders'!$F306, 'Future Orders'!$D306, "3", 'Future Orders'!$C306, "B", 'Future Orders'!$B306, "2")</f>
        <v>0</v>
      </c>
      <c r="AG306" s="157">
        <f>SUMIFS('Future Orders'!$I306, 'Future Orders'!$D306, "3", 'Future Orders'!$C306, "B", 'Future Orders'!$B306, "2")</f>
        <v>0</v>
      </c>
      <c r="AH306" s="157">
        <f>SUMIFS('Future Orders'!$F306, 'Future Orders'!$D306, "4", 'Future Orders'!$C306, "A", 'Future Orders'!$B306, "1")</f>
        <v>0</v>
      </c>
      <c r="AI306" s="157">
        <f>SUMIFS('Future Orders'!$I306, 'Future Orders'!$D306, "4", 'Future Orders'!$C306, "A", 'Future Orders'!$B306, "1")</f>
        <v>0</v>
      </c>
      <c r="AJ306" s="157">
        <f>SUMIFS('Future Orders'!$F306, 'Future Orders'!$D306, "4", 'Future Orders'!$C306, "B", 'Future Orders'!$B306, "1")</f>
        <v>0</v>
      </c>
      <c r="AK306" s="157">
        <f>SUMIFS('Future Orders'!$I306, 'Future Orders'!$D306, "4", 'Future Orders'!$C306, "B", 'Future Orders'!$B306, "1")</f>
        <v>0</v>
      </c>
      <c r="AL306" s="157">
        <f>SUMIFS('Future Orders'!$F306, 'Future Orders'!$D306, "4", 'Future Orders'!$C306, "A", 'Future Orders'!$B306, "2")</f>
        <v>0</v>
      </c>
      <c r="AM306" s="157">
        <f>SUMIFS('Future Orders'!$I306, 'Future Orders'!$D306, "4", 'Future Orders'!$C306, "A", 'Future Orders'!$B306, "2")</f>
        <v>0</v>
      </c>
      <c r="AN306" s="171">
        <f>SUMIFS('Future Orders'!$F306, 'Future Orders'!$D306, "4", 'Future Orders'!$C306, "B", 'Future Orders'!$B306, "2")</f>
        <v>0</v>
      </c>
      <c r="AO306" s="171">
        <f>SUMIFS('Future Orders'!$I306, 'Future Orders'!$D306, "4", 'Future Orders'!$C306, "B", 'Future Orders'!$B306, "2")</f>
        <v>0</v>
      </c>
      <c r="AP306" s="171">
        <f>SUMIFS('Future Orders'!$H306, 'Future Orders'!$C306, "A", 'Future Orders'!$B306, "1")</f>
        <v>0</v>
      </c>
      <c r="AQ306" s="171">
        <f>SUMIFS('Future Orders'!$I306, 'Future Orders'!$C306, "B", 'Future Orders'!$B306, "1")</f>
        <v>20469.46</v>
      </c>
      <c r="AR306" s="171">
        <f>SUMIFS('Future Orders'!$H306, 'Future Orders'!$C306, "A", 'Future Orders'!$B306, "2")</f>
        <v>0</v>
      </c>
      <c r="AS306" s="171">
        <f>SUMIFS('Future Orders'!$I306, 'Future Orders'!$C306, "B", 'Future Orders'!$B306, "2")</f>
        <v>0</v>
      </c>
      <c r="AT306" s="145"/>
      <c r="AU306" s="172"/>
      <c r="AV306" s="172"/>
      <c r="AW306" s="172"/>
      <c r="AX306" s="172"/>
      <c r="AY306" s="172"/>
      <c r="AZ306" s="172"/>
      <c r="BA306" s="172"/>
      <c r="BB306" s="172"/>
      <c r="BC306" s="172"/>
      <c r="BD306" s="172"/>
      <c r="BE306" s="172"/>
      <c r="BF306" s="172"/>
      <c r="BG306" s="172"/>
      <c r="BH306" s="172"/>
      <c r="BI306" s="172"/>
      <c r="BJ306" s="172"/>
      <c r="BK306" s="172"/>
      <c r="BL306" s="172"/>
      <c r="BM306" s="172"/>
      <c r="BN306" s="172"/>
      <c r="BO306" s="172"/>
      <c r="BP306" s="172"/>
      <c r="BQ306" s="172"/>
      <c r="BR306" s="172"/>
      <c r="BS306" s="172"/>
      <c r="BT306" s="172"/>
      <c r="BU306" s="172"/>
      <c r="BV306" s="172"/>
      <c r="BW306" s="172"/>
      <c r="BX306" s="172"/>
      <c r="BY306" s="172"/>
      <c r="BZ306" s="172"/>
      <c r="CA306" s="179"/>
      <c r="CB306" s="179"/>
      <c r="CC306" s="179"/>
      <c r="CD306" s="179"/>
      <c r="CE306" s="179"/>
      <c r="CF306" s="179"/>
      <c r="CG306" s="179"/>
      <c r="CH306" s="179"/>
      <c r="CI306" s="179"/>
      <c r="CJ306" s="179"/>
      <c r="CK306" s="179"/>
      <c r="CL306" s="179"/>
      <c r="CM306" s="179"/>
      <c r="CN306" s="179"/>
      <c r="CO306" s="179"/>
      <c r="CP306" s="179"/>
    </row>
    <row r="307" ht="15.75" customHeight="1">
      <c r="A307" s="151">
        <v>42205.0</v>
      </c>
      <c r="B307" s="152">
        <v>2.0</v>
      </c>
      <c r="C307" s="152" t="s">
        <v>46</v>
      </c>
      <c r="D307" s="152">
        <v>3.0</v>
      </c>
      <c r="E307" s="153">
        <v>2768.0</v>
      </c>
      <c r="F307" s="153">
        <f>SUM(('Future Orders'!$E307) * (1.1))</f>
        <v>3044.8</v>
      </c>
      <c r="G307" s="154">
        <v>8.3</v>
      </c>
      <c r="H307" s="155">
        <v>22974.4</v>
      </c>
      <c r="I307" s="155">
        <f>SUM(('Future Orders'!$H307) * (1.1))</f>
        <v>25271.84</v>
      </c>
      <c r="J307" s="159">
        <f>SUMIFS('Future Orders'!$F307, 'Future Orders'!$D307, "1", 'Future Orders'!$C307, "A", 'Future Orders'!$B307, "1")</f>
        <v>0</v>
      </c>
      <c r="K307" s="157">
        <f>SUMIFS('Future Orders'!$I307, 'Future Orders'!$D307, "1", 'Future Orders'!$C307, "A", 'Future Orders'!$B307, "1")</f>
        <v>0</v>
      </c>
      <c r="L307" s="157">
        <f>SUMIFS('Future Orders'!$F307, 'Future Orders'!$D307, "1", 'Future Orders'!$C307, "B", 'Future Orders'!$B307, "1")</f>
        <v>0</v>
      </c>
      <c r="M307" s="157">
        <f>SUMIFS('Future Orders'!$I307, 'Future Orders'!$D307, "1", 'Future Orders'!$C307, "B", 'Future Orders'!$B307, "1")</f>
        <v>0</v>
      </c>
      <c r="N307" s="159">
        <f>SUMIFS('Future Orders'!$F307, 'Future Orders'!$D307, "1", 'Future Orders'!$C307, "A", 'Future Orders'!$B307, "2")</f>
        <v>0</v>
      </c>
      <c r="O307" s="157">
        <f>SUMIFS('Future Orders'!$I307, 'Future Orders'!$D307, "1", 'Future Orders'!$C307, "A", 'Future Orders'!$B307, "2")</f>
        <v>0</v>
      </c>
      <c r="P307" s="157">
        <f>SUMIFS('Future Orders'!$E307, 'Future Orders'!$D307, "1", 'Future Orders'!$C307, "B", 'Future Orders'!$B307, "2")</f>
        <v>0</v>
      </c>
      <c r="Q307" s="157">
        <f>SUMIFS('Future Orders'!$I307, 'Future Orders'!$D307, "1", 'Future Orders'!$C307, "B", 'Future Orders'!$B307, "2")</f>
        <v>0</v>
      </c>
      <c r="R307" s="159">
        <f>SUMIFS('Future Orders'!$F307, 'Future Orders'!$D307, "2", 'Future Orders'!$C307, "A", 'Future Orders'!$B307, "1")</f>
        <v>0</v>
      </c>
      <c r="S307" s="157">
        <f>SUMIFS('Future Orders'!$I307, 'Future Orders'!$D307, "2", 'Future Orders'!$C307, "A", 'Future Orders'!$B307, "1")</f>
        <v>0</v>
      </c>
      <c r="T307" s="159">
        <f>SUMIFS('Future Orders'!$F307, 'Future Orders'!$D307, "2", 'Future Orders'!$C307, "B", 'Future Orders'!$B307, "1")</f>
        <v>0</v>
      </c>
      <c r="U307" s="157">
        <f>SUMIFS('Future Orders'!$I307, 'Future Orders'!$D307, "2", 'Future Orders'!$C307, "B", 'Future Orders'!$B307, "1")</f>
        <v>0</v>
      </c>
      <c r="V307" s="159">
        <f>SUMIFS('Future Orders'!$F307, 'Future Orders'!$D307, "2", 'Future Orders'!$C307, "A", 'Future Orders'!$B307, "2")</f>
        <v>0</v>
      </c>
      <c r="W307" s="157">
        <f>SUMIFS('Future Orders'!$I307, 'Future Orders'!$D307, "2", 'Future Orders'!$C307, "A", 'Future Orders'!$B307, "2")</f>
        <v>0</v>
      </c>
      <c r="X307" s="159">
        <f>SUMIFS('Future Orders'!$F307, 'Future Orders'!$D307, "2", 'Future Orders'!$C307, "B", 'Future Orders'!$B307, "2")</f>
        <v>0</v>
      </c>
      <c r="Y307" s="159">
        <f>SUMIFS('Future Orders'!$I307, 'Future Orders'!$D307, "2", 'Future Orders'!$C307, "B", 'Future Orders'!$B307, "2")</f>
        <v>0</v>
      </c>
      <c r="Z307" s="159">
        <f>SUMIFS('Future Orders'!$F307, 'Future Orders'!$D307, "3", 'Future Orders'!$C307, "A", 'Future Orders'!$B307, "1")</f>
        <v>0</v>
      </c>
      <c r="AA307" s="159">
        <f>SUMIFS('Future Orders'!$I307, 'Future Orders'!$D307, "3", 'Future Orders'!$C307, "A", 'Future Orders'!$B307, "1")</f>
        <v>0</v>
      </c>
      <c r="AB307" s="159">
        <f>SUMIFS('Future Orders'!$F307, 'Future Orders'!$D307, "3", 'Future Orders'!$C307, "B", 'Future Orders'!$B307, "1")</f>
        <v>0</v>
      </c>
      <c r="AC307" s="159">
        <f>SUMIFS('Future Orders'!$I307, 'Future Orders'!$D307, "3", 'Future Orders'!$C307, "B", 'Future Orders'!$B307, "1")</f>
        <v>0</v>
      </c>
      <c r="AD307" s="159">
        <f>SUMIFS('Future Orders'!$F307, 'Future Orders'!$D307, "3", 'Future Orders'!$C307, "A", 'Future Orders'!$B307, "2")</f>
        <v>0</v>
      </c>
      <c r="AE307" s="159">
        <f>SUMIFS('Future Orders'!$I307, 'Future Orders'!$D307, "3", 'Future Orders'!$C307, "A", 'Future Orders'!$B307, "2")</f>
        <v>0</v>
      </c>
      <c r="AF307" s="159">
        <f>SUMIFS('Future Orders'!$F307, 'Future Orders'!$D307, "3", 'Future Orders'!$C307, "B", 'Future Orders'!$B307, "2")</f>
        <v>3044.8</v>
      </c>
      <c r="AG307" s="157">
        <f>SUMIFS('Future Orders'!$I307, 'Future Orders'!$D307, "3", 'Future Orders'!$C307, "B", 'Future Orders'!$B307, "2")</f>
        <v>25271.84</v>
      </c>
      <c r="AH307" s="157">
        <f>SUMIFS('Future Orders'!$F307, 'Future Orders'!$D307, "4", 'Future Orders'!$C307, "A", 'Future Orders'!$B307, "1")</f>
        <v>0</v>
      </c>
      <c r="AI307" s="157">
        <f>SUMIFS('Future Orders'!$I307, 'Future Orders'!$D307, "4", 'Future Orders'!$C307, "A", 'Future Orders'!$B307, "1")</f>
        <v>0</v>
      </c>
      <c r="AJ307" s="157">
        <f>SUMIFS('Future Orders'!$F307, 'Future Orders'!$D307, "4", 'Future Orders'!$C307, "B", 'Future Orders'!$B307, "1")</f>
        <v>0</v>
      </c>
      <c r="AK307" s="157">
        <f>SUMIFS('Future Orders'!$I307, 'Future Orders'!$D307, "4", 'Future Orders'!$C307, "B", 'Future Orders'!$B307, "1")</f>
        <v>0</v>
      </c>
      <c r="AL307" s="157">
        <f>SUMIFS('Future Orders'!$F307, 'Future Orders'!$D307, "4", 'Future Orders'!$C307, "A", 'Future Orders'!$B307, "2")</f>
        <v>0</v>
      </c>
      <c r="AM307" s="157">
        <f>SUMIFS('Future Orders'!$I307, 'Future Orders'!$D307, "4", 'Future Orders'!$C307, "A", 'Future Orders'!$B307, "2")</f>
        <v>0</v>
      </c>
      <c r="AN307" s="171">
        <f>SUMIFS('Future Orders'!$F307, 'Future Orders'!$D307, "4", 'Future Orders'!$C307, "B", 'Future Orders'!$B307, "2")</f>
        <v>0</v>
      </c>
      <c r="AO307" s="171">
        <f>SUMIFS('Future Orders'!$I307, 'Future Orders'!$D307, "4", 'Future Orders'!$C307, "B", 'Future Orders'!$B307, "2")</f>
        <v>0</v>
      </c>
      <c r="AP307" s="171">
        <f>SUMIFS('Future Orders'!$H307, 'Future Orders'!$C307, "A", 'Future Orders'!$B307, "1")</f>
        <v>0</v>
      </c>
      <c r="AQ307" s="171">
        <f>SUMIFS('Future Orders'!$I307, 'Future Orders'!$C307, "B", 'Future Orders'!$B307, "1")</f>
        <v>0</v>
      </c>
      <c r="AR307" s="171">
        <f>SUMIFS('Future Orders'!$H307, 'Future Orders'!$C307, "A", 'Future Orders'!$B307, "2")</f>
        <v>0</v>
      </c>
      <c r="AS307" s="171">
        <f>SUMIFS('Future Orders'!$I307, 'Future Orders'!$C307, "B", 'Future Orders'!$B307, "2")</f>
        <v>25271.84</v>
      </c>
      <c r="AT307" s="145"/>
      <c r="AU307" s="172"/>
      <c r="AV307" s="172"/>
      <c r="AW307" s="172"/>
      <c r="AX307" s="172"/>
      <c r="AY307" s="172"/>
      <c r="AZ307" s="172"/>
      <c r="BA307" s="172"/>
      <c r="BB307" s="172"/>
      <c r="BC307" s="172"/>
      <c r="BD307" s="172"/>
      <c r="BE307" s="172"/>
      <c r="BF307" s="172"/>
      <c r="BG307" s="172"/>
      <c r="BH307" s="172"/>
      <c r="BI307" s="172"/>
      <c r="BJ307" s="172"/>
      <c r="BK307" s="172"/>
      <c r="BL307" s="172"/>
      <c r="BM307" s="172"/>
      <c r="BN307" s="172"/>
      <c r="BO307" s="172"/>
      <c r="BP307" s="172"/>
      <c r="BQ307" s="172"/>
      <c r="BR307" s="172"/>
      <c r="BS307" s="172"/>
      <c r="BT307" s="172"/>
      <c r="BU307" s="172"/>
      <c r="BV307" s="172"/>
      <c r="BW307" s="172"/>
      <c r="BX307" s="172"/>
      <c r="BY307" s="172"/>
      <c r="BZ307" s="172"/>
      <c r="CA307" s="179"/>
      <c r="CB307" s="179"/>
      <c r="CC307" s="179"/>
      <c r="CD307" s="179"/>
      <c r="CE307" s="179"/>
      <c r="CF307" s="179"/>
      <c r="CG307" s="179"/>
      <c r="CH307" s="179"/>
      <c r="CI307" s="179"/>
      <c r="CJ307" s="179"/>
      <c r="CK307" s="179"/>
      <c r="CL307" s="179"/>
      <c r="CM307" s="179"/>
      <c r="CN307" s="179"/>
      <c r="CO307" s="179"/>
      <c r="CP307" s="179"/>
    </row>
    <row r="308" ht="15.75" customHeight="1">
      <c r="A308" s="151">
        <v>42212.0</v>
      </c>
      <c r="B308" s="152">
        <v>1.0</v>
      </c>
      <c r="C308" s="152" t="s">
        <v>45</v>
      </c>
      <c r="D308" s="152">
        <v>1.0</v>
      </c>
      <c r="E308" s="153">
        <v>5038.0</v>
      </c>
      <c r="F308" s="153">
        <f>SUM(('Future Orders'!$E308) * (1.1))</f>
        <v>5541.8</v>
      </c>
      <c r="G308" s="154">
        <v>2.2</v>
      </c>
      <c r="H308" s="155">
        <v>11083.6</v>
      </c>
      <c r="I308" s="155">
        <f>SUM(('Future Orders'!$H308) * (1.1))</f>
        <v>12191.96</v>
      </c>
      <c r="J308" s="159">
        <f>SUMIFS('Future Orders'!$F308, 'Future Orders'!$D308, "1", 'Future Orders'!$C308, "A", 'Future Orders'!$B308, "1")</f>
        <v>5541.8</v>
      </c>
      <c r="K308" s="157">
        <f>SUMIFS('Future Orders'!$I308, 'Future Orders'!$D308, "1", 'Future Orders'!$C308, "A", 'Future Orders'!$B308, "1")</f>
        <v>12191.96</v>
      </c>
      <c r="L308" s="157">
        <f>SUMIFS('Future Orders'!$F308, 'Future Orders'!$D308, "1", 'Future Orders'!$C308, "B", 'Future Orders'!$B308, "1")</f>
        <v>0</v>
      </c>
      <c r="M308" s="157">
        <f>SUMIFS('Future Orders'!$I308, 'Future Orders'!$D308, "1", 'Future Orders'!$C308, "B", 'Future Orders'!$B308, "1")</f>
        <v>0</v>
      </c>
      <c r="N308" s="159">
        <f>SUMIFS('Future Orders'!$F308, 'Future Orders'!$D308, "1", 'Future Orders'!$C308, "A", 'Future Orders'!$B308, "2")</f>
        <v>0</v>
      </c>
      <c r="O308" s="157">
        <f>SUMIFS('Future Orders'!$I308, 'Future Orders'!$D308, "1", 'Future Orders'!$C308, "A", 'Future Orders'!$B308, "2")</f>
        <v>0</v>
      </c>
      <c r="P308" s="157">
        <f>SUMIFS('Future Orders'!$E308, 'Future Orders'!$D308, "1", 'Future Orders'!$C308, "B", 'Future Orders'!$B308, "2")</f>
        <v>0</v>
      </c>
      <c r="Q308" s="157">
        <f>SUMIFS('Future Orders'!$I308, 'Future Orders'!$D308, "1", 'Future Orders'!$C308, "B", 'Future Orders'!$B308, "2")</f>
        <v>0</v>
      </c>
      <c r="R308" s="159">
        <f>SUMIFS('Future Orders'!$F308, 'Future Orders'!$D308, "2", 'Future Orders'!$C308, "A", 'Future Orders'!$B308, "1")</f>
        <v>0</v>
      </c>
      <c r="S308" s="157">
        <f>SUMIFS('Future Orders'!$I308, 'Future Orders'!$D308, "2", 'Future Orders'!$C308, "A", 'Future Orders'!$B308, "1")</f>
        <v>0</v>
      </c>
      <c r="T308" s="159">
        <f>SUMIFS('Future Orders'!$F308, 'Future Orders'!$D308, "2", 'Future Orders'!$C308, "B", 'Future Orders'!$B308, "1")</f>
        <v>0</v>
      </c>
      <c r="U308" s="157">
        <f>SUMIFS('Future Orders'!$I308, 'Future Orders'!$D308, "2", 'Future Orders'!$C308, "B", 'Future Orders'!$B308, "1")</f>
        <v>0</v>
      </c>
      <c r="V308" s="159">
        <f>SUMIFS('Future Orders'!$F308, 'Future Orders'!$D308, "2", 'Future Orders'!$C308, "A", 'Future Orders'!$B308, "2")</f>
        <v>0</v>
      </c>
      <c r="W308" s="157">
        <f>SUMIFS('Future Orders'!$I308, 'Future Orders'!$D308, "2", 'Future Orders'!$C308, "A", 'Future Orders'!$B308, "2")</f>
        <v>0</v>
      </c>
      <c r="X308" s="159">
        <f>SUMIFS('Future Orders'!$F308, 'Future Orders'!$D308, "2", 'Future Orders'!$C308, "B", 'Future Orders'!$B308, "2")</f>
        <v>0</v>
      </c>
      <c r="Y308" s="159">
        <f>SUMIFS('Future Orders'!$I308, 'Future Orders'!$D308, "2", 'Future Orders'!$C308, "B", 'Future Orders'!$B308, "2")</f>
        <v>0</v>
      </c>
      <c r="Z308" s="159">
        <f>SUMIFS('Future Orders'!$F308, 'Future Orders'!$D308, "3", 'Future Orders'!$C308, "A", 'Future Orders'!$B308, "1")</f>
        <v>0</v>
      </c>
      <c r="AA308" s="159">
        <f>SUMIFS('Future Orders'!$I308, 'Future Orders'!$D308, "3", 'Future Orders'!$C308, "A", 'Future Orders'!$B308, "1")</f>
        <v>0</v>
      </c>
      <c r="AB308" s="159">
        <f>SUMIFS('Future Orders'!$F308, 'Future Orders'!$D308, "3", 'Future Orders'!$C308, "B", 'Future Orders'!$B308, "1")</f>
        <v>0</v>
      </c>
      <c r="AC308" s="159">
        <f>SUMIFS('Future Orders'!$I308, 'Future Orders'!$D308, "3", 'Future Orders'!$C308, "B", 'Future Orders'!$B308, "1")</f>
        <v>0</v>
      </c>
      <c r="AD308" s="159">
        <f>SUMIFS('Future Orders'!$F308, 'Future Orders'!$D308, "3", 'Future Orders'!$C308, "A", 'Future Orders'!$B308, "2")</f>
        <v>0</v>
      </c>
      <c r="AE308" s="159">
        <f>SUMIFS('Future Orders'!$I308, 'Future Orders'!$D308, "3", 'Future Orders'!$C308, "A", 'Future Orders'!$B308, "2")</f>
        <v>0</v>
      </c>
      <c r="AF308" s="159">
        <f>SUMIFS('Future Orders'!$F308, 'Future Orders'!$D308, "3", 'Future Orders'!$C308, "B", 'Future Orders'!$B308, "2")</f>
        <v>0</v>
      </c>
      <c r="AG308" s="157">
        <f>SUMIFS('Future Orders'!$I308, 'Future Orders'!$D308, "3", 'Future Orders'!$C308, "B", 'Future Orders'!$B308, "2")</f>
        <v>0</v>
      </c>
      <c r="AH308" s="157">
        <f>SUMIFS('Future Orders'!$F308, 'Future Orders'!$D308, "4", 'Future Orders'!$C308, "A", 'Future Orders'!$B308, "1")</f>
        <v>0</v>
      </c>
      <c r="AI308" s="157">
        <f>SUMIFS('Future Orders'!$I308, 'Future Orders'!$D308, "4", 'Future Orders'!$C308, "A", 'Future Orders'!$B308, "1")</f>
        <v>0</v>
      </c>
      <c r="AJ308" s="157">
        <f>SUMIFS('Future Orders'!$F308, 'Future Orders'!$D308, "4", 'Future Orders'!$C308, "B", 'Future Orders'!$B308, "1")</f>
        <v>0</v>
      </c>
      <c r="AK308" s="157">
        <f>SUMIFS('Future Orders'!$I308, 'Future Orders'!$D308, "4", 'Future Orders'!$C308, "B", 'Future Orders'!$B308, "1")</f>
        <v>0</v>
      </c>
      <c r="AL308" s="157">
        <f>SUMIFS('Future Orders'!$F308, 'Future Orders'!$D308, "4", 'Future Orders'!$C308, "A", 'Future Orders'!$B308, "2")</f>
        <v>0</v>
      </c>
      <c r="AM308" s="157">
        <f>SUMIFS('Future Orders'!$I308, 'Future Orders'!$D308, "4", 'Future Orders'!$C308, "A", 'Future Orders'!$B308, "2")</f>
        <v>0</v>
      </c>
      <c r="AN308" s="171">
        <f>SUMIFS('Future Orders'!$F308, 'Future Orders'!$D308, "4", 'Future Orders'!$C308, "B", 'Future Orders'!$B308, "2")</f>
        <v>0</v>
      </c>
      <c r="AO308" s="171">
        <f>SUMIFS('Future Orders'!$I308, 'Future Orders'!$D308, "4", 'Future Orders'!$C308, "B", 'Future Orders'!$B308, "2")</f>
        <v>0</v>
      </c>
      <c r="AP308" s="171">
        <f>SUMIFS('Future Orders'!$H308, 'Future Orders'!$C308, "A", 'Future Orders'!$B308, "1")</f>
        <v>11083.6</v>
      </c>
      <c r="AQ308" s="171">
        <f>SUMIFS('Future Orders'!$I308, 'Future Orders'!$C308, "B", 'Future Orders'!$B308, "1")</f>
        <v>0</v>
      </c>
      <c r="AR308" s="171">
        <f>SUMIFS('Future Orders'!$H308, 'Future Orders'!$C308, "A", 'Future Orders'!$B308, "2")</f>
        <v>0</v>
      </c>
      <c r="AS308" s="171">
        <f>SUMIFS('Future Orders'!$I308, 'Future Orders'!$C308, "B", 'Future Orders'!$B308, "2")</f>
        <v>0</v>
      </c>
      <c r="AT308" s="145"/>
      <c r="AU308" s="172"/>
      <c r="AV308" s="172"/>
      <c r="AW308" s="172"/>
      <c r="AX308" s="172"/>
      <c r="AY308" s="172"/>
      <c r="AZ308" s="172"/>
      <c r="BA308" s="172"/>
      <c r="BB308" s="172"/>
      <c r="BC308" s="172"/>
      <c r="BD308" s="172"/>
      <c r="BE308" s="172"/>
      <c r="BF308" s="172"/>
      <c r="BG308" s="172"/>
      <c r="BH308" s="172"/>
      <c r="BI308" s="172"/>
      <c r="BJ308" s="172"/>
      <c r="BK308" s="172"/>
      <c r="BL308" s="172"/>
      <c r="BM308" s="172"/>
      <c r="BN308" s="172"/>
      <c r="BO308" s="172"/>
      <c r="BP308" s="172"/>
      <c r="BQ308" s="172"/>
      <c r="BR308" s="172"/>
      <c r="BS308" s="172"/>
      <c r="BT308" s="172"/>
      <c r="BU308" s="172"/>
      <c r="BV308" s="172"/>
      <c r="BW308" s="172"/>
      <c r="BX308" s="172"/>
      <c r="BY308" s="172"/>
      <c r="BZ308" s="172"/>
      <c r="CA308" s="179"/>
      <c r="CB308" s="179"/>
      <c r="CC308" s="179"/>
      <c r="CD308" s="179"/>
      <c r="CE308" s="179"/>
      <c r="CF308" s="179"/>
      <c r="CG308" s="179"/>
      <c r="CH308" s="179"/>
      <c r="CI308" s="179"/>
      <c r="CJ308" s="179"/>
      <c r="CK308" s="179"/>
      <c r="CL308" s="179"/>
      <c r="CM308" s="179"/>
      <c r="CN308" s="179"/>
      <c r="CO308" s="179"/>
      <c r="CP308" s="179"/>
    </row>
    <row r="309" ht="15.75" customHeight="1">
      <c r="A309" s="151">
        <v>42212.0</v>
      </c>
      <c r="B309" s="152">
        <v>1.0</v>
      </c>
      <c r="C309" s="152" t="s">
        <v>45</v>
      </c>
      <c r="D309" s="152">
        <v>2.0</v>
      </c>
      <c r="E309" s="153">
        <v>6156.0</v>
      </c>
      <c r="F309" s="153">
        <f>SUM(('Future Orders'!$E309) * (1.1))</f>
        <v>6771.6</v>
      </c>
      <c r="G309" s="154">
        <v>1.2</v>
      </c>
      <c r="H309" s="155">
        <v>7387.2</v>
      </c>
      <c r="I309" s="155">
        <f>SUM(('Future Orders'!$H309) * (1.1))</f>
        <v>8125.92</v>
      </c>
      <c r="J309" s="159">
        <f>SUMIFS('Future Orders'!$F309, 'Future Orders'!$D309, "1", 'Future Orders'!$C309, "A", 'Future Orders'!$B309, "1")</f>
        <v>0</v>
      </c>
      <c r="K309" s="157">
        <f>SUMIFS('Future Orders'!$I309, 'Future Orders'!$D309, "1", 'Future Orders'!$C309, "A", 'Future Orders'!$B309, "1")</f>
        <v>0</v>
      </c>
      <c r="L309" s="157">
        <f>SUMIFS('Future Orders'!$F309, 'Future Orders'!$D309, "1", 'Future Orders'!$C309, "B", 'Future Orders'!$B309, "1")</f>
        <v>0</v>
      </c>
      <c r="M309" s="157">
        <f>SUMIFS('Future Orders'!$I309, 'Future Orders'!$D309, "1", 'Future Orders'!$C309, "B", 'Future Orders'!$B309, "1")</f>
        <v>0</v>
      </c>
      <c r="N309" s="159">
        <f>SUMIFS('Future Orders'!$F309, 'Future Orders'!$D309, "1", 'Future Orders'!$C309, "A", 'Future Orders'!$B309, "2")</f>
        <v>0</v>
      </c>
      <c r="O309" s="157">
        <f>SUMIFS('Future Orders'!$I309, 'Future Orders'!$D309, "1", 'Future Orders'!$C309, "A", 'Future Orders'!$B309, "2")</f>
        <v>0</v>
      </c>
      <c r="P309" s="157">
        <f>SUMIFS('Future Orders'!$E309, 'Future Orders'!$D309, "1", 'Future Orders'!$C309, "B", 'Future Orders'!$B309, "2")</f>
        <v>0</v>
      </c>
      <c r="Q309" s="157">
        <f>SUMIFS('Future Orders'!$I309, 'Future Orders'!$D309, "1", 'Future Orders'!$C309, "B", 'Future Orders'!$B309, "2")</f>
        <v>0</v>
      </c>
      <c r="R309" s="159">
        <f>SUMIFS('Future Orders'!$F309, 'Future Orders'!$D309, "2", 'Future Orders'!$C309, "A", 'Future Orders'!$B309, "1")</f>
        <v>6771.6</v>
      </c>
      <c r="S309" s="157">
        <f>SUMIFS('Future Orders'!$I309, 'Future Orders'!$D309, "2", 'Future Orders'!$C309, "A", 'Future Orders'!$B309, "1")</f>
        <v>8125.92</v>
      </c>
      <c r="T309" s="159">
        <f>SUMIFS('Future Orders'!$F309, 'Future Orders'!$D309, "2", 'Future Orders'!$C309, "B", 'Future Orders'!$B309, "1")</f>
        <v>0</v>
      </c>
      <c r="U309" s="157">
        <f>SUMIFS('Future Orders'!$I309, 'Future Orders'!$D309, "2", 'Future Orders'!$C309, "B", 'Future Orders'!$B309, "1")</f>
        <v>0</v>
      </c>
      <c r="V309" s="159">
        <f>SUMIFS('Future Orders'!$F309, 'Future Orders'!$D309, "2", 'Future Orders'!$C309, "A", 'Future Orders'!$B309, "2")</f>
        <v>0</v>
      </c>
      <c r="W309" s="157">
        <f>SUMIFS('Future Orders'!$I309, 'Future Orders'!$D309, "2", 'Future Orders'!$C309, "A", 'Future Orders'!$B309, "2")</f>
        <v>0</v>
      </c>
      <c r="X309" s="159">
        <f>SUMIFS('Future Orders'!$F309, 'Future Orders'!$D309, "2", 'Future Orders'!$C309, "B", 'Future Orders'!$B309, "2")</f>
        <v>0</v>
      </c>
      <c r="Y309" s="159">
        <f>SUMIFS('Future Orders'!$I309, 'Future Orders'!$D309, "2", 'Future Orders'!$C309, "B", 'Future Orders'!$B309, "2")</f>
        <v>0</v>
      </c>
      <c r="Z309" s="159">
        <f>SUMIFS('Future Orders'!$F309, 'Future Orders'!$D309, "3", 'Future Orders'!$C309, "A", 'Future Orders'!$B309, "1")</f>
        <v>0</v>
      </c>
      <c r="AA309" s="159">
        <f>SUMIFS('Future Orders'!$I309, 'Future Orders'!$D309, "3", 'Future Orders'!$C309, "A", 'Future Orders'!$B309, "1")</f>
        <v>0</v>
      </c>
      <c r="AB309" s="159">
        <f>SUMIFS('Future Orders'!$F309, 'Future Orders'!$D309, "3", 'Future Orders'!$C309, "B", 'Future Orders'!$B309, "1")</f>
        <v>0</v>
      </c>
      <c r="AC309" s="159">
        <f>SUMIFS('Future Orders'!$I309, 'Future Orders'!$D309, "3", 'Future Orders'!$C309, "B", 'Future Orders'!$B309, "1")</f>
        <v>0</v>
      </c>
      <c r="AD309" s="159">
        <f>SUMIFS('Future Orders'!$F309, 'Future Orders'!$D309, "3", 'Future Orders'!$C309, "A", 'Future Orders'!$B309, "2")</f>
        <v>0</v>
      </c>
      <c r="AE309" s="159">
        <f>SUMIFS('Future Orders'!$I309, 'Future Orders'!$D309, "3", 'Future Orders'!$C309, "A", 'Future Orders'!$B309, "2")</f>
        <v>0</v>
      </c>
      <c r="AF309" s="159">
        <f>SUMIFS('Future Orders'!$F309, 'Future Orders'!$D309, "3", 'Future Orders'!$C309, "B", 'Future Orders'!$B309, "2")</f>
        <v>0</v>
      </c>
      <c r="AG309" s="157">
        <f>SUMIFS('Future Orders'!$I309, 'Future Orders'!$D309, "3", 'Future Orders'!$C309, "B", 'Future Orders'!$B309, "2")</f>
        <v>0</v>
      </c>
      <c r="AH309" s="157">
        <f>SUMIFS('Future Orders'!$F309, 'Future Orders'!$D309, "4", 'Future Orders'!$C309, "A", 'Future Orders'!$B309, "1")</f>
        <v>0</v>
      </c>
      <c r="AI309" s="157">
        <f>SUMIFS('Future Orders'!$I309, 'Future Orders'!$D309, "4", 'Future Orders'!$C309, "A", 'Future Orders'!$B309, "1")</f>
        <v>0</v>
      </c>
      <c r="AJ309" s="157">
        <f>SUMIFS('Future Orders'!$F309, 'Future Orders'!$D309, "4", 'Future Orders'!$C309, "B", 'Future Orders'!$B309, "1")</f>
        <v>0</v>
      </c>
      <c r="AK309" s="157">
        <f>SUMIFS('Future Orders'!$I309, 'Future Orders'!$D309, "4", 'Future Orders'!$C309, "B", 'Future Orders'!$B309, "1")</f>
        <v>0</v>
      </c>
      <c r="AL309" s="157">
        <f>SUMIFS('Future Orders'!$F309, 'Future Orders'!$D309, "4", 'Future Orders'!$C309, "A", 'Future Orders'!$B309, "2")</f>
        <v>0</v>
      </c>
      <c r="AM309" s="157">
        <f>SUMIFS('Future Orders'!$I309, 'Future Orders'!$D309, "4", 'Future Orders'!$C309, "A", 'Future Orders'!$B309, "2")</f>
        <v>0</v>
      </c>
      <c r="AN309" s="171">
        <f>SUMIFS('Future Orders'!$F309, 'Future Orders'!$D309, "4", 'Future Orders'!$C309, "B", 'Future Orders'!$B309, "2")</f>
        <v>0</v>
      </c>
      <c r="AO309" s="171">
        <f>SUMIFS('Future Orders'!$I309, 'Future Orders'!$D309, "4", 'Future Orders'!$C309, "B", 'Future Orders'!$B309, "2")</f>
        <v>0</v>
      </c>
      <c r="AP309" s="171">
        <f>SUMIFS('Future Orders'!$H309, 'Future Orders'!$C309, "A", 'Future Orders'!$B309, "1")</f>
        <v>7387.2</v>
      </c>
      <c r="AQ309" s="171">
        <f>SUMIFS('Future Orders'!$I309, 'Future Orders'!$C309, "B", 'Future Orders'!$B309, "1")</f>
        <v>0</v>
      </c>
      <c r="AR309" s="171">
        <f>SUMIFS('Future Orders'!$H309, 'Future Orders'!$C309, "A", 'Future Orders'!$B309, "2")</f>
        <v>0</v>
      </c>
      <c r="AS309" s="171">
        <f>SUMIFS('Future Orders'!$I309, 'Future Orders'!$C309, "B", 'Future Orders'!$B309, "2")</f>
        <v>0</v>
      </c>
      <c r="AT309" s="145"/>
      <c r="AU309" s="172"/>
      <c r="AV309" s="172"/>
      <c r="AW309" s="172"/>
      <c r="AX309" s="172"/>
      <c r="AY309" s="172"/>
      <c r="AZ309" s="172"/>
      <c r="BA309" s="172"/>
      <c r="BB309" s="172"/>
      <c r="BC309" s="172"/>
      <c r="BD309" s="172"/>
      <c r="BE309" s="172"/>
      <c r="BF309" s="172"/>
      <c r="BG309" s="172"/>
      <c r="BH309" s="172"/>
      <c r="BI309" s="172"/>
      <c r="BJ309" s="172"/>
      <c r="BK309" s="172"/>
      <c r="BL309" s="172"/>
      <c r="BM309" s="172"/>
      <c r="BN309" s="172"/>
      <c r="BO309" s="172"/>
      <c r="BP309" s="172"/>
      <c r="BQ309" s="172"/>
      <c r="BR309" s="172"/>
      <c r="BS309" s="172"/>
      <c r="BT309" s="172"/>
      <c r="BU309" s="172"/>
      <c r="BV309" s="172"/>
      <c r="BW309" s="172"/>
      <c r="BX309" s="172"/>
      <c r="BY309" s="172"/>
      <c r="BZ309" s="172"/>
      <c r="CA309" s="179"/>
      <c r="CB309" s="179"/>
      <c r="CC309" s="179"/>
      <c r="CD309" s="179"/>
      <c r="CE309" s="179"/>
      <c r="CF309" s="179"/>
      <c r="CG309" s="179"/>
      <c r="CH309" s="179"/>
      <c r="CI309" s="179"/>
      <c r="CJ309" s="179"/>
      <c r="CK309" s="179"/>
      <c r="CL309" s="179"/>
      <c r="CM309" s="179"/>
      <c r="CN309" s="179"/>
      <c r="CO309" s="179"/>
      <c r="CP309" s="179"/>
    </row>
    <row r="310" ht="15.75" customHeight="1">
      <c r="A310" s="151">
        <v>42212.0</v>
      </c>
      <c r="B310" s="152">
        <v>2.0</v>
      </c>
      <c r="C310" s="152" t="s">
        <v>45</v>
      </c>
      <c r="D310" s="152">
        <v>1.0</v>
      </c>
      <c r="E310" s="153">
        <v>3924.0</v>
      </c>
      <c r="F310" s="153">
        <f>SUM(('Future Orders'!$E310) * (1.1))</f>
        <v>4316.4</v>
      </c>
      <c r="G310" s="154">
        <v>2.2</v>
      </c>
      <c r="H310" s="155">
        <v>8632.800000000001</v>
      </c>
      <c r="I310" s="155">
        <f>SUM(('Future Orders'!$H310) * (1.1))</f>
        <v>9496.08</v>
      </c>
      <c r="J310" s="159">
        <f>SUMIFS('Future Orders'!$F310, 'Future Orders'!$D310, "1", 'Future Orders'!$C310, "A", 'Future Orders'!$B310, "1")</f>
        <v>0</v>
      </c>
      <c r="K310" s="157">
        <f>SUMIFS('Future Orders'!$I310, 'Future Orders'!$D310, "1", 'Future Orders'!$C310, "A", 'Future Orders'!$B310, "1")</f>
        <v>0</v>
      </c>
      <c r="L310" s="157">
        <f>SUMIFS('Future Orders'!$F310, 'Future Orders'!$D310, "1", 'Future Orders'!$C310, "B", 'Future Orders'!$B310, "1")</f>
        <v>0</v>
      </c>
      <c r="M310" s="157">
        <f>SUMIFS('Future Orders'!$I310, 'Future Orders'!$D310, "1", 'Future Orders'!$C310, "B", 'Future Orders'!$B310, "1")</f>
        <v>0</v>
      </c>
      <c r="N310" s="159">
        <f>SUMIFS('Future Orders'!$F310, 'Future Orders'!$D310, "1", 'Future Orders'!$C310, "A", 'Future Orders'!$B310, "2")</f>
        <v>4316.4</v>
      </c>
      <c r="O310" s="157">
        <f>SUMIFS('Future Orders'!$I310, 'Future Orders'!$D310, "1", 'Future Orders'!$C310, "A", 'Future Orders'!$B310, "2")</f>
        <v>9496.08</v>
      </c>
      <c r="P310" s="157">
        <f>SUMIFS('Future Orders'!$E310, 'Future Orders'!$D310, "1", 'Future Orders'!$C310, "B", 'Future Orders'!$B310, "2")</f>
        <v>0</v>
      </c>
      <c r="Q310" s="157">
        <f>SUMIFS('Future Orders'!$I310, 'Future Orders'!$D310, "1", 'Future Orders'!$C310, "B", 'Future Orders'!$B310, "2")</f>
        <v>0</v>
      </c>
      <c r="R310" s="159">
        <f>SUMIFS('Future Orders'!$F310, 'Future Orders'!$D310, "2", 'Future Orders'!$C310, "A", 'Future Orders'!$B310, "1")</f>
        <v>0</v>
      </c>
      <c r="S310" s="157">
        <f>SUMIFS('Future Orders'!$I310, 'Future Orders'!$D310, "2", 'Future Orders'!$C310, "A", 'Future Orders'!$B310, "1")</f>
        <v>0</v>
      </c>
      <c r="T310" s="159">
        <f>SUMIFS('Future Orders'!$F310, 'Future Orders'!$D310, "2", 'Future Orders'!$C310, "B", 'Future Orders'!$B310, "1")</f>
        <v>0</v>
      </c>
      <c r="U310" s="157">
        <f>SUMIFS('Future Orders'!$I310, 'Future Orders'!$D310, "2", 'Future Orders'!$C310, "B", 'Future Orders'!$B310, "1")</f>
        <v>0</v>
      </c>
      <c r="V310" s="159">
        <f>SUMIFS('Future Orders'!$F310, 'Future Orders'!$D310, "2", 'Future Orders'!$C310, "A", 'Future Orders'!$B310, "2")</f>
        <v>0</v>
      </c>
      <c r="W310" s="157">
        <f>SUMIFS('Future Orders'!$I310, 'Future Orders'!$D310, "2", 'Future Orders'!$C310, "A", 'Future Orders'!$B310, "2")</f>
        <v>0</v>
      </c>
      <c r="X310" s="159">
        <f>SUMIFS('Future Orders'!$F310, 'Future Orders'!$D310, "2", 'Future Orders'!$C310, "B", 'Future Orders'!$B310, "2")</f>
        <v>0</v>
      </c>
      <c r="Y310" s="159">
        <f>SUMIFS('Future Orders'!$I310, 'Future Orders'!$D310, "2", 'Future Orders'!$C310, "B", 'Future Orders'!$B310, "2")</f>
        <v>0</v>
      </c>
      <c r="Z310" s="159">
        <f>SUMIFS('Future Orders'!$F310, 'Future Orders'!$D310, "3", 'Future Orders'!$C310, "A", 'Future Orders'!$B310, "1")</f>
        <v>0</v>
      </c>
      <c r="AA310" s="159">
        <f>SUMIFS('Future Orders'!$I310, 'Future Orders'!$D310, "3", 'Future Orders'!$C310, "A", 'Future Orders'!$B310, "1")</f>
        <v>0</v>
      </c>
      <c r="AB310" s="159">
        <f>SUMIFS('Future Orders'!$F310, 'Future Orders'!$D310, "3", 'Future Orders'!$C310, "B", 'Future Orders'!$B310, "1")</f>
        <v>0</v>
      </c>
      <c r="AC310" s="159">
        <f>SUMIFS('Future Orders'!$I310, 'Future Orders'!$D310, "3", 'Future Orders'!$C310, "B", 'Future Orders'!$B310, "1")</f>
        <v>0</v>
      </c>
      <c r="AD310" s="159">
        <f>SUMIFS('Future Orders'!$F310, 'Future Orders'!$D310, "3", 'Future Orders'!$C310, "A", 'Future Orders'!$B310, "2")</f>
        <v>0</v>
      </c>
      <c r="AE310" s="159">
        <f>SUMIFS('Future Orders'!$I310, 'Future Orders'!$D310, "3", 'Future Orders'!$C310, "A", 'Future Orders'!$B310, "2")</f>
        <v>0</v>
      </c>
      <c r="AF310" s="159">
        <f>SUMIFS('Future Orders'!$F310, 'Future Orders'!$D310, "3", 'Future Orders'!$C310, "B", 'Future Orders'!$B310, "2")</f>
        <v>0</v>
      </c>
      <c r="AG310" s="157">
        <f>SUMIFS('Future Orders'!$I310, 'Future Orders'!$D310, "3", 'Future Orders'!$C310, "B", 'Future Orders'!$B310, "2")</f>
        <v>0</v>
      </c>
      <c r="AH310" s="157">
        <f>SUMIFS('Future Orders'!$F310, 'Future Orders'!$D310, "4", 'Future Orders'!$C310, "A", 'Future Orders'!$B310, "1")</f>
        <v>0</v>
      </c>
      <c r="AI310" s="157">
        <f>SUMIFS('Future Orders'!$I310, 'Future Orders'!$D310, "4", 'Future Orders'!$C310, "A", 'Future Orders'!$B310, "1")</f>
        <v>0</v>
      </c>
      <c r="AJ310" s="157">
        <f>SUMIFS('Future Orders'!$F310, 'Future Orders'!$D310, "4", 'Future Orders'!$C310, "B", 'Future Orders'!$B310, "1")</f>
        <v>0</v>
      </c>
      <c r="AK310" s="157">
        <f>SUMIFS('Future Orders'!$I310, 'Future Orders'!$D310, "4", 'Future Orders'!$C310, "B", 'Future Orders'!$B310, "1")</f>
        <v>0</v>
      </c>
      <c r="AL310" s="157">
        <f>SUMIFS('Future Orders'!$F310, 'Future Orders'!$D310, "4", 'Future Orders'!$C310, "A", 'Future Orders'!$B310, "2")</f>
        <v>0</v>
      </c>
      <c r="AM310" s="157">
        <f>SUMIFS('Future Orders'!$I310, 'Future Orders'!$D310, "4", 'Future Orders'!$C310, "A", 'Future Orders'!$B310, "2")</f>
        <v>0</v>
      </c>
      <c r="AN310" s="171">
        <f>SUMIFS('Future Orders'!$F310, 'Future Orders'!$D310, "4", 'Future Orders'!$C310, "B", 'Future Orders'!$B310, "2")</f>
        <v>0</v>
      </c>
      <c r="AO310" s="171">
        <f>SUMIFS('Future Orders'!$I310, 'Future Orders'!$D310, "4", 'Future Orders'!$C310, "B", 'Future Orders'!$B310, "2")</f>
        <v>0</v>
      </c>
      <c r="AP310" s="171">
        <f>SUMIFS('Future Orders'!$H310, 'Future Orders'!$C310, "A", 'Future Orders'!$B310, "1")</f>
        <v>0</v>
      </c>
      <c r="AQ310" s="171">
        <f>SUMIFS('Future Orders'!$I310, 'Future Orders'!$C310, "B", 'Future Orders'!$B310, "1")</f>
        <v>0</v>
      </c>
      <c r="AR310" s="171">
        <f>SUMIFS('Future Orders'!$H310, 'Future Orders'!$C310, "A", 'Future Orders'!$B310, "2")</f>
        <v>8632.8</v>
      </c>
      <c r="AS310" s="171">
        <f>SUMIFS('Future Orders'!$I310, 'Future Orders'!$C310, "B", 'Future Orders'!$B310, "2")</f>
        <v>0</v>
      </c>
      <c r="AT310" s="145"/>
      <c r="AU310" s="172"/>
      <c r="AV310" s="172"/>
      <c r="AW310" s="172"/>
      <c r="AX310" s="172"/>
      <c r="AY310" s="172"/>
      <c r="AZ310" s="172"/>
      <c r="BA310" s="172"/>
      <c r="BB310" s="172"/>
      <c r="BC310" s="172"/>
      <c r="BD310" s="172"/>
      <c r="BE310" s="172"/>
      <c r="BF310" s="172"/>
      <c r="BG310" s="172"/>
      <c r="BH310" s="172"/>
      <c r="BI310" s="172"/>
      <c r="BJ310" s="172"/>
      <c r="BK310" s="172"/>
      <c r="BL310" s="172"/>
      <c r="BM310" s="172"/>
      <c r="BN310" s="172"/>
      <c r="BO310" s="172"/>
      <c r="BP310" s="172"/>
      <c r="BQ310" s="172"/>
      <c r="BR310" s="172"/>
      <c r="BS310" s="172"/>
      <c r="BT310" s="172"/>
      <c r="BU310" s="172"/>
      <c r="BV310" s="172"/>
      <c r="BW310" s="172"/>
      <c r="BX310" s="172"/>
      <c r="BY310" s="172"/>
      <c r="BZ310" s="172"/>
      <c r="CA310" s="179"/>
      <c r="CB310" s="179"/>
      <c r="CC310" s="179"/>
      <c r="CD310" s="179"/>
      <c r="CE310" s="179"/>
      <c r="CF310" s="179"/>
      <c r="CG310" s="179"/>
      <c r="CH310" s="179"/>
      <c r="CI310" s="179"/>
      <c r="CJ310" s="179"/>
      <c r="CK310" s="179"/>
      <c r="CL310" s="179"/>
      <c r="CM310" s="179"/>
      <c r="CN310" s="179"/>
      <c r="CO310" s="179"/>
      <c r="CP310" s="179"/>
    </row>
    <row r="311" ht="15.75" customHeight="1">
      <c r="A311" s="151">
        <v>42212.0</v>
      </c>
      <c r="B311" s="152">
        <v>2.0</v>
      </c>
      <c r="C311" s="152" t="s">
        <v>45</v>
      </c>
      <c r="D311" s="152">
        <v>2.0</v>
      </c>
      <c r="E311" s="153">
        <v>7368.0</v>
      </c>
      <c r="F311" s="153">
        <f>SUM(('Future Orders'!$E311) * (1.1))</f>
        <v>8104.8</v>
      </c>
      <c r="G311" s="154">
        <v>1.2</v>
      </c>
      <c r="H311" s="155">
        <v>8841.6</v>
      </c>
      <c r="I311" s="155">
        <f>SUM(('Future Orders'!$H311) * (1.1))</f>
        <v>9725.76</v>
      </c>
      <c r="J311" s="159">
        <f>SUMIFS('Future Orders'!$F311, 'Future Orders'!$D311, "1", 'Future Orders'!$C311, "A", 'Future Orders'!$B311, "1")</f>
        <v>0</v>
      </c>
      <c r="K311" s="157">
        <f>SUMIFS('Future Orders'!$I311, 'Future Orders'!$D311, "1", 'Future Orders'!$C311, "A", 'Future Orders'!$B311, "1")</f>
        <v>0</v>
      </c>
      <c r="L311" s="157">
        <f>SUMIFS('Future Orders'!$F311, 'Future Orders'!$D311, "1", 'Future Orders'!$C311, "B", 'Future Orders'!$B311, "1")</f>
        <v>0</v>
      </c>
      <c r="M311" s="157">
        <f>SUMIFS('Future Orders'!$I311, 'Future Orders'!$D311, "1", 'Future Orders'!$C311, "B", 'Future Orders'!$B311, "1")</f>
        <v>0</v>
      </c>
      <c r="N311" s="159">
        <f>SUMIFS('Future Orders'!$F311, 'Future Orders'!$D311, "1", 'Future Orders'!$C311, "A", 'Future Orders'!$B311, "2")</f>
        <v>0</v>
      </c>
      <c r="O311" s="157">
        <f>SUMIFS('Future Orders'!$I311, 'Future Orders'!$D311, "1", 'Future Orders'!$C311, "A", 'Future Orders'!$B311, "2")</f>
        <v>0</v>
      </c>
      <c r="P311" s="157">
        <f>SUMIFS('Future Orders'!$E311, 'Future Orders'!$D311, "1", 'Future Orders'!$C311, "B", 'Future Orders'!$B311, "2")</f>
        <v>0</v>
      </c>
      <c r="Q311" s="157">
        <f>SUMIFS('Future Orders'!$I311, 'Future Orders'!$D311, "1", 'Future Orders'!$C311, "B", 'Future Orders'!$B311, "2")</f>
        <v>0</v>
      </c>
      <c r="R311" s="159">
        <f>SUMIFS('Future Orders'!$F311, 'Future Orders'!$D311, "2", 'Future Orders'!$C311, "A", 'Future Orders'!$B311, "1")</f>
        <v>0</v>
      </c>
      <c r="S311" s="157">
        <f>SUMIFS('Future Orders'!$I311, 'Future Orders'!$D311, "2", 'Future Orders'!$C311, "A", 'Future Orders'!$B311, "1")</f>
        <v>0</v>
      </c>
      <c r="T311" s="159">
        <f>SUMIFS('Future Orders'!$F311, 'Future Orders'!$D311, "2", 'Future Orders'!$C311, "B", 'Future Orders'!$B311, "1")</f>
        <v>0</v>
      </c>
      <c r="U311" s="157">
        <f>SUMIFS('Future Orders'!$I311, 'Future Orders'!$D311, "2", 'Future Orders'!$C311, "B", 'Future Orders'!$B311, "1")</f>
        <v>0</v>
      </c>
      <c r="V311" s="159">
        <f>SUMIFS('Future Orders'!$F311, 'Future Orders'!$D311, "2", 'Future Orders'!$C311, "A", 'Future Orders'!$B311, "2")</f>
        <v>8104.8</v>
      </c>
      <c r="W311" s="157">
        <f>SUMIFS('Future Orders'!$I311, 'Future Orders'!$D311, "2", 'Future Orders'!$C311, "A", 'Future Orders'!$B311, "2")</f>
        <v>9725.76</v>
      </c>
      <c r="X311" s="159">
        <f>SUMIFS('Future Orders'!$F311, 'Future Orders'!$D311, "2", 'Future Orders'!$C311, "B", 'Future Orders'!$B311, "2")</f>
        <v>0</v>
      </c>
      <c r="Y311" s="159">
        <f>SUMIFS('Future Orders'!$I311, 'Future Orders'!$D311, "2", 'Future Orders'!$C311, "B", 'Future Orders'!$B311, "2")</f>
        <v>0</v>
      </c>
      <c r="Z311" s="159">
        <f>SUMIFS('Future Orders'!$F311, 'Future Orders'!$D311, "3", 'Future Orders'!$C311, "A", 'Future Orders'!$B311, "1")</f>
        <v>0</v>
      </c>
      <c r="AA311" s="159">
        <f>SUMIFS('Future Orders'!$I311, 'Future Orders'!$D311, "3", 'Future Orders'!$C311, "A", 'Future Orders'!$B311, "1")</f>
        <v>0</v>
      </c>
      <c r="AB311" s="159">
        <f>SUMIFS('Future Orders'!$F311, 'Future Orders'!$D311, "3", 'Future Orders'!$C311, "B", 'Future Orders'!$B311, "1")</f>
        <v>0</v>
      </c>
      <c r="AC311" s="159">
        <f>SUMIFS('Future Orders'!$I311, 'Future Orders'!$D311, "3", 'Future Orders'!$C311, "B", 'Future Orders'!$B311, "1")</f>
        <v>0</v>
      </c>
      <c r="AD311" s="159">
        <f>SUMIFS('Future Orders'!$F311, 'Future Orders'!$D311, "3", 'Future Orders'!$C311, "A", 'Future Orders'!$B311, "2")</f>
        <v>0</v>
      </c>
      <c r="AE311" s="159">
        <f>SUMIFS('Future Orders'!$I311, 'Future Orders'!$D311, "3", 'Future Orders'!$C311, "A", 'Future Orders'!$B311, "2")</f>
        <v>0</v>
      </c>
      <c r="AF311" s="159">
        <f>SUMIFS('Future Orders'!$F311, 'Future Orders'!$D311, "3", 'Future Orders'!$C311, "B", 'Future Orders'!$B311, "2")</f>
        <v>0</v>
      </c>
      <c r="AG311" s="157">
        <f>SUMIFS('Future Orders'!$I311, 'Future Orders'!$D311, "3", 'Future Orders'!$C311, "B", 'Future Orders'!$B311, "2")</f>
        <v>0</v>
      </c>
      <c r="AH311" s="157">
        <f>SUMIFS('Future Orders'!$F311, 'Future Orders'!$D311, "4", 'Future Orders'!$C311, "A", 'Future Orders'!$B311, "1")</f>
        <v>0</v>
      </c>
      <c r="AI311" s="157">
        <f>SUMIFS('Future Orders'!$I311, 'Future Orders'!$D311, "4", 'Future Orders'!$C311, "A", 'Future Orders'!$B311, "1")</f>
        <v>0</v>
      </c>
      <c r="AJ311" s="157">
        <f>SUMIFS('Future Orders'!$F311, 'Future Orders'!$D311, "4", 'Future Orders'!$C311, "B", 'Future Orders'!$B311, "1")</f>
        <v>0</v>
      </c>
      <c r="AK311" s="157">
        <f>SUMIFS('Future Orders'!$I311, 'Future Orders'!$D311, "4", 'Future Orders'!$C311, "B", 'Future Orders'!$B311, "1")</f>
        <v>0</v>
      </c>
      <c r="AL311" s="157">
        <f>SUMIFS('Future Orders'!$F311, 'Future Orders'!$D311, "4", 'Future Orders'!$C311, "A", 'Future Orders'!$B311, "2")</f>
        <v>0</v>
      </c>
      <c r="AM311" s="157">
        <f>SUMIFS('Future Orders'!$I311, 'Future Orders'!$D311, "4", 'Future Orders'!$C311, "A", 'Future Orders'!$B311, "2")</f>
        <v>0</v>
      </c>
      <c r="AN311" s="171">
        <f>SUMIFS('Future Orders'!$F311, 'Future Orders'!$D311, "4", 'Future Orders'!$C311, "B", 'Future Orders'!$B311, "2")</f>
        <v>0</v>
      </c>
      <c r="AO311" s="171">
        <f>SUMIFS('Future Orders'!$I311, 'Future Orders'!$D311, "4", 'Future Orders'!$C311, "B", 'Future Orders'!$B311, "2")</f>
        <v>0</v>
      </c>
      <c r="AP311" s="171">
        <f>SUMIFS('Future Orders'!$H311, 'Future Orders'!$C311, "A", 'Future Orders'!$B311, "1")</f>
        <v>0</v>
      </c>
      <c r="AQ311" s="171">
        <f>SUMIFS('Future Orders'!$I311, 'Future Orders'!$C311, "B", 'Future Orders'!$B311, "1")</f>
        <v>0</v>
      </c>
      <c r="AR311" s="171">
        <f>SUMIFS('Future Orders'!$H311, 'Future Orders'!$C311, "A", 'Future Orders'!$B311, "2")</f>
        <v>8841.6</v>
      </c>
      <c r="AS311" s="171">
        <f>SUMIFS('Future Orders'!$I311, 'Future Orders'!$C311, "B", 'Future Orders'!$B311, "2")</f>
        <v>0</v>
      </c>
      <c r="AT311" s="145"/>
      <c r="AU311" s="172"/>
      <c r="AV311" s="172"/>
      <c r="AW311" s="172"/>
      <c r="AX311" s="172"/>
      <c r="AY311" s="172"/>
      <c r="AZ311" s="172"/>
      <c r="BA311" s="172"/>
      <c r="BB311" s="172"/>
      <c r="BC311" s="172"/>
      <c r="BD311" s="172"/>
      <c r="BE311" s="172"/>
      <c r="BF311" s="172"/>
      <c r="BG311" s="172"/>
      <c r="BH311" s="172"/>
      <c r="BI311" s="172"/>
      <c r="BJ311" s="172"/>
      <c r="BK311" s="172"/>
      <c r="BL311" s="172"/>
      <c r="BM311" s="172"/>
      <c r="BN311" s="172"/>
      <c r="BO311" s="172"/>
      <c r="BP311" s="172"/>
      <c r="BQ311" s="172"/>
      <c r="BR311" s="172"/>
      <c r="BS311" s="172"/>
      <c r="BT311" s="172"/>
      <c r="BU311" s="172"/>
      <c r="BV311" s="172"/>
      <c r="BW311" s="172"/>
      <c r="BX311" s="172"/>
      <c r="BY311" s="172"/>
      <c r="BZ311" s="172"/>
      <c r="CA311" s="179"/>
      <c r="CB311" s="179"/>
      <c r="CC311" s="179"/>
      <c r="CD311" s="179"/>
      <c r="CE311" s="179"/>
      <c r="CF311" s="179"/>
      <c r="CG311" s="179"/>
      <c r="CH311" s="179"/>
      <c r="CI311" s="179"/>
      <c r="CJ311" s="179"/>
      <c r="CK311" s="179"/>
      <c r="CL311" s="179"/>
      <c r="CM311" s="179"/>
      <c r="CN311" s="179"/>
      <c r="CO311" s="179"/>
      <c r="CP311" s="179"/>
    </row>
    <row r="312" ht="15.75" customHeight="1">
      <c r="A312" s="151">
        <v>42212.0</v>
      </c>
      <c r="B312" s="152">
        <v>1.0</v>
      </c>
      <c r="C312" s="152" t="s">
        <v>46</v>
      </c>
      <c r="D312" s="152">
        <v>3.0</v>
      </c>
      <c r="E312" s="153">
        <v>2517.0</v>
      </c>
      <c r="F312" s="153">
        <f>SUM(('Future Orders'!$E312) * (1.1))</f>
        <v>2768.7</v>
      </c>
      <c r="G312" s="154">
        <v>8.3</v>
      </c>
      <c r="H312" s="155">
        <v>20891.100000000002</v>
      </c>
      <c r="I312" s="155">
        <f>SUM(('Future Orders'!$H312) * (1.1))</f>
        <v>22980.21</v>
      </c>
      <c r="J312" s="159">
        <f>SUMIFS('Future Orders'!$F312, 'Future Orders'!$D312, "1", 'Future Orders'!$C312, "A", 'Future Orders'!$B312, "1")</f>
        <v>0</v>
      </c>
      <c r="K312" s="157">
        <f>SUMIFS('Future Orders'!$I312, 'Future Orders'!$D312, "1", 'Future Orders'!$C312, "A", 'Future Orders'!$B312, "1")</f>
        <v>0</v>
      </c>
      <c r="L312" s="157">
        <f>SUMIFS('Future Orders'!$F312, 'Future Orders'!$D312, "1", 'Future Orders'!$C312, "B", 'Future Orders'!$B312, "1")</f>
        <v>0</v>
      </c>
      <c r="M312" s="157">
        <f>SUMIFS('Future Orders'!$I312, 'Future Orders'!$D312, "1", 'Future Orders'!$C312, "B", 'Future Orders'!$B312, "1")</f>
        <v>0</v>
      </c>
      <c r="N312" s="159">
        <f>SUMIFS('Future Orders'!$F312, 'Future Orders'!$D312, "1", 'Future Orders'!$C312, "A", 'Future Orders'!$B312, "2")</f>
        <v>0</v>
      </c>
      <c r="O312" s="157">
        <f>SUMIFS('Future Orders'!$I312, 'Future Orders'!$D312, "1", 'Future Orders'!$C312, "A", 'Future Orders'!$B312, "2")</f>
        <v>0</v>
      </c>
      <c r="P312" s="157">
        <f>SUMIFS('Future Orders'!$E312, 'Future Orders'!$D312, "1", 'Future Orders'!$C312, "B", 'Future Orders'!$B312, "2")</f>
        <v>0</v>
      </c>
      <c r="Q312" s="157">
        <f>SUMIFS('Future Orders'!$I312, 'Future Orders'!$D312, "1", 'Future Orders'!$C312, "B", 'Future Orders'!$B312, "2")</f>
        <v>0</v>
      </c>
      <c r="R312" s="159">
        <f>SUMIFS('Future Orders'!$F312, 'Future Orders'!$D312, "2", 'Future Orders'!$C312, "A", 'Future Orders'!$B312, "1")</f>
        <v>0</v>
      </c>
      <c r="S312" s="157">
        <f>SUMIFS('Future Orders'!$I312, 'Future Orders'!$D312, "2", 'Future Orders'!$C312, "A", 'Future Orders'!$B312, "1")</f>
        <v>0</v>
      </c>
      <c r="T312" s="159">
        <f>SUMIFS('Future Orders'!$F312, 'Future Orders'!$D312, "2", 'Future Orders'!$C312, "B", 'Future Orders'!$B312, "1")</f>
        <v>0</v>
      </c>
      <c r="U312" s="157">
        <f>SUMIFS('Future Orders'!$I312, 'Future Orders'!$D312, "2", 'Future Orders'!$C312, "B", 'Future Orders'!$B312, "1")</f>
        <v>0</v>
      </c>
      <c r="V312" s="159">
        <f>SUMIFS('Future Orders'!$F312, 'Future Orders'!$D312, "2", 'Future Orders'!$C312, "A", 'Future Orders'!$B312, "2")</f>
        <v>0</v>
      </c>
      <c r="W312" s="157">
        <f>SUMIFS('Future Orders'!$I312, 'Future Orders'!$D312, "2", 'Future Orders'!$C312, "A", 'Future Orders'!$B312, "2")</f>
        <v>0</v>
      </c>
      <c r="X312" s="159">
        <f>SUMIFS('Future Orders'!$F312, 'Future Orders'!$D312, "2", 'Future Orders'!$C312, "B", 'Future Orders'!$B312, "2")</f>
        <v>0</v>
      </c>
      <c r="Y312" s="159">
        <f>SUMIFS('Future Orders'!$I312, 'Future Orders'!$D312, "2", 'Future Orders'!$C312, "B", 'Future Orders'!$B312, "2")</f>
        <v>0</v>
      </c>
      <c r="Z312" s="159">
        <f>SUMIFS('Future Orders'!$F312, 'Future Orders'!$D312, "3", 'Future Orders'!$C312, "A", 'Future Orders'!$B312, "1")</f>
        <v>0</v>
      </c>
      <c r="AA312" s="159">
        <f>SUMIFS('Future Orders'!$I312, 'Future Orders'!$D312, "3", 'Future Orders'!$C312, "A", 'Future Orders'!$B312, "1")</f>
        <v>0</v>
      </c>
      <c r="AB312" s="159">
        <f>SUMIFS('Future Orders'!$F312, 'Future Orders'!$D312, "3", 'Future Orders'!$C312, "B", 'Future Orders'!$B312, "1")</f>
        <v>2768.7</v>
      </c>
      <c r="AC312" s="159">
        <f>SUMIFS('Future Orders'!$I312, 'Future Orders'!$D312, "3", 'Future Orders'!$C312, "B", 'Future Orders'!$B312, "1")</f>
        <v>22980.21</v>
      </c>
      <c r="AD312" s="159">
        <f>SUMIFS('Future Orders'!$F312, 'Future Orders'!$D312, "3", 'Future Orders'!$C312, "A", 'Future Orders'!$B312, "2")</f>
        <v>0</v>
      </c>
      <c r="AE312" s="159">
        <f>SUMIFS('Future Orders'!$I312, 'Future Orders'!$D312, "3", 'Future Orders'!$C312, "A", 'Future Orders'!$B312, "2")</f>
        <v>0</v>
      </c>
      <c r="AF312" s="159">
        <f>SUMIFS('Future Orders'!$F312, 'Future Orders'!$D312, "3", 'Future Orders'!$C312, "B", 'Future Orders'!$B312, "2")</f>
        <v>0</v>
      </c>
      <c r="AG312" s="157">
        <f>SUMIFS('Future Orders'!$I312, 'Future Orders'!$D312, "3", 'Future Orders'!$C312, "B", 'Future Orders'!$B312, "2")</f>
        <v>0</v>
      </c>
      <c r="AH312" s="157">
        <f>SUMIFS('Future Orders'!$F312, 'Future Orders'!$D312, "4", 'Future Orders'!$C312, "A", 'Future Orders'!$B312, "1")</f>
        <v>0</v>
      </c>
      <c r="AI312" s="157">
        <f>SUMIFS('Future Orders'!$I312, 'Future Orders'!$D312, "4", 'Future Orders'!$C312, "A", 'Future Orders'!$B312, "1")</f>
        <v>0</v>
      </c>
      <c r="AJ312" s="157">
        <f>SUMIFS('Future Orders'!$F312, 'Future Orders'!$D312, "4", 'Future Orders'!$C312, "B", 'Future Orders'!$B312, "1")</f>
        <v>0</v>
      </c>
      <c r="AK312" s="157">
        <f>SUMIFS('Future Orders'!$I312, 'Future Orders'!$D312, "4", 'Future Orders'!$C312, "B", 'Future Orders'!$B312, "1")</f>
        <v>0</v>
      </c>
      <c r="AL312" s="157">
        <f>SUMIFS('Future Orders'!$F312, 'Future Orders'!$D312, "4", 'Future Orders'!$C312, "A", 'Future Orders'!$B312, "2")</f>
        <v>0</v>
      </c>
      <c r="AM312" s="157">
        <f>SUMIFS('Future Orders'!$I312, 'Future Orders'!$D312, "4", 'Future Orders'!$C312, "A", 'Future Orders'!$B312, "2")</f>
        <v>0</v>
      </c>
      <c r="AN312" s="171">
        <f>SUMIFS('Future Orders'!$F312, 'Future Orders'!$D312, "4", 'Future Orders'!$C312, "B", 'Future Orders'!$B312, "2")</f>
        <v>0</v>
      </c>
      <c r="AO312" s="171">
        <f>SUMIFS('Future Orders'!$I312, 'Future Orders'!$D312, "4", 'Future Orders'!$C312, "B", 'Future Orders'!$B312, "2")</f>
        <v>0</v>
      </c>
      <c r="AP312" s="171">
        <f>SUMIFS('Future Orders'!$H312, 'Future Orders'!$C312, "A", 'Future Orders'!$B312, "1")</f>
        <v>0</v>
      </c>
      <c r="AQ312" s="171">
        <f>SUMIFS('Future Orders'!$I312, 'Future Orders'!$C312, "B", 'Future Orders'!$B312, "1")</f>
        <v>22980.21</v>
      </c>
      <c r="AR312" s="171">
        <f>SUMIFS('Future Orders'!$H312, 'Future Orders'!$C312, "A", 'Future Orders'!$B312, "2")</f>
        <v>0</v>
      </c>
      <c r="AS312" s="171">
        <f>SUMIFS('Future Orders'!$I312, 'Future Orders'!$C312, "B", 'Future Orders'!$B312, "2")</f>
        <v>0</v>
      </c>
      <c r="AT312" s="145"/>
      <c r="AU312" s="172"/>
      <c r="AV312" s="172"/>
      <c r="AW312" s="172"/>
      <c r="AX312" s="172"/>
      <c r="AY312" s="172"/>
      <c r="AZ312" s="172"/>
      <c r="BA312" s="172"/>
      <c r="BB312" s="172"/>
      <c r="BC312" s="172"/>
      <c r="BD312" s="172"/>
      <c r="BE312" s="172"/>
      <c r="BF312" s="172"/>
      <c r="BG312" s="172"/>
      <c r="BH312" s="172"/>
      <c r="BI312" s="172"/>
      <c r="BJ312" s="172"/>
      <c r="BK312" s="172"/>
      <c r="BL312" s="172"/>
      <c r="BM312" s="172"/>
      <c r="BN312" s="172"/>
      <c r="BO312" s="172"/>
      <c r="BP312" s="172"/>
      <c r="BQ312" s="172"/>
      <c r="BR312" s="172"/>
      <c r="BS312" s="172"/>
      <c r="BT312" s="172"/>
      <c r="BU312" s="172"/>
      <c r="BV312" s="172"/>
      <c r="BW312" s="172"/>
      <c r="BX312" s="172"/>
      <c r="BY312" s="172"/>
      <c r="BZ312" s="172"/>
      <c r="CA312" s="179"/>
      <c r="CB312" s="179"/>
      <c r="CC312" s="179"/>
      <c r="CD312" s="179"/>
      <c r="CE312" s="179"/>
      <c r="CF312" s="179"/>
      <c r="CG312" s="179"/>
      <c r="CH312" s="179"/>
      <c r="CI312" s="179"/>
      <c r="CJ312" s="179"/>
      <c r="CK312" s="179"/>
      <c r="CL312" s="179"/>
      <c r="CM312" s="179"/>
      <c r="CN312" s="179"/>
      <c r="CO312" s="179"/>
      <c r="CP312" s="179"/>
    </row>
    <row r="313" ht="15.75" customHeight="1">
      <c r="A313" s="151">
        <v>42212.0</v>
      </c>
      <c r="B313" s="152">
        <v>2.0</v>
      </c>
      <c r="C313" s="152" t="s">
        <v>46</v>
      </c>
      <c r="D313" s="152">
        <v>3.0</v>
      </c>
      <c r="E313" s="153">
        <v>2888.0</v>
      </c>
      <c r="F313" s="153">
        <f>SUM(('Future Orders'!$E313) * (1.1))</f>
        <v>3176.8</v>
      </c>
      <c r="G313" s="154">
        <v>8.3</v>
      </c>
      <c r="H313" s="155">
        <v>23970.4</v>
      </c>
      <c r="I313" s="155">
        <f>SUM(('Future Orders'!$H313) * (1.1))</f>
        <v>26367.44</v>
      </c>
      <c r="J313" s="159">
        <f>SUMIFS('Future Orders'!$F313, 'Future Orders'!$D313, "1", 'Future Orders'!$C313, "A", 'Future Orders'!$B313, "1")</f>
        <v>0</v>
      </c>
      <c r="K313" s="157">
        <f>SUMIFS('Future Orders'!$I313, 'Future Orders'!$D313, "1", 'Future Orders'!$C313, "A", 'Future Orders'!$B313, "1")</f>
        <v>0</v>
      </c>
      <c r="L313" s="157">
        <f>SUMIFS('Future Orders'!$F313, 'Future Orders'!$D313, "1", 'Future Orders'!$C313, "B", 'Future Orders'!$B313, "1")</f>
        <v>0</v>
      </c>
      <c r="M313" s="157">
        <f>SUMIFS('Future Orders'!$I313, 'Future Orders'!$D313, "1", 'Future Orders'!$C313, "B", 'Future Orders'!$B313, "1")</f>
        <v>0</v>
      </c>
      <c r="N313" s="159">
        <f>SUMIFS('Future Orders'!$F313, 'Future Orders'!$D313, "1", 'Future Orders'!$C313, "A", 'Future Orders'!$B313, "2")</f>
        <v>0</v>
      </c>
      <c r="O313" s="157">
        <f>SUMIFS('Future Orders'!$I313, 'Future Orders'!$D313, "1", 'Future Orders'!$C313, "A", 'Future Orders'!$B313, "2")</f>
        <v>0</v>
      </c>
      <c r="P313" s="157">
        <f>SUMIFS('Future Orders'!$E313, 'Future Orders'!$D313, "1", 'Future Orders'!$C313, "B", 'Future Orders'!$B313, "2")</f>
        <v>0</v>
      </c>
      <c r="Q313" s="157">
        <f>SUMIFS('Future Orders'!$I313, 'Future Orders'!$D313, "1", 'Future Orders'!$C313, "B", 'Future Orders'!$B313, "2")</f>
        <v>0</v>
      </c>
      <c r="R313" s="159">
        <f>SUMIFS('Future Orders'!$F313, 'Future Orders'!$D313, "2", 'Future Orders'!$C313, "A", 'Future Orders'!$B313, "1")</f>
        <v>0</v>
      </c>
      <c r="S313" s="157">
        <f>SUMIFS('Future Orders'!$I313, 'Future Orders'!$D313, "2", 'Future Orders'!$C313, "A", 'Future Orders'!$B313, "1")</f>
        <v>0</v>
      </c>
      <c r="T313" s="159">
        <f>SUMIFS('Future Orders'!$F313, 'Future Orders'!$D313, "2", 'Future Orders'!$C313, "B", 'Future Orders'!$B313, "1")</f>
        <v>0</v>
      </c>
      <c r="U313" s="157">
        <f>SUMIFS('Future Orders'!$I313, 'Future Orders'!$D313, "2", 'Future Orders'!$C313, "B", 'Future Orders'!$B313, "1")</f>
        <v>0</v>
      </c>
      <c r="V313" s="159">
        <f>SUMIFS('Future Orders'!$F313, 'Future Orders'!$D313, "2", 'Future Orders'!$C313, "A", 'Future Orders'!$B313, "2")</f>
        <v>0</v>
      </c>
      <c r="W313" s="157">
        <f>SUMIFS('Future Orders'!$I313, 'Future Orders'!$D313, "2", 'Future Orders'!$C313, "A", 'Future Orders'!$B313, "2")</f>
        <v>0</v>
      </c>
      <c r="X313" s="159">
        <f>SUMIFS('Future Orders'!$F313, 'Future Orders'!$D313, "2", 'Future Orders'!$C313, "B", 'Future Orders'!$B313, "2")</f>
        <v>0</v>
      </c>
      <c r="Y313" s="159">
        <f>SUMIFS('Future Orders'!$I313, 'Future Orders'!$D313, "2", 'Future Orders'!$C313, "B", 'Future Orders'!$B313, "2")</f>
        <v>0</v>
      </c>
      <c r="Z313" s="159">
        <f>SUMIFS('Future Orders'!$F313, 'Future Orders'!$D313, "3", 'Future Orders'!$C313, "A", 'Future Orders'!$B313, "1")</f>
        <v>0</v>
      </c>
      <c r="AA313" s="159">
        <f>SUMIFS('Future Orders'!$I313, 'Future Orders'!$D313, "3", 'Future Orders'!$C313, "A", 'Future Orders'!$B313, "1")</f>
        <v>0</v>
      </c>
      <c r="AB313" s="159">
        <f>SUMIFS('Future Orders'!$F313, 'Future Orders'!$D313, "3", 'Future Orders'!$C313, "B", 'Future Orders'!$B313, "1")</f>
        <v>0</v>
      </c>
      <c r="AC313" s="159">
        <f>SUMIFS('Future Orders'!$I313, 'Future Orders'!$D313, "3", 'Future Orders'!$C313, "B", 'Future Orders'!$B313, "1")</f>
        <v>0</v>
      </c>
      <c r="AD313" s="159">
        <f>SUMIFS('Future Orders'!$F313, 'Future Orders'!$D313, "3", 'Future Orders'!$C313, "A", 'Future Orders'!$B313, "2")</f>
        <v>0</v>
      </c>
      <c r="AE313" s="159">
        <f>SUMIFS('Future Orders'!$I313, 'Future Orders'!$D313, "3", 'Future Orders'!$C313, "A", 'Future Orders'!$B313, "2")</f>
        <v>0</v>
      </c>
      <c r="AF313" s="159">
        <f>SUMIFS('Future Orders'!$F313, 'Future Orders'!$D313, "3", 'Future Orders'!$C313, "B", 'Future Orders'!$B313, "2")</f>
        <v>3176.8</v>
      </c>
      <c r="AG313" s="157">
        <f>SUMIFS('Future Orders'!$I313, 'Future Orders'!$D313, "3", 'Future Orders'!$C313, "B", 'Future Orders'!$B313, "2")</f>
        <v>26367.44</v>
      </c>
      <c r="AH313" s="157">
        <f>SUMIFS('Future Orders'!$F313, 'Future Orders'!$D313, "4", 'Future Orders'!$C313, "A", 'Future Orders'!$B313, "1")</f>
        <v>0</v>
      </c>
      <c r="AI313" s="157">
        <f>SUMIFS('Future Orders'!$I313, 'Future Orders'!$D313, "4", 'Future Orders'!$C313, "A", 'Future Orders'!$B313, "1")</f>
        <v>0</v>
      </c>
      <c r="AJ313" s="157">
        <f>SUMIFS('Future Orders'!$F313, 'Future Orders'!$D313, "4", 'Future Orders'!$C313, "B", 'Future Orders'!$B313, "1")</f>
        <v>0</v>
      </c>
      <c r="AK313" s="157">
        <f>SUMIFS('Future Orders'!$I313, 'Future Orders'!$D313, "4", 'Future Orders'!$C313, "B", 'Future Orders'!$B313, "1")</f>
        <v>0</v>
      </c>
      <c r="AL313" s="157">
        <f>SUMIFS('Future Orders'!$F313, 'Future Orders'!$D313, "4", 'Future Orders'!$C313, "A", 'Future Orders'!$B313, "2")</f>
        <v>0</v>
      </c>
      <c r="AM313" s="157">
        <f>SUMIFS('Future Orders'!$I313, 'Future Orders'!$D313, "4", 'Future Orders'!$C313, "A", 'Future Orders'!$B313, "2")</f>
        <v>0</v>
      </c>
      <c r="AN313" s="171">
        <f>SUMIFS('Future Orders'!$F313, 'Future Orders'!$D313, "4", 'Future Orders'!$C313, "B", 'Future Orders'!$B313, "2")</f>
        <v>0</v>
      </c>
      <c r="AO313" s="171">
        <f>SUMIFS('Future Orders'!$I313, 'Future Orders'!$D313, "4", 'Future Orders'!$C313, "B", 'Future Orders'!$B313, "2")</f>
        <v>0</v>
      </c>
      <c r="AP313" s="171">
        <f>SUMIFS('Future Orders'!$H313, 'Future Orders'!$C313, "A", 'Future Orders'!$B313, "1")</f>
        <v>0</v>
      </c>
      <c r="AQ313" s="171">
        <f>SUMIFS('Future Orders'!$I313, 'Future Orders'!$C313, "B", 'Future Orders'!$B313, "1")</f>
        <v>0</v>
      </c>
      <c r="AR313" s="171">
        <f>SUMIFS('Future Orders'!$H313, 'Future Orders'!$C313, "A", 'Future Orders'!$B313, "2")</f>
        <v>0</v>
      </c>
      <c r="AS313" s="171">
        <f>SUMIFS('Future Orders'!$I313, 'Future Orders'!$C313, "B", 'Future Orders'!$B313, "2")</f>
        <v>26367.44</v>
      </c>
      <c r="AT313" s="145"/>
      <c r="AU313" s="172"/>
      <c r="AV313" s="172"/>
      <c r="AW313" s="172"/>
      <c r="AX313" s="172"/>
      <c r="AY313" s="172"/>
      <c r="AZ313" s="172"/>
      <c r="BA313" s="172"/>
      <c r="BB313" s="172"/>
      <c r="BC313" s="172"/>
      <c r="BD313" s="172"/>
      <c r="BE313" s="172"/>
      <c r="BF313" s="172"/>
      <c r="BG313" s="172"/>
      <c r="BH313" s="172"/>
      <c r="BI313" s="172"/>
      <c r="BJ313" s="172"/>
      <c r="BK313" s="172"/>
      <c r="BL313" s="172"/>
      <c r="BM313" s="172"/>
      <c r="BN313" s="172"/>
      <c r="BO313" s="172"/>
      <c r="BP313" s="172"/>
      <c r="BQ313" s="172"/>
      <c r="BR313" s="172"/>
      <c r="BS313" s="172"/>
      <c r="BT313" s="172"/>
      <c r="BU313" s="172"/>
      <c r="BV313" s="172"/>
      <c r="BW313" s="172"/>
      <c r="BX313" s="172"/>
      <c r="BY313" s="172"/>
      <c r="BZ313" s="172"/>
      <c r="CA313" s="179"/>
      <c r="CB313" s="179"/>
      <c r="CC313" s="179"/>
      <c r="CD313" s="179"/>
      <c r="CE313" s="179"/>
      <c r="CF313" s="179"/>
      <c r="CG313" s="179"/>
      <c r="CH313" s="179"/>
      <c r="CI313" s="179"/>
      <c r="CJ313" s="179"/>
      <c r="CK313" s="179"/>
      <c r="CL313" s="179"/>
      <c r="CM313" s="179"/>
      <c r="CN313" s="179"/>
      <c r="CO313" s="179"/>
      <c r="CP313" s="179"/>
    </row>
    <row r="314" ht="15.75" customHeight="1">
      <c r="A314" s="180" t="s">
        <v>7</v>
      </c>
      <c r="B314" s="154"/>
      <c r="C314" s="154"/>
      <c r="D314" s="154"/>
      <c r="E314" s="181">
        <f>SUBTOTAL(109,'Future Orders'!$E$2:$E$313)</f>
        <v>1259788</v>
      </c>
      <c r="F314" s="181"/>
      <c r="G314" s="181">
        <f>SUBTOTAL(109,'Future Orders'!$G$2:$G$313)</f>
        <v>1216.8</v>
      </c>
      <c r="H314" s="181">
        <f>SUBTOTAL(109,'Future Orders'!$H$2:$H$313)</f>
        <v>3659475.3</v>
      </c>
      <c r="I314" s="181"/>
      <c r="J314" s="182">
        <f>SUBTOTAL(109,'Future Orders'!$J$2:$J$313)</f>
        <v>258463.7</v>
      </c>
      <c r="K314" s="182">
        <f>SUBTOTAL(109,'Future Orders'!$K$2:$K$313)</f>
        <v>568620.14</v>
      </c>
      <c r="L314" s="182">
        <f>SUBTOTAL(109,'Future Orders'!$L$2:$L$313)</f>
        <v>0</v>
      </c>
      <c r="M314" s="182">
        <f>SUBTOTAL(109,'Future Orders'!$M$2:$M$313)</f>
        <v>0</v>
      </c>
      <c r="N314" s="182">
        <f>SUBTOTAL(109,'Future Orders'!$N$2:$N$313)</f>
        <v>193267.8</v>
      </c>
      <c r="O314" s="182">
        <f>SUBTOTAL(109,'Future Orders'!$O$2:$O$313)</f>
        <v>425189.16</v>
      </c>
      <c r="P314" s="182">
        <f>SUBTOTAL(109,'Future Orders'!$P$2:$P$313)</f>
        <v>0</v>
      </c>
      <c r="Q314" s="182">
        <f>SUBTOTAL(109,'Future Orders'!$Q$2:$Q$313)</f>
        <v>0</v>
      </c>
      <c r="R314" s="182">
        <f>SUBTOTAL(109,'Future Orders'!$R$2:$R$313)</f>
        <v>325146.8</v>
      </c>
      <c r="S314" s="182">
        <f>SUBTOTAL(109,'Future Orders'!$S$2:$S$313)</f>
        <v>390176.16</v>
      </c>
      <c r="T314" s="182">
        <f>SUBTOTAL(109,'Future Orders'!$T$2:$T$313)</f>
        <v>0</v>
      </c>
      <c r="U314" s="182">
        <f>SUBTOTAL(109,'Future Orders'!$U$2:$U$313)</f>
        <v>0</v>
      </c>
      <c r="V314" s="182">
        <f>SUBTOTAL(109,'Future Orders'!$V$2:$V$313)</f>
        <v>339765.8</v>
      </c>
      <c r="W314" s="182">
        <f>SUBTOTAL(109,'Future Orders'!$W$2:$W$313)</f>
        <v>407718.96</v>
      </c>
      <c r="X314" s="182">
        <f>SUBTOTAL(109,'Future Orders'!$X$2:$X$313)</f>
        <v>0</v>
      </c>
      <c r="Y314" s="182">
        <f>SUBTOTAL(109,'Future Orders'!$Y$2:$Y$313)</f>
        <v>0</v>
      </c>
      <c r="Z314" s="182">
        <f>SUBTOTAL(109,'Future Orders'!$Z$2:$Z$313)</f>
        <v>0</v>
      </c>
      <c r="AA314" s="182">
        <f>SUBTOTAL(109,'Future Orders'!$AA$2:$AA$313)</f>
        <v>0</v>
      </c>
      <c r="AB314" s="182">
        <f>SUBTOTAL(109,'Future Orders'!$AB$2:$AB$313)</f>
        <v>119804.3</v>
      </c>
      <c r="AC314" s="182">
        <f>SUBTOTAL(109,'Future Orders'!$AC$2:$AC$313)</f>
        <v>994375.69</v>
      </c>
      <c r="AD314" s="182">
        <f>SUBTOTAL(109,'Future Orders'!$AD$2:$AD$313)</f>
        <v>0</v>
      </c>
      <c r="AE314" s="182">
        <f>SUBTOTAL(109,'Future Orders'!$AE$2:$AE$313)</f>
        <v>0</v>
      </c>
      <c r="AF314" s="182">
        <f>SUBTOTAL(109,'Future Orders'!$AF$2:$AF$313)</f>
        <v>149318.4</v>
      </c>
      <c r="AG314" s="182">
        <f>SUBTOTAL(109,'Future Orders'!$AG$2:$AG$313)</f>
        <v>1239342.72</v>
      </c>
      <c r="AH314" s="182">
        <f>SUBTOTAL(109,'Future Orders'!$AH$2:$AH$313)</f>
        <v>0</v>
      </c>
      <c r="AI314" s="182">
        <f>SUBTOTAL(109,'Future Orders'!$AI$2:$AI$313)</f>
        <v>0</v>
      </c>
      <c r="AJ314" s="182">
        <f>SUBTOTAL(109,'Future Orders'!$AJ$2:$AJ$313)</f>
        <v>0</v>
      </c>
      <c r="AK314" s="182">
        <f>SUBTOTAL(109,'Future Orders'!$AK$2:$AK$313)</f>
        <v>0</v>
      </c>
      <c r="AL314" s="182">
        <f>SUBTOTAL(109,'Future Orders'!$AL$2:$AL$313)</f>
        <v>0</v>
      </c>
      <c r="AM314" s="182">
        <f>SUBTOTAL(109,'Future Orders'!$AM$2:$AM$313)</f>
        <v>0</v>
      </c>
      <c r="AN314" s="182">
        <f>SUBTOTAL(109,'Future Orders'!$AN$2:$AN$313)</f>
        <v>0</v>
      </c>
      <c r="AO314" s="182"/>
      <c r="AP314" s="182"/>
      <c r="AQ314" s="182"/>
      <c r="AR314" s="182"/>
      <c r="AS314" s="182">
        <f>SUBTOTAL(109,'Future Orders'!$AS$2:$AS$313)</f>
        <v>1239342.72</v>
      </c>
      <c r="AV314" s="172"/>
      <c r="AX314" s="172"/>
      <c r="AY314" s="172"/>
      <c r="AZ314" s="172"/>
      <c r="BA314" s="172"/>
      <c r="BB314" s="172"/>
      <c r="BC314" s="172"/>
      <c r="BD314" s="172"/>
      <c r="BE314" s="172"/>
      <c r="BF314" s="172"/>
      <c r="BG314" s="172"/>
      <c r="BH314" s="172"/>
      <c r="BI314" s="172"/>
      <c r="BJ314" s="172"/>
      <c r="BK314" s="172"/>
      <c r="BL314" s="172"/>
      <c r="BM314" s="172"/>
      <c r="BN314" s="172"/>
      <c r="BO314" s="172"/>
      <c r="BP314" s="172"/>
      <c r="BQ314" s="172"/>
      <c r="BR314" s="172"/>
      <c r="BS314" s="172"/>
      <c r="BT314" s="172"/>
      <c r="BU314" s="172"/>
      <c r="BV314" s="172"/>
      <c r="BW314" s="172"/>
      <c r="BX314" s="172"/>
      <c r="BY314" s="172"/>
      <c r="BZ314" s="172"/>
      <c r="CA314" s="179"/>
      <c r="CB314" s="179"/>
      <c r="CC314" s="179"/>
      <c r="CD314" s="179"/>
      <c r="CE314" s="179"/>
      <c r="CF314" s="179"/>
      <c r="CG314" s="179"/>
      <c r="CH314" s="179"/>
      <c r="CI314" s="179"/>
      <c r="CJ314" s="179"/>
      <c r="CK314" s="179"/>
      <c r="CL314" s="179"/>
      <c r="CM314" s="179"/>
      <c r="CN314" s="179"/>
      <c r="CO314" s="179"/>
      <c r="CP314" s="179"/>
    </row>
    <row r="315" ht="15.75" customHeight="1">
      <c r="A315" s="183"/>
      <c r="E315" s="172"/>
      <c r="F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  <c r="BW315" s="40"/>
      <c r="BX315" s="40"/>
      <c r="BY315" s="40"/>
    </row>
    <row r="316" ht="15.75" customHeight="1">
      <c r="A316" s="183"/>
      <c r="E316" s="172"/>
      <c r="F316" s="172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  <c r="BW316" s="40"/>
      <c r="BX316" s="40"/>
      <c r="BY316" s="40"/>
    </row>
    <row r="317" ht="15.75" customHeight="1">
      <c r="A317" s="183"/>
      <c r="E317" s="172"/>
      <c r="F317" s="172"/>
      <c r="H317" s="172"/>
      <c r="I317" s="172"/>
      <c r="J317" s="172">
        <f>'Future Orders'!$J$314+'Future Orders'!$L$314+'Future Orders'!$N$314+'Future Orders'!$P$314</f>
        <v>451731.5</v>
      </c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  <c r="BW317" s="40"/>
      <c r="BX317" s="40"/>
      <c r="BY317" s="40"/>
    </row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44.86"/>
    <col customWidth="1" min="3" max="3" width="45.0"/>
    <col customWidth="1" min="4" max="6" width="44.86"/>
    <col customWidth="1" min="7" max="26" width="8.71"/>
  </cols>
  <sheetData>
    <row r="1">
      <c r="A1" s="143" t="s">
        <v>151</v>
      </c>
      <c r="B1" s="143" t="s">
        <v>152</v>
      </c>
    </row>
    <row r="2">
      <c r="A2" s="79">
        <v>1775610.9000000004</v>
      </c>
      <c r="B2" s="79">
        <v>1883864.4000000006</v>
      </c>
    </row>
    <row r="19">
      <c r="A19" s="143" t="s">
        <v>153</v>
      </c>
      <c r="B19" s="143" t="s">
        <v>154</v>
      </c>
      <c r="C19" s="143" t="s">
        <v>155</v>
      </c>
      <c r="D19" s="143" t="s">
        <v>156</v>
      </c>
    </row>
    <row r="20">
      <c r="A20" s="79">
        <v>871633.0</v>
      </c>
      <c r="B20" s="79">
        <v>903977.8999999999</v>
      </c>
      <c r="C20" s="79">
        <v>757189.2000000001</v>
      </c>
      <c r="D20" s="79">
        <v>1126675.2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143" t="s">
        <v>151</v>
      </c>
      <c r="B34" s="143" t="s">
        <v>152</v>
      </c>
    </row>
    <row r="35" ht="15.75" customHeight="1">
      <c r="A35" s="79">
        <v>1953171.990000001</v>
      </c>
      <c r="B35" s="79">
        <v>2072250.84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A52" s="143" t="s">
        <v>153</v>
      </c>
      <c r="B52" s="143" t="s">
        <v>154</v>
      </c>
      <c r="C52" s="143" t="s">
        <v>155</v>
      </c>
      <c r="D52" s="143" t="s">
        <v>156</v>
      </c>
    </row>
    <row r="53" ht="15.75" customHeight="1">
      <c r="A53" s="79">
        <v>1527416.4400000004</v>
      </c>
      <c r="B53" s="79">
        <v>994375.6899999998</v>
      </c>
      <c r="C53" s="79">
        <v>1258097.28</v>
      </c>
      <c r="D53" s="79">
        <v>1239342.72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A69" s="143" t="s">
        <v>157</v>
      </c>
      <c r="B69" s="143" t="s">
        <v>158</v>
      </c>
      <c r="C69" s="143" t="s">
        <v>159</v>
      </c>
      <c r="D69" s="143" t="s">
        <v>160</v>
      </c>
    </row>
    <row r="70" ht="15.75" customHeight="1">
      <c r="A70" s="79">
        <v>1791704.42</v>
      </c>
      <c r="B70" s="79">
        <v>1419564.8499999999</v>
      </c>
      <c r="C70" s="79">
        <v>2928944.7</v>
      </c>
      <c r="D70" s="79">
        <v>2413940.54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18.86"/>
    <col customWidth="1" min="2" max="2" width="11.71"/>
    <col customWidth="1" min="3" max="3" width="13.0"/>
    <col customWidth="1" min="4" max="5" width="13.57"/>
    <col customWidth="1" min="6" max="6" width="3.57"/>
    <col customWidth="1" min="7" max="7" width="18.0"/>
    <col customWidth="1" min="8" max="8" width="3.57" outlineLevel="1"/>
    <col customWidth="1" min="9" max="14" width="17.0" outlineLevel="1"/>
    <col customWidth="1" min="15" max="15" width="3.57" outlineLevel="1"/>
    <col customWidth="1" min="16" max="17" width="17.0" outlineLevel="1"/>
    <col customWidth="1" min="18" max="18" width="3.57" outlineLevel="1"/>
    <col customWidth="1" min="19" max="22" width="14.29" outlineLevel="1"/>
    <col customWidth="1" min="23" max="23" width="3.57"/>
    <col customWidth="1" min="24" max="24" width="9.0"/>
    <col customWidth="1" min="25" max="25" width="14.29"/>
    <col customWidth="1" min="26" max="26" width="16.29"/>
    <col customWidth="1" min="27" max="27" width="10.57"/>
  </cols>
  <sheetData>
    <row r="1">
      <c r="A1" s="41" t="s">
        <v>161</v>
      </c>
      <c r="B1" s="41" t="s">
        <v>42</v>
      </c>
      <c r="C1" s="41" t="s">
        <v>41</v>
      </c>
      <c r="D1" s="41" t="s">
        <v>17</v>
      </c>
      <c r="E1" s="41"/>
      <c r="F1" s="41"/>
      <c r="G1" s="41" t="s">
        <v>161</v>
      </c>
      <c r="H1" s="186"/>
      <c r="I1" s="187" t="s">
        <v>161</v>
      </c>
      <c r="J1" s="187" t="s">
        <v>162</v>
      </c>
      <c r="K1" s="187" t="s">
        <v>163</v>
      </c>
      <c r="L1" s="187" t="s">
        <v>164</v>
      </c>
      <c r="M1" s="187" t="s">
        <v>165</v>
      </c>
      <c r="N1" s="187" t="s">
        <v>166</v>
      </c>
      <c r="O1" s="188" t="s">
        <v>167</v>
      </c>
      <c r="P1" s="187" t="s">
        <v>168</v>
      </c>
      <c r="Q1" s="187" t="s">
        <v>169</v>
      </c>
      <c r="R1" s="188" t="s">
        <v>170</v>
      </c>
      <c r="S1" s="187" t="s">
        <v>132</v>
      </c>
      <c r="T1" s="187" t="s">
        <v>133</v>
      </c>
      <c r="U1" s="187" t="s">
        <v>134</v>
      </c>
      <c r="V1" s="187" t="s">
        <v>135</v>
      </c>
      <c r="W1" s="186"/>
      <c r="X1" s="189"/>
      <c r="AA1" s="189"/>
    </row>
    <row r="2">
      <c r="A2" s="190">
        <v>41855.0</v>
      </c>
      <c r="B2" s="191">
        <v>1.0</v>
      </c>
      <c r="C2" s="191" t="s">
        <v>45</v>
      </c>
      <c r="D2" s="192">
        <v>15550.8</v>
      </c>
      <c r="E2" s="193"/>
      <c r="F2" s="186"/>
      <c r="G2" s="161">
        <f t="array" ref="G2:G53">UNIQUE('Historical Shipments'!$A$2:$A$209)</f>
        <v>41855</v>
      </c>
      <c r="H2" s="186"/>
      <c r="I2" s="194">
        <f t="shared" ref="I2:I53" si="1">G2</f>
        <v>41855</v>
      </c>
      <c r="J2" s="195">
        <f t="shared" ref="J2:J53" si="2">SUMIFS(D:D, A:A, G2)</f>
        <v>66414.2</v>
      </c>
      <c r="K2" s="195">
        <f t="shared" ref="K2:K53" si="3">SUMIFS(D:D, A:A, G2,  C:C, "A", B:B, "1")</f>
        <v>15550.8</v>
      </c>
      <c r="L2" s="195">
        <f t="shared" ref="L2:L53" si="4">SUMIFS(D:D, A:A, G2,  C:C, "A", B:B, "2")</f>
        <v>14127.6</v>
      </c>
      <c r="M2" s="195">
        <f t="shared" ref="M2:M53" si="5">SUMIFS(D:D, A:A, G2,  C:C, "B", B:B, "1")</f>
        <v>15687</v>
      </c>
      <c r="N2" s="195">
        <f t="shared" ref="N2:N53" si="6">SUMIFS(D:D, A:A, G2,  C:C, "B", B:B, "2")</f>
        <v>21048.8</v>
      </c>
      <c r="O2" s="188"/>
      <c r="P2" s="195">
        <f>SUM('Historical Shipments'!$K2:$L2)</f>
        <v>29678.4</v>
      </c>
      <c r="Q2" s="195">
        <f>SUM('Historical Shipments'!$M2:$N2)</f>
        <v>36735.8</v>
      </c>
      <c r="R2" s="188"/>
      <c r="S2" s="196">
        <f t="shared" ref="S2:S53" si="7">COUNTIFS(A:A, G2, B:B, "1")</f>
        <v>2</v>
      </c>
      <c r="T2" s="196">
        <f t="shared" ref="T2:T53" si="8">COUNTIFS(A:A, G2, B:B, "2")</f>
        <v>2</v>
      </c>
      <c r="U2" s="196">
        <f t="shared" ref="U2:U53" si="9">COUNTIFS(A:A, G2, C:C, "A")</f>
        <v>2</v>
      </c>
      <c r="V2" s="196">
        <f t="shared" ref="V2:V53" si="10">COUNTIFS(A:A, G2, C:C, "B")</f>
        <v>2</v>
      </c>
      <c r="W2" s="186"/>
      <c r="X2" s="172"/>
    </row>
    <row r="3">
      <c r="A3" s="190">
        <v>41855.0</v>
      </c>
      <c r="B3" s="191">
        <v>1.0</v>
      </c>
      <c r="C3" s="191" t="s">
        <v>46</v>
      </c>
      <c r="D3" s="192">
        <v>15687.000000000002</v>
      </c>
      <c r="E3" s="193"/>
      <c r="F3" s="186"/>
      <c r="G3" s="161">
        <v>41862.0</v>
      </c>
      <c r="H3" s="186"/>
      <c r="I3" s="194">
        <f t="shared" si="1"/>
        <v>41862</v>
      </c>
      <c r="J3" s="195">
        <f t="shared" si="2"/>
        <v>61001.8</v>
      </c>
      <c r="K3" s="195">
        <f t="shared" si="3"/>
        <v>16671.2</v>
      </c>
      <c r="L3" s="195">
        <f t="shared" si="4"/>
        <v>13172.4</v>
      </c>
      <c r="M3" s="195">
        <f t="shared" si="5"/>
        <v>14425.4</v>
      </c>
      <c r="N3" s="195">
        <f t="shared" si="6"/>
        <v>16732.8</v>
      </c>
      <c r="O3" s="188"/>
      <c r="P3" s="195">
        <f>SUM('Historical Shipments'!$K3:$L3)</f>
        <v>29843.6</v>
      </c>
      <c r="Q3" s="195">
        <f>SUM('Historical Shipments'!$M3:$N3)</f>
        <v>31158.2</v>
      </c>
      <c r="R3" s="188"/>
      <c r="S3" s="196">
        <f t="shared" si="7"/>
        <v>2</v>
      </c>
      <c r="T3" s="196">
        <f t="shared" si="8"/>
        <v>2</v>
      </c>
      <c r="U3" s="196">
        <f t="shared" si="9"/>
        <v>2</v>
      </c>
      <c r="V3" s="196">
        <f t="shared" si="10"/>
        <v>2</v>
      </c>
      <c r="W3" s="186"/>
      <c r="X3" s="172"/>
    </row>
    <row r="4">
      <c r="A4" s="190">
        <v>41855.0</v>
      </c>
      <c r="B4" s="191">
        <v>2.0</v>
      </c>
      <c r="C4" s="191" t="s">
        <v>45</v>
      </c>
      <c r="D4" s="192">
        <v>14127.6</v>
      </c>
      <c r="E4" s="193"/>
      <c r="F4" s="186"/>
      <c r="G4" s="161">
        <v>41869.0</v>
      </c>
      <c r="H4" s="186"/>
      <c r="I4" s="194">
        <f t="shared" si="1"/>
        <v>41869</v>
      </c>
      <c r="J4" s="195">
        <f t="shared" si="2"/>
        <v>61979.9</v>
      </c>
      <c r="K4" s="195">
        <f t="shared" si="3"/>
        <v>15800</v>
      </c>
      <c r="L4" s="195">
        <f t="shared" si="4"/>
        <v>11660.2</v>
      </c>
      <c r="M4" s="195">
        <f t="shared" si="5"/>
        <v>14790.6</v>
      </c>
      <c r="N4" s="195">
        <f t="shared" si="6"/>
        <v>19729.1</v>
      </c>
      <c r="O4" s="188"/>
      <c r="P4" s="195">
        <f>SUM('Historical Shipments'!$K4:$L4)</f>
        <v>27460.2</v>
      </c>
      <c r="Q4" s="195">
        <f>SUM('Historical Shipments'!$M4:$N4)</f>
        <v>34519.7</v>
      </c>
      <c r="R4" s="188"/>
      <c r="S4" s="196">
        <f t="shared" si="7"/>
        <v>2</v>
      </c>
      <c r="T4" s="196">
        <f t="shared" si="8"/>
        <v>2</v>
      </c>
      <c r="U4" s="196">
        <f t="shared" si="9"/>
        <v>2</v>
      </c>
      <c r="V4" s="196">
        <f t="shared" si="10"/>
        <v>2</v>
      </c>
      <c r="W4" s="186"/>
      <c r="X4" s="172"/>
    </row>
    <row r="5">
      <c r="A5" s="190">
        <v>41855.0</v>
      </c>
      <c r="B5" s="191">
        <v>2.0</v>
      </c>
      <c r="C5" s="191" t="s">
        <v>46</v>
      </c>
      <c r="D5" s="192">
        <v>21048.800000000003</v>
      </c>
      <c r="E5" s="193"/>
      <c r="F5" s="186"/>
      <c r="G5" s="161">
        <v>41876.0</v>
      </c>
      <c r="H5" s="186"/>
      <c r="I5" s="194">
        <f t="shared" si="1"/>
        <v>41876</v>
      </c>
      <c r="J5" s="195">
        <f t="shared" si="2"/>
        <v>75671.8</v>
      </c>
      <c r="K5" s="195">
        <f t="shared" si="3"/>
        <v>14934.6</v>
      </c>
      <c r="L5" s="195">
        <f t="shared" si="4"/>
        <v>11269.2</v>
      </c>
      <c r="M5" s="195">
        <f t="shared" si="5"/>
        <v>20774.9</v>
      </c>
      <c r="N5" s="195">
        <f t="shared" si="6"/>
        <v>28693.1</v>
      </c>
      <c r="O5" s="188"/>
      <c r="P5" s="195">
        <f>SUM('Historical Shipments'!$K5:$L5)</f>
        <v>26203.8</v>
      </c>
      <c r="Q5" s="195">
        <f>SUM('Historical Shipments'!$M5:$N5)</f>
        <v>49468</v>
      </c>
      <c r="R5" s="188"/>
      <c r="S5" s="196">
        <f t="shared" si="7"/>
        <v>2</v>
      </c>
      <c r="T5" s="196">
        <f t="shared" si="8"/>
        <v>2</v>
      </c>
      <c r="U5" s="196">
        <f t="shared" si="9"/>
        <v>2</v>
      </c>
      <c r="V5" s="196">
        <f t="shared" si="10"/>
        <v>2</v>
      </c>
      <c r="W5" s="186"/>
      <c r="X5" s="172"/>
    </row>
    <row r="6">
      <c r="A6" s="190">
        <v>41862.0</v>
      </c>
      <c r="B6" s="191">
        <v>1.0</v>
      </c>
      <c r="C6" s="191" t="s">
        <v>45</v>
      </c>
      <c r="D6" s="192">
        <v>16671.2</v>
      </c>
      <c r="E6" s="193"/>
      <c r="F6" s="186"/>
      <c r="G6" s="161">
        <v>41883.0</v>
      </c>
      <c r="H6" s="186"/>
      <c r="I6" s="194">
        <f t="shared" si="1"/>
        <v>41883</v>
      </c>
      <c r="J6" s="195">
        <f t="shared" si="2"/>
        <v>62495.7</v>
      </c>
      <c r="K6" s="195">
        <f t="shared" si="3"/>
        <v>15082.4</v>
      </c>
      <c r="L6" s="195">
        <f t="shared" si="4"/>
        <v>14437.4</v>
      </c>
      <c r="M6" s="195">
        <f t="shared" si="5"/>
        <v>16151.8</v>
      </c>
      <c r="N6" s="195">
        <f t="shared" si="6"/>
        <v>16824.1</v>
      </c>
      <c r="O6" s="188"/>
      <c r="P6" s="195">
        <f>SUM('Historical Shipments'!$K6:$L6)</f>
        <v>29519.8</v>
      </c>
      <c r="Q6" s="195">
        <f>SUM('Historical Shipments'!$M6:$N6)</f>
        <v>32975.9</v>
      </c>
      <c r="R6" s="188"/>
      <c r="S6" s="196">
        <f t="shared" si="7"/>
        <v>2</v>
      </c>
      <c r="T6" s="196">
        <f t="shared" si="8"/>
        <v>2</v>
      </c>
      <c r="U6" s="196">
        <f t="shared" si="9"/>
        <v>2</v>
      </c>
      <c r="V6" s="196">
        <f t="shared" si="10"/>
        <v>2</v>
      </c>
      <c r="W6" s="186"/>
      <c r="X6" s="172"/>
    </row>
    <row r="7">
      <c r="A7" s="190">
        <v>41862.0</v>
      </c>
      <c r="B7" s="191">
        <v>1.0</v>
      </c>
      <c r="C7" s="191" t="s">
        <v>46</v>
      </c>
      <c r="D7" s="192">
        <v>14425.400000000001</v>
      </c>
      <c r="E7" s="193"/>
      <c r="F7" s="186"/>
      <c r="G7" s="161">
        <v>41890.0</v>
      </c>
      <c r="H7" s="186"/>
      <c r="I7" s="194">
        <f t="shared" si="1"/>
        <v>41890</v>
      </c>
      <c r="J7" s="195">
        <f t="shared" si="2"/>
        <v>60066.9</v>
      </c>
      <c r="K7" s="195">
        <f t="shared" si="3"/>
        <v>13352.4</v>
      </c>
      <c r="L7" s="195">
        <f t="shared" si="4"/>
        <v>11696.8</v>
      </c>
      <c r="M7" s="195">
        <f t="shared" si="5"/>
        <v>16973.5</v>
      </c>
      <c r="N7" s="195">
        <f t="shared" si="6"/>
        <v>18044.2</v>
      </c>
      <c r="O7" s="188"/>
      <c r="P7" s="195">
        <f>SUM('Historical Shipments'!$K7:$L7)</f>
        <v>25049.2</v>
      </c>
      <c r="Q7" s="195">
        <f>SUM('Historical Shipments'!$M7:$N7)</f>
        <v>35017.7</v>
      </c>
      <c r="R7" s="188"/>
      <c r="S7" s="196">
        <f t="shared" si="7"/>
        <v>2</v>
      </c>
      <c r="T7" s="196">
        <f t="shared" si="8"/>
        <v>2</v>
      </c>
      <c r="U7" s="196">
        <f t="shared" si="9"/>
        <v>2</v>
      </c>
      <c r="V7" s="196">
        <f t="shared" si="10"/>
        <v>2</v>
      </c>
      <c r="W7" s="186"/>
      <c r="X7" s="172"/>
    </row>
    <row r="8">
      <c r="A8" s="190">
        <v>41862.0</v>
      </c>
      <c r="B8" s="191">
        <v>2.0</v>
      </c>
      <c r="C8" s="191" t="s">
        <v>45</v>
      </c>
      <c r="D8" s="192">
        <v>13172.4</v>
      </c>
      <c r="E8" s="193"/>
      <c r="F8" s="186"/>
      <c r="G8" s="161">
        <v>41897.0</v>
      </c>
      <c r="H8" s="186"/>
      <c r="I8" s="194">
        <f t="shared" si="1"/>
        <v>41897</v>
      </c>
      <c r="J8" s="195">
        <f t="shared" si="2"/>
        <v>73121.6</v>
      </c>
      <c r="K8" s="195">
        <f t="shared" si="3"/>
        <v>15394.2</v>
      </c>
      <c r="L8" s="195">
        <f t="shared" si="4"/>
        <v>15032.2</v>
      </c>
      <c r="M8" s="195">
        <f t="shared" si="5"/>
        <v>19048.5</v>
      </c>
      <c r="N8" s="195">
        <f t="shared" si="6"/>
        <v>23646.7</v>
      </c>
      <c r="O8" s="188"/>
      <c r="P8" s="195">
        <f>SUM('Historical Shipments'!$K8:$L8)</f>
        <v>30426.4</v>
      </c>
      <c r="Q8" s="195">
        <f>SUM('Historical Shipments'!$M8:$N8)</f>
        <v>42695.2</v>
      </c>
      <c r="R8" s="188"/>
      <c r="S8" s="196">
        <f t="shared" si="7"/>
        <v>2</v>
      </c>
      <c r="T8" s="196">
        <f t="shared" si="8"/>
        <v>2</v>
      </c>
      <c r="U8" s="196">
        <f t="shared" si="9"/>
        <v>2</v>
      </c>
      <c r="V8" s="196">
        <f t="shared" si="10"/>
        <v>2</v>
      </c>
      <c r="W8" s="186"/>
      <c r="X8" s="172"/>
    </row>
    <row r="9">
      <c r="A9" s="190">
        <v>41862.0</v>
      </c>
      <c r="B9" s="191">
        <v>2.0</v>
      </c>
      <c r="C9" s="191" t="s">
        <v>46</v>
      </c>
      <c r="D9" s="192">
        <v>16732.800000000003</v>
      </c>
      <c r="E9" s="193"/>
      <c r="F9" s="186"/>
      <c r="G9" s="161">
        <v>41904.0</v>
      </c>
      <c r="H9" s="186"/>
      <c r="I9" s="194">
        <f t="shared" si="1"/>
        <v>41904</v>
      </c>
      <c r="J9" s="195">
        <f t="shared" si="2"/>
        <v>60497.9</v>
      </c>
      <c r="K9" s="195">
        <f t="shared" si="3"/>
        <v>14600.8</v>
      </c>
      <c r="L9" s="195">
        <f t="shared" si="4"/>
        <v>11111.8</v>
      </c>
      <c r="M9" s="195">
        <f t="shared" si="5"/>
        <v>15894.5</v>
      </c>
      <c r="N9" s="195">
        <f t="shared" si="6"/>
        <v>18890.8</v>
      </c>
      <c r="O9" s="188"/>
      <c r="P9" s="195">
        <f>SUM('Historical Shipments'!$K9:$L9)</f>
        <v>25712.6</v>
      </c>
      <c r="Q9" s="195">
        <f>SUM('Historical Shipments'!$M9:$N9)</f>
        <v>34785.3</v>
      </c>
      <c r="R9" s="188"/>
      <c r="S9" s="196">
        <f t="shared" si="7"/>
        <v>2</v>
      </c>
      <c r="T9" s="196">
        <f t="shared" si="8"/>
        <v>2</v>
      </c>
      <c r="U9" s="196">
        <f t="shared" si="9"/>
        <v>2</v>
      </c>
      <c r="V9" s="196">
        <f t="shared" si="10"/>
        <v>2</v>
      </c>
      <c r="W9" s="186"/>
      <c r="X9" s="172"/>
    </row>
    <row r="10">
      <c r="A10" s="190">
        <v>41869.0</v>
      </c>
      <c r="B10" s="191">
        <v>1.0</v>
      </c>
      <c r="C10" s="191" t="s">
        <v>45</v>
      </c>
      <c r="D10" s="192">
        <v>15800.0</v>
      </c>
      <c r="E10" s="193"/>
      <c r="F10" s="186"/>
      <c r="G10" s="161">
        <v>41911.0</v>
      </c>
      <c r="H10" s="186"/>
      <c r="I10" s="194">
        <f t="shared" si="1"/>
        <v>41911</v>
      </c>
      <c r="J10" s="195">
        <f t="shared" si="2"/>
        <v>60788</v>
      </c>
      <c r="K10" s="195">
        <f t="shared" si="3"/>
        <v>12973.2</v>
      </c>
      <c r="L10" s="195">
        <f t="shared" si="4"/>
        <v>10846.6</v>
      </c>
      <c r="M10" s="195">
        <f t="shared" si="5"/>
        <v>15770</v>
      </c>
      <c r="N10" s="195">
        <f t="shared" si="6"/>
        <v>21198.2</v>
      </c>
      <c r="O10" s="188"/>
      <c r="P10" s="195">
        <f>SUM('Historical Shipments'!$K10:$L10)</f>
        <v>23819.8</v>
      </c>
      <c r="Q10" s="195">
        <f>SUM('Historical Shipments'!$M10:$N10)</f>
        <v>36968.2</v>
      </c>
      <c r="R10" s="188"/>
      <c r="S10" s="196">
        <f t="shared" si="7"/>
        <v>2</v>
      </c>
      <c r="T10" s="196">
        <f t="shared" si="8"/>
        <v>2</v>
      </c>
      <c r="U10" s="196">
        <f t="shared" si="9"/>
        <v>2</v>
      </c>
      <c r="V10" s="196">
        <f t="shared" si="10"/>
        <v>2</v>
      </c>
      <c r="W10" s="186"/>
      <c r="X10" s="172"/>
    </row>
    <row r="11">
      <c r="A11" s="190">
        <v>41869.0</v>
      </c>
      <c r="B11" s="191">
        <v>1.0</v>
      </c>
      <c r="C11" s="191" t="s">
        <v>46</v>
      </c>
      <c r="D11" s="192">
        <v>14790.6</v>
      </c>
      <c r="E11" s="193"/>
      <c r="F11" s="186"/>
      <c r="G11" s="161">
        <v>41918.0</v>
      </c>
      <c r="H11" s="186"/>
      <c r="I11" s="194">
        <f t="shared" si="1"/>
        <v>41918</v>
      </c>
      <c r="J11" s="195">
        <f t="shared" si="2"/>
        <v>62811.1</v>
      </c>
      <c r="K11" s="195">
        <f t="shared" si="3"/>
        <v>15712</v>
      </c>
      <c r="L11" s="195">
        <f t="shared" si="4"/>
        <v>12247.4</v>
      </c>
      <c r="M11" s="195">
        <f t="shared" si="5"/>
        <v>16915.4</v>
      </c>
      <c r="N11" s="195">
        <f t="shared" si="6"/>
        <v>17936.3</v>
      </c>
      <c r="O11" s="188"/>
      <c r="P11" s="195">
        <f>SUM('Historical Shipments'!$K11:$L11)</f>
        <v>27959.4</v>
      </c>
      <c r="Q11" s="195">
        <f>SUM('Historical Shipments'!$M11:$N11)</f>
        <v>34851.7</v>
      </c>
      <c r="R11" s="188"/>
      <c r="S11" s="196">
        <f t="shared" si="7"/>
        <v>2</v>
      </c>
      <c r="T11" s="196">
        <f t="shared" si="8"/>
        <v>2</v>
      </c>
      <c r="U11" s="196">
        <f t="shared" si="9"/>
        <v>2</v>
      </c>
      <c r="V11" s="196">
        <f t="shared" si="10"/>
        <v>2</v>
      </c>
      <c r="W11" s="186"/>
      <c r="X11" s="172"/>
    </row>
    <row r="12">
      <c r="A12" s="190">
        <v>41869.0</v>
      </c>
      <c r="B12" s="191">
        <v>2.0</v>
      </c>
      <c r="C12" s="191" t="s">
        <v>45</v>
      </c>
      <c r="D12" s="192">
        <v>11660.2</v>
      </c>
      <c r="E12" s="193"/>
      <c r="F12" s="186"/>
      <c r="G12" s="161">
        <v>41925.0</v>
      </c>
      <c r="H12" s="186"/>
      <c r="I12" s="194">
        <f t="shared" si="1"/>
        <v>41925</v>
      </c>
      <c r="J12" s="195">
        <f t="shared" si="2"/>
        <v>60434.7</v>
      </c>
      <c r="K12" s="195">
        <f t="shared" si="3"/>
        <v>13727.6</v>
      </c>
      <c r="L12" s="195">
        <f t="shared" si="4"/>
        <v>11606.4</v>
      </c>
      <c r="M12" s="195">
        <f t="shared" si="5"/>
        <v>17015</v>
      </c>
      <c r="N12" s="195">
        <f t="shared" si="6"/>
        <v>18085.7</v>
      </c>
      <c r="O12" s="188"/>
      <c r="P12" s="195">
        <f>SUM('Historical Shipments'!$K12:$L12)</f>
        <v>25334</v>
      </c>
      <c r="Q12" s="195">
        <f>SUM('Historical Shipments'!$M12:$N12)</f>
        <v>35100.7</v>
      </c>
      <c r="R12" s="188"/>
      <c r="S12" s="196">
        <f t="shared" si="7"/>
        <v>2</v>
      </c>
      <c r="T12" s="196">
        <f t="shared" si="8"/>
        <v>2</v>
      </c>
      <c r="U12" s="196">
        <f t="shared" si="9"/>
        <v>2</v>
      </c>
      <c r="V12" s="196">
        <f t="shared" si="10"/>
        <v>2</v>
      </c>
      <c r="W12" s="186"/>
      <c r="X12" s="172"/>
      <c r="Y12" s="172"/>
      <c r="Z12" s="172"/>
      <c r="AA12" s="172"/>
    </row>
    <row r="13">
      <c r="A13" s="190">
        <v>41869.0</v>
      </c>
      <c r="B13" s="191">
        <v>2.0</v>
      </c>
      <c r="C13" s="191" t="s">
        <v>46</v>
      </c>
      <c r="D13" s="192">
        <v>19729.100000000002</v>
      </c>
      <c r="E13" s="193"/>
      <c r="F13" s="186"/>
      <c r="G13" s="161">
        <v>41932.0</v>
      </c>
      <c r="H13" s="186"/>
      <c r="I13" s="194">
        <f t="shared" si="1"/>
        <v>41932</v>
      </c>
      <c r="J13" s="195">
        <f t="shared" si="2"/>
        <v>66728.8</v>
      </c>
      <c r="K13" s="195">
        <f t="shared" si="3"/>
        <v>15927</v>
      </c>
      <c r="L13" s="195">
        <f t="shared" si="4"/>
        <v>14049.4</v>
      </c>
      <c r="M13" s="195">
        <f t="shared" si="5"/>
        <v>15687</v>
      </c>
      <c r="N13" s="195">
        <f t="shared" si="6"/>
        <v>21065.4</v>
      </c>
      <c r="O13" s="188"/>
      <c r="P13" s="195">
        <f>SUM('Historical Shipments'!$K13:$L13)</f>
        <v>29976.4</v>
      </c>
      <c r="Q13" s="195">
        <f>SUM('Historical Shipments'!$M13:$N13)</f>
        <v>36752.4</v>
      </c>
      <c r="R13" s="188"/>
      <c r="S13" s="196">
        <f t="shared" si="7"/>
        <v>2</v>
      </c>
      <c r="T13" s="196">
        <f t="shared" si="8"/>
        <v>2</v>
      </c>
      <c r="U13" s="196">
        <f t="shared" si="9"/>
        <v>2</v>
      </c>
      <c r="V13" s="196">
        <f t="shared" si="10"/>
        <v>2</v>
      </c>
      <c r="W13" s="186"/>
      <c r="X13" s="172"/>
    </row>
    <row r="14">
      <c r="A14" s="190">
        <v>41876.0</v>
      </c>
      <c r="B14" s="191">
        <v>1.0</v>
      </c>
      <c r="C14" s="191" t="s">
        <v>45</v>
      </c>
      <c r="D14" s="192">
        <v>14934.6</v>
      </c>
      <c r="E14" s="193"/>
      <c r="F14" s="186"/>
      <c r="G14" s="161">
        <v>41939.0</v>
      </c>
      <c r="H14" s="186"/>
      <c r="I14" s="194">
        <f t="shared" si="1"/>
        <v>41939</v>
      </c>
      <c r="J14" s="195">
        <f t="shared" si="2"/>
        <v>63318.9</v>
      </c>
      <c r="K14" s="195">
        <f t="shared" si="3"/>
        <v>13166</v>
      </c>
      <c r="L14" s="195">
        <f t="shared" si="4"/>
        <v>9325.2</v>
      </c>
      <c r="M14" s="195">
        <f t="shared" si="5"/>
        <v>17313.8</v>
      </c>
      <c r="N14" s="195">
        <f t="shared" si="6"/>
        <v>23513.9</v>
      </c>
      <c r="O14" s="188"/>
      <c r="P14" s="195">
        <f>SUM('Historical Shipments'!$K14:$L14)</f>
        <v>22491.2</v>
      </c>
      <c r="Q14" s="195">
        <f>SUM('Historical Shipments'!$M14:$N14)</f>
        <v>40827.7</v>
      </c>
      <c r="R14" s="188"/>
      <c r="S14" s="196">
        <f t="shared" si="7"/>
        <v>2</v>
      </c>
      <c r="T14" s="196">
        <f t="shared" si="8"/>
        <v>2</v>
      </c>
      <c r="U14" s="196">
        <f t="shared" si="9"/>
        <v>2</v>
      </c>
      <c r="V14" s="196">
        <f t="shared" si="10"/>
        <v>2</v>
      </c>
      <c r="W14" s="186"/>
      <c r="X14" s="172"/>
    </row>
    <row r="15">
      <c r="A15" s="190">
        <v>41876.0</v>
      </c>
      <c r="B15" s="191">
        <v>1.0</v>
      </c>
      <c r="C15" s="191" t="s">
        <v>46</v>
      </c>
      <c r="D15" s="192">
        <v>20774.9</v>
      </c>
      <c r="E15" s="193"/>
      <c r="F15" s="186"/>
      <c r="G15" s="161">
        <v>41946.0</v>
      </c>
      <c r="H15" s="186"/>
      <c r="I15" s="194">
        <f t="shared" si="1"/>
        <v>41946</v>
      </c>
      <c r="J15" s="195">
        <f t="shared" si="2"/>
        <v>62877.9</v>
      </c>
      <c r="K15" s="195">
        <f t="shared" si="3"/>
        <v>14426.2</v>
      </c>
      <c r="L15" s="195">
        <f t="shared" si="4"/>
        <v>12604</v>
      </c>
      <c r="M15" s="195">
        <f t="shared" si="5"/>
        <v>16317.8</v>
      </c>
      <c r="N15" s="195">
        <f t="shared" si="6"/>
        <v>19529.9</v>
      </c>
      <c r="O15" s="188"/>
      <c r="P15" s="195">
        <f>SUM('Historical Shipments'!$K15:$L15)</f>
        <v>27030.2</v>
      </c>
      <c r="Q15" s="195">
        <f>SUM('Historical Shipments'!$M15:$N15)</f>
        <v>35847.7</v>
      </c>
      <c r="R15" s="188"/>
      <c r="S15" s="196">
        <f t="shared" si="7"/>
        <v>2</v>
      </c>
      <c r="T15" s="196">
        <f t="shared" si="8"/>
        <v>2</v>
      </c>
      <c r="U15" s="196">
        <f t="shared" si="9"/>
        <v>2</v>
      </c>
      <c r="V15" s="196">
        <f t="shared" si="10"/>
        <v>2</v>
      </c>
      <c r="W15" s="186"/>
      <c r="X15" s="172"/>
    </row>
    <row r="16">
      <c r="A16" s="190">
        <v>41876.0</v>
      </c>
      <c r="B16" s="191">
        <v>2.0</v>
      </c>
      <c r="C16" s="191" t="s">
        <v>45</v>
      </c>
      <c r="D16" s="192">
        <v>11269.2</v>
      </c>
      <c r="E16" s="193"/>
      <c r="F16" s="186"/>
      <c r="G16" s="161">
        <v>41953.0</v>
      </c>
      <c r="H16" s="186"/>
      <c r="I16" s="194">
        <f t="shared" si="1"/>
        <v>41953</v>
      </c>
      <c r="J16" s="195">
        <f t="shared" si="2"/>
        <v>70646.2</v>
      </c>
      <c r="K16" s="195">
        <f t="shared" si="3"/>
        <v>18369.2</v>
      </c>
      <c r="L16" s="195">
        <f t="shared" si="4"/>
        <v>15840</v>
      </c>
      <c r="M16" s="195">
        <f t="shared" si="5"/>
        <v>15562.5</v>
      </c>
      <c r="N16" s="195">
        <f t="shared" si="6"/>
        <v>20874.5</v>
      </c>
      <c r="O16" s="188"/>
      <c r="P16" s="195">
        <f>SUM('Historical Shipments'!$K16:$L16)</f>
        <v>34209.2</v>
      </c>
      <c r="Q16" s="195">
        <f>SUM('Historical Shipments'!$M16:$N16)</f>
        <v>36437</v>
      </c>
      <c r="R16" s="188"/>
      <c r="S16" s="196">
        <f t="shared" si="7"/>
        <v>2</v>
      </c>
      <c r="T16" s="196">
        <f t="shared" si="8"/>
        <v>2</v>
      </c>
      <c r="U16" s="196">
        <f t="shared" si="9"/>
        <v>2</v>
      </c>
      <c r="V16" s="196">
        <f t="shared" si="10"/>
        <v>2</v>
      </c>
      <c r="W16" s="186"/>
      <c r="X16" s="172"/>
    </row>
    <row r="17">
      <c r="A17" s="190">
        <v>41876.0</v>
      </c>
      <c r="B17" s="191">
        <v>2.0</v>
      </c>
      <c r="C17" s="191" t="s">
        <v>46</v>
      </c>
      <c r="D17" s="192">
        <v>28693.100000000002</v>
      </c>
      <c r="E17" s="193"/>
      <c r="F17" s="186"/>
      <c r="G17" s="161">
        <v>41960.0</v>
      </c>
      <c r="H17" s="186"/>
      <c r="I17" s="194">
        <f t="shared" si="1"/>
        <v>41960</v>
      </c>
      <c r="J17" s="195">
        <f t="shared" si="2"/>
        <v>57895.4</v>
      </c>
      <c r="K17" s="195">
        <f t="shared" si="3"/>
        <v>14727.2</v>
      </c>
      <c r="L17" s="195">
        <f t="shared" si="4"/>
        <v>13255</v>
      </c>
      <c r="M17" s="195">
        <f t="shared" si="5"/>
        <v>14923.4</v>
      </c>
      <c r="N17" s="195">
        <f t="shared" si="6"/>
        <v>14989.8</v>
      </c>
      <c r="O17" s="188"/>
      <c r="P17" s="195">
        <f>SUM('Historical Shipments'!$K17:$L17)</f>
        <v>27982.2</v>
      </c>
      <c r="Q17" s="195">
        <f>SUM('Historical Shipments'!$M17:$N17)</f>
        <v>29913.2</v>
      </c>
      <c r="R17" s="188"/>
      <c r="S17" s="196">
        <f t="shared" si="7"/>
        <v>2</v>
      </c>
      <c r="T17" s="196">
        <f t="shared" si="8"/>
        <v>2</v>
      </c>
      <c r="U17" s="196">
        <f t="shared" si="9"/>
        <v>2</v>
      </c>
      <c r="V17" s="196">
        <f t="shared" si="10"/>
        <v>2</v>
      </c>
      <c r="W17" s="186"/>
      <c r="X17" s="172"/>
    </row>
    <row r="18">
      <c r="A18" s="190">
        <v>41883.0</v>
      </c>
      <c r="B18" s="191">
        <v>1.0</v>
      </c>
      <c r="C18" s="191" t="s">
        <v>45</v>
      </c>
      <c r="D18" s="192">
        <v>15082.4</v>
      </c>
      <c r="E18" s="193"/>
      <c r="F18" s="186"/>
      <c r="G18" s="161">
        <v>41967.0</v>
      </c>
      <c r="H18" s="186"/>
      <c r="I18" s="194">
        <f t="shared" si="1"/>
        <v>41967</v>
      </c>
      <c r="J18" s="195">
        <f t="shared" si="2"/>
        <v>60540.1</v>
      </c>
      <c r="K18" s="195">
        <f t="shared" si="3"/>
        <v>15463.8</v>
      </c>
      <c r="L18" s="195">
        <f t="shared" si="4"/>
        <v>12482.2</v>
      </c>
      <c r="M18" s="195">
        <f t="shared" si="5"/>
        <v>15994.1</v>
      </c>
      <c r="N18" s="195">
        <f t="shared" si="6"/>
        <v>16600</v>
      </c>
      <c r="O18" s="188"/>
      <c r="P18" s="195">
        <f>SUM('Historical Shipments'!$K18:$L18)</f>
        <v>27946</v>
      </c>
      <c r="Q18" s="195">
        <f>SUM('Historical Shipments'!$M18:$N18)</f>
        <v>32594.1</v>
      </c>
      <c r="R18" s="188"/>
      <c r="S18" s="196">
        <f t="shared" si="7"/>
        <v>2</v>
      </c>
      <c r="T18" s="196">
        <f t="shared" si="8"/>
        <v>2</v>
      </c>
      <c r="U18" s="196">
        <f t="shared" si="9"/>
        <v>2</v>
      </c>
      <c r="V18" s="196">
        <f t="shared" si="10"/>
        <v>2</v>
      </c>
      <c r="W18" s="186"/>
      <c r="X18" s="172"/>
    </row>
    <row r="19">
      <c r="A19" s="190">
        <v>41883.0</v>
      </c>
      <c r="B19" s="191">
        <v>1.0</v>
      </c>
      <c r="C19" s="191" t="s">
        <v>46</v>
      </c>
      <c r="D19" s="192">
        <v>16151.800000000001</v>
      </c>
      <c r="E19" s="193"/>
      <c r="F19" s="186"/>
      <c r="G19" s="161">
        <v>41974.0</v>
      </c>
      <c r="H19" s="186"/>
      <c r="I19" s="194">
        <f t="shared" si="1"/>
        <v>41974</v>
      </c>
      <c r="J19" s="195">
        <f t="shared" si="2"/>
        <v>68030.6</v>
      </c>
      <c r="K19" s="195">
        <f t="shared" si="3"/>
        <v>16962.2</v>
      </c>
      <c r="L19" s="195">
        <f t="shared" si="4"/>
        <v>16274.8</v>
      </c>
      <c r="M19" s="195">
        <f t="shared" si="5"/>
        <v>15886.2</v>
      </c>
      <c r="N19" s="195">
        <f t="shared" si="6"/>
        <v>18907.4</v>
      </c>
      <c r="O19" s="188"/>
      <c r="P19" s="195">
        <f>SUM('Historical Shipments'!$K19:$L19)</f>
        <v>33237</v>
      </c>
      <c r="Q19" s="195">
        <f>SUM('Historical Shipments'!$M19:$N19)</f>
        <v>34793.6</v>
      </c>
      <c r="R19" s="188"/>
      <c r="S19" s="196">
        <f t="shared" si="7"/>
        <v>2</v>
      </c>
      <c r="T19" s="196">
        <f t="shared" si="8"/>
        <v>2</v>
      </c>
      <c r="U19" s="196">
        <f t="shared" si="9"/>
        <v>2</v>
      </c>
      <c r="V19" s="196">
        <f t="shared" si="10"/>
        <v>2</v>
      </c>
      <c r="W19" s="186"/>
      <c r="X19" s="172"/>
    </row>
    <row r="20">
      <c r="A20" s="190">
        <v>41883.0</v>
      </c>
      <c r="B20" s="191">
        <v>2.0</v>
      </c>
      <c r="C20" s="191" t="s">
        <v>45</v>
      </c>
      <c r="D20" s="192">
        <v>14437.400000000001</v>
      </c>
      <c r="E20" s="193"/>
      <c r="F20" s="186"/>
      <c r="G20" s="161">
        <v>41981.0</v>
      </c>
      <c r="H20" s="186"/>
      <c r="I20" s="194">
        <f t="shared" si="1"/>
        <v>41981</v>
      </c>
      <c r="J20" s="195">
        <f t="shared" si="2"/>
        <v>61900</v>
      </c>
      <c r="K20" s="195">
        <f t="shared" si="3"/>
        <v>15174.2</v>
      </c>
      <c r="L20" s="195">
        <f t="shared" si="4"/>
        <v>12098.2</v>
      </c>
      <c r="M20" s="195">
        <f t="shared" si="5"/>
        <v>14823.8</v>
      </c>
      <c r="N20" s="195">
        <f t="shared" si="6"/>
        <v>19803.8</v>
      </c>
      <c r="O20" s="188"/>
      <c r="P20" s="195">
        <f>SUM('Historical Shipments'!$K20:$L20)</f>
        <v>27272.4</v>
      </c>
      <c r="Q20" s="195">
        <f>SUM('Historical Shipments'!$M20:$N20)</f>
        <v>34627.6</v>
      </c>
      <c r="R20" s="188"/>
      <c r="S20" s="196">
        <f t="shared" si="7"/>
        <v>2</v>
      </c>
      <c r="T20" s="196">
        <f t="shared" si="8"/>
        <v>2</v>
      </c>
      <c r="U20" s="196">
        <f t="shared" si="9"/>
        <v>2</v>
      </c>
      <c r="V20" s="196">
        <f t="shared" si="10"/>
        <v>2</v>
      </c>
      <c r="W20" s="186"/>
      <c r="X20" s="172"/>
    </row>
    <row r="21" ht="15.75" customHeight="1">
      <c r="A21" s="190">
        <v>41883.0</v>
      </c>
      <c r="B21" s="191">
        <v>2.0</v>
      </c>
      <c r="C21" s="191" t="s">
        <v>46</v>
      </c>
      <c r="D21" s="192">
        <v>16824.100000000002</v>
      </c>
      <c r="E21" s="193"/>
      <c r="F21" s="186"/>
      <c r="G21" s="161">
        <v>41988.0</v>
      </c>
      <c r="H21" s="186"/>
      <c r="I21" s="194">
        <f t="shared" si="1"/>
        <v>41988</v>
      </c>
      <c r="J21" s="195">
        <f t="shared" si="2"/>
        <v>66800.3</v>
      </c>
      <c r="K21" s="195">
        <f t="shared" si="3"/>
        <v>17100.6</v>
      </c>
      <c r="L21" s="195">
        <f t="shared" si="4"/>
        <v>14449.6</v>
      </c>
      <c r="M21" s="195">
        <f t="shared" si="5"/>
        <v>17064.8</v>
      </c>
      <c r="N21" s="195">
        <f t="shared" si="6"/>
        <v>18185.3</v>
      </c>
      <c r="O21" s="188"/>
      <c r="P21" s="195">
        <f>SUM('Historical Shipments'!$K21:$L21)</f>
        <v>31550.2</v>
      </c>
      <c r="Q21" s="195">
        <f>SUM('Historical Shipments'!$M21:$N21)</f>
        <v>35250.1</v>
      </c>
      <c r="R21" s="188"/>
      <c r="S21" s="196">
        <f t="shared" si="7"/>
        <v>2</v>
      </c>
      <c r="T21" s="196">
        <f t="shared" si="8"/>
        <v>2</v>
      </c>
      <c r="U21" s="196">
        <f t="shared" si="9"/>
        <v>2</v>
      </c>
      <c r="V21" s="196">
        <f t="shared" si="10"/>
        <v>2</v>
      </c>
      <c r="W21" s="186"/>
      <c r="X21" s="172"/>
    </row>
    <row r="22" ht="15.75" customHeight="1">
      <c r="A22" s="190">
        <v>41890.0</v>
      </c>
      <c r="B22" s="191">
        <v>1.0</v>
      </c>
      <c r="C22" s="191" t="s">
        <v>45</v>
      </c>
      <c r="D22" s="192">
        <v>13352.400000000001</v>
      </c>
      <c r="E22" s="193"/>
      <c r="F22" s="186"/>
      <c r="G22" s="161">
        <v>41995.0</v>
      </c>
      <c r="H22" s="186"/>
      <c r="I22" s="194">
        <f t="shared" si="1"/>
        <v>41995</v>
      </c>
      <c r="J22" s="195">
        <f t="shared" si="2"/>
        <v>71965.8</v>
      </c>
      <c r="K22" s="195">
        <f t="shared" si="3"/>
        <v>16616.6</v>
      </c>
      <c r="L22" s="195">
        <f t="shared" si="4"/>
        <v>16339.2</v>
      </c>
      <c r="M22" s="195">
        <f t="shared" si="5"/>
        <v>17579.4</v>
      </c>
      <c r="N22" s="195">
        <f t="shared" si="6"/>
        <v>21430.6</v>
      </c>
      <c r="O22" s="188"/>
      <c r="P22" s="195">
        <f>SUM('Historical Shipments'!$K22:$L22)</f>
        <v>32955.8</v>
      </c>
      <c r="Q22" s="195">
        <f>SUM('Historical Shipments'!$M22:$N22)</f>
        <v>39010</v>
      </c>
      <c r="R22" s="188"/>
      <c r="S22" s="196">
        <f t="shared" si="7"/>
        <v>2</v>
      </c>
      <c r="T22" s="196">
        <f t="shared" si="8"/>
        <v>2</v>
      </c>
      <c r="U22" s="196">
        <f t="shared" si="9"/>
        <v>2</v>
      </c>
      <c r="V22" s="196">
        <f t="shared" si="10"/>
        <v>2</v>
      </c>
      <c r="W22" s="186"/>
      <c r="X22" s="172"/>
    </row>
    <row r="23" ht="15.75" customHeight="1">
      <c r="A23" s="190">
        <v>41890.0</v>
      </c>
      <c r="B23" s="191">
        <v>1.0</v>
      </c>
      <c r="C23" s="191" t="s">
        <v>46</v>
      </c>
      <c r="D23" s="192">
        <v>16973.5</v>
      </c>
      <c r="E23" s="193"/>
      <c r="F23" s="186"/>
      <c r="G23" s="161">
        <v>42002.0</v>
      </c>
      <c r="H23" s="186"/>
      <c r="I23" s="194">
        <f t="shared" si="1"/>
        <v>42002</v>
      </c>
      <c r="J23" s="195">
        <f t="shared" si="2"/>
        <v>79097.1</v>
      </c>
      <c r="K23" s="195">
        <f t="shared" si="3"/>
        <v>19059.6</v>
      </c>
      <c r="L23" s="195">
        <f t="shared" si="4"/>
        <v>18894.4</v>
      </c>
      <c r="M23" s="195">
        <f t="shared" si="5"/>
        <v>17446.6</v>
      </c>
      <c r="N23" s="195">
        <f t="shared" si="6"/>
        <v>23696.5</v>
      </c>
      <c r="O23" s="188"/>
      <c r="P23" s="195">
        <f>SUM('Historical Shipments'!$K23:$L23)</f>
        <v>37954</v>
      </c>
      <c r="Q23" s="195">
        <f>SUM('Historical Shipments'!$M23:$N23)</f>
        <v>41143.1</v>
      </c>
      <c r="R23" s="188"/>
      <c r="S23" s="196">
        <f t="shared" si="7"/>
        <v>2</v>
      </c>
      <c r="T23" s="196">
        <f t="shared" si="8"/>
        <v>2</v>
      </c>
      <c r="U23" s="196">
        <f t="shared" si="9"/>
        <v>2</v>
      </c>
      <c r="V23" s="196">
        <f t="shared" si="10"/>
        <v>2</v>
      </c>
      <c r="W23" s="186"/>
      <c r="X23" s="172"/>
    </row>
    <row r="24" ht="15.75" customHeight="1">
      <c r="A24" s="190">
        <v>41890.0</v>
      </c>
      <c r="B24" s="191">
        <v>2.0</v>
      </c>
      <c r="C24" s="191" t="s">
        <v>45</v>
      </c>
      <c r="D24" s="192">
        <v>11696.8</v>
      </c>
      <c r="E24" s="193"/>
      <c r="F24" s="186"/>
      <c r="G24" s="161">
        <v>42009.0</v>
      </c>
      <c r="H24" s="186"/>
      <c r="I24" s="194">
        <f t="shared" si="1"/>
        <v>42009</v>
      </c>
      <c r="J24" s="195">
        <f t="shared" si="2"/>
        <v>74734.2</v>
      </c>
      <c r="K24" s="195">
        <f t="shared" si="3"/>
        <v>17004.4</v>
      </c>
      <c r="L24" s="195">
        <f t="shared" si="4"/>
        <v>14337.4</v>
      </c>
      <c r="M24" s="195">
        <f t="shared" si="5"/>
        <v>19339</v>
      </c>
      <c r="N24" s="195">
        <f t="shared" si="6"/>
        <v>24053.4</v>
      </c>
      <c r="O24" s="188"/>
      <c r="P24" s="195">
        <f>SUM('Historical Shipments'!$K24:$L24)</f>
        <v>31341.8</v>
      </c>
      <c r="Q24" s="195">
        <f>SUM('Historical Shipments'!$M24:$N24)</f>
        <v>43392.4</v>
      </c>
      <c r="R24" s="188"/>
      <c r="S24" s="196">
        <f t="shared" si="7"/>
        <v>2</v>
      </c>
      <c r="T24" s="196">
        <f t="shared" si="8"/>
        <v>2</v>
      </c>
      <c r="U24" s="196">
        <f t="shared" si="9"/>
        <v>2</v>
      </c>
      <c r="V24" s="196">
        <f t="shared" si="10"/>
        <v>2</v>
      </c>
      <c r="W24" s="186"/>
      <c r="X24" s="172"/>
    </row>
    <row r="25" ht="15.75" customHeight="1">
      <c r="A25" s="190">
        <v>41890.0</v>
      </c>
      <c r="B25" s="191">
        <v>2.0</v>
      </c>
      <c r="C25" s="191" t="s">
        <v>46</v>
      </c>
      <c r="D25" s="192">
        <v>18044.2</v>
      </c>
      <c r="E25" s="193"/>
      <c r="F25" s="186"/>
      <c r="G25" s="161">
        <v>42016.0</v>
      </c>
      <c r="H25" s="186"/>
      <c r="I25" s="194">
        <f t="shared" si="1"/>
        <v>42016</v>
      </c>
      <c r="J25" s="195">
        <f t="shared" si="2"/>
        <v>53681.8</v>
      </c>
      <c r="K25" s="195">
        <f t="shared" si="3"/>
        <v>13920.2</v>
      </c>
      <c r="L25" s="195">
        <f t="shared" si="4"/>
        <v>10744.8</v>
      </c>
      <c r="M25" s="195">
        <f t="shared" si="5"/>
        <v>14558.2</v>
      </c>
      <c r="N25" s="195">
        <f t="shared" si="6"/>
        <v>14458.6</v>
      </c>
      <c r="O25" s="188"/>
      <c r="P25" s="195">
        <f>SUM('Historical Shipments'!$K25:$L25)</f>
        <v>24665</v>
      </c>
      <c r="Q25" s="195">
        <f>SUM('Historical Shipments'!$M25:$N25)</f>
        <v>29016.8</v>
      </c>
      <c r="R25" s="188"/>
      <c r="S25" s="196">
        <f t="shared" si="7"/>
        <v>2</v>
      </c>
      <c r="T25" s="196">
        <f t="shared" si="8"/>
        <v>2</v>
      </c>
      <c r="U25" s="196">
        <f t="shared" si="9"/>
        <v>2</v>
      </c>
      <c r="V25" s="196">
        <f t="shared" si="10"/>
        <v>2</v>
      </c>
      <c r="W25" s="186"/>
      <c r="X25" s="172"/>
    </row>
    <row r="26" ht="15.75" customHeight="1">
      <c r="A26" s="190">
        <v>41897.0</v>
      </c>
      <c r="B26" s="191">
        <v>1.0</v>
      </c>
      <c r="C26" s="191" t="s">
        <v>45</v>
      </c>
      <c r="D26" s="192">
        <v>15394.2</v>
      </c>
      <c r="E26" s="193"/>
      <c r="F26" s="186"/>
      <c r="G26" s="161">
        <v>42023.0</v>
      </c>
      <c r="H26" s="186"/>
      <c r="I26" s="194">
        <f t="shared" si="1"/>
        <v>42023</v>
      </c>
      <c r="J26" s="195">
        <f t="shared" si="2"/>
        <v>55306.1</v>
      </c>
      <c r="K26" s="195">
        <f t="shared" si="3"/>
        <v>14616</v>
      </c>
      <c r="L26" s="195">
        <f t="shared" si="4"/>
        <v>11748</v>
      </c>
      <c r="M26" s="195">
        <f t="shared" si="5"/>
        <v>12566.2</v>
      </c>
      <c r="N26" s="195">
        <f t="shared" si="6"/>
        <v>16375.9</v>
      </c>
      <c r="O26" s="188"/>
      <c r="P26" s="195">
        <f>SUM('Historical Shipments'!$K26:$L26)</f>
        <v>26364</v>
      </c>
      <c r="Q26" s="195">
        <f>SUM('Historical Shipments'!$M26:$N26)</f>
        <v>28942.1</v>
      </c>
      <c r="R26" s="188"/>
      <c r="S26" s="196">
        <f t="shared" si="7"/>
        <v>2</v>
      </c>
      <c r="T26" s="196">
        <f t="shared" si="8"/>
        <v>2</v>
      </c>
      <c r="U26" s="196">
        <f t="shared" si="9"/>
        <v>2</v>
      </c>
      <c r="V26" s="196">
        <f t="shared" si="10"/>
        <v>2</v>
      </c>
      <c r="W26" s="186"/>
      <c r="X26" s="172"/>
    </row>
    <row r="27" ht="15.75" customHeight="1">
      <c r="A27" s="190">
        <v>41897.0</v>
      </c>
      <c r="B27" s="191">
        <v>1.0</v>
      </c>
      <c r="C27" s="191" t="s">
        <v>46</v>
      </c>
      <c r="D27" s="192">
        <v>19048.5</v>
      </c>
      <c r="E27" s="193"/>
      <c r="F27" s="186"/>
      <c r="G27" s="161">
        <v>42030.0</v>
      </c>
      <c r="H27" s="186"/>
      <c r="I27" s="194">
        <f t="shared" si="1"/>
        <v>42030</v>
      </c>
      <c r="J27" s="195">
        <f t="shared" si="2"/>
        <v>64200.5</v>
      </c>
      <c r="K27" s="195">
        <f t="shared" si="3"/>
        <v>16293.4</v>
      </c>
      <c r="L27" s="195">
        <f t="shared" si="4"/>
        <v>14267.2</v>
      </c>
      <c r="M27" s="195">
        <f t="shared" si="5"/>
        <v>14458.6</v>
      </c>
      <c r="N27" s="195">
        <f t="shared" si="6"/>
        <v>19181.3</v>
      </c>
      <c r="O27" s="188"/>
      <c r="P27" s="195">
        <f>SUM('Historical Shipments'!$K27:$L27)</f>
        <v>30560.6</v>
      </c>
      <c r="Q27" s="195">
        <f>SUM('Historical Shipments'!$M27:$N27)</f>
        <v>33639.9</v>
      </c>
      <c r="R27" s="188"/>
      <c r="S27" s="196">
        <f t="shared" si="7"/>
        <v>2</v>
      </c>
      <c r="T27" s="196">
        <f t="shared" si="8"/>
        <v>2</v>
      </c>
      <c r="U27" s="196">
        <f t="shared" si="9"/>
        <v>2</v>
      </c>
      <c r="V27" s="196">
        <f t="shared" si="10"/>
        <v>2</v>
      </c>
      <c r="W27" s="186"/>
      <c r="X27" s="172"/>
    </row>
    <row r="28" ht="15.75" customHeight="1">
      <c r="A28" s="190">
        <v>41897.0</v>
      </c>
      <c r="B28" s="191">
        <v>2.0</v>
      </c>
      <c r="C28" s="191" t="s">
        <v>45</v>
      </c>
      <c r="D28" s="192">
        <v>15032.2</v>
      </c>
      <c r="E28" s="193"/>
      <c r="F28" s="186"/>
      <c r="G28" s="161">
        <v>42037.0</v>
      </c>
      <c r="H28" s="186"/>
      <c r="I28" s="194">
        <f t="shared" si="1"/>
        <v>42037</v>
      </c>
      <c r="J28" s="195">
        <f t="shared" si="2"/>
        <v>62846.6</v>
      </c>
      <c r="K28" s="195">
        <f t="shared" si="3"/>
        <v>15571.6</v>
      </c>
      <c r="L28" s="195">
        <f t="shared" si="4"/>
        <v>13776.2</v>
      </c>
      <c r="M28" s="195">
        <f t="shared" si="5"/>
        <v>16359.3</v>
      </c>
      <c r="N28" s="195">
        <f t="shared" si="6"/>
        <v>17139.5</v>
      </c>
      <c r="O28" s="188"/>
      <c r="P28" s="195">
        <f>SUM('Historical Shipments'!$K28:$L28)</f>
        <v>29347.8</v>
      </c>
      <c r="Q28" s="195">
        <f>SUM('Historical Shipments'!$M28:$N28)</f>
        <v>33498.8</v>
      </c>
      <c r="R28" s="188"/>
      <c r="S28" s="196">
        <f t="shared" si="7"/>
        <v>2</v>
      </c>
      <c r="T28" s="196">
        <f t="shared" si="8"/>
        <v>2</v>
      </c>
      <c r="U28" s="196">
        <f t="shared" si="9"/>
        <v>2</v>
      </c>
      <c r="V28" s="196">
        <f t="shared" si="10"/>
        <v>2</v>
      </c>
      <c r="W28" s="186"/>
      <c r="X28" s="172"/>
    </row>
    <row r="29" ht="15.75" customHeight="1">
      <c r="A29" s="190">
        <v>41897.0</v>
      </c>
      <c r="B29" s="191">
        <v>2.0</v>
      </c>
      <c r="C29" s="191" t="s">
        <v>46</v>
      </c>
      <c r="D29" s="192">
        <v>23646.7</v>
      </c>
      <c r="E29" s="193"/>
      <c r="F29" s="186"/>
      <c r="G29" s="161">
        <v>42044.0</v>
      </c>
      <c r="H29" s="186"/>
      <c r="I29" s="194">
        <f t="shared" si="1"/>
        <v>42044</v>
      </c>
      <c r="J29" s="195">
        <f t="shared" si="2"/>
        <v>73656.7</v>
      </c>
      <c r="K29" s="195">
        <f t="shared" si="3"/>
        <v>17411.2</v>
      </c>
      <c r="L29" s="195">
        <f t="shared" si="4"/>
        <v>16048.6</v>
      </c>
      <c r="M29" s="195">
        <f t="shared" si="5"/>
        <v>18044.2</v>
      </c>
      <c r="N29" s="195">
        <f t="shared" si="6"/>
        <v>22152.7</v>
      </c>
      <c r="O29" s="188"/>
      <c r="P29" s="195">
        <f>SUM('Historical Shipments'!$K29:$L29)</f>
        <v>33459.8</v>
      </c>
      <c r="Q29" s="195">
        <f>SUM('Historical Shipments'!$M29:$N29)</f>
        <v>40196.9</v>
      </c>
      <c r="R29" s="188"/>
      <c r="S29" s="196">
        <f t="shared" si="7"/>
        <v>2</v>
      </c>
      <c r="T29" s="196">
        <f t="shared" si="8"/>
        <v>2</v>
      </c>
      <c r="U29" s="196">
        <f t="shared" si="9"/>
        <v>2</v>
      </c>
      <c r="V29" s="196">
        <f t="shared" si="10"/>
        <v>2</v>
      </c>
      <c r="W29" s="186"/>
      <c r="X29" s="172"/>
    </row>
    <row r="30" ht="15.75" customHeight="1">
      <c r="A30" s="190">
        <v>41904.0</v>
      </c>
      <c r="B30" s="191">
        <v>1.0</v>
      </c>
      <c r="C30" s="191" t="s">
        <v>45</v>
      </c>
      <c r="D30" s="192">
        <v>14600.800000000001</v>
      </c>
      <c r="E30" s="193"/>
      <c r="F30" s="186"/>
      <c r="G30" s="161">
        <v>42051.0</v>
      </c>
      <c r="H30" s="186"/>
      <c r="I30" s="194">
        <f t="shared" si="1"/>
        <v>42051</v>
      </c>
      <c r="J30" s="195">
        <f t="shared" si="2"/>
        <v>73703.8</v>
      </c>
      <c r="K30" s="195">
        <f t="shared" si="3"/>
        <v>14962.6</v>
      </c>
      <c r="L30" s="195">
        <f t="shared" si="4"/>
        <v>12726</v>
      </c>
      <c r="M30" s="195">
        <f t="shared" si="5"/>
        <v>19405.4</v>
      </c>
      <c r="N30" s="195">
        <f t="shared" si="6"/>
        <v>26609.8</v>
      </c>
      <c r="O30" s="188"/>
      <c r="P30" s="195">
        <f>SUM('Historical Shipments'!$K30:$L30)</f>
        <v>27688.6</v>
      </c>
      <c r="Q30" s="195">
        <f>SUM('Historical Shipments'!$M30:$N30)</f>
        <v>46015.2</v>
      </c>
      <c r="R30" s="188"/>
      <c r="S30" s="196">
        <f t="shared" si="7"/>
        <v>2</v>
      </c>
      <c r="T30" s="196">
        <f t="shared" si="8"/>
        <v>2</v>
      </c>
      <c r="U30" s="196">
        <f t="shared" si="9"/>
        <v>2</v>
      </c>
      <c r="V30" s="196">
        <f t="shared" si="10"/>
        <v>2</v>
      </c>
      <c r="W30" s="186"/>
      <c r="X30" s="172"/>
    </row>
    <row r="31" ht="15.75" customHeight="1">
      <c r="A31" s="190">
        <v>41904.0</v>
      </c>
      <c r="B31" s="191">
        <v>1.0</v>
      </c>
      <c r="C31" s="191" t="s">
        <v>46</v>
      </c>
      <c r="D31" s="192">
        <v>15894.500000000002</v>
      </c>
      <c r="E31" s="193"/>
      <c r="F31" s="186"/>
      <c r="G31" s="161">
        <v>42058.0</v>
      </c>
      <c r="H31" s="186"/>
      <c r="I31" s="194">
        <f t="shared" si="1"/>
        <v>42058</v>
      </c>
      <c r="J31" s="195">
        <f t="shared" si="2"/>
        <v>64490.6</v>
      </c>
      <c r="K31" s="195">
        <f t="shared" si="3"/>
        <v>15277.8</v>
      </c>
      <c r="L31" s="195">
        <f t="shared" si="4"/>
        <v>11165.6</v>
      </c>
      <c r="M31" s="195">
        <f t="shared" si="5"/>
        <v>17181</v>
      </c>
      <c r="N31" s="195">
        <f t="shared" si="6"/>
        <v>20866.2</v>
      </c>
      <c r="O31" s="188"/>
      <c r="P31" s="195">
        <f>SUM('Historical Shipments'!$K31:$L31)</f>
        <v>26443.4</v>
      </c>
      <c r="Q31" s="195">
        <f>SUM('Historical Shipments'!$M31:$N31)</f>
        <v>38047.2</v>
      </c>
      <c r="R31" s="188"/>
      <c r="S31" s="196">
        <f t="shared" si="7"/>
        <v>2</v>
      </c>
      <c r="T31" s="196">
        <f t="shared" si="8"/>
        <v>2</v>
      </c>
      <c r="U31" s="196">
        <f t="shared" si="9"/>
        <v>2</v>
      </c>
      <c r="V31" s="196">
        <f t="shared" si="10"/>
        <v>2</v>
      </c>
      <c r="W31" s="186"/>
      <c r="X31" s="172"/>
    </row>
    <row r="32" ht="15.75" customHeight="1">
      <c r="A32" s="190">
        <v>41904.0</v>
      </c>
      <c r="B32" s="191">
        <v>2.0</v>
      </c>
      <c r="C32" s="191" t="s">
        <v>45</v>
      </c>
      <c r="D32" s="192">
        <v>11111.8</v>
      </c>
      <c r="E32" s="193"/>
      <c r="F32" s="186"/>
      <c r="G32" s="161">
        <v>42065.0</v>
      </c>
      <c r="H32" s="186"/>
      <c r="I32" s="194">
        <f t="shared" si="1"/>
        <v>42065</v>
      </c>
      <c r="J32" s="195">
        <f t="shared" si="2"/>
        <v>72559.4</v>
      </c>
      <c r="K32" s="195">
        <f t="shared" si="3"/>
        <v>15508.8</v>
      </c>
      <c r="L32" s="195">
        <f t="shared" si="4"/>
        <v>12180.8</v>
      </c>
      <c r="M32" s="195">
        <f t="shared" si="5"/>
        <v>18932.3</v>
      </c>
      <c r="N32" s="195">
        <f t="shared" si="6"/>
        <v>25937.5</v>
      </c>
      <c r="O32" s="188"/>
      <c r="P32" s="195">
        <f>SUM('Historical Shipments'!$K32:$L32)</f>
        <v>27689.6</v>
      </c>
      <c r="Q32" s="195">
        <f>SUM('Historical Shipments'!$M32:$N32)</f>
        <v>44869.8</v>
      </c>
      <c r="R32" s="188"/>
      <c r="S32" s="196">
        <f t="shared" si="7"/>
        <v>2</v>
      </c>
      <c r="T32" s="196">
        <f t="shared" si="8"/>
        <v>2</v>
      </c>
      <c r="U32" s="196">
        <f t="shared" si="9"/>
        <v>2</v>
      </c>
      <c r="V32" s="196">
        <f t="shared" si="10"/>
        <v>2</v>
      </c>
      <c r="W32" s="186"/>
      <c r="X32" s="172"/>
    </row>
    <row r="33" ht="15.75" customHeight="1">
      <c r="A33" s="190">
        <v>41904.0</v>
      </c>
      <c r="B33" s="191">
        <v>2.0</v>
      </c>
      <c r="C33" s="191" t="s">
        <v>46</v>
      </c>
      <c r="D33" s="192">
        <v>18890.800000000003</v>
      </c>
      <c r="E33" s="193"/>
      <c r="F33" s="186"/>
      <c r="G33" s="161">
        <v>42072.0</v>
      </c>
      <c r="H33" s="186"/>
      <c r="I33" s="194">
        <f t="shared" si="1"/>
        <v>42072</v>
      </c>
      <c r="J33" s="195">
        <f t="shared" si="2"/>
        <v>71998.2</v>
      </c>
      <c r="K33" s="195">
        <f t="shared" si="3"/>
        <v>20751.4</v>
      </c>
      <c r="L33" s="195">
        <f t="shared" si="4"/>
        <v>18528.2</v>
      </c>
      <c r="M33" s="195">
        <f t="shared" si="5"/>
        <v>15072.8</v>
      </c>
      <c r="N33" s="195">
        <f t="shared" si="6"/>
        <v>17645.8</v>
      </c>
      <c r="O33" s="188"/>
      <c r="P33" s="195">
        <f>SUM('Historical Shipments'!$K33:$L33)</f>
        <v>39279.6</v>
      </c>
      <c r="Q33" s="195">
        <f>SUM('Historical Shipments'!$M33:$N33)</f>
        <v>32718.6</v>
      </c>
      <c r="R33" s="188"/>
      <c r="S33" s="196">
        <f t="shared" si="7"/>
        <v>2</v>
      </c>
      <c r="T33" s="196">
        <f t="shared" si="8"/>
        <v>2</v>
      </c>
      <c r="U33" s="196">
        <f t="shared" si="9"/>
        <v>2</v>
      </c>
      <c r="V33" s="196">
        <f t="shared" si="10"/>
        <v>2</v>
      </c>
      <c r="W33" s="186"/>
      <c r="X33" s="172"/>
    </row>
    <row r="34" ht="15.75" customHeight="1">
      <c r="A34" s="190">
        <v>41911.0</v>
      </c>
      <c r="B34" s="191">
        <v>1.0</v>
      </c>
      <c r="C34" s="191" t="s">
        <v>45</v>
      </c>
      <c r="D34" s="192">
        <v>12973.2</v>
      </c>
      <c r="E34" s="193"/>
      <c r="F34" s="186"/>
      <c r="G34" s="161">
        <v>42079.0</v>
      </c>
      <c r="H34" s="186"/>
      <c r="I34" s="194">
        <f t="shared" si="1"/>
        <v>42079</v>
      </c>
      <c r="J34" s="195">
        <f t="shared" si="2"/>
        <v>71741.8</v>
      </c>
      <c r="K34" s="195">
        <f t="shared" si="3"/>
        <v>16917.2</v>
      </c>
      <c r="L34" s="195">
        <f t="shared" si="4"/>
        <v>15233.6</v>
      </c>
      <c r="M34" s="195">
        <f t="shared" si="5"/>
        <v>16832.4</v>
      </c>
      <c r="N34" s="195">
        <f t="shared" si="6"/>
        <v>22758.6</v>
      </c>
      <c r="O34" s="188"/>
      <c r="P34" s="195">
        <f>SUM('Historical Shipments'!$K34:$L34)</f>
        <v>32150.8</v>
      </c>
      <c r="Q34" s="195">
        <f>SUM('Historical Shipments'!$M34:$N34)</f>
        <v>39591</v>
      </c>
      <c r="R34" s="188"/>
      <c r="S34" s="196">
        <f t="shared" si="7"/>
        <v>2</v>
      </c>
      <c r="T34" s="196">
        <f t="shared" si="8"/>
        <v>2</v>
      </c>
      <c r="U34" s="196">
        <f t="shared" si="9"/>
        <v>2</v>
      </c>
      <c r="V34" s="196">
        <f t="shared" si="10"/>
        <v>2</v>
      </c>
      <c r="W34" s="186"/>
      <c r="X34" s="172"/>
    </row>
    <row r="35" ht="15.75" customHeight="1">
      <c r="A35" s="190">
        <v>41911.0</v>
      </c>
      <c r="B35" s="191">
        <v>1.0</v>
      </c>
      <c r="C35" s="191" t="s">
        <v>46</v>
      </c>
      <c r="D35" s="192">
        <v>15770.000000000002</v>
      </c>
      <c r="E35" s="193"/>
      <c r="F35" s="186"/>
      <c r="G35" s="161">
        <v>42086.0</v>
      </c>
      <c r="H35" s="186"/>
      <c r="I35" s="194">
        <f t="shared" si="1"/>
        <v>42086</v>
      </c>
      <c r="J35" s="195">
        <f t="shared" si="2"/>
        <v>72789.9</v>
      </c>
      <c r="K35" s="195">
        <f t="shared" si="3"/>
        <v>15196.4</v>
      </c>
      <c r="L35" s="195">
        <f t="shared" si="4"/>
        <v>14309</v>
      </c>
      <c r="M35" s="195">
        <f t="shared" si="5"/>
        <v>19280.9</v>
      </c>
      <c r="N35" s="195">
        <f t="shared" si="6"/>
        <v>24003.6</v>
      </c>
      <c r="O35" s="188"/>
      <c r="P35" s="195">
        <f>SUM('Historical Shipments'!$K35:$L35)</f>
        <v>29505.4</v>
      </c>
      <c r="Q35" s="195">
        <f>SUM('Historical Shipments'!$M35:$N35)</f>
        <v>43284.5</v>
      </c>
      <c r="R35" s="188"/>
      <c r="S35" s="196">
        <f t="shared" si="7"/>
        <v>2</v>
      </c>
      <c r="T35" s="196">
        <f t="shared" si="8"/>
        <v>2</v>
      </c>
      <c r="U35" s="196">
        <f t="shared" si="9"/>
        <v>2</v>
      </c>
      <c r="V35" s="196">
        <f t="shared" si="10"/>
        <v>2</v>
      </c>
      <c r="W35" s="186"/>
      <c r="X35" s="172"/>
    </row>
    <row r="36" ht="15.75" customHeight="1">
      <c r="A36" s="190">
        <v>41911.0</v>
      </c>
      <c r="B36" s="191">
        <v>2.0</v>
      </c>
      <c r="C36" s="191" t="s">
        <v>45</v>
      </c>
      <c r="D36" s="192">
        <v>10846.6</v>
      </c>
      <c r="E36" s="193"/>
      <c r="F36" s="186"/>
      <c r="G36" s="161">
        <v>42093.0</v>
      </c>
      <c r="H36" s="186"/>
      <c r="I36" s="194">
        <f t="shared" si="1"/>
        <v>42093</v>
      </c>
      <c r="J36" s="195">
        <f t="shared" si="2"/>
        <v>73149.1</v>
      </c>
      <c r="K36" s="195">
        <f t="shared" si="3"/>
        <v>16454.4</v>
      </c>
      <c r="L36" s="195">
        <f t="shared" si="4"/>
        <v>14041</v>
      </c>
      <c r="M36" s="195">
        <f t="shared" si="5"/>
        <v>18044.2</v>
      </c>
      <c r="N36" s="195">
        <f t="shared" si="6"/>
        <v>24609.5</v>
      </c>
      <c r="O36" s="188"/>
      <c r="P36" s="195">
        <f>SUM('Historical Shipments'!$K36:$L36)</f>
        <v>30495.4</v>
      </c>
      <c r="Q36" s="195">
        <f>SUM('Historical Shipments'!$M36:$N36)</f>
        <v>42653.7</v>
      </c>
      <c r="R36" s="188"/>
      <c r="S36" s="196">
        <f t="shared" si="7"/>
        <v>2</v>
      </c>
      <c r="T36" s="196">
        <f t="shared" si="8"/>
        <v>2</v>
      </c>
      <c r="U36" s="196">
        <f t="shared" si="9"/>
        <v>2</v>
      </c>
      <c r="V36" s="196">
        <f t="shared" si="10"/>
        <v>2</v>
      </c>
      <c r="W36" s="186"/>
      <c r="X36" s="172"/>
    </row>
    <row r="37" ht="15.75" customHeight="1">
      <c r="A37" s="190">
        <v>41911.0</v>
      </c>
      <c r="B37" s="191">
        <v>2.0</v>
      </c>
      <c r="C37" s="191" t="s">
        <v>46</v>
      </c>
      <c r="D37" s="192">
        <v>21198.2</v>
      </c>
      <c r="E37" s="193"/>
      <c r="F37" s="186"/>
      <c r="G37" s="161">
        <v>42100.0</v>
      </c>
      <c r="H37" s="186"/>
      <c r="I37" s="194">
        <f t="shared" si="1"/>
        <v>42100</v>
      </c>
      <c r="J37" s="195">
        <f t="shared" si="2"/>
        <v>78187.8</v>
      </c>
      <c r="K37" s="195">
        <f t="shared" si="3"/>
        <v>18254.6</v>
      </c>
      <c r="L37" s="195">
        <f t="shared" si="4"/>
        <v>17404</v>
      </c>
      <c r="M37" s="195">
        <f t="shared" si="5"/>
        <v>17986.1</v>
      </c>
      <c r="N37" s="195">
        <f t="shared" si="6"/>
        <v>24543.1</v>
      </c>
      <c r="O37" s="188"/>
      <c r="P37" s="195">
        <f>SUM('Historical Shipments'!$K37:$L37)</f>
        <v>35658.6</v>
      </c>
      <c r="Q37" s="195">
        <f>SUM('Historical Shipments'!$M37:$N37)</f>
        <v>42529.2</v>
      </c>
      <c r="R37" s="188"/>
      <c r="S37" s="196">
        <f t="shared" si="7"/>
        <v>2</v>
      </c>
      <c r="T37" s="196">
        <f t="shared" si="8"/>
        <v>2</v>
      </c>
      <c r="U37" s="196">
        <f t="shared" si="9"/>
        <v>2</v>
      </c>
      <c r="V37" s="196">
        <f t="shared" si="10"/>
        <v>2</v>
      </c>
      <c r="W37" s="186"/>
      <c r="X37" s="172"/>
    </row>
    <row r="38" ht="15.75" customHeight="1">
      <c r="A38" s="190">
        <v>41918.0</v>
      </c>
      <c r="B38" s="191">
        <v>1.0</v>
      </c>
      <c r="C38" s="191" t="s">
        <v>45</v>
      </c>
      <c r="D38" s="192">
        <v>15712.0</v>
      </c>
      <c r="E38" s="193"/>
      <c r="F38" s="186"/>
      <c r="G38" s="161">
        <v>42107.0</v>
      </c>
      <c r="H38" s="186"/>
      <c r="I38" s="194">
        <f t="shared" si="1"/>
        <v>42107</v>
      </c>
      <c r="J38" s="195">
        <f t="shared" si="2"/>
        <v>74039</v>
      </c>
      <c r="K38" s="195">
        <f t="shared" si="3"/>
        <v>17605.6</v>
      </c>
      <c r="L38" s="195">
        <f t="shared" si="4"/>
        <v>15282</v>
      </c>
      <c r="M38" s="195">
        <f t="shared" si="5"/>
        <v>17446.6</v>
      </c>
      <c r="N38" s="195">
        <f t="shared" si="6"/>
        <v>23704.8</v>
      </c>
      <c r="O38" s="188"/>
      <c r="P38" s="195">
        <f>SUM('Historical Shipments'!$K38:$L38)</f>
        <v>32887.6</v>
      </c>
      <c r="Q38" s="195">
        <f>SUM('Historical Shipments'!$M38:$N38)</f>
        <v>41151.4</v>
      </c>
      <c r="R38" s="188"/>
      <c r="S38" s="196">
        <f t="shared" si="7"/>
        <v>2</v>
      </c>
      <c r="T38" s="196">
        <f t="shared" si="8"/>
        <v>2</v>
      </c>
      <c r="U38" s="196">
        <f t="shared" si="9"/>
        <v>2</v>
      </c>
      <c r="V38" s="196">
        <f t="shared" si="10"/>
        <v>2</v>
      </c>
      <c r="W38" s="186"/>
      <c r="X38" s="172"/>
    </row>
    <row r="39" ht="15.75" customHeight="1">
      <c r="A39" s="190">
        <v>41918.0</v>
      </c>
      <c r="B39" s="191">
        <v>1.0</v>
      </c>
      <c r="C39" s="191" t="s">
        <v>46</v>
      </c>
      <c r="D39" s="192">
        <v>16915.4</v>
      </c>
      <c r="E39" s="193"/>
      <c r="F39" s="186"/>
      <c r="G39" s="161">
        <v>42114.0</v>
      </c>
      <c r="H39" s="186"/>
      <c r="I39" s="194">
        <f t="shared" si="1"/>
        <v>42114</v>
      </c>
      <c r="J39" s="195">
        <f t="shared" si="2"/>
        <v>74389.1</v>
      </c>
      <c r="K39" s="195">
        <f t="shared" si="3"/>
        <v>17450.2</v>
      </c>
      <c r="L39" s="195">
        <f t="shared" si="4"/>
        <v>16393.4</v>
      </c>
      <c r="M39" s="195">
        <f t="shared" si="5"/>
        <v>17197.6</v>
      </c>
      <c r="N39" s="195">
        <f t="shared" si="6"/>
        <v>23347.9</v>
      </c>
      <c r="O39" s="188"/>
      <c r="P39" s="195">
        <f>SUM('Historical Shipments'!$K39:$L39)</f>
        <v>33843.6</v>
      </c>
      <c r="Q39" s="195">
        <f>SUM('Historical Shipments'!$M39:$N39)</f>
        <v>40545.5</v>
      </c>
      <c r="R39" s="188"/>
      <c r="S39" s="196">
        <f t="shared" si="7"/>
        <v>2</v>
      </c>
      <c r="T39" s="196">
        <f t="shared" si="8"/>
        <v>2</v>
      </c>
      <c r="U39" s="196">
        <f t="shared" si="9"/>
        <v>2</v>
      </c>
      <c r="V39" s="196">
        <f t="shared" si="10"/>
        <v>2</v>
      </c>
      <c r="W39" s="186"/>
      <c r="X39" s="172"/>
    </row>
    <row r="40" ht="15.75" customHeight="1">
      <c r="A40" s="190">
        <v>41918.0</v>
      </c>
      <c r="B40" s="191">
        <v>2.0</v>
      </c>
      <c r="C40" s="191" t="s">
        <v>45</v>
      </c>
      <c r="D40" s="192">
        <v>12247.400000000001</v>
      </c>
      <c r="E40" s="193"/>
      <c r="F40" s="186"/>
      <c r="G40" s="161">
        <v>42121.0</v>
      </c>
      <c r="H40" s="186"/>
      <c r="I40" s="194">
        <f t="shared" si="1"/>
        <v>42121</v>
      </c>
      <c r="J40" s="195">
        <f t="shared" si="2"/>
        <v>70078.2</v>
      </c>
      <c r="K40" s="195">
        <f t="shared" si="3"/>
        <v>18222.4</v>
      </c>
      <c r="L40" s="195">
        <f t="shared" si="4"/>
        <v>14887.6</v>
      </c>
      <c r="M40" s="195">
        <f t="shared" si="5"/>
        <v>16757.7</v>
      </c>
      <c r="N40" s="195">
        <f t="shared" si="6"/>
        <v>20210.5</v>
      </c>
      <c r="O40" s="188"/>
      <c r="P40" s="195">
        <f>SUM('Historical Shipments'!$K40:$L40)</f>
        <v>33110</v>
      </c>
      <c r="Q40" s="195">
        <f>SUM('Historical Shipments'!$M40:$N40)</f>
        <v>36968.2</v>
      </c>
      <c r="R40" s="188"/>
      <c r="S40" s="196">
        <f t="shared" si="7"/>
        <v>2</v>
      </c>
      <c r="T40" s="196">
        <f t="shared" si="8"/>
        <v>2</v>
      </c>
      <c r="U40" s="196">
        <f t="shared" si="9"/>
        <v>2</v>
      </c>
      <c r="V40" s="196">
        <f t="shared" si="10"/>
        <v>2</v>
      </c>
      <c r="W40" s="186"/>
      <c r="X40" s="172"/>
    </row>
    <row r="41" ht="15.75" customHeight="1">
      <c r="A41" s="190">
        <v>41918.0</v>
      </c>
      <c r="B41" s="191">
        <v>2.0</v>
      </c>
      <c r="C41" s="191" t="s">
        <v>46</v>
      </c>
      <c r="D41" s="192">
        <v>17936.300000000003</v>
      </c>
      <c r="E41" s="193"/>
      <c r="F41" s="186"/>
      <c r="G41" s="161">
        <v>42128.0</v>
      </c>
      <c r="H41" s="186"/>
      <c r="I41" s="194">
        <f t="shared" si="1"/>
        <v>42128</v>
      </c>
      <c r="J41" s="195">
        <f t="shared" si="2"/>
        <v>75057</v>
      </c>
      <c r="K41" s="195">
        <f t="shared" si="3"/>
        <v>17117.6</v>
      </c>
      <c r="L41" s="195">
        <f t="shared" si="4"/>
        <v>15094.8</v>
      </c>
      <c r="M41" s="195">
        <f t="shared" si="5"/>
        <v>20102.6</v>
      </c>
      <c r="N41" s="195">
        <f t="shared" si="6"/>
        <v>22742</v>
      </c>
      <c r="O41" s="188"/>
      <c r="P41" s="195">
        <f>SUM('Historical Shipments'!$K41:$L41)</f>
        <v>32212.4</v>
      </c>
      <c r="Q41" s="195">
        <f>SUM('Historical Shipments'!$M41:$N41)</f>
        <v>42844.6</v>
      </c>
      <c r="R41" s="188"/>
      <c r="S41" s="196">
        <f t="shared" si="7"/>
        <v>2</v>
      </c>
      <c r="T41" s="196">
        <f t="shared" si="8"/>
        <v>2</v>
      </c>
      <c r="U41" s="196">
        <f t="shared" si="9"/>
        <v>2</v>
      </c>
      <c r="V41" s="196">
        <f t="shared" si="10"/>
        <v>2</v>
      </c>
      <c r="W41" s="186"/>
      <c r="X41" s="172"/>
    </row>
    <row r="42" ht="15.75" customHeight="1">
      <c r="A42" s="190">
        <v>41925.0</v>
      </c>
      <c r="B42" s="191">
        <v>1.0</v>
      </c>
      <c r="C42" s="191" t="s">
        <v>45</v>
      </c>
      <c r="D42" s="192">
        <v>13727.6</v>
      </c>
      <c r="E42" s="193"/>
      <c r="F42" s="186"/>
      <c r="G42" s="161">
        <v>42135.0</v>
      </c>
      <c r="H42" s="186"/>
      <c r="I42" s="194">
        <f t="shared" si="1"/>
        <v>42135</v>
      </c>
      <c r="J42" s="195">
        <f t="shared" si="2"/>
        <v>82749.9</v>
      </c>
      <c r="K42" s="195">
        <f t="shared" si="3"/>
        <v>19712.4</v>
      </c>
      <c r="L42" s="195">
        <f t="shared" si="4"/>
        <v>17279.6</v>
      </c>
      <c r="M42" s="195">
        <f t="shared" si="5"/>
        <v>20268.6</v>
      </c>
      <c r="N42" s="195">
        <f t="shared" si="6"/>
        <v>25489.3</v>
      </c>
      <c r="O42" s="188"/>
      <c r="P42" s="195">
        <f>SUM('Historical Shipments'!$K42:$L42)</f>
        <v>36992</v>
      </c>
      <c r="Q42" s="195">
        <f>SUM('Historical Shipments'!$M42:$N42)</f>
        <v>45757.9</v>
      </c>
      <c r="R42" s="188"/>
      <c r="S42" s="196">
        <f t="shared" si="7"/>
        <v>2</v>
      </c>
      <c r="T42" s="196">
        <f t="shared" si="8"/>
        <v>2</v>
      </c>
      <c r="U42" s="196">
        <f t="shared" si="9"/>
        <v>2</v>
      </c>
      <c r="V42" s="196">
        <f t="shared" si="10"/>
        <v>2</v>
      </c>
      <c r="W42" s="186"/>
      <c r="X42" s="172"/>
    </row>
    <row r="43" ht="15.75" customHeight="1">
      <c r="A43" s="190">
        <v>41925.0</v>
      </c>
      <c r="B43" s="191">
        <v>1.0</v>
      </c>
      <c r="C43" s="191" t="s">
        <v>46</v>
      </c>
      <c r="D43" s="192">
        <v>17015.0</v>
      </c>
      <c r="E43" s="193"/>
      <c r="F43" s="186"/>
      <c r="G43" s="161">
        <v>42142.0</v>
      </c>
      <c r="H43" s="186"/>
      <c r="I43" s="194">
        <f t="shared" si="1"/>
        <v>42142</v>
      </c>
      <c r="J43" s="195">
        <f t="shared" si="2"/>
        <v>80534.3</v>
      </c>
      <c r="K43" s="195">
        <f t="shared" si="3"/>
        <v>19407</v>
      </c>
      <c r="L43" s="195">
        <f t="shared" si="4"/>
        <v>17909.2</v>
      </c>
      <c r="M43" s="195">
        <f t="shared" si="5"/>
        <v>18268.3</v>
      </c>
      <c r="N43" s="195">
        <f t="shared" si="6"/>
        <v>24949.8</v>
      </c>
      <c r="O43" s="188"/>
      <c r="P43" s="195">
        <f>SUM('Historical Shipments'!$K43:$L43)</f>
        <v>37316.2</v>
      </c>
      <c r="Q43" s="195">
        <f>SUM('Historical Shipments'!$M43:$N43)</f>
        <v>43218.1</v>
      </c>
      <c r="R43" s="188"/>
      <c r="S43" s="196">
        <f t="shared" si="7"/>
        <v>2</v>
      </c>
      <c r="T43" s="196">
        <f t="shared" si="8"/>
        <v>2</v>
      </c>
      <c r="U43" s="196">
        <f t="shared" si="9"/>
        <v>2</v>
      </c>
      <c r="V43" s="196">
        <f t="shared" si="10"/>
        <v>2</v>
      </c>
      <c r="W43" s="186"/>
      <c r="X43" s="172"/>
    </row>
    <row r="44" ht="15.75" customHeight="1">
      <c r="A44" s="190">
        <v>41925.0</v>
      </c>
      <c r="B44" s="191">
        <v>2.0</v>
      </c>
      <c r="C44" s="191" t="s">
        <v>45</v>
      </c>
      <c r="D44" s="192">
        <v>11606.400000000001</v>
      </c>
      <c r="E44" s="193"/>
      <c r="F44" s="186"/>
      <c r="G44" s="161">
        <v>42149.0</v>
      </c>
      <c r="H44" s="186"/>
      <c r="I44" s="194">
        <f t="shared" si="1"/>
        <v>42149</v>
      </c>
      <c r="J44" s="195">
        <f t="shared" si="2"/>
        <v>81416.9</v>
      </c>
      <c r="K44" s="195">
        <f t="shared" si="3"/>
        <v>18816.6</v>
      </c>
      <c r="L44" s="195">
        <f t="shared" si="4"/>
        <v>17556.2</v>
      </c>
      <c r="M44" s="195">
        <f t="shared" si="5"/>
        <v>18998.7</v>
      </c>
      <c r="N44" s="195">
        <f t="shared" si="6"/>
        <v>26045.4</v>
      </c>
      <c r="O44" s="188"/>
      <c r="P44" s="195">
        <f>SUM('Historical Shipments'!$K44:$L44)</f>
        <v>36372.8</v>
      </c>
      <c r="Q44" s="195">
        <f>SUM('Historical Shipments'!$M44:$N44)</f>
        <v>45044.1</v>
      </c>
      <c r="R44" s="188"/>
      <c r="S44" s="196">
        <f t="shared" si="7"/>
        <v>2</v>
      </c>
      <c r="T44" s="196">
        <f t="shared" si="8"/>
        <v>2</v>
      </c>
      <c r="U44" s="196">
        <f t="shared" si="9"/>
        <v>2</v>
      </c>
      <c r="V44" s="196">
        <f t="shared" si="10"/>
        <v>2</v>
      </c>
      <c r="W44" s="186"/>
      <c r="X44" s="172"/>
    </row>
    <row r="45" ht="15.75" customHeight="1">
      <c r="A45" s="190">
        <v>41925.0</v>
      </c>
      <c r="B45" s="191">
        <v>2.0</v>
      </c>
      <c r="C45" s="191" t="s">
        <v>46</v>
      </c>
      <c r="D45" s="192">
        <v>18085.7</v>
      </c>
      <c r="E45" s="193"/>
      <c r="F45" s="186"/>
      <c r="G45" s="161">
        <v>42156.0</v>
      </c>
      <c r="H45" s="186"/>
      <c r="I45" s="194">
        <f t="shared" si="1"/>
        <v>42156</v>
      </c>
      <c r="J45" s="195">
        <f t="shared" si="2"/>
        <v>80237.7</v>
      </c>
      <c r="K45" s="195">
        <f t="shared" si="3"/>
        <v>18608.2</v>
      </c>
      <c r="L45" s="195">
        <f t="shared" si="4"/>
        <v>16419.4</v>
      </c>
      <c r="M45" s="195">
        <f t="shared" si="5"/>
        <v>19073.4</v>
      </c>
      <c r="N45" s="195">
        <f t="shared" si="6"/>
        <v>26136.7</v>
      </c>
      <c r="O45" s="188"/>
      <c r="P45" s="195">
        <f>SUM('Historical Shipments'!$K45:$L45)</f>
        <v>35027.6</v>
      </c>
      <c r="Q45" s="195">
        <f>SUM('Historical Shipments'!$M45:$N45)</f>
        <v>45210.1</v>
      </c>
      <c r="R45" s="188"/>
      <c r="S45" s="196">
        <f t="shared" si="7"/>
        <v>2</v>
      </c>
      <c r="T45" s="196">
        <f t="shared" si="8"/>
        <v>2</v>
      </c>
      <c r="U45" s="196">
        <f t="shared" si="9"/>
        <v>2</v>
      </c>
      <c r="V45" s="196">
        <f t="shared" si="10"/>
        <v>2</v>
      </c>
      <c r="W45" s="186"/>
      <c r="X45" s="172"/>
    </row>
    <row r="46" ht="15.75" customHeight="1">
      <c r="A46" s="190">
        <v>41932.0</v>
      </c>
      <c r="B46" s="191">
        <v>1.0</v>
      </c>
      <c r="C46" s="191" t="s">
        <v>45</v>
      </c>
      <c r="D46" s="192">
        <v>15927.0</v>
      </c>
      <c r="E46" s="193"/>
      <c r="F46" s="186"/>
      <c r="G46" s="161">
        <v>42163.0</v>
      </c>
      <c r="H46" s="186"/>
      <c r="I46" s="194">
        <f t="shared" si="1"/>
        <v>42163</v>
      </c>
      <c r="J46" s="195">
        <f t="shared" si="2"/>
        <v>85324</v>
      </c>
      <c r="K46" s="195">
        <f t="shared" si="3"/>
        <v>19102.4</v>
      </c>
      <c r="L46" s="195">
        <f t="shared" si="4"/>
        <v>16488</v>
      </c>
      <c r="M46" s="195">
        <f t="shared" si="5"/>
        <v>20882.8</v>
      </c>
      <c r="N46" s="195">
        <f t="shared" si="6"/>
        <v>28850.8</v>
      </c>
      <c r="O46" s="188"/>
      <c r="P46" s="195">
        <f>SUM('Historical Shipments'!$K46:$L46)</f>
        <v>35590.4</v>
      </c>
      <c r="Q46" s="195">
        <f>SUM('Historical Shipments'!$M46:$N46)</f>
        <v>49733.6</v>
      </c>
      <c r="R46" s="188"/>
      <c r="S46" s="196">
        <f t="shared" si="7"/>
        <v>2</v>
      </c>
      <c r="T46" s="196">
        <f t="shared" si="8"/>
        <v>2</v>
      </c>
      <c r="U46" s="196">
        <f t="shared" si="9"/>
        <v>2</v>
      </c>
      <c r="V46" s="196">
        <f t="shared" si="10"/>
        <v>2</v>
      </c>
      <c r="W46" s="186"/>
      <c r="X46" s="172"/>
    </row>
    <row r="47" ht="15.75" customHeight="1">
      <c r="A47" s="190">
        <v>41932.0</v>
      </c>
      <c r="B47" s="191">
        <v>1.0</v>
      </c>
      <c r="C47" s="191" t="s">
        <v>46</v>
      </c>
      <c r="D47" s="192">
        <v>15687.000000000002</v>
      </c>
      <c r="E47" s="193"/>
      <c r="F47" s="186"/>
      <c r="G47" s="161">
        <v>42170.0</v>
      </c>
      <c r="H47" s="186"/>
      <c r="I47" s="194">
        <f t="shared" si="1"/>
        <v>42170</v>
      </c>
      <c r="J47" s="195">
        <f t="shared" si="2"/>
        <v>73626.3</v>
      </c>
      <c r="K47" s="195">
        <f t="shared" si="3"/>
        <v>19189.6</v>
      </c>
      <c r="L47" s="195">
        <f t="shared" si="4"/>
        <v>19103.6</v>
      </c>
      <c r="M47" s="195">
        <f t="shared" si="5"/>
        <v>17098</v>
      </c>
      <c r="N47" s="195">
        <f t="shared" si="6"/>
        <v>18235.1</v>
      </c>
      <c r="O47" s="188"/>
      <c r="P47" s="195">
        <f>SUM('Historical Shipments'!$K47:$L47)</f>
        <v>38293.2</v>
      </c>
      <c r="Q47" s="195">
        <f>SUM('Historical Shipments'!$M47:$N47)</f>
        <v>35333.1</v>
      </c>
      <c r="R47" s="188"/>
      <c r="S47" s="196">
        <f t="shared" si="7"/>
        <v>2</v>
      </c>
      <c r="T47" s="196">
        <f t="shared" si="8"/>
        <v>2</v>
      </c>
      <c r="U47" s="196">
        <f t="shared" si="9"/>
        <v>2</v>
      </c>
      <c r="V47" s="196">
        <f t="shared" si="10"/>
        <v>2</v>
      </c>
      <c r="W47" s="186"/>
      <c r="X47" s="172"/>
    </row>
    <row r="48" ht="15.75" customHeight="1">
      <c r="A48" s="190">
        <v>41932.0</v>
      </c>
      <c r="B48" s="191">
        <v>2.0</v>
      </c>
      <c r="C48" s="191" t="s">
        <v>45</v>
      </c>
      <c r="D48" s="192">
        <v>14049.400000000001</v>
      </c>
      <c r="E48" s="193"/>
      <c r="F48" s="186"/>
      <c r="G48" s="161">
        <v>42177.0</v>
      </c>
      <c r="H48" s="186"/>
      <c r="I48" s="194">
        <f t="shared" si="1"/>
        <v>42177</v>
      </c>
      <c r="J48" s="195">
        <f t="shared" si="2"/>
        <v>77394.2</v>
      </c>
      <c r="K48" s="195">
        <f t="shared" si="3"/>
        <v>18378</v>
      </c>
      <c r="L48" s="195">
        <f t="shared" si="4"/>
        <v>14710.8</v>
      </c>
      <c r="M48" s="195">
        <f t="shared" si="5"/>
        <v>20667</v>
      </c>
      <c r="N48" s="195">
        <f t="shared" si="6"/>
        <v>23638.4</v>
      </c>
      <c r="O48" s="188"/>
      <c r="P48" s="195">
        <f>SUM('Historical Shipments'!$K48:$L48)</f>
        <v>33088.8</v>
      </c>
      <c r="Q48" s="195">
        <f>SUM('Historical Shipments'!$M48:$N48)</f>
        <v>44305.4</v>
      </c>
      <c r="R48" s="188"/>
      <c r="S48" s="196">
        <f t="shared" si="7"/>
        <v>2</v>
      </c>
      <c r="T48" s="196">
        <f t="shared" si="8"/>
        <v>2</v>
      </c>
      <c r="U48" s="196">
        <f t="shared" si="9"/>
        <v>2</v>
      </c>
      <c r="V48" s="196">
        <f t="shared" si="10"/>
        <v>2</v>
      </c>
      <c r="W48" s="186"/>
      <c r="X48" s="172"/>
    </row>
    <row r="49" ht="15.75" customHeight="1">
      <c r="A49" s="190">
        <v>41932.0</v>
      </c>
      <c r="B49" s="191">
        <v>2.0</v>
      </c>
      <c r="C49" s="191" t="s">
        <v>46</v>
      </c>
      <c r="D49" s="192">
        <v>21065.4</v>
      </c>
      <c r="E49" s="193"/>
      <c r="F49" s="186"/>
      <c r="G49" s="161">
        <v>42184.0</v>
      </c>
      <c r="H49" s="186"/>
      <c r="I49" s="194">
        <f t="shared" si="1"/>
        <v>42184</v>
      </c>
      <c r="J49" s="195">
        <f t="shared" si="2"/>
        <v>76064</v>
      </c>
      <c r="K49" s="195">
        <f t="shared" si="3"/>
        <v>20008</v>
      </c>
      <c r="L49" s="195">
        <f t="shared" si="4"/>
        <v>15684.8</v>
      </c>
      <c r="M49" s="195">
        <f t="shared" si="5"/>
        <v>18102.3</v>
      </c>
      <c r="N49" s="195">
        <f t="shared" si="6"/>
        <v>22268.9</v>
      </c>
      <c r="O49" s="188"/>
      <c r="P49" s="195">
        <f>SUM('Historical Shipments'!$K49:$L49)</f>
        <v>35692.8</v>
      </c>
      <c r="Q49" s="195">
        <f>SUM('Historical Shipments'!$M49:$N49)</f>
        <v>40371.2</v>
      </c>
      <c r="R49" s="188"/>
      <c r="S49" s="196">
        <f t="shared" si="7"/>
        <v>2</v>
      </c>
      <c r="T49" s="196">
        <f t="shared" si="8"/>
        <v>2</v>
      </c>
      <c r="U49" s="196">
        <f t="shared" si="9"/>
        <v>2</v>
      </c>
      <c r="V49" s="196">
        <f t="shared" si="10"/>
        <v>2</v>
      </c>
      <c r="W49" s="186"/>
      <c r="X49" s="172"/>
    </row>
    <row r="50" ht="15.75" customHeight="1">
      <c r="A50" s="190">
        <v>41939.0</v>
      </c>
      <c r="B50" s="191">
        <v>1.0</v>
      </c>
      <c r="C50" s="191" t="s">
        <v>45</v>
      </c>
      <c r="D50" s="192">
        <v>13166.0</v>
      </c>
      <c r="E50" s="193"/>
      <c r="F50" s="186"/>
      <c r="G50" s="161">
        <v>42191.0</v>
      </c>
      <c r="H50" s="186"/>
      <c r="I50" s="194">
        <f t="shared" si="1"/>
        <v>42191</v>
      </c>
      <c r="J50" s="195">
        <f t="shared" si="2"/>
        <v>88593.4</v>
      </c>
      <c r="K50" s="195">
        <f t="shared" si="3"/>
        <v>20573.4</v>
      </c>
      <c r="L50" s="195">
        <f t="shared" si="4"/>
        <v>18469</v>
      </c>
      <c r="M50" s="195">
        <f t="shared" si="5"/>
        <v>20799.8</v>
      </c>
      <c r="N50" s="195">
        <f t="shared" si="6"/>
        <v>28751.2</v>
      </c>
      <c r="O50" s="188"/>
      <c r="P50" s="195">
        <f>SUM('Historical Shipments'!$K50:$L50)</f>
        <v>39042.4</v>
      </c>
      <c r="Q50" s="195">
        <f>SUM('Historical Shipments'!$M50:$N50)</f>
        <v>49551</v>
      </c>
      <c r="R50" s="188"/>
      <c r="S50" s="196">
        <f t="shared" si="7"/>
        <v>2</v>
      </c>
      <c r="T50" s="196">
        <f t="shared" si="8"/>
        <v>2</v>
      </c>
      <c r="U50" s="196">
        <f t="shared" si="9"/>
        <v>2</v>
      </c>
      <c r="V50" s="196">
        <f t="shared" si="10"/>
        <v>2</v>
      </c>
      <c r="W50" s="186"/>
      <c r="X50" s="172"/>
    </row>
    <row r="51" ht="15.75" customHeight="1">
      <c r="A51" s="190">
        <v>41939.0</v>
      </c>
      <c r="B51" s="191">
        <v>1.0</v>
      </c>
      <c r="C51" s="191" t="s">
        <v>46</v>
      </c>
      <c r="D51" s="192">
        <v>17313.800000000003</v>
      </c>
      <c r="E51" s="193"/>
      <c r="F51" s="186"/>
      <c r="G51" s="161">
        <v>42198.0</v>
      </c>
      <c r="H51" s="186"/>
      <c r="I51" s="194">
        <f t="shared" si="1"/>
        <v>42198</v>
      </c>
      <c r="J51" s="195">
        <f t="shared" si="2"/>
        <v>82711.4</v>
      </c>
      <c r="K51" s="195">
        <f t="shared" si="3"/>
        <v>20666.8</v>
      </c>
      <c r="L51" s="195">
        <f t="shared" si="4"/>
        <v>17739.2</v>
      </c>
      <c r="M51" s="195">
        <f t="shared" si="5"/>
        <v>18708.2</v>
      </c>
      <c r="N51" s="195">
        <f t="shared" si="6"/>
        <v>25597.2</v>
      </c>
      <c r="O51" s="188"/>
      <c r="P51" s="195">
        <f>SUM('Historical Shipments'!$K51:$L51)</f>
        <v>38406</v>
      </c>
      <c r="Q51" s="195">
        <f>SUM('Historical Shipments'!$M51:$N51)</f>
        <v>44305.4</v>
      </c>
      <c r="R51" s="188"/>
      <c r="S51" s="196">
        <f t="shared" si="7"/>
        <v>2</v>
      </c>
      <c r="T51" s="196">
        <f t="shared" si="8"/>
        <v>2</v>
      </c>
      <c r="U51" s="196">
        <f t="shared" si="9"/>
        <v>2</v>
      </c>
      <c r="V51" s="196">
        <f t="shared" si="10"/>
        <v>2</v>
      </c>
      <c r="W51" s="186"/>
      <c r="X51" s="172"/>
    </row>
    <row r="52" ht="15.75" customHeight="1">
      <c r="A52" s="190">
        <v>41939.0</v>
      </c>
      <c r="B52" s="191">
        <v>2.0</v>
      </c>
      <c r="C52" s="191" t="s">
        <v>45</v>
      </c>
      <c r="D52" s="192">
        <v>9325.2</v>
      </c>
      <c r="E52" s="193"/>
      <c r="F52" s="186"/>
      <c r="G52" s="161">
        <v>42205.0</v>
      </c>
      <c r="H52" s="186"/>
      <c r="I52" s="194">
        <f t="shared" si="1"/>
        <v>42205</v>
      </c>
      <c r="J52" s="195">
        <f t="shared" si="2"/>
        <v>78322</v>
      </c>
      <c r="K52" s="195">
        <f t="shared" si="3"/>
        <v>19372.2</v>
      </c>
      <c r="L52" s="195">
        <f t="shared" si="4"/>
        <v>17366.8</v>
      </c>
      <c r="M52" s="195">
        <f t="shared" si="5"/>
        <v>18608.6</v>
      </c>
      <c r="N52" s="195">
        <f t="shared" si="6"/>
        <v>22974.4</v>
      </c>
      <c r="O52" s="188"/>
      <c r="P52" s="195">
        <f>SUM('Historical Shipments'!$K52:$L52)</f>
        <v>36739</v>
      </c>
      <c r="Q52" s="195">
        <f>SUM('Historical Shipments'!$M52:$N52)</f>
        <v>41583</v>
      </c>
      <c r="R52" s="188"/>
      <c r="S52" s="196">
        <f t="shared" si="7"/>
        <v>2</v>
      </c>
      <c r="T52" s="196">
        <f t="shared" si="8"/>
        <v>2</v>
      </c>
      <c r="U52" s="196">
        <f t="shared" si="9"/>
        <v>2</v>
      </c>
      <c r="V52" s="196">
        <f t="shared" si="10"/>
        <v>2</v>
      </c>
      <c r="W52" s="186"/>
      <c r="X52" s="172"/>
    </row>
    <row r="53" ht="15.75" customHeight="1">
      <c r="A53" s="190">
        <v>41939.0</v>
      </c>
      <c r="B53" s="191">
        <v>2.0</v>
      </c>
      <c r="C53" s="191" t="s">
        <v>46</v>
      </c>
      <c r="D53" s="192">
        <v>23513.9</v>
      </c>
      <c r="E53" s="193"/>
      <c r="F53" s="186"/>
      <c r="G53" s="161">
        <v>42212.0</v>
      </c>
      <c r="H53" s="186"/>
      <c r="I53" s="194">
        <f t="shared" si="1"/>
        <v>42212</v>
      </c>
      <c r="J53" s="195">
        <f t="shared" si="2"/>
        <v>80806.7</v>
      </c>
      <c r="K53" s="195">
        <f t="shared" si="3"/>
        <v>18470.8</v>
      </c>
      <c r="L53" s="195">
        <f t="shared" si="4"/>
        <v>17474.4</v>
      </c>
      <c r="M53" s="195">
        <f t="shared" si="5"/>
        <v>20891.1</v>
      </c>
      <c r="N53" s="195">
        <f t="shared" si="6"/>
        <v>23970.4</v>
      </c>
      <c r="O53" s="188"/>
      <c r="P53" s="195">
        <f>SUM('Historical Shipments'!$K53:$L53)</f>
        <v>35945.2</v>
      </c>
      <c r="Q53" s="195">
        <f>SUM('Historical Shipments'!$M53:$N53)</f>
        <v>44861.5</v>
      </c>
      <c r="R53" s="188"/>
      <c r="S53" s="196">
        <f t="shared" si="7"/>
        <v>2</v>
      </c>
      <c r="T53" s="196">
        <f t="shared" si="8"/>
        <v>2</v>
      </c>
      <c r="U53" s="196">
        <f t="shared" si="9"/>
        <v>2</v>
      </c>
      <c r="V53" s="196">
        <f t="shared" si="10"/>
        <v>2</v>
      </c>
      <c r="W53" s="186"/>
      <c r="X53" s="172"/>
    </row>
    <row r="54" ht="15.75" customHeight="1">
      <c r="A54" s="190">
        <v>41946.0</v>
      </c>
      <c r="B54" s="191">
        <v>1.0</v>
      </c>
      <c r="C54" s="191" t="s">
        <v>45</v>
      </c>
      <c r="D54" s="192">
        <v>14426.2</v>
      </c>
      <c r="E54" s="193"/>
      <c r="F54" s="186"/>
      <c r="G54" s="173" t="str">
        <f>"Total Weeks: " &amp; COUNTA(ANCHORARRAY(G2))</f>
        <v>Total Weeks: 1</v>
      </c>
      <c r="H54" s="186"/>
      <c r="I54" s="174" t="s">
        <v>7</v>
      </c>
      <c r="J54" s="197">
        <f t="shared" ref="J54:N54" si="11">SUM(J2:J53)</f>
        <v>3659475.3</v>
      </c>
      <c r="K54" s="197">
        <f t="shared" si="11"/>
        <v>871633</v>
      </c>
      <c r="L54" s="197">
        <f t="shared" si="11"/>
        <v>757189.2</v>
      </c>
      <c r="M54" s="197">
        <f t="shared" si="11"/>
        <v>903977.9</v>
      </c>
      <c r="N54" s="197">
        <f t="shared" si="11"/>
        <v>1126675.2</v>
      </c>
      <c r="O54" s="188"/>
      <c r="P54" s="197">
        <f t="shared" ref="P54:Q54" si="12">SUM(P2:P53)</f>
        <v>1628822.2</v>
      </c>
      <c r="Q54" s="197">
        <f t="shared" si="12"/>
        <v>2030653.1</v>
      </c>
      <c r="R54" s="188"/>
      <c r="S54" s="198">
        <f t="shared" ref="S54:V54" si="13">SUM(S2:S53)</f>
        <v>104</v>
      </c>
      <c r="T54" s="198">
        <f t="shared" si="13"/>
        <v>104</v>
      </c>
      <c r="U54" s="198">
        <f t="shared" si="13"/>
        <v>104</v>
      </c>
      <c r="V54" s="198">
        <f t="shared" si="13"/>
        <v>104</v>
      </c>
      <c r="W54" s="186"/>
      <c r="X54" s="172"/>
    </row>
    <row r="55" ht="15.75" customHeight="1">
      <c r="A55" s="190">
        <v>41946.0</v>
      </c>
      <c r="B55" s="191">
        <v>1.0</v>
      </c>
      <c r="C55" s="191" t="s">
        <v>46</v>
      </c>
      <c r="D55" s="192">
        <v>16317.800000000001</v>
      </c>
      <c r="E55" s="193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72"/>
    </row>
    <row r="56" ht="15.75" customHeight="1">
      <c r="A56" s="190">
        <v>41946.0</v>
      </c>
      <c r="B56" s="191">
        <v>2.0</v>
      </c>
      <c r="C56" s="191" t="s">
        <v>45</v>
      </c>
      <c r="D56" s="192">
        <v>12604.0</v>
      </c>
      <c r="E56" s="193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</row>
    <row r="57" ht="15.75" customHeight="1">
      <c r="A57" s="190">
        <v>41946.0</v>
      </c>
      <c r="B57" s="191">
        <v>2.0</v>
      </c>
      <c r="C57" s="191" t="s">
        <v>46</v>
      </c>
      <c r="D57" s="192">
        <v>19529.9</v>
      </c>
      <c r="E57" s="193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</row>
    <row r="58" ht="15.75" customHeight="1">
      <c r="A58" s="190">
        <v>41953.0</v>
      </c>
      <c r="B58" s="191">
        <v>1.0</v>
      </c>
      <c r="C58" s="191" t="s">
        <v>45</v>
      </c>
      <c r="D58" s="192">
        <v>18369.2</v>
      </c>
      <c r="E58" s="193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</row>
    <row r="59" ht="15.75" customHeight="1">
      <c r="A59" s="190">
        <v>41953.0</v>
      </c>
      <c r="B59" s="191">
        <v>1.0</v>
      </c>
      <c r="C59" s="191" t="s">
        <v>46</v>
      </c>
      <c r="D59" s="192">
        <v>15562.500000000002</v>
      </c>
      <c r="E59" s="193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</row>
    <row r="60" ht="15.75" customHeight="1">
      <c r="A60" s="190">
        <v>41953.0</v>
      </c>
      <c r="B60" s="191">
        <v>2.0</v>
      </c>
      <c r="C60" s="191" t="s">
        <v>45</v>
      </c>
      <c r="D60" s="192">
        <v>15840.0</v>
      </c>
      <c r="E60" s="193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</row>
    <row r="61" ht="15.75" customHeight="1">
      <c r="A61" s="190">
        <v>41953.0</v>
      </c>
      <c r="B61" s="191">
        <v>2.0</v>
      </c>
      <c r="C61" s="191" t="s">
        <v>46</v>
      </c>
      <c r="D61" s="192">
        <v>20874.5</v>
      </c>
      <c r="E61" s="193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</row>
    <row r="62" ht="15.75" customHeight="1">
      <c r="A62" s="190">
        <v>41960.0</v>
      </c>
      <c r="B62" s="191">
        <v>1.0</v>
      </c>
      <c r="C62" s="191" t="s">
        <v>45</v>
      </c>
      <c r="D62" s="192">
        <v>14727.2</v>
      </c>
      <c r="E62" s="193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</row>
    <row r="63" ht="15.75" customHeight="1">
      <c r="A63" s="190">
        <v>41960.0</v>
      </c>
      <c r="B63" s="191">
        <v>1.0</v>
      </c>
      <c r="C63" s="191" t="s">
        <v>46</v>
      </c>
      <c r="D63" s="192">
        <v>14923.400000000001</v>
      </c>
      <c r="E63" s="193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</row>
    <row r="64" ht="15.75" customHeight="1">
      <c r="A64" s="190">
        <v>41960.0</v>
      </c>
      <c r="B64" s="191">
        <v>2.0</v>
      </c>
      <c r="C64" s="191" t="s">
        <v>45</v>
      </c>
      <c r="D64" s="192">
        <v>13255.0</v>
      </c>
      <c r="E64" s="193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</row>
    <row r="65" ht="15.75" customHeight="1">
      <c r="A65" s="190">
        <v>41960.0</v>
      </c>
      <c r="B65" s="191">
        <v>2.0</v>
      </c>
      <c r="C65" s="191" t="s">
        <v>46</v>
      </c>
      <c r="D65" s="192">
        <v>14989.800000000001</v>
      </c>
      <c r="E65" s="193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</row>
    <row r="66" ht="15.75" customHeight="1">
      <c r="A66" s="190">
        <v>41967.0</v>
      </c>
      <c r="B66" s="191">
        <v>1.0</v>
      </c>
      <c r="C66" s="191" t="s">
        <v>45</v>
      </c>
      <c r="D66" s="192">
        <v>15463.800000000001</v>
      </c>
      <c r="E66" s="193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</row>
    <row r="67" ht="15.75" customHeight="1">
      <c r="A67" s="190">
        <v>41967.0</v>
      </c>
      <c r="B67" s="191">
        <v>1.0</v>
      </c>
      <c r="C67" s="191" t="s">
        <v>46</v>
      </c>
      <c r="D67" s="192">
        <v>15994.100000000002</v>
      </c>
      <c r="E67" s="193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</row>
    <row r="68" ht="15.75" customHeight="1">
      <c r="A68" s="190">
        <v>41967.0</v>
      </c>
      <c r="B68" s="191">
        <v>2.0</v>
      </c>
      <c r="C68" s="191" t="s">
        <v>45</v>
      </c>
      <c r="D68" s="192">
        <v>12482.2</v>
      </c>
      <c r="E68" s="193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</row>
    <row r="69" ht="15.75" customHeight="1">
      <c r="A69" s="190">
        <v>41967.0</v>
      </c>
      <c r="B69" s="191">
        <v>2.0</v>
      </c>
      <c r="C69" s="191" t="s">
        <v>46</v>
      </c>
      <c r="D69" s="192">
        <v>16600.0</v>
      </c>
      <c r="E69" s="193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</row>
    <row r="70" ht="15.75" customHeight="1">
      <c r="A70" s="190">
        <v>41974.0</v>
      </c>
      <c r="B70" s="191">
        <v>1.0</v>
      </c>
      <c r="C70" s="191" t="s">
        <v>45</v>
      </c>
      <c r="D70" s="192">
        <v>16962.2</v>
      </c>
      <c r="E70" s="193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</row>
    <row r="71" ht="15.75" customHeight="1">
      <c r="A71" s="190">
        <v>41974.0</v>
      </c>
      <c r="B71" s="191">
        <v>1.0</v>
      </c>
      <c r="C71" s="191" t="s">
        <v>46</v>
      </c>
      <c r="D71" s="192">
        <v>15886.2</v>
      </c>
      <c r="E71" s="193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</row>
    <row r="72" ht="15.75" customHeight="1">
      <c r="A72" s="190">
        <v>41974.0</v>
      </c>
      <c r="B72" s="191">
        <v>2.0</v>
      </c>
      <c r="C72" s="191" t="s">
        <v>45</v>
      </c>
      <c r="D72" s="192">
        <v>16274.800000000001</v>
      </c>
      <c r="E72" s="193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</row>
    <row r="73" ht="15.75" customHeight="1">
      <c r="A73" s="190">
        <v>41974.0</v>
      </c>
      <c r="B73" s="191">
        <v>2.0</v>
      </c>
      <c r="C73" s="191" t="s">
        <v>46</v>
      </c>
      <c r="D73" s="192">
        <v>18907.4</v>
      </c>
      <c r="E73" s="193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</row>
    <row r="74" ht="15.75" customHeight="1">
      <c r="A74" s="190">
        <v>41981.0</v>
      </c>
      <c r="B74" s="191">
        <v>1.0</v>
      </c>
      <c r="C74" s="191" t="s">
        <v>45</v>
      </c>
      <c r="D74" s="192">
        <v>15174.2</v>
      </c>
      <c r="E74" s="193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</row>
    <row r="75" ht="15.75" customHeight="1">
      <c r="A75" s="190">
        <v>41981.0</v>
      </c>
      <c r="B75" s="191">
        <v>1.0</v>
      </c>
      <c r="C75" s="191" t="s">
        <v>46</v>
      </c>
      <c r="D75" s="192">
        <v>14823.800000000001</v>
      </c>
      <c r="E75" s="193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</row>
    <row r="76" ht="15.75" customHeight="1">
      <c r="A76" s="190">
        <v>41981.0</v>
      </c>
      <c r="B76" s="191">
        <v>2.0</v>
      </c>
      <c r="C76" s="191" t="s">
        <v>45</v>
      </c>
      <c r="D76" s="192">
        <v>12098.2</v>
      </c>
      <c r="E76" s="193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</row>
    <row r="77" ht="15.75" customHeight="1">
      <c r="A77" s="190">
        <v>41981.0</v>
      </c>
      <c r="B77" s="191">
        <v>2.0</v>
      </c>
      <c r="C77" s="191" t="s">
        <v>46</v>
      </c>
      <c r="D77" s="192">
        <v>19803.800000000003</v>
      </c>
      <c r="E77" s="193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</row>
    <row r="78" ht="15.75" customHeight="1">
      <c r="A78" s="190">
        <v>41988.0</v>
      </c>
      <c r="B78" s="191">
        <v>1.0</v>
      </c>
      <c r="C78" s="191" t="s">
        <v>45</v>
      </c>
      <c r="D78" s="192">
        <v>17100.600000000002</v>
      </c>
      <c r="E78" s="193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</row>
    <row r="79" ht="15.75" customHeight="1">
      <c r="A79" s="190">
        <v>41988.0</v>
      </c>
      <c r="B79" s="191">
        <v>1.0</v>
      </c>
      <c r="C79" s="191" t="s">
        <v>46</v>
      </c>
      <c r="D79" s="192">
        <v>17064.800000000003</v>
      </c>
      <c r="E79" s="193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</row>
    <row r="80" ht="15.75" customHeight="1">
      <c r="A80" s="190">
        <v>41988.0</v>
      </c>
      <c r="B80" s="191">
        <v>2.0</v>
      </c>
      <c r="C80" s="191" t="s">
        <v>45</v>
      </c>
      <c r="D80" s="192">
        <v>14449.6</v>
      </c>
      <c r="E80" s="193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</row>
    <row r="81" ht="15.75" customHeight="1">
      <c r="A81" s="190">
        <v>41988.0</v>
      </c>
      <c r="B81" s="191">
        <v>2.0</v>
      </c>
      <c r="C81" s="191" t="s">
        <v>46</v>
      </c>
      <c r="D81" s="192">
        <v>18185.300000000003</v>
      </c>
      <c r="E81" s="193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</row>
    <row r="82" ht="15.75" customHeight="1">
      <c r="A82" s="190">
        <v>41995.0</v>
      </c>
      <c r="B82" s="191">
        <v>1.0</v>
      </c>
      <c r="C82" s="191" t="s">
        <v>45</v>
      </c>
      <c r="D82" s="192">
        <v>16616.6</v>
      </c>
      <c r="E82" s="193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</row>
    <row r="83" ht="15.75" customHeight="1">
      <c r="A83" s="190">
        <v>41995.0</v>
      </c>
      <c r="B83" s="191">
        <v>1.0</v>
      </c>
      <c r="C83" s="191" t="s">
        <v>46</v>
      </c>
      <c r="D83" s="192">
        <v>17579.4</v>
      </c>
      <c r="E83" s="193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</row>
    <row r="84" ht="15.75" customHeight="1">
      <c r="A84" s="190">
        <v>41995.0</v>
      </c>
      <c r="B84" s="191">
        <v>2.0</v>
      </c>
      <c r="C84" s="191" t="s">
        <v>45</v>
      </c>
      <c r="D84" s="192">
        <v>16339.2</v>
      </c>
      <c r="E84" s="193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</row>
    <row r="85" ht="15.75" customHeight="1">
      <c r="A85" s="190">
        <v>41995.0</v>
      </c>
      <c r="B85" s="191">
        <v>2.0</v>
      </c>
      <c r="C85" s="191" t="s">
        <v>46</v>
      </c>
      <c r="D85" s="192">
        <v>21430.600000000002</v>
      </c>
      <c r="E85" s="193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</row>
    <row r="86" ht="15.75" customHeight="1">
      <c r="A86" s="190">
        <v>42002.0</v>
      </c>
      <c r="B86" s="191">
        <v>1.0</v>
      </c>
      <c r="C86" s="191" t="s">
        <v>45</v>
      </c>
      <c r="D86" s="192">
        <v>19059.6</v>
      </c>
      <c r="E86" s="193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</row>
    <row r="87" ht="15.75" customHeight="1">
      <c r="A87" s="190">
        <v>42002.0</v>
      </c>
      <c r="B87" s="191">
        <v>1.0</v>
      </c>
      <c r="C87" s="191" t="s">
        <v>46</v>
      </c>
      <c r="D87" s="192">
        <v>17446.600000000002</v>
      </c>
      <c r="E87" s="193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</row>
    <row r="88" ht="15.75" customHeight="1">
      <c r="A88" s="190">
        <v>42002.0</v>
      </c>
      <c r="B88" s="191">
        <v>2.0</v>
      </c>
      <c r="C88" s="191" t="s">
        <v>45</v>
      </c>
      <c r="D88" s="192">
        <v>18894.4</v>
      </c>
      <c r="E88" s="193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</row>
    <row r="89" ht="15.75" customHeight="1">
      <c r="A89" s="190">
        <v>42002.0</v>
      </c>
      <c r="B89" s="191">
        <v>2.0</v>
      </c>
      <c r="C89" s="191" t="s">
        <v>46</v>
      </c>
      <c r="D89" s="192">
        <v>23696.500000000004</v>
      </c>
      <c r="E89" s="193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</row>
    <row r="90" ht="15.75" customHeight="1">
      <c r="A90" s="190">
        <v>42009.0</v>
      </c>
      <c r="B90" s="191">
        <v>1.0</v>
      </c>
      <c r="C90" s="191" t="s">
        <v>45</v>
      </c>
      <c r="D90" s="192">
        <v>17004.4</v>
      </c>
      <c r="E90" s="193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</row>
    <row r="91" ht="15.75" customHeight="1">
      <c r="A91" s="190">
        <v>42009.0</v>
      </c>
      <c r="B91" s="191">
        <v>1.0</v>
      </c>
      <c r="C91" s="191" t="s">
        <v>46</v>
      </c>
      <c r="D91" s="192">
        <v>19339.0</v>
      </c>
      <c r="E91" s="193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</row>
    <row r="92" ht="15.75" customHeight="1">
      <c r="A92" s="190">
        <v>42009.0</v>
      </c>
      <c r="B92" s="191">
        <v>2.0</v>
      </c>
      <c r="C92" s="191" t="s">
        <v>45</v>
      </c>
      <c r="D92" s="192">
        <v>14337.4</v>
      </c>
      <c r="E92" s="193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</row>
    <row r="93" ht="15.75" customHeight="1">
      <c r="A93" s="190">
        <v>42009.0</v>
      </c>
      <c r="B93" s="191">
        <v>2.0</v>
      </c>
      <c r="C93" s="191" t="s">
        <v>46</v>
      </c>
      <c r="D93" s="192">
        <v>24053.4</v>
      </c>
      <c r="E93" s="193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</row>
    <row r="94" ht="15.75" customHeight="1">
      <c r="A94" s="190">
        <v>42016.0</v>
      </c>
      <c r="B94" s="191">
        <v>1.0</v>
      </c>
      <c r="C94" s="191" t="s">
        <v>45</v>
      </c>
      <c r="D94" s="192">
        <v>13920.2</v>
      </c>
      <c r="E94" s="193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</row>
    <row r="95" ht="15.75" customHeight="1">
      <c r="A95" s="190">
        <v>42016.0</v>
      </c>
      <c r="B95" s="191">
        <v>1.0</v>
      </c>
      <c r="C95" s="191" t="s">
        <v>46</v>
      </c>
      <c r="D95" s="192">
        <v>14558.2</v>
      </c>
      <c r="E95" s="193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</row>
    <row r="96" ht="15.75" customHeight="1">
      <c r="A96" s="190">
        <v>42016.0</v>
      </c>
      <c r="B96" s="191">
        <v>2.0</v>
      </c>
      <c r="C96" s="191" t="s">
        <v>45</v>
      </c>
      <c r="D96" s="192">
        <v>10744.8</v>
      </c>
      <c r="E96" s="193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</row>
    <row r="97" ht="15.75" customHeight="1">
      <c r="A97" s="190">
        <v>42016.0</v>
      </c>
      <c r="B97" s="191">
        <v>2.0</v>
      </c>
      <c r="C97" s="191" t="s">
        <v>46</v>
      </c>
      <c r="D97" s="192">
        <v>14458.6</v>
      </c>
      <c r="E97" s="193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</row>
    <row r="98" ht="15.75" customHeight="1">
      <c r="A98" s="190">
        <v>42023.0</v>
      </c>
      <c r="B98" s="191">
        <v>1.0</v>
      </c>
      <c r="C98" s="191" t="s">
        <v>45</v>
      </c>
      <c r="D98" s="192">
        <v>14616.0</v>
      </c>
      <c r="E98" s="193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</row>
    <row r="99" ht="15.75" customHeight="1">
      <c r="A99" s="190">
        <v>42023.0</v>
      </c>
      <c r="B99" s="191">
        <v>1.0</v>
      </c>
      <c r="C99" s="191" t="s">
        <v>46</v>
      </c>
      <c r="D99" s="192">
        <v>12566.2</v>
      </c>
      <c r="E99" s="193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</row>
    <row r="100" ht="15.75" customHeight="1">
      <c r="A100" s="190">
        <v>42023.0</v>
      </c>
      <c r="B100" s="191">
        <v>2.0</v>
      </c>
      <c r="C100" s="191" t="s">
        <v>45</v>
      </c>
      <c r="D100" s="192">
        <v>11748.0</v>
      </c>
      <c r="E100" s="193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</row>
    <row r="101" ht="15.75" customHeight="1">
      <c r="A101" s="190">
        <v>42023.0</v>
      </c>
      <c r="B101" s="191">
        <v>2.0</v>
      </c>
      <c r="C101" s="191" t="s">
        <v>46</v>
      </c>
      <c r="D101" s="192">
        <v>16375.900000000001</v>
      </c>
      <c r="E101" s="193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</row>
    <row r="102" ht="15.75" customHeight="1">
      <c r="A102" s="190">
        <v>42030.0</v>
      </c>
      <c r="B102" s="191">
        <v>1.0</v>
      </c>
      <c r="C102" s="191" t="s">
        <v>45</v>
      </c>
      <c r="D102" s="192">
        <v>16293.4</v>
      </c>
      <c r="E102" s="193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</row>
    <row r="103" ht="15.75" customHeight="1">
      <c r="A103" s="190">
        <v>42030.0</v>
      </c>
      <c r="B103" s="191">
        <v>1.0</v>
      </c>
      <c r="C103" s="191" t="s">
        <v>46</v>
      </c>
      <c r="D103" s="192">
        <v>14458.6</v>
      </c>
      <c r="E103" s="193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</row>
    <row r="104" ht="15.75" customHeight="1">
      <c r="A104" s="190">
        <v>42030.0</v>
      </c>
      <c r="B104" s="191">
        <v>2.0</v>
      </c>
      <c r="C104" s="191" t="s">
        <v>45</v>
      </c>
      <c r="D104" s="192">
        <v>14267.2</v>
      </c>
      <c r="E104" s="193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</row>
    <row r="105" ht="15.75" customHeight="1">
      <c r="A105" s="190">
        <v>42030.0</v>
      </c>
      <c r="B105" s="191">
        <v>2.0</v>
      </c>
      <c r="C105" s="191" t="s">
        <v>46</v>
      </c>
      <c r="D105" s="192">
        <v>19181.300000000003</v>
      </c>
      <c r="E105" s="193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</row>
    <row r="106" ht="15.75" customHeight="1">
      <c r="A106" s="190">
        <v>42037.0</v>
      </c>
      <c r="B106" s="191">
        <v>1.0</v>
      </c>
      <c r="C106" s="191" t="s">
        <v>45</v>
      </c>
      <c r="D106" s="192">
        <v>15571.600000000002</v>
      </c>
      <c r="E106" s="193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</row>
    <row r="107" ht="15.75" customHeight="1">
      <c r="A107" s="190">
        <v>42037.0</v>
      </c>
      <c r="B107" s="191">
        <v>1.0</v>
      </c>
      <c r="C107" s="191" t="s">
        <v>46</v>
      </c>
      <c r="D107" s="192">
        <v>16359.300000000001</v>
      </c>
      <c r="E107" s="193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</row>
    <row r="108" ht="15.75" customHeight="1">
      <c r="A108" s="190">
        <v>42037.0</v>
      </c>
      <c r="B108" s="191">
        <v>2.0</v>
      </c>
      <c r="C108" s="191" t="s">
        <v>45</v>
      </c>
      <c r="D108" s="192">
        <v>13776.2</v>
      </c>
      <c r="E108" s="193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</row>
    <row r="109" ht="15.75" customHeight="1">
      <c r="A109" s="190">
        <v>42037.0</v>
      </c>
      <c r="B109" s="191">
        <v>2.0</v>
      </c>
      <c r="C109" s="191" t="s">
        <v>46</v>
      </c>
      <c r="D109" s="192">
        <v>17139.5</v>
      </c>
      <c r="E109" s="193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</row>
    <row r="110" ht="15.75" customHeight="1">
      <c r="A110" s="190">
        <v>42044.0</v>
      </c>
      <c r="B110" s="191">
        <v>1.0</v>
      </c>
      <c r="C110" s="191" t="s">
        <v>45</v>
      </c>
      <c r="D110" s="192">
        <v>17411.2</v>
      </c>
      <c r="E110" s="193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</row>
    <row r="111" ht="15.75" customHeight="1">
      <c r="A111" s="190">
        <v>42044.0</v>
      </c>
      <c r="B111" s="191">
        <v>1.0</v>
      </c>
      <c r="C111" s="191" t="s">
        <v>46</v>
      </c>
      <c r="D111" s="192">
        <v>18044.2</v>
      </c>
      <c r="E111" s="193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</row>
    <row r="112" ht="15.75" customHeight="1">
      <c r="A112" s="190">
        <v>42044.0</v>
      </c>
      <c r="B112" s="191">
        <v>2.0</v>
      </c>
      <c r="C112" s="191" t="s">
        <v>45</v>
      </c>
      <c r="D112" s="192">
        <v>16048.6</v>
      </c>
      <c r="E112" s="193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</row>
    <row r="113" ht="15.75" customHeight="1">
      <c r="A113" s="190">
        <v>42044.0</v>
      </c>
      <c r="B113" s="191">
        <v>2.0</v>
      </c>
      <c r="C113" s="191" t="s">
        <v>46</v>
      </c>
      <c r="D113" s="192">
        <v>22152.7</v>
      </c>
      <c r="E113" s="193"/>
      <c r="F113" s="172"/>
      <c r="G113" s="172"/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</row>
    <row r="114" ht="15.75" customHeight="1">
      <c r="A114" s="190">
        <v>42051.0</v>
      </c>
      <c r="B114" s="191">
        <v>1.0</v>
      </c>
      <c r="C114" s="191" t="s">
        <v>45</v>
      </c>
      <c r="D114" s="192">
        <v>14962.600000000002</v>
      </c>
      <c r="E114" s="193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</row>
    <row r="115" ht="15.75" customHeight="1">
      <c r="A115" s="190">
        <v>42051.0</v>
      </c>
      <c r="B115" s="191">
        <v>1.0</v>
      </c>
      <c r="C115" s="191" t="s">
        <v>46</v>
      </c>
      <c r="D115" s="192">
        <v>19405.4</v>
      </c>
      <c r="E115" s="193"/>
      <c r="F115" s="172"/>
      <c r="G115" s="172"/>
      <c r="H115" s="172"/>
      <c r="I115" s="172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</row>
    <row r="116" ht="15.75" customHeight="1">
      <c r="A116" s="190">
        <v>42051.0</v>
      </c>
      <c r="B116" s="191">
        <v>2.0</v>
      </c>
      <c r="C116" s="191" t="s">
        <v>45</v>
      </c>
      <c r="D116" s="192">
        <v>12726.0</v>
      </c>
      <c r="E116" s="193"/>
      <c r="F116" s="172"/>
      <c r="G116" s="172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</row>
    <row r="117" ht="15.75" customHeight="1">
      <c r="A117" s="190">
        <v>42051.0</v>
      </c>
      <c r="B117" s="191">
        <v>2.0</v>
      </c>
      <c r="C117" s="191" t="s">
        <v>46</v>
      </c>
      <c r="D117" s="192">
        <v>26609.800000000003</v>
      </c>
      <c r="E117" s="193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</row>
    <row r="118" ht="15.75" customHeight="1">
      <c r="A118" s="190">
        <v>42058.0</v>
      </c>
      <c r="B118" s="191">
        <v>1.0</v>
      </c>
      <c r="C118" s="191" t="s">
        <v>45</v>
      </c>
      <c r="D118" s="192">
        <v>15277.800000000001</v>
      </c>
      <c r="E118" s="193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</row>
    <row r="119" ht="15.75" customHeight="1">
      <c r="A119" s="190">
        <v>42058.0</v>
      </c>
      <c r="B119" s="191">
        <v>1.0</v>
      </c>
      <c r="C119" s="191" t="s">
        <v>46</v>
      </c>
      <c r="D119" s="192">
        <v>17181.0</v>
      </c>
      <c r="E119" s="193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</row>
    <row r="120" ht="15.75" customHeight="1">
      <c r="A120" s="190">
        <v>42058.0</v>
      </c>
      <c r="B120" s="191">
        <v>2.0</v>
      </c>
      <c r="C120" s="191" t="s">
        <v>45</v>
      </c>
      <c r="D120" s="192">
        <v>11165.6</v>
      </c>
      <c r="E120" s="193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</row>
    <row r="121" ht="15.75" customHeight="1">
      <c r="A121" s="190">
        <v>42058.0</v>
      </c>
      <c r="B121" s="191">
        <v>2.0</v>
      </c>
      <c r="C121" s="191" t="s">
        <v>46</v>
      </c>
      <c r="D121" s="192">
        <v>20866.2</v>
      </c>
      <c r="E121" s="193"/>
      <c r="F121" s="172"/>
      <c r="G121" s="172"/>
      <c r="H121" s="172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</row>
    <row r="122" ht="15.75" customHeight="1">
      <c r="A122" s="190">
        <v>42065.0</v>
      </c>
      <c r="B122" s="191">
        <v>1.0</v>
      </c>
      <c r="C122" s="191" t="s">
        <v>45</v>
      </c>
      <c r="D122" s="192">
        <v>15508.800000000001</v>
      </c>
      <c r="E122" s="193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</row>
    <row r="123" ht="15.75" customHeight="1">
      <c r="A123" s="190">
        <v>42065.0</v>
      </c>
      <c r="B123" s="191">
        <v>1.0</v>
      </c>
      <c r="C123" s="191" t="s">
        <v>46</v>
      </c>
      <c r="D123" s="192">
        <v>18932.300000000003</v>
      </c>
      <c r="E123" s="193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</row>
    <row r="124" ht="15.75" customHeight="1">
      <c r="A124" s="190">
        <v>42065.0</v>
      </c>
      <c r="B124" s="191">
        <v>2.0</v>
      </c>
      <c r="C124" s="191" t="s">
        <v>45</v>
      </c>
      <c r="D124" s="192">
        <v>12180.8</v>
      </c>
      <c r="E124" s="193"/>
      <c r="F124" s="172"/>
      <c r="G124" s="172"/>
      <c r="H124" s="172"/>
      <c r="I124" s="172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</row>
    <row r="125" ht="15.75" customHeight="1">
      <c r="A125" s="190">
        <v>42065.0</v>
      </c>
      <c r="B125" s="191">
        <v>2.0</v>
      </c>
      <c r="C125" s="191" t="s">
        <v>46</v>
      </c>
      <c r="D125" s="192">
        <v>25937.500000000004</v>
      </c>
      <c r="E125" s="193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</row>
    <row r="126" ht="15.75" customHeight="1">
      <c r="A126" s="190">
        <v>42072.0</v>
      </c>
      <c r="B126" s="191">
        <v>1.0</v>
      </c>
      <c r="C126" s="191" t="s">
        <v>45</v>
      </c>
      <c r="D126" s="192">
        <v>20751.4</v>
      </c>
      <c r="E126" s="193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</row>
    <row r="127" ht="15.75" customHeight="1">
      <c r="A127" s="190">
        <v>42072.0</v>
      </c>
      <c r="B127" s="191">
        <v>1.0</v>
      </c>
      <c r="C127" s="191" t="s">
        <v>46</v>
      </c>
      <c r="D127" s="192">
        <v>15072.800000000001</v>
      </c>
      <c r="E127" s="193"/>
      <c r="F127" s="172"/>
      <c r="G127" s="172"/>
      <c r="H127" s="172"/>
      <c r="I127" s="172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</row>
    <row r="128" ht="15.75" customHeight="1">
      <c r="A128" s="190">
        <v>42072.0</v>
      </c>
      <c r="B128" s="191">
        <v>2.0</v>
      </c>
      <c r="C128" s="191" t="s">
        <v>45</v>
      </c>
      <c r="D128" s="192">
        <v>18528.2</v>
      </c>
      <c r="E128" s="193"/>
      <c r="F128" s="172"/>
      <c r="G128" s="172"/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</row>
    <row r="129" ht="15.75" customHeight="1">
      <c r="A129" s="190">
        <v>42072.0</v>
      </c>
      <c r="B129" s="191">
        <v>2.0</v>
      </c>
      <c r="C129" s="191" t="s">
        <v>46</v>
      </c>
      <c r="D129" s="192">
        <v>17645.800000000003</v>
      </c>
      <c r="E129" s="193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</row>
    <row r="130" ht="15.75" customHeight="1">
      <c r="A130" s="190">
        <v>42079.0</v>
      </c>
      <c r="B130" s="191">
        <v>1.0</v>
      </c>
      <c r="C130" s="191" t="s">
        <v>45</v>
      </c>
      <c r="D130" s="192">
        <v>16917.2</v>
      </c>
      <c r="E130" s="193"/>
      <c r="F130" s="172"/>
      <c r="G130" s="172"/>
      <c r="H130" s="172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</row>
    <row r="131" ht="15.75" customHeight="1">
      <c r="A131" s="190">
        <v>42079.0</v>
      </c>
      <c r="B131" s="191">
        <v>1.0</v>
      </c>
      <c r="C131" s="191" t="s">
        <v>46</v>
      </c>
      <c r="D131" s="192">
        <v>16832.4</v>
      </c>
      <c r="E131" s="193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</row>
    <row r="132" ht="15.75" customHeight="1">
      <c r="A132" s="190">
        <v>42079.0</v>
      </c>
      <c r="B132" s="191">
        <v>2.0</v>
      </c>
      <c r="C132" s="191" t="s">
        <v>45</v>
      </c>
      <c r="D132" s="192">
        <v>15233.600000000002</v>
      </c>
      <c r="E132" s="193"/>
      <c r="F132" s="172"/>
      <c r="G132" s="172"/>
      <c r="H132" s="172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</row>
    <row r="133" ht="15.75" customHeight="1">
      <c r="A133" s="190">
        <v>42079.0</v>
      </c>
      <c r="B133" s="191">
        <v>2.0</v>
      </c>
      <c r="C133" s="191" t="s">
        <v>46</v>
      </c>
      <c r="D133" s="192">
        <v>22758.600000000002</v>
      </c>
      <c r="E133" s="193"/>
      <c r="F133" s="172"/>
      <c r="G133" s="172"/>
      <c r="H133" s="172"/>
      <c r="I133" s="172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</row>
    <row r="134" ht="15.75" customHeight="1">
      <c r="A134" s="190">
        <v>42086.0</v>
      </c>
      <c r="B134" s="191">
        <v>1.0</v>
      </c>
      <c r="C134" s="191" t="s">
        <v>45</v>
      </c>
      <c r="D134" s="192">
        <v>15196.400000000001</v>
      </c>
      <c r="E134" s="193"/>
      <c r="F134" s="172"/>
      <c r="G134" s="172"/>
      <c r="H134" s="172"/>
      <c r="I134" s="172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</row>
    <row r="135" ht="15.75" customHeight="1">
      <c r="A135" s="190">
        <v>42086.0</v>
      </c>
      <c r="B135" s="191">
        <v>1.0</v>
      </c>
      <c r="C135" s="191" t="s">
        <v>46</v>
      </c>
      <c r="D135" s="192">
        <v>19280.9</v>
      </c>
      <c r="E135" s="193"/>
      <c r="F135" s="172"/>
      <c r="G135" s="172"/>
      <c r="H135" s="172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</row>
    <row r="136" ht="15.75" customHeight="1">
      <c r="A136" s="190">
        <v>42086.0</v>
      </c>
      <c r="B136" s="191">
        <v>2.0</v>
      </c>
      <c r="C136" s="191" t="s">
        <v>45</v>
      </c>
      <c r="D136" s="192">
        <v>14309.0</v>
      </c>
      <c r="E136" s="193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</row>
    <row r="137" ht="15.75" customHeight="1">
      <c r="A137" s="190">
        <v>42086.0</v>
      </c>
      <c r="B137" s="191">
        <v>2.0</v>
      </c>
      <c r="C137" s="191" t="s">
        <v>46</v>
      </c>
      <c r="D137" s="192">
        <v>24003.600000000002</v>
      </c>
      <c r="E137" s="193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</row>
    <row r="138" ht="15.75" customHeight="1">
      <c r="A138" s="190">
        <v>42093.0</v>
      </c>
      <c r="B138" s="191">
        <v>1.0</v>
      </c>
      <c r="C138" s="191" t="s">
        <v>45</v>
      </c>
      <c r="D138" s="192">
        <v>16454.4</v>
      </c>
      <c r="E138" s="193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</row>
    <row r="139" ht="15.75" customHeight="1">
      <c r="A139" s="190">
        <v>42093.0</v>
      </c>
      <c r="B139" s="191">
        <v>1.0</v>
      </c>
      <c r="C139" s="191" t="s">
        <v>46</v>
      </c>
      <c r="D139" s="192">
        <v>18044.2</v>
      </c>
      <c r="E139" s="193"/>
      <c r="F139" s="172"/>
      <c r="G139" s="172"/>
      <c r="H139" s="172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</row>
    <row r="140" ht="15.75" customHeight="1">
      <c r="A140" s="190">
        <v>42093.0</v>
      </c>
      <c r="B140" s="191">
        <v>2.0</v>
      </c>
      <c r="C140" s="191" t="s">
        <v>45</v>
      </c>
      <c r="D140" s="192">
        <v>14041.0</v>
      </c>
      <c r="E140" s="193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</row>
    <row r="141" ht="15.75" customHeight="1">
      <c r="A141" s="190">
        <v>42093.0</v>
      </c>
      <c r="B141" s="191">
        <v>2.0</v>
      </c>
      <c r="C141" s="191" t="s">
        <v>46</v>
      </c>
      <c r="D141" s="192">
        <v>24609.500000000004</v>
      </c>
      <c r="E141" s="193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</row>
    <row r="142" ht="15.75" customHeight="1">
      <c r="A142" s="190">
        <v>42100.0</v>
      </c>
      <c r="B142" s="191">
        <v>1.0</v>
      </c>
      <c r="C142" s="191" t="s">
        <v>45</v>
      </c>
      <c r="D142" s="192">
        <v>18254.6</v>
      </c>
      <c r="E142" s="193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</row>
    <row r="143" ht="15.75" customHeight="1">
      <c r="A143" s="190">
        <v>42100.0</v>
      </c>
      <c r="B143" s="191">
        <v>1.0</v>
      </c>
      <c r="C143" s="191" t="s">
        <v>46</v>
      </c>
      <c r="D143" s="192">
        <v>17986.100000000002</v>
      </c>
      <c r="E143" s="193"/>
      <c r="F143" s="172"/>
      <c r="G143" s="172"/>
      <c r="H143" s="172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</row>
    <row r="144" ht="15.75" customHeight="1">
      <c r="A144" s="190">
        <v>42100.0</v>
      </c>
      <c r="B144" s="191">
        <v>2.0</v>
      </c>
      <c r="C144" s="191" t="s">
        <v>45</v>
      </c>
      <c r="D144" s="192">
        <v>17404.0</v>
      </c>
      <c r="E144" s="193"/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</row>
    <row r="145" ht="15.75" customHeight="1">
      <c r="A145" s="190">
        <v>42100.0</v>
      </c>
      <c r="B145" s="191">
        <v>2.0</v>
      </c>
      <c r="C145" s="191" t="s">
        <v>46</v>
      </c>
      <c r="D145" s="192">
        <v>24543.100000000002</v>
      </c>
      <c r="E145" s="193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</row>
    <row r="146" ht="15.75" customHeight="1">
      <c r="A146" s="190">
        <v>42107.0</v>
      </c>
      <c r="B146" s="191">
        <v>1.0</v>
      </c>
      <c r="C146" s="191" t="s">
        <v>45</v>
      </c>
      <c r="D146" s="192">
        <v>17605.6</v>
      </c>
      <c r="E146" s="193"/>
      <c r="F146" s="172"/>
      <c r="G146" s="172"/>
      <c r="H146" s="172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</row>
    <row r="147" ht="15.75" customHeight="1">
      <c r="A147" s="190">
        <v>42107.0</v>
      </c>
      <c r="B147" s="191">
        <v>1.0</v>
      </c>
      <c r="C147" s="191" t="s">
        <v>46</v>
      </c>
      <c r="D147" s="192">
        <v>17446.600000000002</v>
      </c>
      <c r="E147" s="193"/>
      <c r="F147" s="172"/>
      <c r="G147" s="172"/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</row>
    <row r="148" ht="15.75" customHeight="1">
      <c r="A148" s="190">
        <v>42107.0</v>
      </c>
      <c r="B148" s="191">
        <v>2.0</v>
      </c>
      <c r="C148" s="191" t="s">
        <v>45</v>
      </c>
      <c r="D148" s="192">
        <v>15282.0</v>
      </c>
      <c r="E148" s="193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</row>
    <row r="149" ht="15.75" customHeight="1">
      <c r="A149" s="190">
        <v>42107.0</v>
      </c>
      <c r="B149" s="191">
        <v>2.0</v>
      </c>
      <c r="C149" s="191" t="s">
        <v>46</v>
      </c>
      <c r="D149" s="192">
        <v>23704.800000000003</v>
      </c>
      <c r="E149" s="193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</row>
    <row r="150" ht="15.75" customHeight="1">
      <c r="A150" s="190">
        <v>42114.0</v>
      </c>
      <c r="B150" s="191">
        <v>1.0</v>
      </c>
      <c r="C150" s="191" t="s">
        <v>45</v>
      </c>
      <c r="D150" s="192">
        <v>17450.2</v>
      </c>
      <c r="E150" s="193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</row>
    <row r="151" ht="15.75" customHeight="1">
      <c r="A151" s="190">
        <v>42114.0</v>
      </c>
      <c r="B151" s="191">
        <v>1.0</v>
      </c>
      <c r="C151" s="191" t="s">
        <v>46</v>
      </c>
      <c r="D151" s="192">
        <v>17197.600000000002</v>
      </c>
      <c r="E151" s="193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</row>
    <row r="152" ht="15.75" customHeight="1">
      <c r="A152" s="190">
        <v>42114.0</v>
      </c>
      <c r="B152" s="191">
        <v>2.0</v>
      </c>
      <c r="C152" s="191" t="s">
        <v>45</v>
      </c>
      <c r="D152" s="192">
        <v>16393.4</v>
      </c>
      <c r="E152" s="193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</row>
    <row r="153" ht="15.75" customHeight="1">
      <c r="A153" s="190">
        <v>42114.0</v>
      </c>
      <c r="B153" s="191">
        <v>2.0</v>
      </c>
      <c r="C153" s="191" t="s">
        <v>46</v>
      </c>
      <c r="D153" s="192">
        <v>23347.9</v>
      </c>
      <c r="E153" s="193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</row>
    <row r="154" ht="15.75" customHeight="1">
      <c r="A154" s="190">
        <v>42121.0</v>
      </c>
      <c r="B154" s="191">
        <v>1.0</v>
      </c>
      <c r="C154" s="191" t="s">
        <v>45</v>
      </c>
      <c r="D154" s="192">
        <v>18222.4</v>
      </c>
      <c r="E154" s="193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</row>
    <row r="155" ht="15.75" customHeight="1">
      <c r="A155" s="190">
        <v>42121.0</v>
      </c>
      <c r="B155" s="191">
        <v>1.0</v>
      </c>
      <c r="C155" s="191" t="s">
        <v>46</v>
      </c>
      <c r="D155" s="192">
        <v>16757.7</v>
      </c>
      <c r="E155" s="193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</row>
    <row r="156" ht="15.75" customHeight="1">
      <c r="A156" s="190">
        <v>42121.0</v>
      </c>
      <c r="B156" s="191">
        <v>2.0</v>
      </c>
      <c r="C156" s="191" t="s">
        <v>45</v>
      </c>
      <c r="D156" s="192">
        <v>14887.6</v>
      </c>
      <c r="E156" s="193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</row>
    <row r="157" ht="15.75" customHeight="1">
      <c r="A157" s="190">
        <v>42121.0</v>
      </c>
      <c r="B157" s="191">
        <v>2.0</v>
      </c>
      <c r="C157" s="191" t="s">
        <v>46</v>
      </c>
      <c r="D157" s="192">
        <v>20210.5</v>
      </c>
      <c r="E157" s="193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</row>
    <row r="158" ht="15.75" customHeight="1">
      <c r="A158" s="190">
        <v>42128.0</v>
      </c>
      <c r="B158" s="191">
        <v>1.0</v>
      </c>
      <c r="C158" s="191" t="s">
        <v>45</v>
      </c>
      <c r="D158" s="192">
        <v>17117.600000000002</v>
      </c>
      <c r="E158" s="193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</row>
    <row r="159" ht="15.75" customHeight="1">
      <c r="A159" s="190">
        <v>42128.0</v>
      </c>
      <c r="B159" s="191">
        <v>1.0</v>
      </c>
      <c r="C159" s="191" t="s">
        <v>46</v>
      </c>
      <c r="D159" s="192">
        <v>20102.600000000002</v>
      </c>
      <c r="E159" s="193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</row>
    <row r="160" ht="15.75" customHeight="1">
      <c r="A160" s="190">
        <v>42128.0</v>
      </c>
      <c r="B160" s="191">
        <v>2.0</v>
      </c>
      <c r="C160" s="191" t="s">
        <v>45</v>
      </c>
      <c r="D160" s="192">
        <v>15094.800000000001</v>
      </c>
      <c r="E160" s="193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</row>
    <row r="161" ht="15.75" customHeight="1">
      <c r="A161" s="190">
        <v>42128.0</v>
      </c>
      <c r="B161" s="191">
        <v>2.0</v>
      </c>
      <c r="C161" s="191" t="s">
        <v>46</v>
      </c>
      <c r="D161" s="192">
        <v>22742.000000000004</v>
      </c>
      <c r="E161" s="193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</row>
    <row r="162" ht="15.75" customHeight="1">
      <c r="A162" s="190">
        <v>42135.0</v>
      </c>
      <c r="B162" s="191">
        <v>1.0</v>
      </c>
      <c r="C162" s="191" t="s">
        <v>45</v>
      </c>
      <c r="D162" s="192">
        <v>19712.4</v>
      </c>
      <c r="E162" s="193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</row>
    <row r="163" ht="15.75" customHeight="1">
      <c r="A163" s="190">
        <v>42135.0</v>
      </c>
      <c r="B163" s="191">
        <v>1.0</v>
      </c>
      <c r="C163" s="191" t="s">
        <v>46</v>
      </c>
      <c r="D163" s="192">
        <v>20268.600000000002</v>
      </c>
      <c r="E163" s="193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</row>
    <row r="164" ht="15.75" customHeight="1">
      <c r="A164" s="190">
        <v>42135.0</v>
      </c>
      <c r="B164" s="191">
        <v>2.0</v>
      </c>
      <c r="C164" s="191" t="s">
        <v>45</v>
      </c>
      <c r="D164" s="192">
        <v>17279.6</v>
      </c>
      <c r="E164" s="193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</row>
    <row r="165" ht="15.75" customHeight="1">
      <c r="A165" s="190">
        <v>42135.0</v>
      </c>
      <c r="B165" s="191">
        <v>2.0</v>
      </c>
      <c r="C165" s="191" t="s">
        <v>46</v>
      </c>
      <c r="D165" s="192">
        <v>25489.300000000003</v>
      </c>
      <c r="E165" s="193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</row>
    <row r="166" ht="15.75" customHeight="1">
      <c r="A166" s="190">
        <v>42142.0</v>
      </c>
      <c r="B166" s="191">
        <v>1.0</v>
      </c>
      <c r="C166" s="191" t="s">
        <v>45</v>
      </c>
      <c r="D166" s="192">
        <v>19407.0</v>
      </c>
      <c r="E166" s="193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</row>
    <row r="167" ht="15.75" customHeight="1">
      <c r="A167" s="190">
        <v>42142.0</v>
      </c>
      <c r="B167" s="191">
        <v>1.0</v>
      </c>
      <c r="C167" s="191" t="s">
        <v>46</v>
      </c>
      <c r="D167" s="192">
        <v>18268.300000000003</v>
      </c>
      <c r="E167" s="193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</row>
    <row r="168" ht="15.75" customHeight="1">
      <c r="A168" s="190">
        <v>42142.0</v>
      </c>
      <c r="B168" s="191">
        <v>2.0</v>
      </c>
      <c r="C168" s="191" t="s">
        <v>45</v>
      </c>
      <c r="D168" s="192">
        <v>17909.2</v>
      </c>
      <c r="E168" s="193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</row>
    <row r="169" ht="15.75" customHeight="1">
      <c r="A169" s="190">
        <v>42142.0</v>
      </c>
      <c r="B169" s="191">
        <v>2.0</v>
      </c>
      <c r="C169" s="191" t="s">
        <v>46</v>
      </c>
      <c r="D169" s="192">
        <v>24949.800000000003</v>
      </c>
      <c r="E169" s="193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</row>
    <row r="170" ht="15.75" customHeight="1">
      <c r="A170" s="190">
        <v>42149.0</v>
      </c>
      <c r="B170" s="191">
        <v>1.0</v>
      </c>
      <c r="C170" s="191" t="s">
        <v>45</v>
      </c>
      <c r="D170" s="192">
        <v>18816.6</v>
      </c>
      <c r="E170" s="193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</row>
    <row r="171" ht="15.75" customHeight="1">
      <c r="A171" s="190">
        <v>42149.0</v>
      </c>
      <c r="B171" s="191">
        <v>1.0</v>
      </c>
      <c r="C171" s="191" t="s">
        <v>46</v>
      </c>
      <c r="D171" s="192">
        <v>18998.7</v>
      </c>
      <c r="E171" s="193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</row>
    <row r="172" ht="15.75" customHeight="1">
      <c r="A172" s="190">
        <v>42149.0</v>
      </c>
      <c r="B172" s="191">
        <v>2.0</v>
      </c>
      <c r="C172" s="191" t="s">
        <v>45</v>
      </c>
      <c r="D172" s="192">
        <v>17556.2</v>
      </c>
      <c r="E172" s="193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</row>
    <row r="173" ht="15.75" customHeight="1">
      <c r="A173" s="190">
        <v>42149.0</v>
      </c>
      <c r="B173" s="191">
        <v>2.0</v>
      </c>
      <c r="C173" s="191" t="s">
        <v>46</v>
      </c>
      <c r="D173" s="192">
        <v>26045.4</v>
      </c>
      <c r="E173" s="193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</row>
    <row r="174" ht="15.75" customHeight="1">
      <c r="A174" s="190">
        <v>42156.0</v>
      </c>
      <c r="B174" s="191">
        <v>1.0</v>
      </c>
      <c r="C174" s="191" t="s">
        <v>45</v>
      </c>
      <c r="D174" s="192">
        <v>18608.2</v>
      </c>
      <c r="E174" s="193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</row>
    <row r="175" ht="15.75" customHeight="1">
      <c r="A175" s="190">
        <v>42156.0</v>
      </c>
      <c r="B175" s="191">
        <v>1.0</v>
      </c>
      <c r="C175" s="191" t="s">
        <v>46</v>
      </c>
      <c r="D175" s="192">
        <v>19073.4</v>
      </c>
      <c r="E175" s="193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</row>
    <row r="176" ht="15.75" customHeight="1">
      <c r="A176" s="190">
        <v>42156.0</v>
      </c>
      <c r="B176" s="191">
        <v>2.0</v>
      </c>
      <c r="C176" s="191" t="s">
        <v>45</v>
      </c>
      <c r="D176" s="192">
        <v>16419.4</v>
      </c>
      <c r="E176" s="193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</row>
    <row r="177" ht="15.75" customHeight="1">
      <c r="A177" s="190">
        <v>42156.0</v>
      </c>
      <c r="B177" s="191">
        <v>2.0</v>
      </c>
      <c r="C177" s="191" t="s">
        <v>46</v>
      </c>
      <c r="D177" s="192">
        <v>26136.7</v>
      </c>
      <c r="E177" s="193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</row>
    <row r="178" ht="15.75" customHeight="1">
      <c r="A178" s="190">
        <v>42163.0</v>
      </c>
      <c r="B178" s="191">
        <v>1.0</v>
      </c>
      <c r="C178" s="191" t="s">
        <v>45</v>
      </c>
      <c r="D178" s="192">
        <v>19102.4</v>
      </c>
      <c r="E178" s="193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</row>
    <row r="179" ht="15.75" customHeight="1">
      <c r="A179" s="190">
        <v>42163.0</v>
      </c>
      <c r="B179" s="191">
        <v>1.0</v>
      </c>
      <c r="C179" s="191" t="s">
        <v>46</v>
      </c>
      <c r="D179" s="192">
        <v>20882.800000000003</v>
      </c>
      <c r="E179" s="193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</row>
    <row r="180" ht="15.75" customHeight="1">
      <c r="A180" s="190">
        <v>42163.0</v>
      </c>
      <c r="B180" s="191">
        <v>2.0</v>
      </c>
      <c r="C180" s="191" t="s">
        <v>45</v>
      </c>
      <c r="D180" s="192">
        <v>16488.0</v>
      </c>
      <c r="E180" s="193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</row>
    <row r="181" ht="15.75" customHeight="1">
      <c r="A181" s="190">
        <v>42163.0</v>
      </c>
      <c r="B181" s="191">
        <v>2.0</v>
      </c>
      <c r="C181" s="191" t="s">
        <v>46</v>
      </c>
      <c r="D181" s="192">
        <v>28850.800000000003</v>
      </c>
      <c r="E181" s="193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</row>
    <row r="182" ht="15.75" customHeight="1">
      <c r="A182" s="190">
        <v>42170.0</v>
      </c>
      <c r="B182" s="191">
        <v>1.0</v>
      </c>
      <c r="C182" s="191" t="s">
        <v>45</v>
      </c>
      <c r="D182" s="192">
        <v>19189.6</v>
      </c>
      <c r="E182" s="193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</row>
    <row r="183" ht="15.75" customHeight="1">
      <c r="A183" s="190">
        <v>42170.0</v>
      </c>
      <c r="B183" s="191">
        <v>1.0</v>
      </c>
      <c r="C183" s="191" t="s">
        <v>46</v>
      </c>
      <c r="D183" s="192">
        <v>17098.0</v>
      </c>
      <c r="E183" s="193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</row>
    <row r="184" ht="15.75" customHeight="1">
      <c r="A184" s="190">
        <v>42170.0</v>
      </c>
      <c r="B184" s="191">
        <v>2.0</v>
      </c>
      <c r="C184" s="191" t="s">
        <v>45</v>
      </c>
      <c r="D184" s="192">
        <v>19103.6</v>
      </c>
      <c r="E184" s="193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</row>
    <row r="185" ht="15.75" customHeight="1">
      <c r="A185" s="190">
        <v>42170.0</v>
      </c>
      <c r="B185" s="191">
        <v>2.0</v>
      </c>
      <c r="C185" s="191" t="s">
        <v>46</v>
      </c>
      <c r="D185" s="192">
        <v>18235.100000000002</v>
      </c>
      <c r="E185" s="193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</row>
    <row r="186" ht="15.75" customHeight="1">
      <c r="A186" s="190">
        <v>42177.0</v>
      </c>
      <c r="B186" s="191">
        <v>1.0</v>
      </c>
      <c r="C186" s="191" t="s">
        <v>45</v>
      </c>
      <c r="D186" s="192">
        <v>18378.0</v>
      </c>
      <c r="E186" s="193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</row>
    <row r="187" ht="15.75" customHeight="1">
      <c r="A187" s="190">
        <v>42177.0</v>
      </c>
      <c r="B187" s="191">
        <v>1.0</v>
      </c>
      <c r="C187" s="191" t="s">
        <v>46</v>
      </c>
      <c r="D187" s="192">
        <v>20667.0</v>
      </c>
      <c r="E187" s="193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</row>
    <row r="188" ht="15.75" customHeight="1">
      <c r="A188" s="190">
        <v>42177.0</v>
      </c>
      <c r="B188" s="191">
        <v>2.0</v>
      </c>
      <c r="C188" s="191" t="s">
        <v>45</v>
      </c>
      <c r="D188" s="192">
        <v>14710.8</v>
      </c>
      <c r="E188" s="193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</row>
    <row r="189" ht="15.75" customHeight="1">
      <c r="A189" s="190">
        <v>42177.0</v>
      </c>
      <c r="B189" s="191">
        <v>2.0</v>
      </c>
      <c r="C189" s="191" t="s">
        <v>46</v>
      </c>
      <c r="D189" s="192">
        <v>23638.4</v>
      </c>
      <c r="E189" s="193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</row>
    <row r="190" ht="15.75" customHeight="1">
      <c r="A190" s="190">
        <v>42184.0</v>
      </c>
      <c r="B190" s="191">
        <v>1.0</v>
      </c>
      <c r="C190" s="191" t="s">
        <v>45</v>
      </c>
      <c r="D190" s="192">
        <v>20008.0</v>
      </c>
      <c r="E190" s="193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</row>
    <row r="191" ht="15.75" customHeight="1">
      <c r="A191" s="190">
        <v>42184.0</v>
      </c>
      <c r="B191" s="191">
        <v>1.0</v>
      </c>
      <c r="C191" s="191" t="s">
        <v>46</v>
      </c>
      <c r="D191" s="192">
        <v>18102.300000000003</v>
      </c>
      <c r="E191" s="193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</row>
    <row r="192" ht="15.75" customHeight="1">
      <c r="A192" s="190">
        <v>42184.0</v>
      </c>
      <c r="B192" s="191">
        <v>2.0</v>
      </c>
      <c r="C192" s="191" t="s">
        <v>45</v>
      </c>
      <c r="D192" s="192">
        <v>15684.800000000001</v>
      </c>
      <c r="E192" s="193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</row>
    <row r="193" ht="15.75" customHeight="1">
      <c r="A193" s="190">
        <v>42184.0</v>
      </c>
      <c r="B193" s="191">
        <v>2.0</v>
      </c>
      <c r="C193" s="191" t="s">
        <v>46</v>
      </c>
      <c r="D193" s="192">
        <v>22268.9</v>
      </c>
      <c r="E193" s="193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</row>
    <row r="194" ht="15.75" customHeight="1">
      <c r="A194" s="190">
        <v>42191.0</v>
      </c>
      <c r="B194" s="191">
        <v>1.0</v>
      </c>
      <c r="C194" s="191" t="s">
        <v>45</v>
      </c>
      <c r="D194" s="192">
        <v>20573.4</v>
      </c>
      <c r="E194" s="193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</row>
    <row r="195" ht="15.75" customHeight="1">
      <c r="A195" s="190">
        <v>42191.0</v>
      </c>
      <c r="B195" s="191">
        <v>1.0</v>
      </c>
      <c r="C195" s="191" t="s">
        <v>46</v>
      </c>
      <c r="D195" s="192">
        <v>20799.800000000003</v>
      </c>
      <c r="E195" s="193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</row>
    <row r="196" ht="15.75" customHeight="1">
      <c r="A196" s="190">
        <v>42191.0</v>
      </c>
      <c r="B196" s="191">
        <v>2.0</v>
      </c>
      <c r="C196" s="191" t="s">
        <v>45</v>
      </c>
      <c r="D196" s="192">
        <v>18469.0</v>
      </c>
      <c r="E196" s="193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</row>
    <row r="197" ht="15.75" customHeight="1">
      <c r="A197" s="190">
        <v>42191.0</v>
      </c>
      <c r="B197" s="191">
        <v>2.0</v>
      </c>
      <c r="C197" s="191" t="s">
        <v>46</v>
      </c>
      <c r="D197" s="192">
        <v>28751.2</v>
      </c>
      <c r="E197" s="193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</row>
    <row r="198" ht="15.75" customHeight="1">
      <c r="A198" s="190">
        <v>42198.0</v>
      </c>
      <c r="B198" s="191">
        <v>1.0</v>
      </c>
      <c r="C198" s="191" t="s">
        <v>45</v>
      </c>
      <c r="D198" s="192">
        <v>20666.800000000003</v>
      </c>
      <c r="E198" s="193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</row>
    <row r="199" ht="15.75" customHeight="1">
      <c r="A199" s="190">
        <v>42198.0</v>
      </c>
      <c r="B199" s="191">
        <v>1.0</v>
      </c>
      <c r="C199" s="191" t="s">
        <v>46</v>
      </c>
      <c r="D199" s="192">
        <v>18708.2</v>
      </c>
      <c r="E199" s="193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</row>
    <row r="200" ht="15.75" customHeight="1">
      <c r="A200" s="190">
        <v>42198.0</v>
      </c>
      <c r="B200" s="191">
        <v>2.0</v>
      </c>
      <c r="C200" s="191" t="s">
        <v>45</v>
      </c>
      <c r="D200" s="192">
        <v>17739.2</v>
      </c>
      <c r="E200" s="193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</row>
    <row r="201" ht="15.75" customHeight="1">
      <c r="A201" s="190">
        <v>42198.0</v>
      </c>
      <c r="B201" s="191">
        <v>2.0</v>
      </c>
      <c r="C201" s="191" t="s">
        <v>46</v>
      </c>
      <c r="D201" s="192">
        <v>25597.2</v>
      </c>
      <c r="E201" s="193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</row>
    <row r="202" ht="15.75" customHeight="1">
      <c r="A202" s="190">
        <v>42205.0</v>
      </c>
      <c r="B202" s="191">
        <v>1.0</v>
      </c>
      <c r="C202" s="191" t="s">
        <v>45</v>
      </c>
      <c r="D202" s="192">
        <v>19372.2</v>
      </c>
      <c r="E202" s="193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</row>
    <row r="203" ht="15.75" customHeight="1">
      <c r="A203" s="190">
        <v>42205.0</v>
      </c>
      <c r="B203" s="191">
        <v>1.0</v>
      </c>
      <c r="C203" s="191" t="s">
        <v>46</v>
      </c>
      <c r="D203" s="192">
        <v>18608.600000000002</v>
      </c>
      <c r="E203" s="193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</row>
    <row r="204" ht="15.75" customHeight="1">
      <c r="A204" s="190">
        <v>42205.0</v>
      </c>
      <c r="B204" s="191">
        <v>2.0</v>
      </c>
      <c r="C204" s="191" t="s">
        <v>45</v>
      </c>
      <c r="D204" s="192">
        <v>17366.800000000003</v>
      </c>
      <c r="E204" s="193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</row>
    <row r="205" ht="15.75" customHeight="1">
      <c r="A205" s="190">
        <v>42205.0</v>
      </c>
      <c r="B205" s="191">
        <v>2.0</v>
      </c>
      <c r="C205" s="191" t="s">
        <v>46</v>
      </c>
      <c r="D205" s="192">
        <v>22974.4</v>
      </c>
      <c r="E205" s="193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</row>
    <row r="206" ht="15.75" customHeight="1">
      <c r="A206" s="190">
        <v>42212.0</v>
      </c>
      <c r="B206" s="191">
        <v>1.0</v>
      </c>
      <c r="C206" s="191" t="s">
        <v>45</v>
      </c>
      <c r="D206" s="192">
        <v>18470.8</v>
      </c>
      <c r="E206" s="193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</row>
    <row r="207" ht="15.75" customHeight="1">
      <c r="A207" s="190">
        <v>42212.0</v>
      </c>
      <c r="B207" s="191">
        <v>1.0</v>
      </c>
      <c r="C207" s="191" t="s">
        <v>46</v>
      </c>
      <c r="D207" s="192">
        <v>20891.100000000002</v>
      </c>
      <c r="E207" s="193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</row>
    <row r="208" ht="15.75" customHeight="1">
      <c r="A208" s="190">
        <v>42212.0</v>
      </c>
      <c r="B208" s="191">
        <v>2.0</v>
      </c>
      <c r="C208" s="191" t="s">
        <v>45</v>
      </c>
      <c r="D208" s="192">
        <v>17474.4</v>
      </c>
      <c r="E208" s="193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</row>
    <row r="209" ht="15.75" customHeight="1">
      <c r="A209" s="190">
        <v>42212.0</v>
      </c>
      <c r="B209" s="191">
        <v>2.0</v>
      </c>
      <c r="C209" s="191" t="s">
        <v>46</v>
      </c>
      <c r="D209" s="192">
        <v>23970.4</v>
      </c>
      <c r="E209" s="193"/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</row>
    <row r="210" ht="15.75" customHeight="1">
      <c r="A210" s="183"/>
      <c r="D210" s="172"/>
      <c r="E210" s="172"/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</row>
    <row r="211" ht="15.75" customHeight="1">
      <c r="A211" s="183"/>
      <c r="D211" s="172"/>
      <c r="E211" s="172"/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</row>
    <row r="212" ht="15.75" customHeight="1">
      <c r="A212" s="183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</row>
    <row r="213" ht="15.75" customHeight="1">
      <c r="A213" s="183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</row>
    <row r="214" ht="15.75" customHeight="1">
      <c r="A214" s="183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</row>
    <row r="215" ht="15.75" customHeight="1">
      <c r="A215" s="183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</row>
    <row r="216" ht="15.75" customHeight="1">
      <c r="A216" s="183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</row>
    <row r="217" ht="15.75" customHeight="1">
      <c r="A217" s="183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</row>
    <row r="218" ht="15.75" customHeight="1">
      <c r="A218" s="183"/>
      <c r="D218" s="172"/>
      <c r="E218" s="172"/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</row>
    <row r="219" ht="15.75" customHeight="1">
      <c r="A219" s="183"/>
      <c r="D219" s="172"/>
      <c r="E219" s="172"/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</row>
    <row r="220" ht="15.75" customHeight="1">
      <c r="A220" s="183"/>
      <c r="D220" s="172"/>
      <c r="E220" s="172"/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</row>
    <row r="221" ht="15.75" customHeight="1">
      <c r="A221" s="183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</row>
    <row r="222" ht="15.75" customHeight="1">
      <c r="A222" s="183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</row>
    <row r="223" ht="15.75" customHeight="1">
      <c r="A223" s="183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</row>
    <row r="224" ht="15.75" customHeight="1">
      <c r="A224" s="183"/>
      <c r="D224" s="172"/>
      <c r="E224" s="172"/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</row>
    <row r="225" ht="15.75" customHeight="1">
      <c r="A225" s="183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</row>
    <row r="226" ht="15.75" customHeight="1">
      <c r="A226" s="183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</row>
    <row r="227" ht="15.75" customHeight="1">
      <c r="A227" s="183"/>
      <c r="D227" s="172"/>
      <c r="E227" s="172"/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</row>
    <row r="228" ht="15.75" customHeight="1">
      <c r="A228" s="183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</row>
    <row r="229" ht="15.75" customHeight="1">
      <c r="A229" s="183"/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</row>
    <row r="230" ht="15.75" customHeight="1">
      <c r="A230" s="183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</row>
    <row r="231" ht="15.75" customHeight="1">
      <c r="A231" s="183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</row>
    <row r="232" ht="15.75" customHeight="1">
      <c r="A232" s="183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</row>
    <row r="233" ht="15.75" customHeight="1">
      <c r="A233" s="183"/>
      <c r="D233" s="172"/>
      <c r="E233" s="172"/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</row>
    <row r="234" ht="15.75" customHeight="1">
      <c r="A234" s="183"/>
      <c r="D234" s="172"/>
      <c r="E234" s="172"/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</row>
    <row r="235" ht="15.75" customHeight="1">
      <c r="A235" s="183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</row>
    <row r="236" ht="15.75" customHeight="1">
      <c r="A236" s="183"/>
      <c r="D236" s="172"/>
      <c r="E236" s="172"/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</row>
    <row r="237" ht="15.75" customHeight="1">
      <c r="A237" s="183"/>
      <c r="D237" s="172"/>
      <c r="E237" s="172"/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</row>
    <row r="238" ht="15.75" customHeight="1">
      <c r="A238" s="183"/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</row>
    <row r="239" ht="15.75" customHeight="1">
      <c r="A239" s="183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</row>
    <row r="240" ht="15.75" customHeight="1">
      <c r="A240" s="183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</row>
    <row r="241" ht="15.75" customHeight="1">
      <c r="A241" s="183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</row>
    <row r="242" ht="15.75" customHeight="1">
      <c r="A242" s="183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</row>
    <row r="243" ht="15.75" customHeight="1">
      <c r="A243" s="183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</row>
    <row r="244" ht="15.75" customHeight="1">
      <c r="A244" s="183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</row>
    <row r="245" ht="15.75" customHeight="1">
      <c r="A245" s="183"/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</row>
    <row r="246" ht="15.75" customHeight="1">
      <c r="A246" s="183"/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</row>
    <row r="247" ht="15.75" customHeight="1">
      <c r="A247" s="183"/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</row>
    <row r="248" ht="15.75" customHeight="1">
      <c r="A248" s="183"/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</row>
    <row r="249" ht="15.75" customHeight="1">
      <c r="A249" s="183"/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</row>
    <row r="250" ht="15.75" customHeight="1">
      <c r="A250" s="183"/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</row>
    <row r="251" ht="15.75" customHeight="1">
      <c r="A251" s="183"/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</row>
    <row r="252" ht="15.75" customHeight="1">
      <c r="A252" s="183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</row>
    <row r="253" ht="15.75" customHeight="1">
      <c r="A253" s="183"/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</row>
    <row r="254" ht="15.75" customHeight="1">
      <c r="A254" s="183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</row>
    <row r="255" ht="15.75" customHeight="1">
      <c r="A255" s="183"/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</row>
    <row r="256" ht="15.75" customHeight="1">
      <c r="A256" s="183"/>
      <c r="D256" s="172"/>
      <c r="E256" s="172"/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</row>
    <row r="257" ht="15.75" customHeight="1">
      <c r="A257" s="183"/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</row>
    <row r="258" ht="15.75" customHeight="1">
      <c r="A258" s="183"/>
      <c r="D258" s="172"/>
      <c r="E258" s="172"/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</row>
    <row r="259" ht="15.75" customHeight="1">
      <c r="A259" s="183"/>
      <c r="D259" s="172"/>
      <c r="E259" s="172"/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</row>
    <row r="260" ht="15.75" customHeight="1">
      <c r="A260" s="183"/>
      <c r="D260" s="172"/>
      <c r="E260" s="172"/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</row>
    <row r="261" ht="15.75" customHeight="1">
      <c r="A261" s="183"/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</row>
    <row r="262" ht="15.75" customHeight="1">
      <c r="A262" s="183"/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</row>
    <row r="263" ht="15.75" customHeight="1">
      <c r="A263" s="183"/>
      <c r="D263" s="172"/>
      <c r="E263" s="172"/>
      <c r="F263" s="172"/>
      <c r="G263" s="172"/>
      <c r="H263" s="172"/>
      <c r="I263" s="172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</row>
    <row r="264" ht="15.75" customHeight="1">
      <c r="A264" s="183"/>
      <c r="D264" s="172"/>
      <c r="E264" s="172"/>
      <c r="F264" s="172"/>
      <c r="G264" s="172"/>
      <c r="H264" s="172"/>
      <c r="I264" s="172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</row>
    <row r="265" ht="15.75" customHeight="1">
      <c r="A265" s="183"/>
      <c r="D265" s="172"/>
      <c r="E265" s="172"/>
      <c r="F265" s="172"/>
      <c r="G265" s="172"/>
      <c r="H265" s="172"/>
      <c r="I265" s="172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</row>
    <row r="266" ht="15.75" customHeight="1">
      <c r="A266" s="183"/>
      <c r="D266" s="172"/>
      <c r="E266" s="172"/>
      <c r="F266" s="172"/>
      <c r="G266" s="172"/>
      <c r="H266" s="172"/>
      <c r="I266" s="172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</row>
    <row r="267" ht="15.75" customHeight="1">
      <c r="A267" s="183"/>
      <c r="D267" s="172"/>
      <c r="E267" s="172"/>
      <c r="F267" s="172"/>
      <c r="G267" s="172"/>
      <c r="H267" s="172"/>
      <c r="I267" s="172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</row>
    <row r="268" ht="15.75" customHeight="1">
      <c r="A268" s="183"/>
      <c r="D268" s="172"/>
      <c r="E268" s="172"/>
      <c r="F268" s="172"/>
      <c r="G268" s="172"/>
      <c r="H268" s="172"/>
      <c r="I268" s="172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</row>
    <row r="269" ht="15.75" customHeight="1">
      <c r="A269" s="183"/>
      <c r="D269" s="172"/>
      <c r="E269" s="172"/>
      <c r="F269" s="172"/>
      <c r="G269" s="172"/>
      <c r="H269" s="172"/>
      <c r="I269" s="172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</row>
    <row r="270" ht="15.75" customHeight="1">
      <c r="A270" s="183"/>
      <c r="D270" s="172"/>
      <c r="E270" s="172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</row>
    <row r="271" ht="15.75" customHeight="1">
      <c r="A271" s="183"/>
      <c r="D271" s="172"/>
      <c r="E271" s="172"/>
      <c r="F271" s="172"/>
      <c r="G271" s="172"/>
      <c r="H271" s="172"/>
      <c r="I271" s="172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</row>
    <row r="272" ht="15.75" customHeight="1">
      <c r="A272" s="183"/>
      <c r="D272" s="172"/>
      <c r="E272" s="172"/>
      <c r="F272" s="172"/>
      <c r="G272" s="172"/>
      <c r="H272" s="172"/>
      <c r="I272" s="172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</row>
    <row r="273" ht="15.75" customHeight="1">
      <c r="A273" s="183"/>
      <c r="D273" s="172"/>
      <c r="E273" s="172"/>
      <c r="F273" s="172"/>
      <c r="G273" s="172"/>
      <c r="H273" s="172"/>
      <c r="I273" s="172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</row>
    <row r="274" ht="15.75" customHeight="1">
      <c r="A274" s="183"/>
      <c r="D274" s="172"/>
      <c r="E274" s="172"/>
      <c r="F274" s="172"/>
      <c r="G274" s="172"/>
      <c r="H274" s="172"/>
      <c r="I274" s="172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</row>
    <row r="275" ht="15.75" customHeight="1">
      <c r="A275" s="183"/>
      <c r="D275" s="172"/>
      <c r="E275" s="172"/>
      <c r="F275" s="172"/>
      <c r="G275" s="172"/>
      <c r="H275" s="172"/>
      <c r="I275" s="172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</row>
    <row r="276" ht="15.75" customHeight="1">
      <c r="A276" s="183"/>
      <c r="D276" s="172"/>
      <c r="E276" s="172"/>
      <c r="F276" s="172"/>
      <c r="G276" s="172"/>
      <c r="H276" s="172"/>
      <c r="I276" s="172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</row>
    <row r="277" ht="15.75" customHeight="1">
      <c r="A277" s="183"/>
      <c r="D277" s="172"/>
      <c r="E277" s="172"/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</row>
    <row r="278" ht="15.75" customHeight="1">
      <c r="A278" s="183"/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</row>
    <row r="279" ht="15.75" customHeight="1">
      <c r="A279" s="183"/>
      <c r="D279" s="172"/>
      <c r="E279" s="172"/>
      <c r="F279" s="172"/>
      <c r="G279" s="172"/>
      <c r="H279" s="172"/>
      <c r="I279" s="172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</row>
    <row r="280" ht="15.75" customHeight="1">
      <c r="A280" s="183"/>
      <c r="D280" s="172"/>
      <c r="E280" s="172"/>
      <c r="F280" s="172"/>
      <c r="G280" s="172"/>
      <c r="H280" s="172"/>
      <c r="I280" s="172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</row>
    <row r="281" ht="15.75" customHeight="1">
      <c r="A281" s="183"/>
      <c r="D281" s="172"/>
      <c r="E281" s="172"/>
      <c r="F281" s="172"/>
      <c r="G281" s="172"/>
      <c r="H281" s="172"/>
      <c r="I281" s="172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</row>
    <row r="282" ht="15.75" customHeight="1">
      <c r="A282" s="183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</row>
    <row r="283" ht="15.75" customHeight="1">
      <c r="A283" s="183"/>
      <c r="D283" s="172"/>
      <c r="E283" s="172"/>
      <c r="F283" s="172"/>
      <c r="G283" s="172"/>
      <c r="H283" s="172"/>
      <c r="I283" s="172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</row>
    <row r="284" ht="15.75" customHeight="1">
      <c r="A284" s="183"/>
      <c r="D284" s="172"/>
      <c r="E284" s="172"/>
      <c r="F284" s="172"/>
      <c r="G284" s="172"/>
      <c r="H284" s="172"/>
      <c r="I284" s="172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</row>
    <row r="285" ht="15.75" customHeight="1">
      <c r="A285" s="183"/>
      <c r="D285" s="172"/>
      <c r="E285" s="172"/>
      <c r="F285" s="172"/>
      <c r="G285" s="172"/>
      <c r="H285" s="172"/>
      <c r="I285" s="172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</row>
    <row r="286" ht="15.75" customHeight="1">
      <c r="A286" s="183"/>
      <c r="D286" s="172"/>
      <c r="E286" s="172"/>
      <c r="F286" s="172"/>
      <c r="G286" s="172"/>
      <c r="H286" s="172"/>
      <c r="I286" s="172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</row>
    <row r="287" ht="15.75" customHeight="1">
      <c r="A287" s="183"/>
      <c r="D287" s="172"/>
      <c r="E287" s="172"/>
      <c r="F287" s="172"/>
      <c r="G287" s="172"/>
      <c r="H287" s="172"/>
      <c r="I287" s="172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</row>
    <row r="288" ht="15.75" customHeight="1">
      <c r="A288" s="183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</row>
    <row r="289" ht="15.75" customHeight="1">
      <c r="A289" s="183"/>
      <c r="D289" s="172"/>
      <c r="E289" s="172"/>
      <c r="F289" s="172"/>
      <c r="G289" s="172"/>
      <c r="H289" s="172"/>
      <c r="I289" s="172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</row>
    <row r="290" ht="15.75" customHeight="1">
      <c r="A290" s="183"/>
      <c r="D290" s="172"/>
      <c r="E290" s="172"/>
      <c r="F290" s="172"/>
      <c r="G290" s="172"/>
      <c r="H290" s="172"/>
      <c r="I290" s="172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</row>
    <row r="291" ht="15.75" customHeight="1">
      <c r="A291" s="183"/>
      <c r="D291" s="172"/>
      <c r="E291" s="172"/>
      <c r="F291" s="172"/>
      <c r="G291" s="172"/>
      <c r="H291" s="172"/>
      <c r="I291" s="172"/>
      <c r="J291" s="172"/>
      <c r="K291" s="172"/>
      <c r="L291" s="172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</row>
    <row r="292" ht="15.75" customHeight="1">
      <c r="A292" s="183"/>
      <c r="D292" s="172"/>
      <c r="E292" s="172"/>
      <c r="F292" s="172"/>
      <c r="G292" s="172"/>
      <c r="H292" s="172"/>
      <c r="I292" s="172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</row>
    <row r="293" ht="15.75" customHeight="1">
      <c r="A293" s="183"/>
      <c r="D293" s="172"/>
      <c r="E293" s="172"/>
      <c r="F293" s="172"/>
      <c r="G293" s="172"/>
      <c r="H293" s="172"/>
      <c r="I293" s="172"/>
      <c r="J293" s="172"/>
      <c r="K293" s="172"/>
      <c r="L293" s="172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</row>
    <row r="294" ht="15.75" customHeight="1">
      <c r="A294" s="183"/>
      <c r="D294" s="172"/>
      <c r="E294" s="172"/>
      <c r="F294" s="172"/>
      <c r="G294" s="172"/>
      <c r="H294" s="172"/>
      <c r="I294" s="172"/>
      <c r="J294" s="172"/>
      <c r="K294" s="172"/>
      <c r="L294" s="172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</row>
    <row r="295" ht="15.75" customHeight="1">
      <c r="A295" s="183"/>
      <c r="D295" s="172"/>
      <c r="E295" s="172"/>
      <c r="F295" s="172"/>
      <c r="G295" s="172"/>
      <c r="H295" s="172"/>
      <c r="I295" s="172"/>
      <c r="J295" s="172"/>
      <c r="K295" s="172"/>
      <c r="L295" s="172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</row>
    <row r="296" ht="15.75" customHeight="1">
      <c r="A296" s="183"/>
      <c r="D296" s="172"/>
      <c r="E296" s="172"/>
      <c r="F296" s="172"/>
      <c r="G296" s="172"/>
      <c r="H296" s="172"/>
      <c r="I296" s="172"/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W296" s="172"/>
      <c r="X296" s="172"/>
    </row>
    <row r="297" ht="15.75" customHeight="1">
      <c r="A297" s="183"/>
      <c r="D297" s="172"/>
      <c r="E297" s="172"/>
      <c r="F297" s="172"/>
      <c r="G297" s="172"/>
      <c r="H297" s="172"/>
      <c r="I297" s="172"/>
      <c r="J297" s="172"/>
      <c r="K297" s="172"/>
      <c r="L297" s="172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W297" s="172"/>
      <c r="X297" s="172"/>
    </row>
    <row r="298" ht="15.75" customHeight="1">
      <c r="A298" s="183"/>
      <c r="D298" s="172"/>
      <c r="E298" s="172"/>
      <c r="F298" s="172"/>
      <c r="G298" s="172"/>
      <c r="H298" s="172"/>
      <c r="I298" s="172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</row>
    <row r="299" ht="15.75" customHeight="1">
      <c r="A299" s="183"/>
      <c r="D299" s="172"/>
      <c r="E299" s="172"/>
      <c r="F299" s="172"/>
      <c r="G299" s="172"/>
      <c r="H299" s="172"/>
      <c r="I299" s="172"/>
      <c r="J299" s="172"/>
      <c r="K299" s="172"/>
      <c r="L299" s="172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</row>
    <row r="300" ht="15.75" customHeight="1">
      <c r="A300" s="183"/>
      <c r="D300" s="172"/>
      <c r="E300" s="172"/>
      <c r="F300" s="172"/>
      <c r="G300" s="172"/>
      <c r="H300" s="172"/>
      <c r="I300" s="172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</row>
    <row r="301" ht="15.75" customHeight="1">
      <c r="A301" s="183"/>
      <c r="D301" s="172"/>
      <c r="E301" s="172"/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</row>
    <row r="302" ht="15.75" customHeight="1">
      <c r="A302" s="183"/>
      <c r="D302" s="172"/>
      <c r="E302" s="172"/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</row>
    <row r="303" ht="15.75" customHeight="1">
      <c r="A303" s="183"/>
      <c r="D303" s="172"/>
      <c r="E303" s="172"/>
      <c r="F303" s="172"/>
      <c r="G303" s="172"/>
      <c r="H303" s="172"/>
      <c r="I303" s="172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</row>
    <row r="304" ht="15.75" customHeight="1">
      <c r="A304" s="183"/>
      <c r="D304" s="172"/>
      <c r="E304" s="172"/>
      <c r="F304" s="172"/>
      <c r="G304" s="172"/>
      <c r="H304" s="172"/>
      <c r="I304" s="172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</row>
    <row r="305" ht="15.75" customHeight="1">
      <c r="A305" s="183"/>
      <c r="D305" s="172"/>
      <c r="E305" s="172"/>
      <c r="F305" s="172"/>
      <c r="G305" s="172"/>
      <c r="H305" s="172"/>
      <c r="I305" s="172"/>
      <c r="J305" s="172"/>
      <c r="K305" s="172"/>
      <c r="L305" s="172"/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</row>
    <row r="306" ht="15.75" customHeight="1">
      <c r="A306" s="183"/>
      <c r="D306" s="172"/>
      <c r="E306" s="172"/>
      <c r="F306" s="172"/>
      <c r="G306" s="172"/>
      <c r="H306" s="172"/>
      <c r="I306" s="172"/>
      <c r="J306" s="172"/>
      <c r="K306" s="172"/>
      <c r="L306" s="172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</row>
    <row r="307" ht="15.75" customHeight="1">
      <c r="A307" s="183"/>
      <c r="D307" s="172"/>
      <c r="E307" s="172"/>
      <c r="F307" s="172"/>
      <c r="G307" s="172"/>
      <c r="H307" s="172"/>
      <c r="I307" s="172"/>
      <c r="J307" s="172"/>
      <c r="K307" s="172"/>
      <c r="L307" s="172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</row>
    <row r="308" ht="15.75" customHeight="1">
      <c r="A308" s="183"/>
      <c r="D308" s="172"/>
      <c r="E308" s="172"/>
      <c r="F308" s="172"/>
      <c r="G308" s="172"/>
      <c r="H308" s="172"/>
      <c r="I308" s="172"/>
      <c r="J308" s="172"/>
      <c r="K308" s="172"/>
      <c r="L308" s="172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</row>
    <row r="309" ht="15.75" customHeight="1">
      <c r="A309" s="183"/>
      <c r="D309" s="172"/>
      <c r="E309" s="172"/>
      <c r="F309" s="172"/>
      <c r="G309" s="172"/>
      <c r="H309" s="172"/>
      <c r="I309" s="172"/>
      <c r="J309" s="172"/>
      <c r="K309" s="172"/>
      <c r="L309" s="172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</row>
    <row r="310" ht="15.75" customHeight="1">
      <c r="A310" s="183"/>
      <c r="D310" s="172"/>
      <c r="E310" s="172"/>
      <c r="F310" s="172"/>
      <c r="G310" s="172"/>
      <c r="H310" s="172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</row>
    <row r="311" ht="15.75" customHeight="1">
      <c r="A311" s="183"/>
      <c r="D311" s="172"/>
      <c r="E311" s="172"/>
      <c r="F311" s="172"/>
      <c r="G311" s="172"/>
      <c r="H311" s="172"/>
      <c r="I311" s="172"/>
      <c r="J311" s="172"/>
      <c r="K311" s="172"/>
      <c r="L311" s="172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</row>
    <row r="312" ht="15.75" customHeight="1">
      <c r="A312" s="183"/>
      <c r="D312" s="172"/>
      <c r="E312" s="172"/>
      <c r="F312" s="172"/>
      <c r="G312" s="172"/>
      <c r="H312" s="172"/>
      <c r="I312" s="172"/>
      <c r="J312" s="172"/>
      <c r="K312" s="172"/>
      <c r="L312" s="172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W312" s="172"/>
      <c r="X312" s="172"/>
    </row>
    <row r="313" ht="15.75" customHeight="1">
      <c r="A313" s="183"/>
      <c r="D313" s="172"/>
      <c r="E313" s="172"/>
      <c r="F313" s="172"/>
      <c r="G313" s="172"/>
      <c r="H313" s="172"/>
      <c r="I313" s="172"/>
      <c r="J313" s="172"/>
      <c r="K313" s="172"/>
      <c r="L313" s="172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W313" s="172"/>
      <c r="X313" s="172"/>
    </row>
    <row r="314" ht="15.75" customHeight="1">
      <c r="A314" s="183"/>
      <c r="D314" s="172"/>
      <c r="E314" s="172"/>
      <c r="F314" s="172"/>
      <c r="G314" s="172"/>
      <c r="H314" s="172"/>
      <c r="I314" s="172"/>
      <c r="J314" s="172"/>
      <c r="K314" s="172"/>
      <c r="L314" s="172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W314" s="172"/>
      <c r="X314" s="172"/>
    </row>
    <row r="315" ht="15.75" customHeight="1">
      <c r="A315" s="183"/>
      <c r="D315" s="172"/>
      <c r="E315" s="172"/>
      <c r="F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</row>
    <row r="316" ht="15.75" customHeight="1">
      <c r="A316" s="183"/>
      <c r="D316" s="172"/>
      <c r="E316" s="172"/>
      <c r="F316" s="172"/>
      <c r="G316" s="172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</row>
    <row r="317" ht="15.75" customHeight="1">
      <c r="A317" s="183"/>
      <c r="D317" s="172"/>
      <c r="E317" s="172"/>
      <c r="F317" s="172"/>
      <c r="G317" s="172"/>
      <c r="H317" s="172"/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</row>
    <row r="318" ht="15.75" customHeight="1">
      <c r="A318" s="183"/>
      <c r="D318" s="172"/>
      <c r="E318" s="172"/>
      <c r="F318" s="172"/>
      <c r="G318" s="172"/>
      <c r="H318" s="172"/>
      <c r="I318" s="172"/>
      <c r="J318" s="172"/>
      <c r="K318" s="172"/>
      <c r="L318" s="172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</row>
    <row r="319" ht="15.75" customHeight="1">
      <c r="A319" s="183"/>
      <c r="D319" s="172"/>
      <c r="E319" s="172"/>
      <c r="F319" s="172"/>
      <c r="G319" s="172"/>
      <c r="H319" s="172"/>
      <c r="I319" s="172"/>
      <c r="J319" s="172"/>
      <c r="K319" s="172"/>
      <c r="L319" s="172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W319" s="172"/>
      <c r="X319" s="172"/>
    </row>
    <row r="320" ht="15.75" customHeight="1">
      <c r="A320" s="183"/>
      <c r="D320" s="172"/>
      <c r="E320" s="172"/>
      <c r="F320" s="172"/>
      <c r="G320" s="172"/>
      <c r="H320" s="172"/>
      <c r="I320" s="172"/>
      <c r="J320" s="172"/>
      <c r="K320" s="172"/>
      <c r="L320" s="172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W320" s="172"/>
      <c r="X320" s="172"/>
    </row>
    <row r="321" ht="15.75" customHeight="1">
      <c r="A321" s="183"/>
      <c r="D321" s="172"/>
      <c r="E321" s="172"/>
      <c r="F321" s="172"/>
      <c r="G321" s="172"/>
      <c r="H321" s="172"/>
      <c r="I321" s="172"/>
      <c r="J321" s="172"/>
      <c r="K321" s="172"/>
      <c r="L321" s="172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W321" s="172"/>
      <c r="X321" s="172"/>
    </row>
    <row r="322" ht="15.75" customHeight="1">
      <c r="A322" s="183"/>
      <c r="D322" s="172"/>
      <c r="E322" s="172"/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</row>
    <row r="323" ht="15.75" customHeight="1">
      <c r="A323" s="183"/>
      <c r="D323" s="172"/>
      <c r="E323" s="172"/>
      <c r="F323" s="172"/>
      <c r="G323" s="172"/>
      <c r="H323" s="172"/>
      <c r="I323" s="172"/>
      <c r="J323" s="172"/>
      <c r="K323" s="172"/>
      <c r="L323" s="172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</row>
    <row r="324" ht="15.75" customHeight="1">
      <c r="A324" s="183"/>
      <c r="D324" s="172"/>
      <c r="E324" s="172"/>
      <c r="F324" s="172"/>
      <c r="G324" s="172"/>
      <c r="H324" s="172"/>
      <c r="I324" s="172"/>
      <c r="J324" s="172"/>
      <c r="K324" s="172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</row>
    <row r="325" ht="15.75" customHeight="1">
      <c r="A325" s="183"/>
      <c r="D325" s="172"/>
      <c r="E325" s="172"/>
      <c r="F325" s="172"/>
      <c r="G325" s="172"/>
      <c r="H325" s="172"/>
      <c r="I325" s="172"/>
      <c r="J325" s="172"/>
      <c r="K325" s="172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</row>
    <row r="326" ht="15.75" customHeight="1">
      <c r="A326" s="183"/>
      <c r="D326" s="172"/>
      <c r="E326" s="172"/>
      <c r="F326" s="172"/>
      <c r="G326" s="172"/>
      <c r="H326" s="172"/>
      <c r="I326" s="172"/>
      <c r="J326" s="172"/>
      <c r="K326" s="172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</row>
    <row r="327" ht="15.75" customHeight="1">
      <c r="A327" s="183"/>
      <c r="D327" s="172"/>
      <c r="E327" s="172"/>
      <c r="F327" s="172"/>
      <c r="G327" s="172"/>
      <c r="H327" s="172"/>
      <c r="I327" s="172"/>
      <c r="J327" s="172"/>
      <c r="K327" s="172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</row>
    <row r="328" ht="15.75" customHeight="1">
      <c r="A328" s="183"/>
      <c r="D328" s="172"/>
      <c r="E328" s="172"/>
      <c r="F328" s="172"/>
      <c r="G328" s="172"/>
      <c r="H328" s="172"/>
      <c r="I328" s="172"/>
      <c r="J328" s="172"/>
      <c r="K328" s="172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</row>
    <row r="329" ht="15.75" customHeight="1">
      <c r="A329" s="183"/>
      <c r="D329" s="172"/>
      <c r="E329" s="172"/>
      <c r="F329" s="172"/>
      <c r="G329" s="172"/>
      <c r="H329" s="172"/>
      <c r="I329" s="172"/>
      <c r="J329" s="172"/>
      <c r="K329" s="172"/>
      <c r="L329" s="172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</row>
    <row r="330" ht="15.75" customHeight="1">
      <c r="A330" s="183"/>
      <c r="D330" s="172"/>
      <c r="E330" s="172"/>
      <c r="F330" s="172"/>
      <c r="G330" s="172"/>
      <c r="H330" s="172"/>
      <c r="I330" s="172"/>
      <c r="J330" s="172"/>
      <c r="K330" s="172"/>
      <c r="L330" s="172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W330" s="172"/>
      <c r="X330" s="172"/>
    </row>
    <row r="331" ht="15.75" customHeight="1">
      <c r="A331" s="183"/>
      <c r="D331" s="172"/>
      <c r="E331" s="172"/>
      <c r="F331" s="172"/>
      <c r="G331" s="172"/>
      <c r="H331" s="172"/>
      <c r="I331" s="172"/>
      <c r="J331" s="172"/>
      <c r="K331" s="172"/>
      <c r="L331" s="172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</row>
    <row r="332" ht="15.75" customHeight="1">
      <c r="A332" s="183"/>
      <c r="D332" s="172"/>
      <c r="E332" s="172"/>
      <c r="F332" s="172"/>
      <c r="G332" s="172"/>
      <c r="H332" s="172"/>
      <c r="I332" s="172"/>
      <c r="J332" s="172"/>
      <c r="K332" s="172"/>
      <c r="L332" s="172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</row>
    <row r="333" ht="15.75" customHeight="1">
      <c r="A333" s="183"/>
      <c r="D333" s="172"/>
      <c r="E333" s="172"/>
      <c r="F333" s="172"/>
      <c r="G333" s="172"/>
      <c r="H333" s="172"/>
      <c r="I333" s="172"/>
      <c r="J333" s="172"/>
      <c r="K333" s="172"/>
      <c r="L333" s="172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</row>
    <row r="334" ht="15.75" customHeight="1">
      <c r="A334" s="183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</row>
    <row r="335" ht="15.75" customHeight="1">
      <c r="A335" s="183"/>
      <c r="D335" s="172"/>
      <c r="E335" s="172"/>
      <c r="F335" s="172"/>
      <c r="G335" s="172"/>
      <c r="H335" s="172"/>
      <c r="I335" s="172"/>
      <c r="J335" s="172"/>
      <c r="K335" s="172"/>
      <c r="L335" s="172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</row>
    <row r="336" ht="15.75" customHeight="1">
      <c r="A336" s="183"/>
      <c r="D336" s="172"/>
      <c r="E336" s="172"/>
      <c r="F336" s="172"/>
      <c r="G336" s="172"/>
      <c r="H336" s="172"/>
      <c r="I336" s="172"/>
      <c r="J336" s="172"/>
      <c r="K336" s="172"/>
      <c r="L336" s="172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W336" s="172"/>
      <c r="X336" s="172"/>
    </row>
    <row r="337" ht="15.75" customHeight="1">
      <c r="A337" s="183"/>
      <c r="D337" s="172"/>
      <c r="E337" s="172"/>
      <c r="F337" s="172"/>
      <c r="G337" s="172"/>
      <c r="H337" s="172"/>
      <c r="I337" s="172"/>
      <c r="J337" s="172"/>
      <c r="K337" s="172"/>
      <c r="L337" s="172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W337" s="172"/>
      <c r="X337" s="172"/>
    </row>
    <row r="338" ht="15.75" customHeight="1">
      <c r="A338" s="183"/>
      <c r="D338" s="172"/>
      <c r="E338" s="172"/>
      <c r="F338" s="172"/>
      <c r="G338" s="172"/>
      <c r="H338" s="172"/>
      <c r="I338" s="172"/>
      <c r="J338" s="172"/>
      <c r="K338" s="172"/>
      <c r="L338" s="172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W338" s="172"/>
      <c r="X338" s="172"/>
    </row>
    <row r="339" ht="15.75" customHeight="1">
      <c r="A339" s="183"/>
      <c r="D339" s="172"/>
      <c r="E339" s="172"/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</row>
    <row r="340" ht="15.75" customHeight="1">
      <c r="A340" s="183"/>
      <c r="D340" s="172"/>
      <c r="E340" s="172"/>
      <c r="F340" s="172"/>
      <c r="G340" s="172"/>
      <c r="H340" s="172"/>
      <c r="I340" s="172"/>
      <c r="J340" s="172"/>
      <c r="K340" s="172"/>
      <c r="L340" s="172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</row>
    <row r="341" ht="15.75" customHeight="1">
      <c r="A341" s="183"/>
      <c r="D341" s="172"/>
      <c r="E341" s="172"/>
      <c r="F341" s="172"/>
      <c r="G341" s="172"/>
      <c r="H341" s="172"/>
      <c r="I341" s="172"/>
      <c r="J341" s="172"/>
      <c r="K341" s="172"/>
      <c r="L341" s="172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</row>
    <row r="342" ht="15.75" customHeight="1">
      <c r="A342" s="183"/>
      <c r="D342" s="172"/>
      <c r="E342" s="172"/>
      <c r="F342" s="172"/>
      <c r="G342" s="172"/>
      <c r="H342" s="172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</row>
    <row r="343" ht="15.75" customHeight="1">
      <c r="A343" s="183"/>
      <c r="D343" s="172"/>
      <c r="E343" s="172"/>
      <c r="F343" s="172"/>
      <c r="G343" s="172"/>
      <c r="H343" s="172"/>
      <c r="I343" s="172"/>
      <c r="J343" s="172"/>
      <c r="K343" s="172"/>
      <c r="L343" s="172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W343" s="172"/>
      <c r="X343" s="172"/>
    </row>
    <row r="344" ht="15.75" customHeight="1">
      <c r="A344" s="183"/>
      <c r="D344" s="172"/>
      <c r="E344" s="172"/>
      <c r="F344" s="172"/>
      <c r="G344" s="172"/>
      <c r="H344" s="172"/>
      <c r="I344" s="172"/>
      <c r="J344" s="172"/>
      <c r="K344" s="172"/>
      <c r="L344" s="172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W344" s="172"/>
      <c r="X344" s="172"/>
    </row>
    <row r="345" ht="15.75" customHeight="1">
      <c r="A345" s="183"/>
      <c r="D345" s="172"/>
      <c r="E345" s="172"/>
      <c r="F345" s="172"/>
      <c r="G345" s="172"/>
      <c r="H345" s="172"/>
      <c r="I345" s="172"/>
      <c r="J345" s="172"/>
      <c r="K345" s="172"/>
      <c r="L345" s="172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</row>
    <row r="346" ht="15.75" customHeight="1">
      <c r="A346" s="183"/>
      <c r="D346" s="172"/>
      <c r="E346" s="172"/>
      <c r="F346" s="172"/>
      <c r="G346" s="172"/>
      <c r="H346" s="172"/>
      <c r="I346" s="172"/>
      <c r="J346" s="172"/>
      <c r="K346" s="172"/>
      <c r="L346" s="172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</row>
    <row r="347" ht="15.75" customHeight="1">
      <c r="A347" s="183"/>
      <c r="D347" s="172"/>
      <c r="E347" s="172"/>
      <c r="F347" s="172"/>
      <c r="G347" s="172"/>
      <c r="H347" s="172"/>
      <c r="I347" s="172"/>
      <c r="J347" s="172"/>
      <c r="K347" s="172"/>
      <c r="L347" s="172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W347" s="172"/>
      <c r="X347" s="172"/>
    </row>
    <row r="348" ht="15.75" customHeight="1">
      <c r="A348" s="183"/>
      <c r="D348" s="172"/>
      <c r="E348" s="172"/>
      <c r="F348" s="172"/>
      <c r="G348" s="172"/>
      <c r="H348" s="172"/>
      <c r="I348" s="172"/>
      <c r="J348" s="172"/>
      <c r="K348" s="172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</row>
    <row r="349" ht="15.75" customHeight="1">
      <c r="A349" s="183"/>
      <c r="D349" s="172"/>
      <c r="E349" s="172"/>
      <c r="F349" s="172"/>
      <c r="G349" s="172"/>
      <c r="H349" s="172"/>
      <c r="I349" s="172"/>
      <c r="J349" s="172"/>
      <c r="K349" s="172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</row>
    <row r="350" ht="15.75" customHeight="1">
      <c r="A350" s="183"/>
      <c r="D350" s="172"/>
      <c r="E350" s="172"/>
      <c r="F350" s="172"/>
      <c r="G350" s="172"/>
      <c r="H350" s="172"/>
      <c r="I350" s="172"/>
      <c r="J350" s="172"/>
      <c r="K350" s="172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</row>
    <row r="351" ht="15.75" customHeight="1">
      <c r="A351" s="183"/>
      <c r="D351" s="172"/>
      <c r="E351" s="172"/>
      <c r="F351" s="172"/>
      <c r="G351" s="172"/>
      <c r="H351" s="172"/>
      <c r="I351" s="172"/>
      <c r="J351" s="172"/>
      <c r="K351" s="172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</row>
    <row r="352" ht="15.75" customHeight="1">
      <c r="A352" s="183"/>
      <c r="D352" s="172"/>
      <c r="E352" s="172"/>
      <c r="F352" s="172"/>
      <c r="G352" s="172"/>
      <c r="H352" s="172"/>
      <c r="I352" s="172"/>
      <c r="J352" s="172"/>
      <c r="K352" s="172"/>
      <c r="L352" s="172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</row>
    <row r="353" ht="15.75" customHeight="1">
      <c r="A353" s="183"/>
      <c r="D353" s="172"/>
      <c r="E353" s="172"/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</row>
    <row r="354" ht="15.75" customHeight="1">
      <c r="A354" s="183"/>
      <c r="D354" s="172"/>
      <c r="E354" s="172"/>
      <c r="F354" s="172"/>
      <c r="G354" s="172"/>
      <c r="H354" s="172"/>
      <c r="I354" s="172"/>
      <c r="J354" s="172"/>
      <c r="K354" s="172"/>
      <c r="L354" s="172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</row>
    <row r="355" ht="15.75" customHeight="1">
      <c r="A355" s="183"/>
      <c r="D355" s="172"/>
      <c r="E355" s="172"/>
      <c r="F355" s="172"/>
      <c r="G355" s="172"/>
      <c r="H355" s="172"/>
      <c r="I355" s="172"/>
      <c r="J355" s="172"/>
      <c r="K355" s="172"/>
      <c r="L355" s="172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  <c r="X355" s="172"/>
    </row>
    <row r="356" ht="15.75" customHeight="1">
      <c r="A356" s="183"/>
      <c r="D356" s="172"/>
      <c r="E356" s="172"/>
      <c r="F356" s="172"/>
      <c r="G356" s="172"/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</row>
    <row r="357" ht="15.75" customHeight="1">
      <c r="A357" s="183"/>
      <c r="D357" s="172"/>
      <c r="E357" s="172"/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</row>
    <row r="358" ht="15.75" customHeight="1">
      <c r="A358" s="183"/>
      <c r="D358" s="172"/>
      <c r="E358" s="172"/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W358" s="172"/>
      <c r="X358" s="172"/>
    </row>
    <row r="359" ht="15.75" customHeight="1">
      <c r="A359" s="183"/>
      <c r="D359" s="172"/>
      <c r="E359" s="172"/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</row>
    <row r="360" ht="15.75" customHeight="1">
      <c r="A360" s="183"/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</row>
    <row r="361" ht="15.75" customHeight="1">
      <c r="A361" s="183"/>
      <c r="D361" s="172"/>
      <c r="E361" s="172"/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</row>
    <row r="362" ht="15.75" customHeight="1">
      <c r="A362" s="183"/>
      <c r="D362" s="172"/>
      <c r="E362" s="172"/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</row>
    <row r="363" ht="15.75" customHeight="1">
      <c r="A363" s="183"/>
      <c r="D363" s="172"/>
      <c r="E363" s="172"/>
      <c r="F363" s="172"/>
      <c r="G363" s="172"/>
      <c r="H363" s="172"/>
      <c r="I363" s="172"/>
      <c r="J363" s="172"/>
      <c r="K363" s="172"/>
      <c r="L363" s="172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</row>
    <row r="364" ht="15.75" customHeight="1">
      <c r="A364" s="183"/>
      <c r="D364" s="172"/>
      <c r="E364" s="172"/>
      <c r="F364" s="172"/>
      <c r="G364" s="172"/>
      <c r="H364" s="172"/>
      <c r="I364" s="172"/>
      <c r="J364" s="172"/>
      <c r="K364" s="172"/>
      <c r="L364" s="172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W364" s="172"/>
      <c r="X364" s="172"/>
    </row>
    <row r="365" ht="15.75" customHeight="1">
      <c r="A365" s="183"/>
      <c r="D365" s="172"/>
      <c r="E365" s="172"/>
      <c r="F365" s="172"/>
      <c r="G365" s="172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</row>
    <row r="366" ht="15.75" customHeight="1">
      <c r="A366" s="183"/>
      <c r="D366" s="172"/>
      <c r="E366" s="172"/>
      <c r="F366" s="172"/>
      <c r="G366" s="172"/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</row>
    <row r="367" ht="15.75" customHeight="1">
      <c r="A367" s="183"/>
      <c r="D367" s="172"/>
      <c r="E367" s="172"/>
      <c r="F367" s="172"/>
      <c r="G367" s="172"/>
      <c r="H367" s="172"/>
      <c r="I367" s="172"/>
      <c r="J367" s="172"/>
      <c r="K367" s="172"/>
      <c r="L367" s="172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</row>
    <row r="368" ht="15.75" customHeight="1">
      <c r="A368" s="183"/>
      <c r="D368" s="172"/>
      <c r="E368" s="172"/>
      <c r="F368" s="172"/>
      <c r="G368" s="172"/>
      <c r="H368" s="172"/>
      <c r="I368" s="172"/>
      <c r="J368" s="172"/>
      <c r="K368" s="172"/>
      <c r="L368" s="172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W368" s="172"/>
      <c r="X368" s="172"/>
    </row>
    <row r="369" ht="15.75" customHeight="1">
      <c r="A369" s="183"/>
      <c r="D369" s="172"/>
      <c r="E369" s="172"/>
      <c r="F369" s="172"/>
      <c r="G369" s="172"/>
      <c r="H369" s="172"/>
      <c r="I369" s="172"/>
      <c r="J369" s="172"/>
      <c r="K369" s="172"/>
      <c r="L369" s="172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W369" s="172"/>
      <c r="X369" s="172"/>
    </row>
    <row r="370" ht="15.75" customHeight="1">
      <c r="A370" s="183"/>
      <c r="D370" s="172"/>
      <c r="E370" s="172"/>
      <c r="F370" s="172"/>
      <c r="G370" s="172"/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</row>
    <row r="371" ht="15.75" customHeight="1">
      <c r="A371" s="183"/>
      <c r="D371" s="172"/>
      <c r="E371" s="172"/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W371" s="172"/>
      <c r="X371" s="172"/>
    </row>
    <row r="372" ht="15.75" customHeight="1">
      <c r="A372" s="183"/>
      <c r="D372" s="172"/>
      <c r="E372" s="172"/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W372" s="172"/>
      <c r="X372" s="172"/>
    </row>
    <row r="373" ht="15.75" customHeight="1">
      <c r="A373" s="183"/>
      <c r="D373" s="172"/>
      <c r="E373" s="172"/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</row>
    <row r="374" ht="15.75" customHeight="1">
      <c r="A374" s="183"/>
      <c r="D374" s="172"/>
      <c r="E374" s="172"/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W374" s="172"/>
      <c r="X374" s="172"/>
    </row>
    <row r="375" ht="15.75" customHeight="1">
      <c r="A375" s="183"/>
      <c r="D375" s="172"/>
      <c r="E375" s="172"/>
      <c r="F375" s="172"/>
      <c r="G375" s="172"/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  <c r="X375" s="172"/>
    </row>
    <row r="376" ht="15.75" customHeight="1">
      <c r="A376" s="183"/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W376" s="172"/>
      <c r="X376" s="172"/>
    </row>
    <row r="377" ht="15.75" customHeight="1">
      <c r="A377" s="183"/>
      <c r="D377" s="172"/>
      <c r="E377" s="172"/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</row>
    <row r="378" ht="15.75" customHeight="1">
      <c r="A378" s="183"/>
      <c r="D378" s="172"/>
      <c r="E378" s="172"/>
      <c r="F378" s="172"/>
      <c r="G378" s="172"/>
      <c r="H378" s="172"/>
      <c r="I378" s="172"/>
      <c r="J378" s="172"/>
      <c r="K378" s="172"/>
      <c r="L378" s="172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W378" s="172"/>
      <c r="X378" s="172"/>
    </row>
    <row r="379" ht="15.75" customHeight="1">
      <c r="A379" s="183"/>
      <c r="D379" s="172"/>
      <c r="E379" s="172"/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</row>
    <row r="380" ht="15.75" customHeight="1">
      <c r="A380" s="183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</row>
    <row r="381" ht="15.75" customHeight="1">
      <c r="A381" s="183"/>
      <c r="D381" s="172"/>
      <c r="E381" s="172"/>
      <c r="F381" s="172"/>
      <c r="G381" s="172"/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</row>
    <row r="382" ht="15.75" customHeight="1">
      <c r="A382" s="183"/>
      <c r="D382" s="172"/>
      <c r="E382" s="172"/>
      <c r="F382" s="172"/>
      <c r="G382" s="172"/>
      <c r="H382" s="172"/>
      <c r="I382" s="172"/>
      <c r="J382" s="172"/>
      <c r="K382" s="172"/>
      <c r="L382" s="172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W382" s="172"/>
      <c r="X382" s="172"/>
    </row>
    <row r="383" ht="15.75" customHeight="1">
      <c r="A383" s="183"/>
      <c r="D383" s="172"/>
      <c r="E383" s="172"/>
      <c r="F383" s="172"/>
      <c r="G383" s="172"/>
      <c r="H383" s="172"/>
      <c r="I383" s="172"/>
      <c r="J383" s="172"/>
      <c r="K383" s="172"/>
      <c r="L383" s="172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W383" s="172"/>
      <c r="X383" s="172"/>
    </row>
    <row r="384" ht="15.75" customHeight="1">
      <c r="A384" s="183"/>
      <c r="D384" s="172"/>
      <c r="E384" s="172"/>
      <c r="F384" s="172"/>
      <c r="G384" s="172"/>
      <c r="H384" s="172"/>
      <c r="I384" s="172"/>
      <c r="J384" s="172"/>
      <c r="K384" s="172"/>
      <c r="L384" s="172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W384" s="172"/>
      <c r="X384" s="172"/>
    </row>
    <row r="385" ht="15.75" customHeight="1">
      <c r="A385" s="183"/>
      <c r="D385" s="172"/>
      <c r="E385" s="172"/>
      <c r="F385" s="172"/>
      <c r="G385" s="172"/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  <c r="X385" s="172"/>
    </row>
    <row r="386" ht="15.75" customHeight="1">
      <c r="A386" s="183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</row>
    <row r="387" ht="15.75" customHeight="1">
      <c r="A387" s="183"/>
      <c r="D387" s="172"/>
      <c r="E387" s="172"/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W387" s="172"/>
      <c r="X387" s="172"/>
    </row>
    <row r="388" ht="15.75" customHeight="1">
      <c r="A388" s="183"/>
      <c r="D388" s="172"/>
      <c r="E388" s="172"/>
      <c r="F388" s="172"/>
      <c r="G388" s="172"/>
      <c r="H388" s="172"/>
      <c r="I388" s="172"/>
      <c r="J388" s="172"/>
      <c r="K388" s="172"/>
      <c r="L388" s="172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W388" s="172"/>
      <c r="X388" s="172"/>
    </row>
    <row r="389" ht="15.75" customHeight="1">
      <c r="A389" s="183"/>
      <c r="D389" s="172"/>
      <c r="E389" s="172"/>
      <c r="F389" s="172"/>
      <c r="G389" s="172"/>
      <c r="H389" s="172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W389" s="172"/>
      <c r="X389" s="172"/>
    </row>
    <row r="390" ht="15.75" customHeight="1">
      <c r="A390" s="183"/>
      <c r="D390" s="172"/>
      <c r="E390" s="172"/>
      <c r="F390" s="172"/>
      <c r="G390" s="172"/>
      <c r="H390" s="172"/>
      <c r="I390" s="172"/>
      <c r="J390" s="172"/>
      <c r="K390" s="172"/>
      <c r="L390" s="172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W390" s="172"/>
      <c r="X390" s="172"/>
    </row>
    <row r="391" ht="15.75" customHeight="1">
      <c r="A391" s="183"/>
      <c r="D391" s="172"/>
      <c r="E391" s="172"/>
      <c r="F391" s="172"/>
      <c r="G391" s="172"/>
      <c r="H391" s="172"/>
      <c r="I391" s="172"/>
      <c r="J391" s="172"/>
      <c r="K391" s="172"/>
      <c r="L391" s="172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W391" s="172"/>
      <c r="X391" s="172"/>
    </row>
    <row r="392" ht="15.75" customHeight="1">
      <c r="A392" s="183"/>
      <c r="D392" s="172"/>
      <c r="E392" s="172"/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W392" s="172"/>
      <c r="X392" s="172"/>
    </row>
    <row r="393" ht="15.75" customHeight="1">
      <c r="A393" s="183"/>
      <c r="D393" s="172"/>
      <c r="E393" s="172"/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W393" s="172"/>
      <c r="X393" s="172"/>
    </row>
    <row r="394" ht="15.75" customHeight="1">
      <c r="A394" s="183"/>
      <c r="D394" s="172"/>
      <c r="E394" s="172"/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W394" s="172"/>
      <c r="X394" s="172"/>
    </row>
    <row r="395" ht="15.75" customHeight="1">
      <c r="A395" s="183"/>
      <c r="D395" s="172"/>
      <c r="E395" s="172"/>
      <c r="F395" s="172"/>
      <c r="G395" s="172"/>
      <c r="H395" s="172"/>
      <c r="I395" s="172"/>
      <c r="J395" s="172"/>
      <c r="K395" s="172"/>
      <c r="L395" s="172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  <c r="X395" s="172"/>
    </row>
    <row r="396" ht="15.75" customHeight="1">
      <c r="A396" s="183"/>
      <c r="D396" s="172"/>
      <c r="E396" s="172"/>
      <c r="F396" s="172"/>
      <c r="G396" s="172"/>
      <c r="H396" s="172"/>
      <c r="I396" s="172"/>
      <c r="J396" s="172"/>
      <c r="K396" s="172"/>
      <c r="L396" s="172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2"/>
    </row>
    <row r="397" ht="15.75" customHeight="1">
      <c r="A397" s="183"/>
      <c r="D397" s="172"/>
      <c r="E397" s="172"/>
      <c r="F397" s="172"/>
      <c r="G397" s="172"/>
      <c r="H397" s="172"/>
      <c r="I397" s="172"/>
      <c r="J397" s="172"/>
      <c r="K397" s="172"/>
      <c r="L397" s="172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W397" s="172"/>
      <c r="X397" s="172"/>
    </row>
    <row r="398" ht="15.75" customHeight="1">
      <c r="A398" s="183"/>
      <c r="D398" s="172"/>
      <c r="E398" s="172"/>
      <c r="F398" s="172"/>
      <c r="G398" s="172"/>
      <c r="H398" s="172"/>
      <c r="I398" s="172"/>
      <c r="J398" s="172"/>
      <c r="K398" s="172"/>
      <c r="L398" s="172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W398" s="172"/>
      <c r="X398" s="172"/>
    </row>
    <row r="399" ht="15.75" customHeight="1">
      <c r="A399" s="183"/>
      <c r="D399" s="172"/>
      <c r="E399" s="172"/>
      <c r="F399" s="172"/>
      <c r="G399" s="172"/>
      <c r="H399" s="172"/>
      <c r="I399" s="172"/>
      <c r="J399" s="172"/>
      <c r="K399" s="172"/>
      <c r="L399" s="172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W399" s="172"/>
      <c r="X399" s="172"/>
    </row>
    <row r="400" ht="15.75" customHeight="1">
      <c r="A400" s="183"/>
      <c r="D400" s="172"/>
      <c r="E400" s="172"/>
      <c r="F400" s="172"/>
      <c r="G400" s="172"/>
      <c r="H400" s="172"/>
      <c r="I400" s="172"/>
      <c r="J400" s="172"/>
      <c r="K400" s="172"/>
      <c r="L400" s="172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W400" s="172"/>
      <c r="X400" s="172"/>
    </row>
    <row r="401" ht="15.75" customHeight="1">
      <c r="A401" s="183"/>
      <c r="D401" s="172"/>
      <c r="E401" s="172"/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</row>
    <row r="402" ht="15.75" customHeight="1">
      <c r="A402" s="183"/>
      <c r="D402" s="172"/>
      <c r="E402" s="172"/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W402" s="172"/>
      <c r="X402" s="172"/>
    </row>
    <row r="403" ht="15.75" customHeight="1">
      <c r="A403" s="183"/>
      <c r="D403" s="172"/>
      <c r="E403" s="172"/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2"/>
      <c r="Q403" s="172"/>
      <c r="R403" s="172"/>
      <c r="S403" s="172"/>
      <c r="T403" s="172"/>
      <c r="U403" s="172"/>
      <c r="V403" s="172"/>
      <c r="W403" s="172"/>
      <c r="X403" s="172"/>
    </row>
    <row r="404" ht="15.75" customHeight="1">
      <c r="A404" s="183"/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W404" s="172"/>
      <c r="X404" s="172"/>
    </row>
    <row r="405" ht="15.75" customHeight="1">
      <c r="A405" s="183"/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W405" s="172"/>
      <c r="X405" s="172"/>
    </row>
    <row r="406" ht="15.75" customHeight="1">
      <c r="A406" s="183"/>
      <c r="D406" s="172"/>
      <c r="E406" s="172"/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W406" s="172"/>
      <c r="X406" s="172"/>
    </row>
    <row r="407" ht="15.75" customHeight="1">
      <c r="A407" s="183"/>
      <c r="D407" s="172"/>
      <c r="E407" s="172"/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</row>
    <row r="408" ht="15.75" customHeight="1">
      <c r="A408" s="183"/>
      <c r="D408" s="172"/>
      <c r="E408" s="172"/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W408" s="172"/>
      <c r="X408" s="172"/>
    </row>
    <row r="409" ht="15.75" customHeight="1">
      <c r="A409" s="183"/>
      <c r="D409" s="172"/>
      <c r="E409" s="172"/>
      <c r="F409" s="172"/>
      <c r="G409" s="172"/>
      <c r="H409" s="172"/>
      <c r="I409" s="172"/>
      <c r="J409" s="172"/>
      <c r="K409" s="172"/>
      <c r="L409" s="172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</row>
    <row r="410" ht="15.75" customHeight="1">
      <c r="A410" s="183"/>
      <c r="D410" s="172"/>
      <c r="E410" s="172"/>
      <c r="F410" s="172"/>
      <c r="G410" s="172"/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</row>
    <row r="411" ht="15.75" customHeight="1">
      <c r="A411" s="183"/>
      <c r="D411" s="172"/>
      <c r="E411" s="172"/>
      <c r="F411" s="172"/>
      <c r="G411" s="172"/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W411" s="172"/>
      <c r="X411" s="172"/>
    </row>
    <row r="412" ht="15.75" customHeight="1">
      <c r="A412" s="183"/>
      <c r="D412" s="172"/>
      <c r="E412" s="172"/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</row>
    <row r="413" ht="15.75" customHeight="1">
      <c r="A413" s="183"/>
      <c r="D413" s="172"/>
      <c r="E413" s="172"/>
      <c r="F413" s="172"/>
      <c r="G413" s="172"/>
      <c r="H413" s="172"/>
      <c r="I413" s="172"/>
      <c r="J413" s="172"/>
      <c r="K413" s="172"/>
      <c r="L413" s="172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W413" s="172"/>
      <c r="X413" s="172"/>
    </row>
    <row r="414" ht="15.75" customHeight="1">
      <c r="A414" s="183"/>
      <c r="D414" s="172"/>
      <c r="E414" s="172"/>
      <c r="F414" s="172"/>
      <c r="G414" s="172"/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</row>
    <row r="415" ht="15.75" customHeight="1">
      <c r="A415" s="183"/>
      <c r="D415" s="172"/>
      <c r="E415" s="172"/>
      <c r="F415" s="172"/>
      <c r="G415" s="172"/>
      <c r="H415" s="172"/>
      <c r="I415" s="172"/>
      <c r="J415" s="172"/>
      <c r="K415" s="172"/>
      <c r="L415" s="172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  <c r="X415" s="172"/>
    </row>
    <row r="416" ht="15.75" customHeight="1">
      <c r="A416" s="183"/>
      <c r="D416" s="172"/>
      <c r="E416" s="172"/>
      <c r="F416" s="172"/>
      <c r="G416" s="172"/>
      <c r="H416" s="172"/>
      <c r="I416" s="172"/>
      <c r="J416" s="172"/>
      <c r="K416" s="172"/>
      <c r="L416" s="172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W416" s="172"/>
      <c r="X416" s="172"/>
    </row>
    <row r="417" ht="15.75" customHeight="1">
      <c r="A417" s="183"/>
      <c r="D417" s="172"/>
      <c r="E417" s="172"/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</row>
    <row r="418" ht="15.75" customHeight="1">
      <c r="A418" s="183"/>
      <c r="D418" s="172"/>
      <c r="E418" s="172"/>
      <c r="F418" s="172"/>
      <c r="G418" s="172"/>
      <c r="H418" s="172"/>
      <c r="I418" s="172"/>
      <c r="J418" s="172"/>
      <c r="K418" s="172"/>
      <c r="L418" s="172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W418" s="172"/>
      <c r="X418" s="172"/>
    </row>
    <row r="419" ht="15.75" customHeight="1">
      <c r="A419" s="183"/>
      <c r="D419" s="172"/>
      <c r="E419" s="172"/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W419" s="172"/>
      <c r="X419" s="172"/>
    </row>
    <row r="420" ht="15.75" customHeight="1">
      <c r="A420" s="183"/>
      <c r="D420" s="172"/>
      <c r="E420" s="172"/>
      <c r="F420" s="172"/>
      <c r="G420" s="172"/>
      <c r="H420" s="172"/>
      <c r="I420" s="172"/>
      <c r="J420" s="172"/>
      <c r="K420" s="172"/>
      <c r="L420" s="172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W420" s="172"/>
      <c r="X420" s="172"/>
    </row>
    <row r="421" ht="15.75" customHeight="1">
      <c r="A421" s="183"/>
      <c r="D421" s="172"/>
      <c r="E421" s="172"/>
      <c r="F421" s="172"/>
      <c r="G421" s="172"/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W421" s="172"/>
      <c r="X421" s="172"/>
    </row>
    <row r="422" ht="15.75" customHeight="1">
      <c r="A422" s="183"/>
      <c r="D422" s="172"/>
      <c r="E422" s="172"/>
      <c r="F422" s="172"/>
      <c r="G422" s="172"/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W422" s="172"/>
      <c r="X422" s="172"/>
    </row>
    <row r="423" ht="15.75" customHeight="1">
      <c r="A423" s="183"/>
      <c r="D423" s="172"/>
      <c r="E423" s="172"/>
      <c r="F423" s="172"/>
      <c r="G423" s="172"/>
      <c r="H423" s="172"/>
      <c r="I423" s="172"/>
      <c r="J423" s="172"/>
      <c r="K423" s="172"/>
      <c r="L423" s="172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W423" s="172"/>
      <c r="X423" s="172"/>
    </row>
    <row r="424" ht="15.75" customHeight="1">
      <c r="A424" s="183"/>
      <c r="D424" s="172"/>
      <c r="E424" s="172"/>
      <c r="F424" s="172"/>
      <c r="G424" s="172"/>
      <c r="H424" s="172"/>
      <c r="I424" s="172"/>
      <c r="J424" s="172"/>
      <c r="K424" s="172"/>
      <c r="L424" s="172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</row>
    <row r="425" ht="15.75" customHeight="1">
      <c r="A425" s="183"/>
      <c r="D425" s="172"/>
      <c r="E425" s="172"/>
      <c r="F425" s="172"/>
      <c r="G425" s="172"/>
      <c r="H425" s="172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  <c r="X425" s="172"/>
    </row>
    <row r="426" ht="15.75" customHeight="1">
      <c r="A426" s="183"/>
      <c r="D426" s="172"/>
      <c r="E426" s="172"/>
      <c r="F426" s="172"/>
      <c r="G426" s="172"/>
      <c r="H426" s="172"/>
      <c r="I426" s="172"/>
      <c r="J426" s="172"/>
      <c r="K426" s="172"/>
      <c r="L426" s="172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W426" s="172"/>
      <c r="X426" s="172"/>
    </row>
    <row r="427" ht="15.75" customHeight="1">
      <c r="A427" s="183"/>
      <c r="D427" s="172"/>
      <c r="E427" s="172"/>
      <c r="F427" s="172"/>
      <c r="G427" s="172"/>
      <c r="H427" s="172"/>
      <c r="I427" s="172"/>
      <c r="J427" s="172"/>
      <c r="K427" s="172"/>
      <c r="L427" s="172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W427" s="172"/>
      <c r="X427" s="172"/>
    </row>
    <row r="428" ht="15.75" customHeight="1">
      <c r="A428" s="183"/>
      <c r="D428" s="172"/>
      <c r="E428" s="172"/>
      <c r="F428" s="172"/>
      <c r="G428" s="172"/>
      <c r="H428" s="172"/>
      <c r="I428" s="172"/>
      <c r="J428" s="172"/>
      <c r="K428" s="172"/>
      <c r="L428" s="172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W428" s="172"/>
      <c r="X428" s="172"/>
    </row>
    <row r="429" ht="15.75" customHeight="1">
      <c r="A429" s="183"/>
      <c r="D429" s="172"/>
      <c r="E429" s="172"/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W429" s="172"/>
      <c r="X429" s="172"/>
    </row>
    <row r="430" ht="15.75" customHeight="1">
      <c r="A430" s="183"/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</row>
    <row r="431" ht="15.75" customHeight="1">
      <c r="A431" s="183"/>
      <c r="D431" s="172"/>
      <c r="E431" s="172"/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W431" s="172"/>
      <c r="X431" s="172"/>
    </row>
    <row r="432" ht="15.75" customHeight="1">
      <c r="A432" s="183"/>
      <c r="D432" s="172"/>
      <c r="E432" s="172"/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W432" s="172"/>
      <c r="X432" s="172"/>
    </row>
    <row r="433" ht="15.75" customHeight="1">
      <c r="A433" s="183"/>
      <c r="D433" s="172"/>
      <c r="E433" s="172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</row>
    <row r="434" ht="15.75" customHeight="1">
      <c r="A434" s="183"/>
      <c r="D434" s="172"/>
      <c r="E434" s="172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</row>
    <row r="435" ht="15.75" customHeight="1">
      <c r="A435" s="183"/>
      <c r="D435" s="172"/>
      <c r="E435" s="172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</row>
    <row r="436" ht="15.75" customHeight="1">
      <c r="A436" s="183"/>
      <c r="D436" s="172"/>
      <c r="E436" s="172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</row>
    <row r="437" ht="15.75" customHeight="1">
      <c r="A437" s="183"/>
      <c r="D437" s="172"/>
      <c r="E437" s="172"/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W437" s="172"/>
      <c r="X437" s="172"/>
    </row>
    <row r="438" ht="15.75" customHeight="1">
      <c r="A438" s="183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</row>
    <row r="439" ht="15.75" customHeight="1">
      <c r="A439" s="183"/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  <c r="Q439" s="172"/>
      <c r="R439" s="172"/>
      <c r="S439" s="172"/>
      <c r="T439" s="172"/>
      <c r="U439" s="172"/>
      <c r="V439" s="172"/>
      <c r="W439" s="172"/>
      <c r="X439" s="172"/>
    </row>
    <row r="440" ht="15.75" customHeight="1">
      <c r="A440" s="183"/>
      <c r="D440" s="172"/>
      <c r="E440" s="172"/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72"/>
      <c r="Q440" s="172"/>
      <c r="R440" s="172"/>
      <c r="S440" s="172"/>
      <c r="T440" s="172"/>
      <c r="U440" s="172"/>
      <c r="V440" s="172"/>
      <c r="W440" s="172"/>
      <c r="X440" s="172"/>
    </row>
    <row r="441" ht="15.75" customHeight="1">
      <c r="A441" s="183"/>
      <c r="D441" s="172"/>
      <c r="E441" s="172"/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72"/>
      <c r="Q441" s="172"/>
      <c r="R441" s="172"/>
      <c r="S441" s="172"/>
      <c r="T441" s="172"/>
      <c r="U441" s="172"/>
      <c r="V441" s="172"/>
      <c r="W441" s="172"/>
      <c r="X441" s="172"/>
    </row>
    <row r="442" ht="15.75" customHeight="1">
      <c r="A442" s="183"/>
      <c r="D442" s="172"/>
      <c r="E442" s="172"/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</row>
    <row r="443" ht="15.75" customHeight="1">
      <c r="A443" s="183"/>
      <c r="D443" s="172"/>
      <c r="E443" s="172"/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72"/>
      <c r="Q443" s="172"/>
      <c r="R443" s="172"/>
      <c r="S443" s="172"/>
      <c r="T443" s="172"/>
      <c r="U443" s="172"/>
      <c r="V443" s="172"/>
      <c r="W443" s="172"/>
      <c r="X443" s="172"/>
    </row>
    <row r="444" ht="15.75" customHeight="1">
      <c r="A444" s="183"/>
      <c r="D444" s="172"/>
      <c r="E444" s="172"/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72"/>
      <c r="Q444" s="172"/>
      <c r="R444" s="172"/>
      <c r="S444" s="172"/>
      <c r="T444" s="172"/>
      <c r="U444" s="172"/>
      <c r="V444" s="172"/>
      <c r="W444" s="172"/>
      <c r="X444" s="172"/>
    </row>
    <row r="445" ht="15.75" customHeight="1">
      <c r="A445" s="183"/>
      <c r="D445" s="172"/>
      <c r="E445" s="172"/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  <c r="X445" s="172"/>
    </row>
    <row r="446" ht="15.75" customHeight="1">
      <c r="A446" s="183"/>
      <c r="D446" s="172"/>
      <c r="E446" s="172"/>
      <c r="F446" s="172"/>
      <c r="G446" s="172"/>
      <c r="H446" s="172"/>
      <c r="I446" s="172"/>
      <c r="J446" s="172"/>
      <c r="K446" s="172"/>
      <c r="L446" s="172"/>
      <c r="M446" s="172"/>
      <c r="N446" s="172"/>
      <c r="O446" s="172"/>
      <c r="P446" s="172"/>
      <c r="Q446" s="172"/>
      <c r="R446" s="172"/>
      <c r="S446" s="172"/>
      <c r="T446" s="172"/>
      <c r="U446" s="172"/>
      <c r="V446" s="172"/>
      <c r="W446" s="172"/>
      <c r="X446" s="172"/>
    </row>
    <row r="447" ht="15.75" customHeight="1">
      <c r="A447" s="183"/>
      <c r="D447" s="172"/>
      <c r="E447" s="172"/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72"/>
      <c r="Q447" s="172"/>
      <c r="R447" s="172"/>
      <c r="S447" s="172"/>
      <c r="T447" s="172"/>
      <c r="U447" s="172"/>
      <c r="V447" s="172"/>
      <c r="W447" s="172"/>
      <c r="X447" s="172"/>
    </row>
    <row r="448" ht="15.75" customHeight="1">
      <c r="A448" s="183"/>
      <c r="D448" s="172"/>
      <c r="E448" s="172"/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72"/>
      <c r="Q448" s="172"/>
      <c r="R448" s="172"/>
      <c r="S448" s="172"/>
      <c r="T448" s="172"/>
      <c r="U448" s="172"/>
      <c r="V448" s="172"/>
      <c r="W448" s="172"/>
      <c r="X448" s="172"/>
    </row>
    <row r="449" ht="15.75" customHeight="1">
      <c r="A449" s="183"/>
      <c r="D449" s="172"/>
      <c r="E449" s="172"/>
      <c r="F449" s="172"/>
      <c r="G449" s="172"/>
      <c r="H449" s="172"/>
      <c r="I449" s="172"/>
      <c r="J449" s="172"/>
      <c r="K449" s="172"/>
      <c r="L449" s="172"/>
      <c r="M449" s="172"/>
      <c r="N449" s="172"/>
      <c r="O449" s="172"/>
      <c r="P449" s="172"/>
      <c r="Q449" s="172"/>
      <c r="R449" s="172"/>
      <c r="S449" s="172"/>
      <c r="T449" s="172"/>
      <c r="U449" s="172"/>
      <c r="V449" s="172"/>
      <c r="W449" s="172"/>
      <c r="X449" s="172"/>
    </row>
    <row r="450" ht="15.75" customHeight="1">
      <c r="A450" s="183"/>
      <c r="D450" s="172"/>
      <c r="E450" s="172"/>
      <c r="F450" s="172"/>
      <c r="G450" s="172"/>
      <c r="H450" s="172"/>
      <c r="I450" s="172"/>
      <c r="J450" s="172"/>
      <c r="K450" s="172"/>
      <c r="L450" s="172"/>
      <c r="M450" s="172"/>
      <c r="N450" s="172"/>
      <c r="O450" s="172"/>
      <c r="P450" s="172"/>
      <c r="Q450" s="172"/>
      <c r="R450" s="172"/>
      <c r="S450" s="172"/>
      <c r="T450" s="172"/>
      <c r="U450" s="172"/>
      <c r="V450" s="172"/>
      <c r="W450" s="172"/>
      <c r="X450" s="172"/>
    </row>
    <row r="451" ht="15.75" customHeight="1">
      <c r="A451" s="183"/>
      <c r="D451" s="172"/>
      <c r="E451" s="172"/>
      <c r="F451" s="172"/>
      <c r="G451" s="172"/>
      <c r="H451" s="172"/>
      <c r="I451" s="172"/>
      <c r="J451" s="172"/>
      <c r="K451" s="172"/>
      <c r="L451" s="172"/>
      <c r="M451" s="172"/>
      <c r="N451" s="172"/>
      <c r="O451" s="172"/>
      <c r="P451" s="172"/>
      <c r="Q451" s="172"/>
      <c r="R451" s="172"/>
      <c r="S451" s="172"/>
      <c r="T451" s="172"/>
      <c r="U451" s="172"/>
      <c r="V451" s="172"/>
      <c r="W451" s="172"/>
      <c r="X451" s="172"/>
    </row>
    <row r="452" ht="15.75" customHeight="1">
      <c r="A452" s="183"/>
      <c r="D452" s="172"/>
      <c r="E452" s="172"/>
      <c r="F452" s="172"/>
      <c r="G452" s="172"/>
      <c r="H452" s="172"/>
      <c r="I452" s="172"/>
      <c r="J452" s="172"/>
      <c r="K452" s="172"/>
      <c r="L452" s="172"/>
      <c r="M452" s="172"/>
      <c r="N452" s="172"/>
      <c r="O452" s="172"/>
      <c r="P452" s="172"/>
      <c r="Q452" s="172"/>
      <c r="R452" s="172"/>
      <c r="S452" s="172"/>
      <c r="T452" s="172"/>
      <c r="U452" s="172"/>
      <c r="V452" s="172"/>
      <c r="W452" s="172"/>
      <c r="X452" s="172"/>
    </row>
    <row r="453" ht="15.75" customHeight="1">
      <c r="A453" s="183"/>
      <c r="D453" s="172"/>
      <c r="E453" s="172"/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72"/>
      <c r="Q453" s="172"/>
      <c r="R453" s="172"/>
      <c r="S453" s="172"/>
      <c r="T453" s="172"/>
      <c r="U453" s="172"/>
      <c r="V453" s="172"/>
      <c r="W453" s="172"/>
      <c r="X453" s="172"/>
    </row>
    <row r="454" ht="15.75" customHeight="1">
      <c r="A454" s="183"/>
      <c r="D454" s="172"/>
      <c r="E454" s="172"/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72"/>
      <c r="Q454" s="172"/>
      <c r="R454" s="172"/>
      <c r="S454" s="172"/>
      <c r="T454" s="172"/>
      <c r="U454" s="172"/>
      <c r="V454" s="172"/>
      <c r="W454" s="172"/>
      <c r="X454" s="172"/>
    </row>
    <row r="455" ht="15.75" customHeight="1">
      <c r="A455" s="183"/>
      <c r="D455" s="172"/>
      <c r="E455" s="172"/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  <c r="X455" s="172"/>
    </row>
    <row r="456" ht="15.75" customHeight="1">
      <c r="A456" s="183"/>
      <c r="D456" s="172"/>
      <c r="E456" s="172"/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72"/>
      <c r="Q456" s="172"/>
      <c r="R456" s="172"/>
      <c r="S456" s="172"/>
      <c r="T456" s="172"/>
      <c r="U456" s="172"/>
      <c r="V456" s="172"/>
      <c r="W456" s="172"/>
      <c r="X456" s="172"/>
    </row>
    <row r="457" ht="15.75" customHeight="1">
      <c r="A457" s="183"/>
      <c r="D457" s="172"/>
      <c r="E457" s="172"/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72"/>
      <c r="Q457" s="172"/>
      <c r="R457" s="172"/>
      <c r="S457" s="172"/>
      <c r="T457" s="172"/>
      <c r="U457" s="172"/>
      <c r="V457" s="172"/>
      <c r="W457" s="172"/>
      <c r="X457" s="172"/>
    </row>
    <row r="458" ht="15.75" customHeight="1">
      <c r="A458" s="183"/>
      <c r="D458" s="172"/>
      <c r="E458" s="172"/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72"/>
      <c r="Q458" s="172"/>
      <c r="R458" s="172"/>
      <c r="S458" s="172"/>
      <c r="T458" s="172"/>
      <c r="U458" s="172"/>
      <c r="V458" s="172"/>
      <c r="W458" s="172"/>
      <c r="X458" s="172"/>
    </row>
    <row r="459" ht="15.75" customHeight="1">
      <c r="A459" s="183"/>
      <c r="D459" s="172"/>
      <c r="E459" s="172"/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72"/>
      <c r="Q459" s="172"/>
      <c r="R459" s="172"/>
      <c r="S459" s="172"/>
      <c r="T459" s="172"/>
      <c r="U459" s="172"/>
      <c r="V459" s="172"/>
      <c r="W459" s="172"/>
      <c r="X459" s="172"/>
    </row>
    <row r="460" ht="15.75" customHeight="1">
      <c r="A460" s="183"/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  <c r="Q460" s="172"/>
      <c r="R460" s="172"/>
      <c r="S460" s="172"/>
      <c r="T460" s="172"/>
      <c r="U460" s="172"/>
      <c r="V460" s="172"/>
      <c r="W460" s="172"/>
      <c r="X460" s="172"/>
    </row>
    <row r="461" ht="15.75" customHeight="1">
      <c r="A461" s="183"/>
      <c r="D461" s="172"/>
      <c r="E461" s="172"/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72"/>
      <c r="Q461" s="172"/>
      <c r="R461" s="172"/>
      <c r="S461" s="172"/>
      <c r="T461" s="172"/>
      <c r="U461" s="172"/>
      <c r="V461" s="172"/>
      <c r="W461" s="172"/>
      <c r="X461" s="172"/>
    </row>
    <row r="462" ht="15.75" customHeight="1">
      <c r="A462" s="183"/>
      <c r="D462" s="172"/>
      <c r="E462" s="172"/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72"/>
      <c r="Q462" s="172"/>
      <c r="R462" s="172"/>
      <c r="S462" s="172"/>
      <c r="T462" s="172"/>
      <c r="U462" s="172"/>
      <c r="V462" s="172"/>
      <c r="W462" s="172"/>
      <c r="X462" s="172"/>
    </row>
    <row r="463" ht="15.75" customHeight="1">
      <c r="A463" s="183"/>
      <c r="D463" s="172"/>
      <c r="E463" s="172"/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72"/>
      <c r="Q463" s="172"/>
      <c r="R463" s="172"/>
      <c r="S463" s="172"/>
      <c r="T463" s="172"/>
      <c r="U463" s="172"/>
      <c r="V463" s="172"/>
      <c r="W463" s="172"/>
      <c r="X463" s="172"/>
    </row>
    <row r="464" ht="15.75" customHeight="1">
      <c r="A464" s="183"/>
      <c r="D464" s="172"/>
      <c r="E464" s="172"/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72"/>
      <c r="Q464" s="172"/>
      <c r="R464" s="172"/>
      <c r="S464" s="172"/>
      <c r="T464" s="172"/>
      <c r="U464" s="172"/>
      <c r="V464" s="172"/>
      <c r="W464" s="172"/>
      <c r="X464" s="172"/>
    </row>
    <row r="465" ht="15.75" customHeight="1">
      <c r="A465" s="183"/>
      <c r="D465" s="172"/>
      <c r="E465" s="172"/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  <c r="X465" s="172"/>
    </row>
    <row r="466" ht="15.75" customHeight="1">
      <c r="A466" s="183"/>
      <c r="D466" s="172"/>
      <c r="E466" s="172"/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72"/>
      <c r="Q466" s="172"/>
      <c r="R466" s="172"/>
      <c r="S466" s="172"/>
      <c r="T466" s="172"/>
      <c r="U466" s="172"/>
      <c r="V466" s="172"/>
      <c r="W466" s="172"/>
      <c r="X466" s="172"/>
    </row>
    <row r="467" ht="15.75" customHeight="1">
      <c r="A467" s="183"/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72"/>
      <c r="Q467" s="172"/>
      <c r="R467" s="172"/>
      <c r="S467" s="172"/>
      <c r="T467" s="172"/>
      <c r="U467" s="172"/>
      <c r="V467" s="172"/>
      <c r="W467" s="172"/>
      <c r="X467" s="172"/>
    </row>
    <row r="468" ht="15.75" customHeight="1">
      <c r="A468" s="183"/>
      <c r="D468" s="172"/>
      <c r="E468" s="172"/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72"/>
      <c r="Q468" s="172"/>
      <c r="R468" s="172"/>
      <c r="S468" s="172"/>
      <c r="T468" s="172"/>
      <c r="U468" s="172"/>
      <c r="V468" s="172"/>
      <c r="W468" s="172"/>
      <c r="X468" s="172"/>
    </row>
    <row r="469" ht="15.75" customHeight="1">
      <c r="A469" s="183"/>
      <c r="D469" s="172"/>
      <c r="E469" s="172"/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72"/>
      <c r="Q469" s="172"/>
      <c r="R469" s="172"/>
      <c r="S469" s="172"/>
      <c r="T469" s="172"/>
      <c r="U469" s="172"/>
      <c r="V469" s="172"/>
      <c r="W469" s="172"/>
      <c r="X469" s="172"/>
    </row>
    <row r="470" ht="15.75" customHeight="1">
      <c r="A470" s="183"/>
      <c r="D470" s="172"/>
      <c r="E470" s="172"/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</row>
    <row r="471" ht="15.75" customHeight="1">
      <c r="A471" s="183"/>
      <c r="D471" s="172"/>
      <c r="E471" s="172"/>
      <c r="F471" s="172"/>
      <c r="G471" s="172"/>
      <c r="H471" s="172"/>
      <c r="I471" s="172"/>
      <c r="J471" s="172"/>
      <c r="K471" s="172"/>
      <c r="L471" s="172"/>
      <c r="M471" s="172"/>
      <c r="N471" s="172"/>
      <c r="O471" s="172"/>
      <c r="P471" s="172"/>
      <c r="Q471" s="172"/>
      <c r="R471" s="172"/>
      <c r="S471" s="172"/>
      <c r="T471" s="172"/>
      <c r="U471" s="172"/>
      <c r="V471" s="172"/>
      <c r="W471" s="172"/>
      <c r="X471" s="172"/>
    </row>
    <row r="472" ht="15.75" customHeight="1">
      <c r="A472" s="183"/>
      <c r="D472" s="172"/>
      <c r="E472" s="172"/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72"/>
      <c r="Q472" s="172"/>
      <c r="R472" s="172"/>
      <c r="S472" s="172"/>
      <c r="T472" s="172"/>
      <c r="U472" s="172"/>
      <c r="V472" s="172"/>
      <c r="W472" s="172"/>
      <c r="X472" s="172"/>
    </row>
    <row r="473" ht="15.75" customHeight="1">
      <c r="A473" s="183"/>
      <c r="D473" s="172"/>
      <c r="E473" s="172"/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72"/>
      <c r="Q473" s="172"/>
      <c r="R473" s="172"/>
      <c r="S473" s="172"/>
      <c r="T473" s="172"/>
      <c r="U473" s="172"/>
      <c r="V473" s="172"/>
      <c r="W473" s="172"/>
      <c r="X473" s="172"/>
    </row>
    <row r="474" ht="15.75" customHeight="1">
      <c r="A474" s="183"/>
      <c r="D474" s="172"/>
      <c r="E474" s="172"/>
      <c r="F474" s="172"/>
      <c r="G474" s="172"/>
      <c r="H474" s="172"/>
      <c r="I474" s="172"/>
      <c r="J474" s="172"/>
      <c r="K474" s="172"/>
      <c r="L474" s="172"/>
      <c r="M474" s="172"/>
      <c r="N474" s="172"/>
      <c r="O474" s="172"/>
      <c r="P474" s="172"/>
      <c r="Q474" s="172"/>
      <c r="R474" s="172"/>
      <c r="S474" s="172"/>
      <c r="T474" s="172"/>
      <c r="U474" s="172"/>
      <c r="V474" s="172"/>
      <c r="W474" s="172"/>
      <c r="X474" s="172"/>
    </row>
    <row r="475" ht="15.75" customHeight="1">
      <c r="A475" s="183"/>
      <c r="D475" s="172"/>
      <c r="E475" s="172"/>
      <c r="F475" s="172"/>
      <c r="G475" s="172"/>
      <c r="H475" s="172"/>
      <c r="I475" s="172"/>
      <c r="J475" s="172"/>
      <c r="K475" s="172"/>
      <c r="L475" s="172"/>
      <c r="M475" s="172"/>
      <c r="N475" s="172"/>
      <c r="O475" s="172"/>
      <c r="P475" s="172"/>
      <c r="Q475" s="172"/>
      <c r="R475" s="172"/>
      <c r="S475" s="172"/>
      <c r="T475" s="172"/>
      <c r="U475" s="172"/>
      <c r="V475" s="172"/>
      <c r="W475" s="172"/>
      <c r="X475" s="172"/>
    </row>
    <row r="476" ht="15.75" customHeight="1">
      <c r="A476" s="183"/>
      <c r="D476" s="172"/>
      <c r="E476" s="172"/>
      <c r="F476" s="172"/>
      <c r="G476" s="172"/>
      <c r="H476" s="172"/>
      <c r="I476" s="172"/>
      <c r="J476" s="172"/>
      <c r="K476" s="172"/>
      <c r="L476" s="172"/>
      <c r="M476" s="172"/>
      <c r="N476" s="172"/>
      <c r="O476" s="172"/>
      <c r="P476" s="172"/>
      <c r="Q476" s="172"/>
      <c r="R476" s="172"/>
      <c r="S476" s="172"/>
      <c r="T476" s="172"/>
      <c r="U476" s="172"/>
      <c r="V476" s="172"/>
      <c r="W476" s="172"/>
      <c r="X476" s="172"/>
    </row>
    <row r="477" ht="15.75" customHeight="1">
      <c r="A477" s="183"/>
      <c r="D477" s="172"/>
      <c r="E477" s="172"/>
      <c r="F477" s="172"/>
      <c r="G477" s="172"/>
      <c r="H477" s="172"/>
      <c r="I477" s="172"/>
      <c r="J477" s="172"/>
      <c r="K477" s="172"/>
      <c r="L477" s="172"/>
      <c r="M477" s="172"/>
      <c r="N477" s="172"/>
      <c r="O477" s="172"/>
      <c r="P477" s="172"/>
      <c r="Q477" s="172"/>
      <c r="R477" s="172"/>
      <c r="S477" s="172"/>
      <c r="T477" s="172"/>
      <c r="U477" s="172"/>
      <c r="V477" s="172"/>
      <c r="W477" s="172"/>
      <c r="X477" s="172"/>
    </row>
    <row r="478" ht="15.75" customHeight="1">
      <c r="A478" s="183"/>
      <c r="D478" s="172"/>
      <c r="E478" s="172"/>
      <c r="F478" s="172"/>
      <c r="G478" s="172"/>
      <c r="H478" s="172"/>
      <c r="I478" s="172"/>
      <c r="J478" s="172"/>
      <c r="K478" s="172"/>
      <c r="L478" s="172"/>
      <c r="M478" s="172"/>
      <c r="N478" s="172"/>
      <c r="O478" s="172"/>
      <c r="P478" s="172"/>
      <c r="Q478" s="172"/>
      <c r="R478" s="172"/>
      <c r="S478" s="172"/>
      <c r="T478" s="172"/>
      <c r="U478" s="172"/>
      <c r="V478" s="172"/>
      <c r="W478" s="172"/>
      <c r="X478" s="172"/>
    </row>
    <row r="479" ht="15.75" customHeight="1">
      <c r="A479" s="183"/>
      <c r="D479" s="172"/>
      <c r="E479" s="172"/>
      <c r="F479" s="172"/>
      <c r="G479" s="172"/>
      <c r="H479" s="172"/>
      <c r="I479" s="172"/>
      <c r="J479" s="172"/>
      <c r="K479" s="172"/>
      <c r="L479" s="172"/>
      <c r="M479" s="172"/>
      <c r="N479" s="172"/>
      <c r="O479" s="172"/>
      <c r="P479" s="172"/>
      <c r="Q479" s="172"/>
      <c r="R479" s="172"/>
      <c r="S479" s="172"/>
      <c r="T479" s="172"/>
      <c r="U479" s="172"/>
      <c r="V479" s="172"/>
      <c r="W479" s="172"/>
      <c r="X479" s="172"/>
    </row>
    <row r="480" ht="15.75" customHeight="1">
      <c r="A480" s="183"/>
      <c r="D480" s="172"/>
      <c r="E480" s="172"/>
      <c r="F480" s="172"/>
      <c r="G480" s="172"/>
      <c r="H480" s="172"/>
      <c r="I480" s="172"/>
      <c r="J480" s="172"/>
      <c r="K480" s="172"/>
      <c r="L480" s="172"/>
      <c r="M480" s="172"/>
      <c r="N480" s="172"/>
      <c r="O480" s="172"/>
      <c r="P480" s="172"/>
      <c r="Q480" s="172"/>
      <c r="R480" s="172"/>
      <c r="S480" s="172"/>
      <c r="T480" s="172"/>
      <c r="U480" s="172"/>
      <c r="V480" s="172"/>
      <c r="W480" s="172"/>
      <c r="X480" s="172"/>
    </row>
    <row r="481" ht="15.75" customHeight="1">
      <c r="A481" s="183"/>
      <c r="D481" s="172"/>
      <c r="E481" s="172"/>
      <c r="F481" s="172"/>
      <c r="G481" s="172"/>
      <c r="H481" s="172"/>
      <c r="I481" s="172"/>
      <c r="J481" s="172"/>
      <c r="K481" s="172"/>
      <c r="L481" s="172"/>
      <c r="M481" s="172"/>
      <c r="N481" s="172"/>
      <c r="O481" s="172"/>
      <c r="P481" s="172"/>
      <c r="Q481" s="172"/>
      <c r="R481" s="172"/>
      <c r="S481" s="172"/>
      <c r="T481" s="172"/>
      <c r="U481" s="172"/>
      <c r="V481" s="172"/>
      <c r="W481" s="172"/>
      <c r="X481" s="172"/>
    </row>
    <row r="482" ht="15.75" customHeight="1">
      <c r="A482" s="183"/>
      <c r="D482" s="172"/>
      <c r="E482" s="172"/>
      <c r="F482" s="172"/>
      <c r="G482" s="172"/>
      <c r="H482" s="172"/>
      <c r="I482" s="172"/>
      <c r="J482" s="172"/>
      <c r="K482" s="172"/>
      <c r="L482" s="172"/>
      <c r="M482" s="172"/>
      <c r="N482" s="172"/>
      <c r="O482" s="172"/>
      <c r="P482" s="172"/>
      <c r="Q482" s="172"/>
      <c r="R482" s="172"/>
      <c r="S482" s="172"/>
      <c r="T482" s="172"/>
      <c r="U482" s="172"/>
      <c r="V482" s="172"/>
      <c r="W482" s="172"/>
      <c r="X482" s="172"/>
    </row>
    <row r="483" ht="15.75" customHeight="1">
      <c r="A483" s="183"/>
      <c r="D483" s="172"/>
      <c r="E483" s="172"/>
      <c r="F483" s="172"/>
      <c r="G483" s="172"/>
      <c r="H483" s="172"/>
      <c r="I483" s="172"/>
      <c r="J483" s="172"/>
      <c r="K483" s="172"/>
      <c r="L483" s="172"/>
      <c r="M483" s="172"/>
      <c r="N483" s="172"/>
      <c r="O483" s="172"/>
      <c r="P483" s="172"/>
      <c r="Q483" s="172"/>
      <c r="R483" s="172"/>
      <c r="S483" s="172"/>
      <c r="T483" s="172"/>
      <c r="U483" s="172"/>
      <c r="V483" s="172"/>
      <c r="W483" s="172"/>
      <c r="X483" s="172"/>
    </row>
    <row r="484" ht="15.75" customHeight="1">
      <c r="A484" s="183"/>
      <c r="D484" s="172"/>
      <c r="E484" s="172"/>
      <c r="F484" s="172"/>
      <c r="G484" s="172"/>
      <c r="H484" s="172"/>
      <c r="I484" s="172"/>
      <c r="J484" s="172"/>
      <c r="K484" s="172"/>
      <c r="L484" s="172"/>
      <c r="M484" s="172"/>
      <c r="N484" s="172"/>
      <c r="O484" s="172"/>
      <c r="P484" s="172"/>
      <c r="Q484" s="172"/>
      <c r="R484" s="172"/>
      <c r="S484" s="172"/>
      <c r="T484" s="172"/>
      <c r="U484" s="172"/>
      <c r="V484" s="172"/>
      <c r="W484" s="172"/>
      <c r="X484" s="172"/>
    </row>
    <row r="485" ht="15.75" customHeight="1">
      <c r="A485" s="183"/>
      <c r="D485" s="172"/>
      <c r="E485" s="172"/>
      <c r="F485" s="172"/>
      <c r="G485" s="172"/>
      <c r="H485" s="172"/>
      <c r="I485" s="172"/>
      <c r="J485" s="172"/>
      <c r="K485" s="172"/>
      <c r="L485" s="172"/>
      <c r="M485" s="172"/>
      <c r="N485" s="172"/>
      <c r="O485" s="172"/>
      <c r="P485" s="172"/>
      <c r="Q485" s="172"/>
      <c r="R485" s="172"/>
      <c r="S485" s="172"/>
      <c r="T485" s="172"/>
      <c r="U485" s="172"/>
      <c r="V485" s="172"/>
      <c r="W485" s="172"/>
      <c r="X485" s="172"/>
    </row>
    <row r="486" ht="15.75" customHeight="1">
      <c r="A486" s="183"/>
      <c r="D486" s="172"/>
      <c r="E486" s="172"/>
      <c r="F486" s="172"/>
      <c r="G486" s="172"/>
      <c r="H486" s="172"/>
      <c r="I486" s="172"/>
      <c r="J486" s="172"/>
      <c r="K486" s="172"/>
      <c r="L486" s="172"/>
      <c r="M486" s="172"/>
      <c r="N486" s="172"/>
      <c r="O486" s="172"/>
      <c r="P486" s="172"/>
      <c r="Q486" s="172"/>
      <c r="R486" s="172"/>
      <c r="S486" s="172"/>
      <c r="T486" s="172"/>
      <c r="U486" s="172"/>
      <c r="V486" s="172"/>
      <c r="W486" s="172"/>
      <c r="X486" s="172"/>
    </row>
    <row r="487" ht="15.75" customHeight="1">
      <c r="A487" s="183"/>
      <c r="D487" s="172"/>
      <c r="E487" s="172"/>
      <c r="F487" s="172"/>
      <c r="G487" s="172"/>
      <c r="H487" s="172"/>
      <c r="I487" s="172"/>
      <c r="J487" s="172"/>
      <c r="K487" s="172"/>
      <c r="L487" s="172"/>
      <c r="M487" s="172"/>
      <c r="N487" s="172"/>
      <c r="O487" s="172"/>
      <c r="P487" s="172"/>
      <c r="Q487" s="172"/>
      <c r="R487" s="172"/>
      <c r="S487" s="172"/>
      <c r="T487" s="172"/>
      <c r="U487" s="172"/>
      <c r="V487" s="172"/>
      <c r="W487" s="172"/>
      <c r="X487" s="172"/>
    </row>
    <row r="488" ht="15.75" customHeight="1">
      <c r="A488" s="183"/>
      <c r="D488" s="172"/>
      <c r="E488" s="172"/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2"/>
      <c r="Q488" s="172"/>
      <c r="R488" s="172"/>
      <c r="S488" s="172"/>
      <c r="T488" s="172"/>
      <c r="U488" s="172"/>
      <c r="V488" s="172"/>
      <c r="W488" s="172"/>
      <c r="X488" s="172"/>
    </row>
    <row r="489" ht="15.75" customHeight="1">
      <c r="A489" s="183"/>
      <c r="D489" s="172"/>
      <c r="E489" s="172"/>
      <c r="F489" s="172"/>
      <c r="G489" s="172"/>
      <c r="H489" s="172"/>
      <c r="I489" s="172"/>
      <c r="J489" s="172"/>
      <c r="K489" s="172"/>
      <c r="L489" s="172"/>
      <c r="M489" s="172"/>
      <c r="N489" s="172"/>
      <c r="O489" s="172"/>
      <c r="P489" s="172"/>
      <c r="Q489" s="172"/>
      <c r="R489" s="172"/>
      <c r="S489" s="172"/>
      <c r="T489" s="172"/>
      <c r="U489" s="172"/>
      <c r="V489" s="172"/>
      <c r="W489" s="172"/>
      <c r="X489" s="172"/>
    </row>
    <row r="490" ht="15.75" customHeight="1">
      <c r="A490" s="183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</row>
    <row r="491" ht="15.75" customHeight="1">
      <c r="A491" s="183"/>
      <c r="D491" s="172"/>
      <c r="E491" s="172"/>
      <c r="F491" s="172"/>
      <c r="G491" s="172"/>
      <c r="H491" s="172"/>
      <c r="I491" s="172"/>
      <c r="J491" s="172"/>
      <c r="K491" s="172"/>
      <c r="L491" s="172"/>
      <c r="M491" s="172"/>
      <c r="N491" s="172"/>
      <c r="O491" s="172"/>
      <c r="P491" s="172"/>
      <c r="Q491" s="172"/>
      <c r="R491" s="172"/>
      <c r="S491" s="172"/>
      <c r="T491" s="172"/>
      <c r="U491" s="172"/>
      <c r="V491" s="172"/>
      <c r="W491" s="172"/>
      <c r="X491" s="172"/>
    </row>
    <row r="492" ht="15.75" customHeight="1">
      <c r="A492" s="183"/>
      <c r="D492" s="172"/>
      <c r="E492" s="172"/>
      <c r="F492" s="172"/>
      <c r="G492" s="172"/>
      <c r="H492" s="172"/>
      <c r="I492" s="172"/>
      <c r="J492" s="172"/>
      <c r="K492" s="172"/>
      <c r="L492" s="172"/>
      <c r="M492" s="172"/>
      <c r="N492" s="172"/>
      <c r="O492" s="172"/>
      <c r="P492" s="172"/>
      <c r="Q492" s="172"/>
      <c r="R492" s="172"/>
      <c r="S492" s="172"/>
      <c r="T492" s="172"/>
      <c r="U492" s="172"/>
      <c r="V492" s="172"/>
      <c r="W492" s="172"/>
      <c r="X492" s="172"/>
    </row>
    <row r="493" ht="15.75" customHeight="1">
      <c r="A493" s="183"/>
      <c r="D493" s="172"/>
      <c r="E493" s="172"/>
      <c r="F493" s="172"/>
      <c r="G493" s="172"/>
      <c r="H493" s="172"/>
      <c r="I493" s="172"/>
      <c r="J493" s="172"/>
      <c r="K493" s="172"/>
      <c r="L493" s="172"/>
      <c r="M493" s="172"/>
      <c r="N493" s="172"/>
      <c r="O493" s="172"/>
      <c r="P493" s="172"/>
      <c r="Q493" s="172"/>
      <c r="R493" s="172"/>
      <c r="S493" s="172"/>
      <c r="T493" s="172"/>
      <c r="U493" s="172"/>
      <c r="V493" s="172"/>
      <c r="W493" s="172"/>
      <c r="X493" s="172"/>
    </row>
    <row r="494" ht="15.75" customHeight="1">
      <c r="A494" s="183"/>
      <c r="D494" s="172"/>
      <c r="E494" s="172"/>
      <c r="F494" s="172"/>
      <c r="G494" s="172"/>
      <c r="H494" s="172"/>
      <c r="I494" s="172"/>
      <c r="J494" s="172"/>
      <c r="K494" s="172"/>
      <c r="L494" s="172"/>
      <c r="M494" s="172"/>
      <c r="N494" s="172"/>
      <c r="O494" s="172"/>
      <c r="P494" s="172"/>
      <c r="Q494" s="172"/>
      <c r="R494" s="172"/>
      <c r="S494" s="172"/>
      <c r="T494" s="172"/>
      <c r="U494" s="172"/>
      <c r="V494" s="172"/>
      <c r="W494" s="172"/>
      <c r="X494" s="172"/>
    </row>
    <row r="495" ht="15.75" customHeight="1">
      <c r="A495" s="183"/>
      <c r="D495" s="172"/>
      <c r="E495" s="172"/>
      <c r="F495" s="172"/>
      <c r="G495" s="172"/>
      <c r="H495" s="172"/>
      <c r="I495" s="172"/>
      <c r="J495" s="172"/>
      <c r="K495" s="172"/>
      <c r="L495" s="172"/>
      <c r="M495" s="172"/>
      <c r="N495" s="172"/>
      <c r="O495" s="172"/>
      <c r="P495" s="172"/>
      <c r="Q495" s="172"/>
      <c r="R495" s="172"/>
      <c r="S495" s="172"/>
      <c r="T495" s="172"/>
      <c r="U495" s="172"/>
      <c r="V495" s="172"/>
      <c r="W495" s="172"/>
      <c r="X495" s="172"/>
    </row>
    <row r="496" ht="15.75" customHeight="1">
      <c r="A496" s="183"/>
      <c r="D496" s="172"/>
      <c r="E496" s="172"/>
      <c r="F496" s="172"/>
      <c r="G496" s="172"/>
      <c r="H496" s="172"/>
      <c r="I496" s="172"/>
      <c r="J496" s="172"/>
      <c r="K496" s="172"/>
      <c r="L496" s="172"/>
      <c r="M496" s="172"/>
      <c r="N496" s="172"/>
      <c r="O496" s="172"/>
      <c r="P496" s="172"/>
      <c r="Q496" s="172"/>
      <c r="R496" s="172"/>
      <c r="S496" s="172"/>
      <c r="T496" s="172"/>
      <c r="U496" s="172"/>
      <c r="V496" s="172"/>
      <c r="W496" s="172"/>
      <c r="X496" s="172"/>
    </row>
    <row r="497" ht="15.75" customHeight="1">
      <c r="A497" s="183"/>
      <c r="D497" s="172"/>
      <c r="E497" s="172"/>
      <c r="F497" s="172"/>
      <c r="G497" s="172"/>
      <c r="H497" s="172"/>
      <c r="I497" s="172"/>
      <c r="J497" s="172"/>
      <c r="K497" s="172"/>
      <c r="L497" s="172"/>
      <c r="M497" s="172"/>
      <c r="N497" s="172"/>
      <c r="O497" s="172"/>
      <c r="P497" s="172"/>
      <c r="Q497" s="172"/>
      <c r="R497" s="172"/>
      <c r="S497" s="172"/>
      <c r="T497" s="172"/>
      <c r="U497" s="172"/>
      <c r="V497" s="172"/>
      <c r="W497" s="172"/>
      <c r="X497" s="172"/>
    </row>
    <row r="498" ht="15.75" customHeight="1">
      <c r="A498" s="183"/>
      <c r="D498" s="172"/>
      <c r="E498" s="172"/>
      <c r="F498" s="172"/>
      <c r="G498" s="172"/>
      <c r="H498" s="172"/>
      <c r="I498" s="172"/>
      <c r="J498" s="172"/>
      <c r="K498" s="172"/>
      <c r="L498" s="172"/>
      <c r="M498" s="172"/>
      <c r="N498" s="172"/>
      <c r="O498" s="172"/>
      <c r="P498" s="172"/>
      <c r="Q498" s="172"/>
      <c r="R498" s="172"/>
      <c r="S498" s="172"/>
      <c r="T498" s="172"/>
      <c r="U498" s="172"/>
      <c r="V498" s="172"/>
      <c r="W498" s="172"/>
      <c r="X498" s="172"/>
    </row>
    <row r="499" ht="15.75" customHeight="1">
      <c r="A499" s="183"/>
      <c r="D499" s="172"/>
      <c r="E499" s="172"/>
      <c r="F499" s="172"/>
      <c r="G499" s="172"/>
      <c r="H499" s="172"/>
      <c r="I499" s="172"/>
      <c r="J499" s="172"/>
      <c r="K499" s="172"/>
      <c r="L499" s="172"/>
      <c r="M499" s="172"/>
      <c r="N499" s="172"/>
      <c r="O499" s="172"/>
      <c r="P499" s="172"/>
      <c r="Q499" s="172"/>
      <c r="R499" s="172"/>
      <c r="S499" s="172"/>
      <c r="T499" s="172"/>
      <c r="U499" s="172"/>
      <c r="V499" s="172"/>
      <c r="W499" s="172"/>
      <c r="X499" s="172"/>
    </row>
    <row r="500" ht="15.75" customHeight="1">
      <c r="A500" s="183"/>
      <c r="D500" s="172"/>
      <c r="E500" s="172"/>
      <c r="F500" s="172"/>
      <c r="G500" s="172"/>
      <c r="H500" s="172"/>
      <c r="I500" s="172"/>
      <c r="J500" s="172"/>
      <c r="K500" s="172"/>
      <c r="L500" s="172"/>
      <c r="M500" s="172"/>
      <c r="N500" s="172"/>
      <c r="O500" s="172"/>
      <c r="P500" s="172"/>
      <c r="Q500" s="172"/>
      <c r="R500" s="172"/>
      <c r="S500" s="172"/>
      <c r="T500" s="172"/>
      <c r="U500" s="172"/>
      <c r="V500" s="172"/>
      <c r="W500" s="172"/>
      <c r="X500" s="172"/>
    </row>
    <row r="501" ht="15.75" customHeight="1">
      <c r="A501" s="183"/>
      <c r="D501" s="172"/>
      <c r="E501" s="172"/>
      <c r="F501" s="172"/>
      <c r="G501" s="172"/>
      <c r="H501" s="172"/>
      <c r="I501" s="172"/>
      <c r="J501" s="172"/>
      <c r="K501" s="172"/>
      <c r="L501" s="172"/>
      <c r="M501" s="172"/>
      <c r="N501" s="172"/>
      <c r="O501" s="172"/>
      <c r="P501" s="172"/>
      <c r="Q501" s="172"/>
      <c r="R501" s="172"/>
      <c r="S501" s="172"/>
      <c r="T501" s="172"/>
      <c r="U501" s="172"/>
      <c r="V501" s="172"/>
      <c r="W501" s="172"/>
      <c r="X501" s="172"/>
    </row>
    <row r="502" ht="15.75" customHeight="1">
      <c r="A502" s="183"/>
      <c r="D502" s="172"/>
      <c r="E502" s="172"/>
      <c r="F502" s="172"/>
      <c r="G502" s="172"/>
      <c r="H502" s="172"/>
      <c r="I502" s="172"/>
      <c r="J502" s="172"/>
      <c r="K502" s="172"/>
      <c r="L502" s="172"/>
      <c r="M502" s="172"/>
      <c r="N502" s="172"/>
      <c r="O502" s="172"/>
      <c r="P502" s="172"/>
      <c r="Q502" s="172"/>
      <c r="R502" s="172"/>
      <c r="S502" s="172"/>
      <c r="T502" s="172"/>
      <c r="U502" s="172"/>
      <c r="V502" s="172"/>
      <c r="W502" s="172"/>
      <c r="X502" s="172"/>
    </row>
    <row r="503" ht="15.75" customHeight="1">
      <c r="A503" s="183"/>
      <c r="D503" s="172"/>
      <c r="E503" s="172"/>
      <c r="F503" s="172"/>
      <c r="G503" s="172"/>
      <c r="H503" s="172"/>
      <c r="I503" s="172"/>
      <c r="J503" s="172"/>
      <c r="K503" s="172"/>
      <c r="L503" s="172"/>
      <c r="M503" s="172"/>
      <c r="N503" s="172"/>
      <c r="O503" s="172"/>
      <c r="P503" s="172"/>
      <c r="Q503" s="172"/>
      <c r="R503" s="172"/>
      <c r="S503" s="172"/>
      <c r="T503" s="172"/>
      <c r="U503" s="172"/>
      <c r="V503" s="172"/>
      <c r="W503" s="172"/>
      <c r="X503" s="172"/>
    </row>
    <row r="504" ht="15.75" customHeight="1">
      <c r="A504" s="183"/>
      <c r="D504" s="172"/>
      <c r="E504" s="172"/>
      <c r="F504" s="172"/>
      <c r="G504" s="172"/>
      <c r="H504" s="172"/>
      <c r="I504" s="172"/>
      <c r="J504" s="172"/>
      <c r="K504" s="172"/>
      <c r="L504" s="172"/>
      <c r="M504" s="172"/>
      <c r="N504" s="172"/>
      <c r="O504" s="172"/>
      <c r="P504" s="172"/>
      <c r="Q504" s="172"/>
      <c r="R504" s="172"/>
      <c r="S504" s="172"/>
      <c r="T504" s="172"/>
      <c r="U504" s="172"/>
      <c r="V504" s="172"/>
      <c r="W504" s="172"/>
      <c r="X504" s="172"/>
    </row>
    <row r="505" ht="15.75" customHeight="1">
      <c r="A505" s="183"/>
      <c r="D505" s="172"/>
      <c r="E505" s="172"/>
      <c r="F505" s="172"/>
      <c r="G505" s="172"/>
      <c r="H505" s="172"/>
      <c r="I505" s="172"/>
      <c r="J505" s="172"/>
      <c r="K505" s="172"/>
      <c r="L505" s="172"/>
      <c r="M505" s="172"/>
      <c r="N505" s="172"/>
      <c r="O505" s="172"/>
      <c r="P505" s="172"/>
      <c r="Q505" s="172"/>
      <c r="R505" s="172"/>
      <c r="S505" s="172"/>
      <c r="T505" s="172"/>
      <c r="U505" s="172"/>
      <c r="V505" s="172"/>
      <c r="W505" s="172"/>
      <c r="X505" s="172"/>
    </row>
    <row r="506" ht="15.75" customHeight="1">
      <c r="A506" s="183"/>
      <c r="D506" s="172"/>
      <c r="E506" s="172"/>
      <c r="F506" s="172"/>
      <c r="G506" s="172"/>
      <c r="H506" s="172"/>
      <c r="I506" s="172"/>
      <c r="J506" s="172"/>
      <c r="K506" s="172"/>
      <c r="L506" s="172"/>
      <c r="M506" s="172"/>
      <c r="N506" s="172"/>
      <c r="O506" s="172"/>
      <c r="P506" s="172"/>
      <c r="Q506" s="172"/>
      <c r="R506" s="172"/>
      <c r="S506" s="172"/>
      <c r="T506" s="172"/>
      <c r="U506" s="172"/>
      <c r="V506" s="172"/>
      <c r="W506" s="172"/>
      <c r="X506" s="172"/>
    </row>
    <row r="507" ht="15.75" customHeight="1">
      <c r="A507" s="183"/>
      <c r="D507" s="172"/>
      <c r="E507" s="172"/>
      <c r="F507" s="172"/>
      <c r="G507" s="172"/>
      <c r="H507" s="172"/>
      <c r="I507" s="172"/>
      <c r="J507" s="172"/>
      <c r="K507" s="172"/>
      <c r="L507" s="172"/>
      <c r="M507" s="172"/>
      <c r="N507" s="172"/>
      <c r="O507" s="172"/>
      <c r="P507" s="172"/>
      <c r="Q507" s="172"/>
      <c r="R507" s="172"/>
      <c r="S507" s="172"/>
      <c r="T507" s="172"/>
      <c r="U507" s="172"/>
      <c r="V507" s="172"/>
      <c r="W507" s="172"/>
      <c r="X507" s="172"/>
    </row>
    <row r="508" ht="15.75" customHeight="1">
      <c r="A508" s="183"/>
      <c r="D508" s="172"/>
      <c r="E508" s="172"/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</row>
    <row r="509" ht="15.75" customHeight="1">
      <c r="A509" s="183"/>
      <c r="D509" s="172"/>
      <c r="E509" s="172"/>
      <c r="F509" s="172"/>
      <c r="G509" s="172"/>
      <c r="H509" s="172"/>
      <c r="I509" s="172"/>
      <c r="J509" s="172"/>
      <c r="K509" s="172"/>
      <c r="L509" s="172"/>
      <c r="M509" s="172"/>
      <c r="N509" s="172"/>
      <c r="O509" s="172"/>
      <c r="P509" s="172"/>
      <c r="Q509" s="172"/>
      <c r="R509" s="172"/>
      <c r="S509" s="172"/>
      <c r="T509" s="172"/>
      <c r="U509" s="172"/>
      <c r="V509" s="172"/>
      <c r="W509" s="172"/>
      <c r="X509" s="172"/>
    </row>
    <row r="510" ht="15.75" customHeight="1">
      <c r="A510" s="183"/>
      <c r="D510" s="172"/>
      <c r="E510" s="172"/>
      <c r="F510" s="172"/>
      <c r="G510" s="172"/>
      <c r="H510" s="172"/>
      <c r="I510" s="172"/>
      <c r="J510" s="172"/>
      <c r="K510" s="172"/>
      <c r="L510" s="172"/>
      <c r="M510" s="172"/>
      <c r="N510" s="172"/>
      <c r="O510" s="172"/>
      <c r="P510" s="172"/>
      <c r="Q510" s="172"/>
      <c r="R510" s="172"/>
      <c r="S510" s="172"/>
      <c r="T510" s="172"/>
      <c r="U510" s="172"/>
      <c r="V510" s="172"/>
      <c r="W510" s="172"/>
      <c r="X510" s="172"/>
    </row>
    <row r="511" ht="15.75" customHeight="1">
      <c r="A511" s="183"/>
      <c r="D511" s="172"/>
      <c r="E511" s="172"/>
      <c r="F511" s="172"/>
      <c r="G511" s="172"/>
      <c r="H511" s="172"/>
      <c r="I511" s="172"/>
      <c r="J511" s="172"/>
      <c r="K511" s="172"/>
      <c r="L511" s="172"/>
      <c r="M511" s="172"/>
      <c r="N511" s="172"/>
      <c r="O511" s="172"/>
      <c r="P511" s="172"/>
      <c r="Q511" s="172"/>
      <c r="R511" s="172"/>
      <c r="S511" s="172"/>
      <c r="T511" s="172"/>
      <c r="U511" s="172"/>
      <c r="V511" s="172"/>
      <c r="W511" s="172"/>
      <c r="X511" s="172"/>
    </row>
    <row r="512" ht="15.75" customHeight="1">
      <c r="A512" s="183"/>
      <c r="D512" s="172"/>
      <c r="E512" s="172"/>
      <c r="F512" s="172"/>
      <c r="G512" s="172"/>
      <c r="H512" s="172"/>
      <c r="I512" s="172"/>
      <c r="J512" s="172"/>
      <c r="K512" s="172"/>
      <c r="L512" s="172"/>
      <c r="M512" s="172"/>
      <c r="N512" s="172"/>
      <c r="O512" s="172"/>
      <c r="P512" s="172"/>
      <c r="Q512" s="172"/>
      <c r="R512" s="172"/>
      <c r="S512" s="172"/>
      <c r="T512" s="172"/>
      <c r="U512" s="172"/>
      <c r="V512" s="172"/>
      <c r="W512" s="172"/>
      <c r="X512" s="172"/>
    </row>
    <row r="513" ht="15.75" customHeight="1">
      <c r="A513" s="183"/>
      <c r="D513" s="172"/>
      <c r="E513" s="172"/>
      <c r="F513" s="172"/>
      <c r="G513" s="172"/>
      <c r="H513" s="172"/>
      <c r="I513" s="172"/>
      <c r="J513" s="172"/>
      <c r="K513" s="172"/>
      <c r="L513" s="172"/>
      <c r="M513" s="172"/>
      <c r="N513" s="172"/>
      <c r="O513" s="172"/>
      <c r="P513" s="172"/>
      <c r="Q513" s="172"/>
      <c r="R513" s="172"/>
      <c r="S513" s="172"/>
      <c r="T513" s="172"/>
      <c r="U513" s="172"/>
      <c r="V513" s="172"/>
      <c r="W513" s="172"/>
      <c r="X513" s="172"/>
    </row>
    <row r="514" ht="15.75" customHeight="1">
      <c r="A514" s="183"/>
      <c r="D514" s="172"/>
      <c r="E514" s="172"/>
      <c r="F514" s="172"/>
      <c r="G514" s="172"/>
      <c r="H514" s="172"/>
      <c r="I514" s="172"/>
      <c r="J514" s="172"/>
      <c r="K514" s="172"/>
      <c r="L514" s="172"/>
      <c r="M514" s="172"/>
      <c r="N514" s="172"/>
      <c r="O514" s="172"/>
      <c r="P514" s="172"/>
      <c r="Q514" s="172"/>
      <c r="R514" s="172"/>
      <c r="S514" s="172"/>
      <c r="T514" s="172"/>
      <c r="U514" s="172"/>
      <c r="V514" s="172"/>
      <c r="W514" s="172"/>
      <c r="X514" s="172"/>
    </row>
    <row r="515" ht="15.75" customHeight="1">
      <c r="A515" s="183"/>
      <c r="D515" s="172"/>
      <c r="E515" s="172"/>
      <c r="F515" s="172"/>
      <c r="G515" s="172"/>
      <c r="H515" s="172"/>
      <c r="I515" s="172"/>
      <c r="J515" s="172"/>
      <c r="K515" s="172"/>
      <c r="L515" s="172"/>
      <c r="M515" s="172"/>
      <c r="N515" s="172"/>
      <c r="O515" s="172"/>
      <c r="P515" s="172"/>
      <c r="Q515" s="172"/>
      <c r="R515" s="172"/>
      <c r="S515" s="172"/>
      <c r="T515" s="172"/>
      <c r="U515" s="172"/>
      <c r="V515" s="172"/>
      <c r="W515" s="172"/>
      <c r="X515" s="172"/>
    </row>
    <row r="516" ht="15.75" customHeight="1">
      <c r="A516" s="183"/>
      <c r="D516" s="172"/>
      <c r="E516" s="172"/>
      <c r="F516" s="172"/>
      <c r="G516" s="172"/>
      <c r="H516" s="172"/>
      <c r="I516" s="172"/>
      <c r="J516" s="172"/>
      <c r="K516" s="172"/>
      <c r="L516" s="172"/>
      <c r="M516" s="172"/>
      <c r="N516" s="172"/>
      <c r="O516" s="172"/>
      <c r="P516" s="172"/>
      <c r="Q516" s="172"/>
      <c r="R516" s="172"/>
      <c r="S516" s="172"/>
      <c r="T516" s="172"/>
      <c r="U516" s="172"/>
      <c r="V516" s="172"/>
      <c r="W516" s="172"/>
      <c r="X516" s="172"/>
    </row>
    <row r="517" ht="15.75" customHeight="1">
      <c r="A517" s="183"/>
      <c r="D517" s="172"/>
      <c r="E517" s="172"/>
      <c r="F517" s="172"/>
      <c r="G517" s="172"/>
      <c r="H517" s="172"/>
      <c r="I517" s="172"/>
      <c r="J517" s="172"/>
      <c r="K517" s="172"/>
      <c r="L517" s="172"/>
      <c r="M517" s="172"/>
      <c r="N517" s="172"/>
      <c r="O517" s="172"/>
      <c r="P517" s="172"/>
      <c r="Q517" s="172"/>
      <c r="R517" s="172"/>
      <c r="S517" s="172"/>
      <c r="T517" s="172"/>
      <c r="U517" s="172"/>
      <c r="V517" s="172"/>
      <c r="W517" s="172"/>
      <c r="X517" s="172"/>
    </row>
    <row r="518" ht="15.75" customHeight="1">
      <c r="A518" s="183"/>
      <c r="D518" s="172"/>
      <c r="E518" s="172"/>
      <c r="F518" s="172"/>
      <c r="G518" s="172"/>
      <c r="H518" s="172"/>
      <c r="I518" s="172"/>
      <c r="J518" s="172"/>
      <c r="K518" s="172"/>
      <c r="L518" s="172"/>
      <c r="M518" s="172"/>
      <c r="N518" s="172"/>
      <c r="O518" s="172"/>
      <c r="P518" s="172"/>
      <c r="Q518" s="172"/>
      <c r="R518" s="172"/>
      <c r="S518" s="172"/>
      <c r="T518" s="172"/>
      <c r="U518" s="172"/>
      <c r="V518" s="172"/>
      <c r="W518" s="172"/>
      <c r="X518" s="172"/>
    </row>
    <row r="519" ht="15.75" customHeight="1">
      <c r="A519" s="183"/>
      <c r="D519" s="172"/>
      <c r="E519" s="172"/>
      <c r="F519" s="172"/>
      <c r="G519" s="172"/>
      <c r="H519" s="172"/>
      <c r="I519" s="172"/>
      <c r="J519" s="172"/>
      <c r="K519" s="172"/>
      <c r="L519" s="172"/>
      <c r="M519" s="172"/>
      <c r="N519" s="172"/>
      <c r="O519" s="172"/>
      <c r="P519" s="172"/>
      <c r="Q519" s="172"/>
      <c r="R519" s="172"/>
      <c r="S519" s="172"/>
      <c r="T519" s="172"/>
      <c r="U519" s="172"/>
      <c r="V519" s="172"/>
      <c r="W519" s="172"/>
      <c r="X519" s="172"/>
    </row>
    <row r="520" ht="15.75" customHeight="1">
      <c r="A520" s="183"/>
      <c r="D520" s="172"/>
      <c r="E520" s="172"/>
      <c r="F520" s="172"/>
      <c r="G520" s="172"/>
      <c r="H520" s="172"/>
      <c r="I520" s="172"/>
      <c r="J520" s="172"/>
      <c r="K520" s="172"/>
      <c r="L520" s="172"/>
      <c r="M520" s="172"/>
      <c r="N520" s="172"/>
      <c r="O520" s="172"/>
      <c r="P520" s="172"/>
      <c r="Q520" s="172"/>
      <c r="R520" s="172"/>
      <c r="S520" s="172"/>
      <c r="T520" s="172"/>
      <c r="U520" s="172"/>
      <c r="V520" s="172"/>
      <c r="W520" s="172"/>
      <c r="X520" s="172"/>
    </row>
    <row r="521" ht="15.75" customHeight="1">
      <c r="A521" s="183"/>
      <c r="D521" s="172"/>
      <c r="E521" s="172"/>
      <c r="F521" s="172"/>
      <c r="G521" s="172"/>
      <c r="H521" s="172"/>
      <c r="I521" s="172"/>
      <c r="J521" s="172"/>
      <c r="K521" s="172"/>
      <c r="L521" s="172"/>
      <c r="M521" s="172"/>
      <c r="N521" s="172"/>
      <c r="O521" s="172"/>
      <c r="P521" s="172"/>
      <c r="Q521" s="172"/>
      <c r="R521" s="172"/>
      <c r="S521" s="172"/>
      <c r="T521" s="172"/>
      <c r="U521" s="172"/>
      <c r="V521" s="172"/>
      <c r="W521" s="172"/>
      <c r="X521" s="172"/>
    </row>
    <row r="522" ht="15.75" customHeight="1">
      <c r="A522" s="183"/>
      <c r="D522" s="172"/>
      <c r="E522" s="172"/>
      <c r="F522" s="172"/>
      <c r="G522" s="172"/>
      <c r="H522" s="172"/>
      <c r="I522" s="172"/>
      <c r="J522" s="172"/>
      <c r="K522" s="172"/>
      <c r="L522" s="172"/>
      <c r="M522" s="172"/>
      <c r="N522" s="172"/>
      <c r="O522" s="172"/>
      <c r="P522" s="172"/>
      <c r="Q522" s="172"/>
      <c r="R522" s="172"/>
      <c r="S522" s="172"/>
      <c r="T522" s="172"/>
      <c r="U522" s="172"/>
      <c r="V522" s="172"/>
      <c r="W522" s="172"/>
      <c r="X522" s="172"/>
    </row>
    <row r="523" ht="15.75" customHeight="1">
      <c r="A523" s="183"/>
      <c r="D523" s="172"/>
      <c r="E523" s="172"/>
      <c r="F523" s="172"/>
      <c r="G523" s="172"/>
      <c r="H523" s="172"/>
      <c r="I523" s="172"/>
      <c r="J523" s="172"/>
      <c r="K523" s="172"/>
      <c r="L523" s="172"/>
      <c r="M523" s="172"/>
      <c r="N523" s="172"/>
      <c r="O523" s="172"/>
      <c r="P523" s="172"/>
      <c r="Q523" s="172"/>
      <c r="R523" s="172"/>
      <c r="S523" s="172"/>
      <c r="T523" s="172"/>
      <c r="U523" s="172"/>
      <c r="V523" s="172"/>
      <c r="W523" s="172"/>
      <c r="X523" s="172"/>
    </row>
    <row r="524" ht="15.75" customHeight="1">
      <c r="A524" s="183"/>
      <c r="D524" s="172"/>
      <c r="E524" s="172"/>
      <c r="F524" s="172"/>
      <c r="G524" s="172"/>
      <c r="H524" s="172"/>
      <c r="I524" s="172"/>
      <c r="J524" s="172"/>
      <c r="K524" s="172"/>
      <c r="L524" s="172"/>
      <c r="M524" s="172"/>
      <c r="N524" s="172"/>
      <c r="O524" s="172"/>
      <c r="P524" s="172"/>
      <c r="Q524" s="172"/>
      <c r="R524" s="172"/>
      <c r="S524" s="172"/>
      <c r="T524" s="172"/>
      <c r="U524" s="172"/>
      <c r="V524" s="172"/>
      <c r="W524" s="172"/>
      <c r="X524" s="172"/>
    </row>
    <row r="525" ht="15.75" customHeight="1">
      <c r="A525" s="183"/>
      <c r="D525" s="172"/>
      <c r="E525" s="172"/>
      <c r="F525" s="172"/>
      <c r="G525" s="172"/>
      <c r="H525" s="172"/>
      <c r="I525" s="172"/>
      <c r="J525" s="172"/>
      <c r="K525" s="172"/>
      <c r="L525" s="172"/>
      <c r="M525" s="172"/>
      <c r="N525" s="172"/>
      <c r="O525" s="172"/>
      <c r="P525" s="172"/>
      <c r="Q525" s="172"/>
      <c r="R525" s="172"/>
      <c r="S525" s="172"/>
      <c r="T525" s="172"/>
      <c r="U525" s="172"/>
      <c r="V525" s="172"/>
      <c r="W525" s="172"/>
      <c r="X525" s="172"/>
    </row>
    <row r="526" ht="15.75" customHeight="1">
      <c r="A526" s="183"/>
      <c r="D526" s="172"/>
      <c r="E526" s="172"/>
      <c r="F526" s="172"/>
      <c r="G526" s="172"/>
      <c r="H526" s="172"/>
      <c r="I526" s="172"/>
      <c r="J526" s="172"/>
      <c r="K526" s="172"/>
      <c r="L526" s="172"/>
      <c r="M526" s="172"/>
      <c r="N526" s="172"/>
      <c r="O526" s="172"/>
      <c r="P526" s="172"/>
      <c r="Q526" s="172"/>
      <c r="R526" s="172"/>
      <c r="S526" s="172"/>
      <c r="T526" s="172"/>
      <c r="U526" s="172"/>
      <c r="V526" s="172"/>
      <c r="W526" s="172"/>
      <c r="X526" s="172"/>
    </row>
    <row r="527" ht="15.75" customHeight="1">
      <c r="A527" s="183"/>
      <c r="D527" s="172"/>
      <c r="E527" s="172"/>
      <c r="F527" s="172"/>
      <c r="G527" s="172"/>
      <c r="H527" s="172"/>
      <c r="I527" s="172"/>
      <c r="J527" s="172"/>
      <c r="K527" s="172"/>
      <c r="L527" s="172"/>
      <c r="M527" s="172"/>
      <c r="N527" s="172"/>
      <c r="O527" s="172"/>
      <c r="P527" s="172"/>
      <c r="Q527" s="172"/>
      <c r="R527" s="172"/>
      <c r="S527" s="172"/>
      <c r="T527" s="172"/>
      <c r="U527" s="172"/>
      <c r="V527" s="172"/>
      <c r="W527" s="172"/>
      <c r="X527" s="172"/>
    </row>
    <row r="528" ht="15.75" customHeight="1">
      <c r="A528" s="183"/>
      <c r="D528" s="172"/>
      <c r="E528" s="172"/>
      <c r="F528" s="172"/>
      <c r="G528" s="172"/>
      <c r="H528" s="172"/>
      <c r="I528" s="172"/>
      <c r="J528" s="172"/>
      <c r="K528" s="172"/>
      <c r="L528" s="172"/>
      <c r="M528" s="172"/>
      <c r="N528" s="172"/>
      <c r="O528" s="172"/>
      <c r="P528" s="172"/>
      <c r="Q528" s="172"/>
      <c r="R528" s="172"/>
      <c r="S528" s="172"/>
      <c r="T528" s="172"/>
      <c r="U528" s="172"/>
      <c r="V528" s="172"/>
      <c r="W528" s="172"/>
      <c r="X528" s="172"/>
    </row>
    <row r="529" ht="15.75" customHeight="1">
      <c r="A529" s="183"/>
      <c r="D529" s="172"/>
      <c r="E529" s="172"/>
      <c r="F529" s="172"/>
      <c r="G529" s="172"/>
      <c r="H529" s="172"/>
      <c r="I529" s="172"/>
      <c r="J529" s="172"/>
      <c r="K529" s="172"/>
      <c r="L529" s="172"/>
      <c r="M529" s="172"/>
      <c r="N529" s="172"/>
      <c r="O529" s="172"/>
      <c r="P529" s="172"/>
      <c r="Q529" s="172"/>
      <c r="R529" s="172"/>
      <c r="S529" s="172"/>
      <c r="T529" s="172"/>
      <c r="U529" s="172"/>
      <c r="V529" s="172"/>
      <c r="W529" s="172"/>
      <c r="X529" s="172"/>
    </row>
    <row r="530" ht="15.75" customHeight="1">
      <c r="A530" s="183"/>
      <c r="D530" s="172"/>
      <c r="E530" s="172"/>
      <c r="F530" s="172"/>
      <c r="G530" s="172"/>
      <c r="H530" s="172"/>
      <c r="I530" s="172"/>
      <c r="J530" s="172"/>
      <c r="K530" s="172"/>
      <c r="L530" s="172"/>
      <c r="M530" s="172"/>
      <c r="N530" s="172"/>
      <c r="O530" s="172"/>
      <c r="P530" s="172"/>
      <c r="Q530" s="172"/>
      <c r="R530" s="172"/>
      <c r="S530" s="172"/>
      <c r="T530" s="172"/>
      <c r="U530" s="172"/>
      <c r="V530" s="172"/>
      <c r="W530" s="172"/>
      <c r="X530" s="172"/>
    </row>
    <row r="531" ht="15.75" customHeight="1">
      <c r="A531" s="183"/>
      <c r="D531" s="172"/>
      <c r="E531" s="172"/>
      <c r="F531" s="172"/>
      <c r="G531" s="172"/>
      <c r="H531" s="172"/>
      <c r="I531" s="172"/>
      <c r="J531" s="172"/>
      <c r="K531" s="172"/>
      <c r="L531" s="172"/>
      <c r="M531" s="172"/>
      <c r="N531" s="172"/>
      <c r="O531" s="172"/>
      <c r="P531" s="172"/>
      <c r="Q531" s="172"/>
      <c r="R531" s="172"/>
      <c r="S531" s="172"/>
      <c r="T531" s="172"/>
      <c r="U531" s="172"/>
      <c r="V531" s="172"/>
      <c r="W531" s="172"/>
      <c r="X531" s="172"/>
    </row>
    <row r="532" ht="15.75" customHeight="1">
      <c r="A532" s="183"/>
      <c r="D532" s="172"/>
      <c r="E532" s="172"/>
      <c r="F532" s="172"/>
      <c r="G532" s="172"/>
      <c r="H532" s="172"/>
      <c r="I532" s="172"/>
      <c r="J532" s="172"/>
      <c r="K532" s="172"/>
      <c r="L532" s="172"/>
      <c r="M532" s="172"/>
      <c r="N532" s="172"/>
      <c r="O532" s="172"/>
      <c r="P532" s="172"/>
      <c r="Q532" s="172"/>
      <c r="R532" s="172"/>
      <c r="S532" s="172"/>
      <c r="T532" s="172"/>
      <c r="U532" s="172"/>
      <c r="V532" s="172"/>
      <c r="W532" s="172"/>
      <c r="X532" s="172"/>
    </row>
    <row r="533" ht="15.75" customHeight="1">
      <c r="A533" s="183"/>
      <c r="D533" s="172"/>
      <c r="E533" s="172"/>
      <c r="F533" s="172"/>
      <c r="G533" s="172"/>
      <c r="H533" s="172"/>
      <c r="I533" s="172"/>
      <c r="J533" s="172"/>
      <c r="K533" s="172"/>
      <c r="L533" s="172"/>
      <c r="M533" s="172"/>
      <c r="N533" s="172"/>
      <c r="O533" s="172"/>
      <c r="P533" s="172"/>
      <c r="Q533" s="172"/>
      <c r="R533" s="172"/>
      <c r="S533" s="172"/>
      <c r="T533" s="172"/>
      <c r="U533" s="172"/>
      <c r="V533" s="172"/>
      <c r="W533" s="172"/>
      <c r="X533" s="172"/>
    </row>
    <row r="534" ht="15.75" customHeight="1">
      <c r="A534" s="183"/>
      <c r="D534" s="172"/>
      <c r="E534" s="172"/>
      <c r="F534" s="172"/>
      <c r="G534" s="172"/>
      <c r="H534" s="172"/>
      <c r="I534" s="172"/>
      <c r="J534" s="172"/>
      <c r="K534" s="172"/>
      <c r="L534" s="172"/>
      <c r="M534" s="172"/>
      <c r="N534" s="172"/>
      <c r="O534" s="172"/>
      <c r="P534" s="172"/>
      <c r="Q534" s="172"/>
      <c r="R534" s="172"/>
      <c r="S534" s="172"/>
      <c r="T534" s="172"/>
      <c r="U534" s="172"/>
      <c r="V534" s="172"/>
      <c r="W534" s="172"/>
      <c r="X534" s="172"/>
    </row>
    <row r="535" ht="15.75" customHeight="1">
      <c r="A535" s="183"/>
      <c r="D535" s="172"/>
      <c r="E535" s="172"/>
      <c r="F535" s="172"/>
      <c r="G535" s="172"/>
      <c r="H535" s="172"/>
      <c r="I535" s="172"/>
      <c r="J535" s="172"/>
      <c r="K535" s="172"/>
      <c r="L535" s="172"/>
      <c r="M535" s="172"/>
      <c r="N535" s="172"/>
      <c r="O535" s="172"/>
      <c r="P535" s="172"/>
      <c r="Q535" s="172"/>
      <c r="R535" s="172"/>
      <c r="S535" s="172"/>
      <c r="T535" s="172"/>
      <c r="U535" s="172"/>
      <c r="V535" s="172"/>
      <c r="W535" s="172"/>
      <c r="X535" s="172"/>
    </row>
    <row r="536" ht="15.75" customHeight="1">
      <c r="A536" s="183"/>
      <c r="D536" s="172"/>
      <c r="E536" s="172"/>
      <c r="F536" s="172"/>
      <c r="G536" s="172"/>
      <c r="H536" s="172"/>
      <c r="I536" s="172"/>
      <c r="J536" s="172"/>
      <c r="K536" s="172"/>
      <c r="L536" s="172"/>
      <c r="M536" s="172"/>
      <c r="N536" s="172"/>
      <c r="O536" s="172"/>
      <c r="P536" s="172"/>
      <c r="Q536" s="172"/>
      <c r="R536" s="172"/>
      <c r="S536" s="172"/>
      <c r="T536" s="172"/>
      <c r="U536" s="172"/>
      <c r="V536" s="172"/>
      <c r="W536" s="172"/>
      <c r="X536" s="172"/>
    </row>
    <row r="537" ht="15.75" customHeight="1">
      <c r="A537" s="183"/>
      <c r="D537" s="172"/>
      <c r="E537" s="172"/>
      <c r="F537" s="172"/>
      <c r="G537" s="172"/>
      <c r="H537" s="172"/>
      <c r="I537" s="172"/>
      <c r="J537" s="172"/>
      <c r="K537" s="172"/>
      <c r="L537" s="172"/>
      <c r="M537" s="172"/>
      <c r="N537" s="172"/>
      <c r="O537" s="172"/>
      <c r="P537" s="172"/>
      <c r="Q537" s="172"/>
      <c r="R537" s="172"/>
      <c r="S537" s="172"/>
      <c r="T537" s="172"/>
      <c r="U537" s="172"/>
      <c r="V537" s="172"/>
      <c r="W537" s="172"/>
      <c r="X537" s="172"/>
    </row>
    <row r="538" ht="15.75" customHeight="1">
      <c r="A538" s="183"/>
      <c r="D538" s="172"/>
      <c r="E538" s="172"/>
      <c r="F538" s="172"/>
      <c r="G538" s="172"/>
      <c r="H538" s="172"/>
      <c r="I538" s="172"/>
      <c r="J538" s="172"/>
      <c r="K538" s="172"/>
      <c r="L538" s="172"/>
      <c r="M538" s="172"/>
      <c r="N538" s="172"/>
      <c r="O538" s="172"/>
      <c r="P538" s="172"/>
      <c r="Q538" s="172"/>
      <c r="R538" s="172"/>
      <c r="S538" s="172"/>
      <c r="T538" s="172"/>
      <c r="U538" s="172"/>
      <c r="V538" s="172"/>
      <c r="W538" s="172"/>
      <c r="X538" s="172"/>
    </row>
    <row r="539" ht="15.75" customHeight="1">
      <c r="A539" s="183"/>
      <c r="D539" s="172"/>
      <c r="E539" s="172"/>
      <c r="F539" s="172"/>
      <c r="G539" s="172"/>
      <c r="H539" s="172"/>
      <c r="I539" s="172"/>
      <c r="J539" s="172"/>
      <c r="K539" s="172"/>
      <c r="L539" s="172"/>
      <c r="M539" s="172"/>
      <c r="N539" s="172"/>
      <c r="O539" s="172"/>
      <c r="P539" s="172"/>
      <c r="Q539" s="172"/>
      <c r="R539" s="172"/>
      <c r="S539" s="172"/>
      <c r="T539" s="172"/>
      <c r="U539" s="172"/>
      <c r="V539" s="172"/>
      <c r="W539" s="172"/>
      <c r="X539" s="172"/>
    </row>
    <row r="540" ht="15.75" customHeight="1">
      <c r="A540" s="183"/>
      <c r="D540" s="172"/>
      <c r="E540" s="172"/>
      <c r="F540" s="172"/>
      <c r="G540" s="172"/>
      <c r="H540" s="172"/>
      <c r="I540" s="172"/>
      <c r="J540" s="172"/>
      <c r="K540" s="172"/>
      <c r="L540" s="172"/>
      <c r="M540" s="172"/>
      <c r="N540" s="172"/>
      <c r="O540" s="172"/>
      <c r="P540" s="172"/>
      <c r="Q540" s="172"/>
      <c r="R540" s="172"/>
      <c r="S540" s="172"/>
      <c r="T540" s="172"/>
      <c r="U540" s="172"/>
      <c r="V540" s="172"/>
      <c r="W540" s="172"/>
      <c r="X540" s="172"/>
    </row>
    <row r="541" ht="15.75" customHeight="1">
      <c r="A541" s="183"/>
      <c r="D541" s="172"/>
      <c r="E541" s="172"/>
      <c r="F541" s="172"/>
      <c r="G541" s="172"/>
      <c r="H541" s="172"/>
      <c r="I541" s="172"/>
      <c r="J541" s="172"/>
      <c r="K541" s="172"/>
      <c r="L541" s="172"/>
      <c r="M541" s="172"/>
      <c r="N541" s="172"/>
      <c r="O541" s="172"/>
      <c r="P541" s="172"/>
      <c r="Q541" s="172"/>
      <c r="R541" s="172"/>
      <c r="S541" s="172"/>
      <c r="T541" s="172"/>
      <c r="U541" s="172"/>
      <c r="V541" s="172"/>
      <c r="W541" s="172"/>
      <c r="X541" s="172"/>
    </row>
    <row r="542" ht="15.75" customHeight="1">
      <c r="A542" s="183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</row>
    <row r="543" ht="15.75" customHeight="1">
      <c r="A543" s="183"/>
      <c r="D543" s="172"/>
      <c r="E543" s="172"/>
      <c r="F543" s="172"/>
      <c r="G543" s="172"/>
      <c r="H543" s="172"/>
      <c r="I543" s="172"/>
      <c r="J543" s="172"/>
      <c r="K543" s="172"/>
      <c r="L543" s="172"/>
      <c r="M543" s="172"/>
      <c r="N543" s="172"/>
      <c r="O543" s="172"/>
      <c r="P543" s="172"/>
      <c r="Q543" s="172"/>
      <c r="R543" s="172"/>
      <c r="S543" s="172"/>
      <c r="T543" s="172"/>
      <c r="U543" s="172"/>
      <c r="V543" s="172"/>
      <c r="W543" s="172"/>
      <c r="X543" s="172"/>
    </row>
    <row r="544" ht="15.75" customHeight="1">
      <c r="A544" s="183"/>
      <c r="D544" s="172"/>
      <c r="E544" s="172"/>
      <c r="F544" s="172"/>
      <c r="G544" s="172"/>
      <c r="H544" s="172"/>
      <c r="I544" s="172"/>
      <c r="J544" s="172"/>
      <c r="K544" s="172"/>
      <c r="L544" s="172"/>
      <c r="M544" s="172"/>
      <c r="N544" s="172"/>
      <c r="O544" s="172"/>
      <c r="P544" s="172"/>
      <c r="Q544" s="172"/>
      <c r="R544" s="172"/>
      <c r="S544" s="172"/>
      <c r="T544" s="172"/>
      <c r="U544" s="172"/>
      <c r="V544" s="172"/>
      <c r="W544" s="172"/>
      <c r="X544" s="172"/>
    </row>
    <row r="545" ht="15.75" customHeight="1">
      <c r="A545" s="183"/>
      <c r="D545" s="172"/>
      <c r="E545" s="172"/>
      <c r="F545" s="172"/>
      <c r="G545" s="172"/>
      <c r="H545" s="172"/>
      <c r="I545" s="172"/>
      <c r="J545" s="172"/>
      <c r="K545" s="172"/>
      <c r="L545" s="172"/>
      <c r="M545" s="172"/>
      <c r="N545" s="172"/>
      <c r="O545" s="172"/>
      <c r="P545" s="172"/>
      <c r="Q545" s="172"/>
      <c r="R545" s="172"/>
      <c r="S545" s="172"/>
      <c r="T545" s="172"/>
      <c r="U545" s="172"/>
      <c r="V545" s="172"/>
      <c r="W545" s="172"/>
      <c r="X545" s="172"/>
    </row>
    <row r="546" ht="15.75" customHeight="1">
      <c r="A546" s="183"/>
      <c r="D546" s="172"/>
      <c r="E546" s="172"/>
      <c r="F546" s="172"/>
      <c r="G546" s="172"/>
      <c r="H546" s="172"/>
      <c r="I546" s="172"/>
      <c r="J546" s="172"/>
      <c r="K546" s="172"/>
      <c r="L546" s="172"/>
      <c r="M546" s="172"/>
      <c r="N546" s="172"/>
      <c r="O546" s="172"/>
      <c r="P546" s="172"/>
      <c r="Q546" s="172"/>
      <c r="R546" s="172"/>
      <c r="S546" s="172"/>
      <c r="T546" s="172"/>
      <c r="U546" s="172"/>
      <c r="V546" s="172"/>
      <c r="W546" s="172"/>
      <c r="X546" s="172"/>
    </row>
    <row r="547" ht="15.75" customHeight="1">
      <c r="A547" s="183"/>
      <c r="D547" s="172"/>
      <c r="E547" s="172"/>
      <c r="F547" s="172"/>
      <c r="G547" s="172"/>
      <c r="H547" s="172"/>
      <c r="I547" s="172"/>
      <c r="J547" s="172"/>
      <c r="K547" s="172"/>
      <c r="L547" s="172"/>
      <c r="M547" s="172"/>
      <c r="N547" s="172"/>
      <c r="O547" s="172"/>
      <c r="P547" s="172"/>
      <c r="Q547" s="172"/>
      <c r="R547" s="172"/>
      <c r="S547" s="172"/>
      <c r="T547" s="172"/>
      <c r="U547" s="172"/>
      <c r="V547" s="172"/>
      <c r="W547" s="172"/>
      <c r="X547" s="172"/>
    </row>
    <row r="548" ht="15.75" customHeight="1">
      <c r="A548" s="183"/>
      <c r="D548" s="172"/>
      <c r="E548" s="172"/>
      <c r="F548" s="172"/>
      <c r="G548" s="172"/>
      <c r="H548" s="172"/>
      <c r="I548" s="172"/>
      <c r="J548" s="172"/>
      <c r="K548" s="172"/>
      <c r="L548" s="172"/>
      <c r="M548" s="172"/>
      <c r="N548" s="172"/>
      <c r="O548" s="172"/>
      <c r="P548" s="172"/>
      <c r="Q548" s="172"/>
      <c r="R548" s="172"/>
      <c r="S548" s="172"/>
      <c r="T548" s="172"/>
      <c r="U548" s="172"/>
      <c r="V548" s="172"/>
      <c r="W548" s="172"/>
      <c r="X548" s="172"/>
    </row>
    <row r="549" ht="15.75" customHeight="1">
      <c r="A549" s="183"/>
      <c r="D549" s="172"/>
      <c r="E549" s="172"/>
      <c r="F549" s="172"/>
      <c r="G549" s="172"/>
      <c r="H549" s="172"/>
      <c r="I549" s="172"/>
      <c r="J549" s="172"/>
      <c r="K549" s="172"/>
      <c r="L549" s="172"/>
      <c r="M549" s="172"/>
      <c r="N549" s="172"/>
      <c r="O549" s="172"/>
      <c r="P549" s="172"/>
      <c r="Q549" s="172"/>
      <c r="R549" s="172"/>
      <c r="S549" s="172"/>
      <c r="T549" s="172"/>
      <c r="U549" s="172"/>
      <c r="V549" s="172"/>
      <c r="W549" s="172"/>
      <c r="X549" s="172"/>
    </row>
    <row r="550" ht="15.75" customHeight="1">
      <c r="A550" s="183"/>
      <c r="D550" s="172"/>
      <c r="E550" s="172"/>
      <c r="F550" s="172"/>
      <c r="G550" s="172"/>
      <c r="H550" s="172"/>
      <c r="I550" s="172"/>
      <c r="J550" s="172"/>
      <c r="K550" s="172"/>
      <c r="L550" s="172"/>
      <c r="M550" s="172"/>
      <c r="N550" s="172"/>
      <c r="O550" s="172"/>
      <c r="P550" s="172"/>
      <c r="Q550" s="172"/>
      <c r="R550" s="172"/>
      <c r="S550" s="172"/>
      <c r="T550" s="172"/>
      <c r="U550" s="172"/>
      <c r="V550" s="172"/>
      <c r="W550" s="172"/>
      <c r="X550" s="172"/>
    </row>
    <row r="551" ht="15.75" customHeight="1">
      <c r="A551" s="183"/>
      <c r="D551" s="172"/>
      <c r="E551" s="172"/>
      <c r="F551" s="172"/>
      <c r="G551" s="172"/>
      <c r="H551" s="172"/>
      <c r="I551" s="172"/>
      <c r="J551" s="172"/>
      <c r="K551" s="172"/>
      <c r="L551" s="172"/>
      <c r="M551" s="172"/>
      <c r="N551" s="172"/>
      <c r="O551" s="172"/>
      <c r="P551" s="172"/>
      <c r="Q551" s="172"/>
      <c r="R551" s="172"/>
      <c r="S551" s="172"/>
      <c r="T551" s="172"/>
      <c r="U551" s="172"/>
      <c r="V551" s="172"/>
      <c r="W551" s="172"/>
      <c r="X551" s="172"/>
    </row>
    <row r="552" ht="15.75" customHeight="1">
      <c r="A552" s="183"/>
      <c r="D552" s="172"/>
      <c r="E552" s="172"/>
      <c r="F552" s="172"/>
      <c r="G552" s="172"/>
      <c r="H552" s="172"/>
      <c r="I552" s="172"/>
      <c r="J552" s="172"/>
      <c r="K552" s="172"/>
      <c r="L552" s="172"/>
      <c r="M552" s="172"/>
      <c r="N552" s="172"/>
      <c r="O552" s="172"/>
      <c r="P552" s="172"/>
      <c r="Q552" s="172"/>
      <c r="R552" s="172"/>
      <c r="S552" s="172"/>
      <c r="T552" s="172"/>
      <c r="U552" s="172"/>
      <c r="V552" s="172"/>
      <c r="W552" s="172"/>
      <c r="X552" s="172"/>
    </row>
    <row r="553" ht="15.75" customHeight="1">
      <c r="A553" s="183"/>
      <c r="D553" s="172"/>
      <c r="E553" s="172"/>
      <c r="F553" s="172"/>
      <c r="G553" s="172"/>
      <c r="H553" s="172"/>
      <c r="I553" s="172"/>
      <c r="J553" s="172"/>
      <c r="K553" s="172"/>
      <c r="L553" s="172"/>
      <c r="M553" s="172"/>
      <c r="N553" s="172"/>
      <c r="O553" s="172"/>
      <c r="P553" s="172"/>
      <c r="Q553" s="172"/>
      <c r="R553" s="172"/>
      <c r="S553" s="172"/>
      <c r="T553" s="172"/>
      <c r="U553" s="172"/>
      <c r="V553" s="172"/>
      <c r="W553" s="172"/>
      <c r="X553" s="172"/>
    </row>
    <row r="554" ht="15.75" customHeight="1">
      <c r="A554" s="183"/>
      <c r="D554" s="172"/>
      <c r="E554" s="172"/>
      <c r="F554" s="172"/>
      <c r="G554" s="172"/>
      <c r="H554" s="172"/>
      <c r="I554" s="172"/>
      <c r="J554" s="172"/>
      <c r="K554" s="172"/>
      <c r="L554" s="172"/>
      <c r="M554" s="172"/>
      <c r="N554" s="172"/>
      <c r="O554" s="172"/>
      <c r="P554" s="172"/>
      <c r="Q554" s="172"/>
      <c r="R554" s="172"/>
      <c r="S554" s="172"/>
      <c r="T554" s="172"/>
      <c r="U554" s="172"/>
      <c r="V554" s="172"/>
      <c r="W554" s="172"/>
      <c r="X554" s="172"/>
    </row>
    <row r="555" ht="15.75" customHeight="1">
      <c r="A555" s="183"/>
      <c r="D555" s="172"/>
      <c r="E555" s="172"/>
      <c r="F555" s="172"/>
      <c r="G555" s="172"/>
      <c r="H555" s="172"/>
      <c r="I555" s="172"/>
      <c r="J555" s="172"/>
      <c r="K555" s="172"/>
      <c r="L555" s="172"/>
      <c r="M555" s="172"/>
      <c r="N555" s="172"/>
      <c r="O555" s="172"/>
      <c r="P555" s="172"/>
      <c r="Q555" s="172"/>
      <c r="R555" s="172"/>
      <c r="S555" s="172"/>
      <c r="T555" s="172"/>
      <c r="U555" s="172"/>
      <c r="V555" s="172"/>
      <c r="W555" s="172"/>
      <c r="X555" s="172"/>
    </row>
    <row r="556" ht="15.75" customHeight="1">
      <c r="A556" s="183"/>
      <c r="D556" s="172"/>
      <c r="E556" s="172"/>
      <c r="F556" s="172"/>
      <c r="G556" s="172"/>
      <c r="H556" s="172"/>
      <c r="I556" s="172"/>
      <c r="J556" s="172"/>
      <c r="K556" s="172"/>
      <c r="L556" s="172"/>
      <c r="M556" s="172"/>
      <c r="N556" s="172"/>
      <c r="O556" s="172"/>
      <c r="P556" s="172"/>
      <c r="Q556" s="172"/>
      <c r="R556" s="172"/>
      <c r="S556" s="172"/>
      <c r="T556" s="172"/>
      <c r="U556" s="172"/>
      <c r="V556" s="172"/>
      <c r="W556" s="172"/>
      <c r="X556" s="172"/>
    </row>
    <row r="557" ht="15.75" customHeight="1">
      <c r="A557" s="183"/>
      <c r="D557" s="172"/>
      <c r="E557" s="172"/>
      <c r="F557" s="172"/>
      <c r="G557" s="172"/>
      <c r="H557" s="172"/>
      <c r="I557" s="172"/>
      <c r="J557" s="172"/>
      <c r="K557" s="172"/>
      <c r="L557" s="172"/>
      <c r="M557" s="172"/>
      <c r="N557" s="172"/>
      <c r="O557" s="172"/>
      <c r="P557" s="172"/>
      <c r="Q557" s="172"/>
      <c r="R557" s="172"/>
      <c r="S557" s="172"/>
      <c r="T557" s="172"/>
      <c r="U557" s="172"/>
      <c r="V557" s="172"/>
      <c r="W557" s="172"/>
      <c r="X557" s="172"/>
    </row>
    <row r="558" ht="15.75" customHeight="1">
      <c r="A558" s="183"/>
      <c r="D558" s="172"/>
      <c r="E558" s="172"/>
      <c r="F558" s="172"/>
      <c r="G558" s="172"/>
      <c r="H558" s="172"/>
      <c r="I558" s="172"/>
      <c r="J558" s="172"/>
      <c r="K558" s="172"/>
      <c r="L558" s="172"/>
      <c r="M558" s="172"/>
      <c r="N558" s="172"/>
      <c r="O558" s="172"/>
      <c r="P558" s="172"/>
      <c r="Q558" s="172"/>
      <c r="R558" s="172"/>
      <c r="S558" s="172"/>
      <c r="T558" s="172"/>
      <c r="U558" s="172"/>
      <c r="V558" s="172"/>
      <c r="W558" s="172"/>
      <c r="X558" s="172"/>
    </row>
    <row r="559" ht="15.75" customHeight="1">
      <c r="A559" s="183"/>
      <c r="D559" s="172"/>
      <c r="E559" s="172"/>
      <c r="F559" s="172"/>
      <c r="G559" s="172"/>
      <c r="H559" s="172"/>
      <c r="I559" s="172"/>
      <c r="J559" s="172"/>
      <c r="K559" s="172"/>
      <c r="L559" s="172"/>
      <c r="M559" s="172"/>
      <c r="N559" s="172"/>
      <c r="O559" s="172"/>
      <c r="P559" s="172"/>
      <c r="Q559" s="172"/>
      <c r="R559" s="172"/>
      <c r="S559" s="172"/>
      <c r="T559" s="172"/>
      <c r="U559" s="172"/>
      <c r="V559" s="172"/>
      <c r="W559" s="172"/>
      <c r="X559" s="172"/>
    </row>
    <row r="560" ht="15.75" customHeight="1">
      <c r="A560" s="183"/>
      <c r="D560" s="172"/>
      <c r="E560" s="172"/>
      <c r="F560" s="172"/>
      <c r="G560" s="172"/>
      <c r="H560" s="172"/>
      <c r="I560" s="172"/>
      <c r="J560" s="172"/>
      <c r="K560" s="172"/>
      <c r="L560" s="172"/>
      <c r="M560" s="172"/>
      <c r="N560" s="172"/>
      <c r="O560" s="172"/>
      <c r="P560" s="172"/>
      <c r="Q560" s="172"/>
      <c r="R560" s="172"/>
      <c r="S560" s="172"/>
      <c r="T560" s="172"/>
      <c r="U560" s="172"/>
      <c r="V560" s="172"/>
      <c r="W560" s="172"/>
      <c r="X560" s="172"/>
    </row>
    <row r="561" ht="15.75" customHeight="1">
      <c r="A561" s="183"/>
      <c r="D561" s="172"/>
      <c r="E561" s="172"/>
      <c r="F561" s="172"/>
      <c r="G561" s="172"/>
      <c r="H561" s="172"/>
      <c r="I561" s="172"/>
      <c r="J561" s="172"/>
      <c r="K561" s="172"/>
      <c r="L561" s="172"/>
      <c r="M561" s="172"/>
      <c r="N561" s="172"/>
      <c r="O561" s="172"/>
      <c r="P561" s="172"/>
      <c r="Q561" s="172"/>
      <c r="R561" s="172"/>
      <c r="S561" s="172"/>
      <c r="T561" s="172"/>
      <c r="U561" s="172"/>
      <c r="V561" s="172"/>
      <c r="W561" s="172"/>
      <c r="X561" s="172"/>
    </row>
    <row r="562" ht="15.75" customHeight="1">
      <c r="A562" s="183"/>
      <c r="D562" s="172"/>
      <c r="E562" s="172"/>
      <c r="F562" s="172"/>
      <c r="G562" s="172"/>
      <c r="H562" s="172"/>
      <c r="I562" s="172"/>
      <c r="J562" s="172"/>
      <c r="K562" s="172"/>
      <c r="L562" s="172"/>
      <c r="M562" s="172"/>
      <c r="N562" s="172"/>
      <c r="O562" s="172"/>
      <c r="P562" s="172"/>
      <c r="Q562" s="172"/>
      <c r="R562" s="172"/>
      <c r="S562" s="172"/>
      <c r="T562" s="172"/>
      <c r="U562" s="172"/>
      <c r="V562" s="172"/>
      <c r="W562" s="172"/>
      <c r="X562" s="172"/>
    </row>
    <row r="563" ht="15.75" customHeight="1">
      <c r="A563" s="183"/>
      <c r="D563" s="172"/>
      <c r="E563" s="172"/>
      <c r="F563" s="172"/>
      <c r="G563" s="172"/>
      <c r="H563" s="172"/>
      <c r="I563" s="172"/>
      <c r="J563" s="172"/>
      <c r="K563" s="172"/>
      <c r="L563" s="172"/>
      <c r="M563" s="172"/>
      <c r="N563" s="172"/>
      <c r="O563" s="172"/>
      <c r="P563" s="172"/>
      <c r="Q563" s="172"/>
      <c r="R563" s="172"/>
      <c r="S563" s="172"/>
      <c r="T563" s="172"/>
      <c r="U563" s="172"/>
      <c r="V563" s="172"/>
      <c r="W563" s="172"/>
      <c r="X563" s="172"/>
    </row>
    <row r="564" ht="15.75" customHeight="1">
      <c r="A564" s="183"/>
      <c r="D564" s="172"/>
      <c r="E564" s="172"/>
      <c r="F564" s="172"/>
      <c r="G564" s="172"/>
      <c r="H564" s="172"/>
      <c r="I564" s="172"/>
      <c r="J564" s="172"/>
      <c r="K564" s="172"/>
      <c r="L564" s="172"/>
      <c r="M564" s="172"/>
      <c r="N564" s="172"/>
      <c r="O564" s="172"/>
      <c r="P564" s="172"/>
      <c r="Q564" s="172"/>
      <c r="R564" s="172"/>
      <c r="S564" s="172"/>
      <c r="T564" s="172"/>
      <c r="U564" s="172"/>
      <c r="V564" s="172"/>
      <c r="W564" s="172"/>
      <c r="X564" s="172"/>
    </row>
    <row r="565" ht="15.75" customHeight="1">
      <c r="A565" s="183"/>
      <c r="D565" s="172"/>
      <c r="E565" s="172"/>
      <c r="F565" s="172"/>
      <c r="G565" s="172"/>
      <c r="H565" s="172"/>
      <c r="I565" s="172"/>
      <c r="J565" s="172"/>
      <c r="K565" s="172"/>
      <c r="L565" s="172"/>
      <c r="M565" s="172"/>
      <c r="N565" s="172"/>
      <c r="O565" s="172"/>
      <c r="P565" s="172"/>
      <c r="Q565" s="172"/>
      <c r="R565" s="172"/>
      <c r="S565" s="172"/>
      <c r="T565" s="172"/>
      <c r="U565" s="172"/>
      <c r="V565" s="172"/>
      <c r="W565" s="172"/>
      <c r="X565" s="172"/>
    </row>
    <row r="566" ht="15.75" customHeight="1">
      <c r="A566" s="183"/>
      <c r="D566" s="172"/>
      <c r="E566" s="172"/>
      <c r="F566" s="172"/>
      <c r="G566" s="172"/>
      <c r="H566" s="172"/>
      <c r="I566" s="172"/>
      <c r="J566" s="172"/>
      <c r="K566" s="172"/>
      <c r="L566" s="172"/>
      <c r="M566" s="172"/>
      <c r="N566" s="172"/>
      <c r="O566" s="172"/>
      <c r="P566" s="172"/>
      <c r="Q566" s="172"/>
      <c r="R566" s="172"/>
      <c r="S566" s="172"/>
      <c r="T566" s="172"/>
      <c r="U566" s="172"/>
      <c r="V566" s="172"/>
      <c r="W566" s="172"/>
      <c r="X566" s="172"/>
    </row>
    <row r="567" ht="15.75" customHeight="1">
      <c r="A567" s="183"/>
      <c r="D567" s="172"/>
      <c r="E567" s="172"/>
      <c r="F567" s="172"/>
      <c r="G567" s="172"/>
      <c r="H567" s="172"/>
      <c r="I567" s="172"/>
      <c r="J567" s="172"/>
      <c r="K567" s="172"/>
      <c r="L567" s="172"/>
      <c r="M567" s="172"/>
      <c r="N567" s="172"/>
      <c r="O567" s="172"/>
      <c r="P567" s="172"/>
      <c r="Q567" s="172"/>
      <c r="R567" s="172"/>
      <c r="S567" s="172"/>
      <c r="T567" s="172"/>
      <c r="U567" s="172"/>
      <c r="V567" s="172"/>
      <c r="W567" s="172"/>
      <c r="X567" s="172"/>
    </row>
    <row r="568" ht="15.75" customHeight="1">
      <c r="A568" s="183"/>
      <c r="D568" s="172"/>
      <c r="E568" s="172"/>
      <c r="F568" s="172"/>
      <c r="G568" s="172"/>
      <c r="H568" s="172"/>
      <c r="I568" s="172"/>
      <c r="J568" s="172"/>
      <c r="K568" s="172"/>
      <c r="L568" s="172"/>
      <c r="M568" s="172"/>
      <c r="N568" s="172"/>
      <c r="O568" s="172"/>
      <c r="P568" s="172"/>
      <c r="Q568" s="172"/>
      <c r="R568" s="172"/>
      <c r="S568" s="172"/>
      <c r="T568" s="172"/>
      <c r="U568" s="172"/>
      <c r="V568" s="172"/>
      <c r="W568" s="172"/>
      <c r="X568" s="172"/>
    </row>
    <row r="569" ht="15.75" customHeight="1">
      <c r="A569" s="183"/>
      <c r="D569" s="172"/>
      <c r="E569" s="172"/>
      <c r="F569" s="172"/>
      <c r="G569" s="172"/>
      <c r="H569" s="172"/>
      <c r="I569" s="172"/>
      <c r="J569" s="172"/>
      <c r="K569" s="172"/>
      <c r="L569" s="172"/>
      <c r="M569" s="172"/>
      <c r="N569" s="172"/>
      <c r="O569" s="172"/>
      <c r="P569" s="172"/>
      <c r="Q569" s="172"/>
      <c r="R569" s="172"/>
      <c r="S569" s="172"/>
      <c r="T569" s="172"/>
      <c r="U569" s="172"/>
      <c r="V569" s="172"/>
      <c r="W569" s="172"/>
      <c r="X569" s="172"/>
    </row>
    <row r="570" ht="15.75" customHeight="1">
      <c r="A570" s="183"/>
      <c r="D570" s="172"/>
      <c r="E570" s="172"/>
      <c r="F570" s="172"/>
      <c r="G570" s="172"/>
      <c r="H570" s="172"/>
      <c r="I570" s="172"/>
      <c r="J570" s="172"/>
      <c r="K570" s="172"/>
      <c r="L570" s="172"/>
      <c r="M570" s="172"/>
      <c r="N570" s="172"/>
      <c r="O570" s="172"/>
      <c r="P570" s="172"/>
      <c r="Q570" s="172"/>
      <c r="R570" s="172"/>
      <c r="S570" s="172"/>
      <c r="T570" s="172"/>
      <c r="U570" s="172"/>
      <c r="V570" s="172"/>
      <c r="W570" s="172"/>
      <c r="X570" s="172"/>
    </row>
    <row r="571" ht="15.75" customHeight="1">
      <c r="A571" s="183"/>
      <c r="D571" s="172"/>
      <c r="E571" s="172"/>
      <c r="F571" s="172"/>
      <c r="G571" s="172"/>
      <c r="H571" s="172"/>
      <c r="I571" s="172"/>
      <c r="J571" s="172"/>
      <c r="K571" s="172"/>
      <c r="L571" s="172"/>
      <c r="M571" s="172"/>
      <c r="N571" s="172"/>
      <c r="O571" s="172"/>
      <c r="P571" s="172"/>
      <c r="Q571" s="172"/>
      <c r="R571" s="172"/>
      <c r="S571" s="172"/>
      <c r="T571" s="172"/>
      <c r="U571" s="172"/>
      <c r="V571" s="172"/>
      <c r="W571" s="172"/>
      <c r="X571" s="172"/>
    </row>
    <row r="572" ht="15.75" customHeight="1">
      <c r="A572" s="183"/>
      <c r="D572" s="172"/>
      <c r="E572" s="172"/>
      <c r="F572" s="172"/>
      <c r="G572" s="172"/>
      <c r="H572" s="172"/>
      <c r="I572" s="172"/>
      <c r="J572" s="172"/>
      <c r="K572" s="172"/>
      <c r="L572" s="172"/>
      <c r="M572" s="172"/>
      <c r="N572" s="172"/>
      <c r="O572" s="172"/>
      <c r="P572" s="172"/>
      <c r="Q572" s="172"/>
      <c r="R572" s="172"/>
      <c r="S572" s="172"/>
      <c r="T572" s="172"/>
      <c r="U572" s="172"/>
      <c r="V572" s="172"/>
      <c r="W572" s="172"/>
      <c r="X572" s="172"/>
    </row>
    <row r="573" ht="15.75" customHeight="1">
      <c r="A573" s="183"/>
      <c r="D573" s="172"/>
      <c r="E573" s="172"/>
      <c r="F573" s="172"/>
      <c r="G573" s="172"/>
      <c r="H573" s="172"/>
      <c r="I573" s="172"/>
      <c r="J573" s="172"/>
      <c r="K573" s="172"/>
      <c r="L573" s="172"/>
      <c r="M573" s="172"/>
      <c r="N573" s="172"/>
      <c r="O573" s="172"/>
      <c r="P573" s="172"/>
      <c r="Q573" s="172"/>
      <c r="R573" s="172"/>
      <c r="S573" s="172"/>
      <c r="T573" s="172"/>
      <c r="U573" s="172"/>
      <c r="V573" s="172"/>
      <c r="W573" s="172"/>
      <c r="X573" s="172"/>
    </row>
    <row r="574" ht="15.75" customHeight="1">
      <c r="A574" s="183"/>
      <c r="D574" s="172"/>
      <c r="E574" s="172"/>
      <c r="F574" s="172"/>
      <c r="G574" s="172"/>
      <c r="H574" s="172"/>
      <c r="I574" s="172"/>
      <c r="J574" s="172"/>
      <c r="K574" s="172"/>
      <c r="L574" s="172"/>
      <c r="M574" s="172"/>
      <c r="N574" s="172"/>
      <c r="O574" s="172"/>
      <c r="P574" s="172"/>
      <c r="Q574" s="172"/>
      <c r="R574" s="172"/>
      <c r="S574" s="172"/>
      <c r="T574" s="172"/>
      <c r="U574" s="172"/>
      <c r="V574" s="172"/>
      <c r="W574" s="172"/>
      <c r="X574" s="172"/>
    </row>
    <row r="575" ht="15.75" customHeight="1">
      <c r="A575" s="183"/>
      <c r="D575" s="172"/>
      <c r="E575" s="172"/>
      <c r="F575" s="172"/>
      <c r="G575" s="172"/>
      <c r="H575" s="172"/>
      <c r="I575" s="172"/>
      <c r="J575" s="172"/>
      <c r="K575" s="172"/>
      <c r="L575" s="172"/>
      <c r="M575" s="172"/>
      <c r="N575" s="172"/>
      <c r="O575" s="172"/>
      <c r="P575" s="172"/>
      <c r="Q575" s="172"/>
      <c r="R575" s="172"/>
      <c r="S575" s="172"/>
      <c r="T575" s="172"/>
      <c r="U575" s="172"/>
      <c r="V575" s="172"/>
      <c r="W575" s="172"/>
      <c r="X575" s="172"/>
    </row>
    <row r="576" ht="15.75" customHeight="1">
      <c r="A576" s="183"/>
      <c r="D576" s="172"/>
      <c r="E576" s="172"/>
      <c r="F576" s="172"/>
      <c r="G576" s="172"/>
      <c r="H576" s="172"/>
      <c r="I576" s="172"/>
      <c r="J576" s="172"/>
      <c r="K576" s="172"/>
      <c r="L576" s="172"/>
      <c r="M576" s="172"/>
      <c r="N576" s="172"/>
      <c r="O576" s="172"/>
      <c r="P576" s="172"/>
      <c r="Q576" s="172"/>
      <c r="R576" s="172"/>
      <c r="S576" s="172"/>
      <c r="T576" s="172"/>
      <c r="U576" s="172"/>
      <c r="V576" s="172"/>
      <c r="W576" s="172"/>
      <c r="X576" s="172"/>
    </row>
    <row r="577" ht="15.75" customHeight="1">
      <c r="A577" s="183"/>
      <c r="D577" s="172"/>
      <c r="E577" s="172"/>
      <c r="F577" s="172"/>
      <c r="G577" s="172"/>
      <c r="H577" s="172"/>
      <c r="I577" s="172"/>
      <c r="J577" s="172"/>
      <c r="K577" s="172"/>
      <c r="L577" s="172"/>
      <c r="M577" s="172"/>
      <c r="N577" s="172"/>
      <c r="O577" s="172"/>
      <c r="P577" s="172"/>
      <c r="Q577" s="172"/>
      <c r="R577" s="172"/>
      <c r="S577" s="172"/>
      <c r="T577" s="172"/>
      <c r="U577" s="172"/>
      <c r="V577" s="172"/>
      <c r="W577" s="172"/>
      <c r="X577" s="172"/>
    </row>
    <row r="578" ht="15.75" customHeight="1">
      <c r="A578" s="183"/>
      <c r="D578" s="172"/>
      <c r="E578" s="172"/>
      <c r="F578" s="172"/>
      <c r="G578" s="172"/>
      <c r="H578" s="172"/>
      <c r="I578" s="172"/>
      <c r="J578" s="172"/>
      <c r="K578" s="172"/>
      <c r="L578" s="172"/>
      <c r="M578" s="172"/>
      <c r="N578" s="172"/>
      <c r="O578" s="172"/>
      <c r="P578" s="172"/>
      <c r="Q578" s="172"/>
      <c r="R578" s="172"/>
      <c r="S578" s="172"/>
      <c r="T578" s="172"/>
      <c r="U578" s="172"/>
      <c r="V578" s="172"/>
      <c r="W578" s="172"/>
      <c r="X578" s="172"/>
    </row>
    <row r="579" ht="15.75" customHeight="1">
      <c r="A579" s="183"/>
      <c r="D579" s="172"/>
      <c r="E579" s="172"/>
      <c r="F579" s="172"/>
      <c r="G579" s="172"/>
      <c r="H579" s="172"/>
      <c r="I579" s="172"/>
      <c r="J579" s="172"/>
      <c r="K579" s="172"/>
      <c r="L579" s="172"/>
      <c r="M579" s="172"/>
      <c r="N579" s="172"/>
      <c r="O579" s="172"/>
      <c r="P579" s="172"/>
      <c r="Q579" s="172"/>
      <c r="R579" s="172"/>
      <c r="S579" s="172"/>
      <c r="T579" s="172"/>
      <c r="U579" s="172"/>
      <c r="V579" s="172"/>
      <c r="W579" s="172"/>
      <c r="X579" s="172"/>
    </row>
    <row r="580" ht="15.75" customHeight="1">
      <c r="A580" s="183"/>
      <c r="D580" s="172"/>
      <c r="E580" s="172"/>
      <c r="F580" s="172"/>
      <c r="G580" s="172"/>
      <c r="H580" s="172"/>
      <c r="I580" s="172"/>
      <c r="J580" s="172"/>
      <c r="K580" s="172"/>
      <c r="L580" s="172"/>
      <c r="M580" s="172"/>
      <c r="N580" s="172"/>
      <c r="O580" s="172"/>
      <c r="P580" s="172"/>
      <c r="Q580" s="172"/>
      <c r="R580" s="172"/>
      <c r="S580" s="172"/>
      <c r="T580" s="172"/>
      <c r="U580" s="172"/>
      <c r="V580" s="172"/>
      <c r="W580" s="172"/>
      <c r="X580" s="172"/>
    </row>
    <row r="581" ht="15.75" customHeight="1">
      <c r="A581" s="183"/>
      <c r="D581" s="172"/>
      <c r="E581" s="172"/>
      <c r="F581" s="172"/>
      <c r="G581" s="172"/>
      <c r="H581" s="172"/>
      <c r="I581" s="172"/>
      <c r="J581" s="172"/>
      <c r="K581" s="172"/>
      <c r="L581" s="172"/>
      <c r="M581" s="172"/>
      <c r="N581" s="172"/>
      <c r="O581" s="172"/>
      <c r="P581" s="172"/>
      <c r="Q581" s="172"/>
      <c r="R581" s="172"/>
      <c r="S581" s="172"/>
      <c r="T581" s="172"/>
      <c r="U581" s="172"/>
      <c r="V581" s="172"/>
      <c r="W581" s="172"/>
      <c r="X581" s="172"/>
    </row>
    <row r="582" ht="15.75" customHeight="1">
      <c r="A582" s="183"/>
      <c r="D582" s="172"/>
      <c r="E582" s="172"/>
      <c r="F582" s="172"/>
      <c r="G582" s="172"/>
      <c r="H582" s="172"/>
      <c r="I582" s="172"/>
      <c r="J582" s="172"/>
      <c r="K582" s="172"/>
      <c r="L582" s="172"/>
      <c r="M582" s="172"/>
      <c r="N582" s="172"/>
      <c r="O582" s="172"/>
      <c r="P582" s="172"/>
      <c r="Q582" s="172"/>
      <c r="R582" s="172"/>
      <c r="S582" s="172"/>
      <c r="T582" s="172"/>
      <c r="U582" s="172"/>
      <c r="V582" s="172"/>
      <c r="W582" s="172"/>
      <c r="X582" s="172"/>
    </row>
    <row r="583" ht="15.75" customHeight="1">
      <c r="A583" s="183"/>
      <c r="D583" s="172"/>
      <c r="E583" s="172"/>
      <c r="F583" s="172"/>
      <c r="G583" s="172"/>
      <c r="H583" s="172"/>
      <c r="I583" s="172"/>
      <c r="J583" s="172"/>
      <c r="K583" s="172"/>
      <c r="L583" s="172"/>
      <c r="M583" s="172"/>
      <c r="N583" s="172"/>
      <c r="O583" s="172"/>
      <c r="P583" s="172"/>
      <c r="Q583" s="172"/>
      <c r="R583" s="172"/>
      <c r="S583" s="172"/>
      <c r="T583" s="172"/>
      <c r="U583" s="172"/>
      <c r="V583" s="172"/>
      <c r="W583" s="172"/>
      <c r="X583" s="172"/>
    </row>
    <row r="584" ht="15.75" customHeight="1">
      <c r="A584" s="183"/>
      <c r="D584" s="172"/>
      <c r="E584" s="172"/>
      <c r="F584" s="172"/>
      <c r="G584" s="172"/>
      <c r="H584" s="172"/>
      <c r="I584" s="172"/>
      <c r="J584" s="172"/>
      <c r="K584" s="172"/>
      <c r="L584" s="172"/>
      <c r="M584" s="172"/>
      <c r="N584" s="172"/>
      <c r="O584" s="172"/>
      <c r="P584" s="172"/>
      <c r="Q584" s="172"/>
      <c r="R584" s="172"/>
      <c r="S584" s="172"/>
      <c r="T584" s="172"/>
      <c r="U584" s="172"/>
      <c r="V584" s="172"/>
      <c r="W584" s="172"/>
      <c r="X584" s="172"/>
    </row>
    <row r="585" ht="15.75" customHeight="1">
      <c r="A585" s="183"/>
      <c r="D585" s="172"/>
      <c r="E585" s="172"/>
      <c r="F585" s="172"/>
      <c r="G585" s="172"/>
      <c r="H585" s="172"/>
      <c r="I585" s="172"/>
      <c r="J585" s="172"/>
      <c r="K585" s="172"/>
      <c r="L585" s="172"/>
      <c r="M585" s="172"/>
      <c r="N585" s="172"/>
      <c r="O585" s="172"/>
      <c r="P585" s="172"/>
      <c r="Q585" s="172"/>
      <c r="R585" s="172"/>
      <c r="S585" s="172"/>
      <c r="T585" s="172"/>
      <c r="U585" s="172"/>
      <c r="V585" s="172"/>
      <c r="W585" s="172"/>
      <c r="X585" s="172"/>
    </row>
    <row r="586" ht="15.75" customHeight="1">
      <c r="A586" s="183"/>
      <c r="D586" s="172"/>
      <c r="E586" s="172"/>
      <c r="F586" s="172"/>
      <c r="G586" s="172"/>
      <c r="H586" s="172"/>
      <c r="I586" s="172"/>
      <c r="J586" s="172"/>
      <c r="K586" s="172"/>
      <c r="L586" s="172"/>
      <c r="M586" s="172"/>
      <c r="N586" s="172"/>
      <c r="O586" s="172"/>
      <c r="P586" s="172"/>
      <c r="Q586" s="172"/>
      <c r="R586" s="172"/>
      <c r="S586" s="172"/>
      <c r="T586" s="172"/>
      <c r="U586" s="172"/>
      <c r="V586" s="172"/>
      <c r="W586" s="172"/>
      <c r="X586" s="172"/>
    </row>
    <row r="587" ht="15.75" customHeight="1">
      <c r="A587" s="183"/>
      <c r="D587" s="172"/>
      <c r="E587" s="172"/>
      <c r="F587" s="172"/>
      <c r="G587" s="172"/>
      <c r="H587" s="172"/>
      <c r="I587" s="172"/>
      <c r="J587" s="172"/>
      <c r="K587" s="172"/>
      <c r="L587" s="172"/>
      <c r="M587" s="172"/>
      <c r="N587" s="172"/>
      <c r="O587" s="172"/>
      <c r="P587" s="172"/>
      <c r="Q587" s="172"/>
      <c r="R587" s="172"/>
      <c r="S587" s="172"/>
      <c r="T587" s="172"/>
      <c r="U587" s="172"/>
      <c r="V587" s="172"/>
      <c r="W587" s="172"/>
      <c r="X587" s="172"/>
    </row>
    <row r="588" ht="15.75" customHeight="1">
      <c r="A588" s="183"/>
      <c r="D588" s="172"/>
      <c r="E588" s="172"/>
      <c r="F588" s="172"/>
      <c r="G588" s="172"/>
      <c r="H588" s="172"/>
      <c r="I588" s="172"/>
      <c r="J588" s="172"/>
      <c r="K588" s="172"/>
      <c r="L588" s="172"/>
      <c r="M588" s="172"/>
      <c r="N588" s="172"/>
      <c r="O588" s="172"/>
      <c r="P588" s="172"/>
      <c r="Q588" s="172"/>
      <c r="R588" s="172"/>
      <c r="S588" s="172"/>
      <c r="T588" s="172"/>
      <c r="U588" s="172"/>
      <c r="V588" s="172"/>
      <c r="W588" s="172"/>
      <c r="X588" s="172"/>
    </row>
    <row r="589" ht="15.75" customHeight="1">
      <c r="A589" s="183"/>
      <c r="D589" s="172"/>
      <c r="E589" s="172"/>
      <c r="F589" s="172"/>
      <c r="G589" s="172"/>
      <c r="H589" s="172"/>
      <c r="I589" s="172"/>
      <c r="J589" s="172"/>
      <c r="K589" s="172"/>
      <c r="L589" s="172"/>
      <c r="M589" s="172"/>
      <c r="N589" s="172"/>
      <c r="O589" s="172"/>
      <c r="P589" s="172"/>
      <c r="Q589" s="172"/>
      <c r="R589" s="172"/>
      <c r="S589" s="172"/>
      <c r="T589" s="172"/>
      <c r="U589" s="172"/>
      <c r="V589" s="172"/>
      <c r="W589" s="172"/>
      <c r="X589" s="172"/>
    </row>
    <row r="590" ht="15.75" customHeight="1">
      <c r="A590" s="183"/>
      <c r="D590" s="172"/>
      <c r="E590" s="172"/>
      <c r="F590" s="172"/>
      <c r="G590" s="172"/>
      <c r="H590" s="172"/>
      <c r="I590" s="172"/>
      <c r="J590" s="172"/>
      <c r="K590" s="172"/>
      <c r="L590" s="172"/>
      <c r="M590" s="172"/>
      <c r="N590" s="172"/>
      <c r="O590" s="172"/>
      <c r="P590" s="172"/>
      <c r="Q590" s="172"/>
      <c r="R590" s="172"/>
      <c r="S590" s="172"/>
      <c r="T590" s="172"/>
      <c r="U590" s="172"/>
      <c r="V590" s="172"/>
      <c r="W590" s="172"/>
      <c r="X590" s="172"/>
    </row>
    <row r="591" ht="15.75" customHeight="1">
      <c r="A591" s="183"/>
      <c r="D591" s="172"/>
      <c r="E591" s="172"/>
      <c r="F591" s="172"/>
      <c r="G591" s="172"/>
      <c r="H591" s="172"/>
      <c r="I591" s="172"/>
      <c r="J591" s="172"/>
      <c r="K591" s="172"/>
      <c r="L591" s="172"/>
      <c r="M591" s="172"/>
      <c r="N591" s="172"/>
      <c r="O591" s="172"/>
      <c r="P591" s="172"/>
      <c r="Q591" s="172"/>
      <c r="R591" s="172"/>
      <c r="S591" s="172"/>
      <c r="T591" s="172"/>
      <c r="U591" s="172"/>
      <c r="V591" s="172"/>
      <c r="W591" s="172"/>
      <c r="X591" s="172"/>
    </row>
    <row r="592" ht="15.75" customHeight="1">
      <c r="A592" s="183"/>
      <c r="D592" s="172"/>
      <c r="E592" s="172"/>
      <c r="F592" s="172"/>
      <c r="G592" s="172"/>
      <c r="H592" s="172"/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</row>
    <row r="593" ht="15.75" customHeight="1">
      <c r="A593" s="183"/>
      <c r="D593" s="172"/>
      <c r="E593" s="172"/>
      <c r="F593" s="172"/>
      <c r="G593" s="172"/>
      <c r="H593" s="172"/>
      <c r="I593" s="172"/>
      <c r="J593" s="172"/>
      <c r="K593" s="172"/>
      <c r="L593" s="172"/>
      <c r="M593" s="172"/>
      <c r="N593" s="172"/>
      <c r="O593" s="172"/>
      <c r="P593" s="172"/>
      <c r="Q593" s="172"/>
      <c r="R593" s="172"/>
      <c r="S593" s="172"/>
      <c r="T593" s="172"/>
      <c r="U593" s="172"/>
      <c r="V593" s="172"/>
      <c r="W593" s="172"/>
      <c r="X593" s="172"/>
    </row>
    <row r="594" ht="15.75" customHeight="1">
      <c r="A594" s="183"/>
      <c r="D594" s="172"/>
      <c r="E594" s="172"/>
      <c r="F594" s="172"/>
      <c r="G594" s="172"/>
      <c r="H594" s="172"/>
      <c r="I594" s="172"/>
      <c r="J594" s="172"/>
      <c r="K594" s="172"/>
      <c r="L594" s="172"/>
      <c r="M594" s="172"/>
      <c r="N594" s="172"/>
      <c r="O594" s="172"/>
      <c r="P594" s="172"/>
      <c r="Q594" s="172"/>
      <c r="R594" s="172"/>
      <c r="S594" s="172"/>
      <c r="T594" s="172"/>
      <c r="U594" s="172"/>
      <c r="V594" s="172"/>
      <c r="W594" s="172"/>
      <c r="X594" s="172"/>
    </row>
    <row r="595" ht="15.75" customHeight="1">
      <c r="A595" s="183"/>
      <c r="D595" s="172"/>
      <c r="E595" s="172"/>
      <c r="F595" s="172"/>
      <c r="G595" s="172"/>
      <c r="H595" s="172"/>
      <c r="I595" s="172"/>
      <c r="J595" s="172"/>
      <c r="K595" s="172"/>
      <c r="L595" s="172"/>
      <c r="M595" s="172"/>
      <c r="N595" s="172"/>
      <c r="O595" s="172"/>
      <c r="P595" s="172"/>
      <c r="Q595" s="172"/>
      <c r="R595" s="172"/>
      <c r="S595" s="172"/>
      <c r="T595" s="172"/>
      <c r="U595" s="172"/>
      <c r="V595" s="172"/>
      <c r="W595" s="172"/>
      <c r="X595" s="172"/>
    </row>
    <row r="596" ht="15.75" customHeight="1">
      <c r="A596" s="183"/>
      <c r="D596" s="172"/>
      <c r="E596" s="172"/>
      <c r="F596" s="172"/>
      <c r="G596" s="172"/>
      <c r="H596" s="172"/>
      <c r="I596" s="172"/>
      <c r="J596" s="172"/>
      <c r="K596" s="172"/>
      <c r="L596" s="172"/>
      <c r="M596" s="172"/>
      <c r="N596" s="172"/>
      <c r="O596" s="172"/>
      <c r="P596" s="172"/>
      <c r="Q596" s="172"/>
      <c r="R596" s="172"/>
      <c r="S596" s="172"/>
      <c r="T596" s="172"/>
      <c r="U596" s="172"/>
      <c r="V596" s="172"/>
      <c r="W596" s="172"/>
      <c r="X596" s="172"/>
    </row>
    <row r="597" ht="15.75" customHeight="1">
      <c r="A597" s="183"/>
      <c r="D597" s="172"/>
      <c r="E597" s="172"/>
      <c r="F597" s="172"/>
      <c r="G597" s="172"/>
      <c r="H597" s="172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172"/>
      <c r="T597" s="172"/>
      <c r="U597" s="172"/>
      <c r="V597" s="172"/>
      <c r="W597" s="172"/>
      <c r="X597" s="172"/>
    </row>
    <row r="598" ht="15.75" customHeight="1">
      <c r="A598" s="183"/>
      <c r="D598" s="172"/>
      <c r="E598" s="172"/>
      <c r="F598" s="172"/>
      <c r="G598" s="172"/>
      <c r="H598" s="172"/>
      <c r="I598" s="172"/>
      <c r="J598" s="172"/>
      <c r="K598" s="172"/>
      <c r="L598" s="172"/>
      <c r="M598" s="172"/>
      <c r="N598" s="172"/>
      <c r="O598" s="172"/>
      <c r="P598" s="172"/>
      <c r="Q598" s="172"/>
      <c r="R598" s="172"/>
      <c r="S598" s="172"/>
      <c r="T598" s="172"/>
      <c r="U598" s="172"/>
      <c r="V598" s="172"/>
      <c r="W598" s="172"/>
      <c r="X598" s="172"/>
    </row>
    <row r="599" ht="15.75" customHeight="1">
      <c r="A599" s="183"/>
      <c r="D599" s="172"/>
      <c r="E599" s="172"/>
      <c r="F599" s="172"/>
      <c r="G599" s="172"/>
      <c r="H599" s="172"/>
      <c r="I599" s="172"/>
      <c r="J599" s="172"/>
      <c r="K599" s="172"/>
      <c r="L599" s="172"/>
      <c r="M599" s="172"/>
      <c r="N599" s="172"/>
      <c r="O599" s="172"/>
      <c r="P599" s="172"/>
      <c r="Q599" s="172"/>
      <c r="R599" s="172"/>
      <c r="S599" s="172"/>
      <c r="T599" s="172"/>
      <c r="U599" s="172"/>
      <c r="V599" s="172"/>
      <c r="W599" s="172"/>
      <c r="X599" s="172"/>
    </row>
    <row r="600" ht="15.75" customHeight="1">
      <c r="A600" s="183"/>
      <c r="D600" s="172"/>
      <c r="E600" s="172"/>
      <c r="F600" s="172"/>
      <c r="G600" s="172"/>
      <c r="H600" s="172"/>
      <c r="I600" s="172"/>
      <c r="J600" s="172"/>
      <c r="K600" s="172"/>
      <c r="L600" s="172"/>
      <c r="M600" s="172"/>
      <c r="N600" s="172"/>
      <c r="O600" s="172"/>
      <c r="P600" s="172"/>
      <c r="Q600" s="172"/>
      <c r="R600" s="172"/>
      <c r="S600" s="172"/>
      <c r="T600" s="172"/>
      <c r="U600" s="172"/>
      <c r="V600" s="172"/>
      <c r="W600" s="172"/>
      <c r="X600" s="172"/>
    </row>
    <row r="601" ht="15.75" customHeight="1">
      <c r="A601" s="183"/>
      <c r="D601" s="172"/>
      <c r="E601" s="172"/>
      <c r="F601" s="172"/>
      <c r="G601" s="172"/>
      <c r="H601" s="172"/>
      <c r="I601" s="172"/>
      <c r="J601" s="172"/>
      <c r="K601" s="172"/>
      <c r="L601" s="172"/>
      <c r="M601" s="172"/>
      <c r="N601" s="172"/>
      <c r="O601" s="172"/>
      <c r="P601" s="172"/>
      <c r="Q601" s="172"/>
      <c r="R601" s="172"/>
      <c r="S601" s="172"/>
      <c r="T601" s="172"/>
      <c r="U601" s="172"/>
      <c r="V601" s="172"/>
      <c r="W601" s="172"/>
      <c r="X601" s="172"/>
    </row>
    <row r="602" ht="15.75" customHeight="1">
      <c r="A602" s="183"/>
      <c r="D602" s="172"/>
      <c r="E602" s="172"/>
      <c r="F602" s="172"/>
      <c r="G602" s="172"/>
      <c r="H602" s="172"/>
      <c r="I602" s="172"/>
      <c r="J602" s="172"/>
      <c r="K602" s="172"/>
      <c r="L602" s="172"/>
      <c r="M602" s="172"/>
      <c r="N602" s="172"/>
      <c r="O602" s="172"/>
      <c r="P602" s="172"/>
      <c r="Q602" s="172"/>
      <c r="R602" s="172"/>
      <c r="S602" s="172"/>
      <c r="T602" s="172"/>
      <c r="U602" s="172"/>
      <c r="V602" s="172"/>
      <c r="W602" s="172"/>
      <c r="X602" s="172"/>
    </row>
    <row r="603" ht="15.75" customHeight="1">
      <c r="A603" s="183"/>
      <c r="D603" s="172"/>
      <c r="E603" s="172"/>
      <c r="F603" s="172"/>
      <c r="G603" s="172"/>
      <c r="H603" s="172"/>
      <c r="I603" s="172"/>
      <c r="J603" s="172"/>
      <c r="K603" s="172"/>
      <c r="L603" s="172"/>
      <c r="M603" s="172"/>
      <c r="N603" s="172"/>
      <c r="O603" s="172"/>
      <c r="P603" s="172"/>
      <c r="Q603" s="172"/>
      <c r="R603" s="172"/>
      <c r="S603" s="172"/>
      <c r="T603" s="172"/>
      <c r="U603" s="172"/>
      <c r="V603" s="172"/>
      <c r="W603" s="172"/>
      <c r="X603" s="172"/>
    </row>
    <row r="604" ht="15.75" customHeight="1">
      <c r="A604" s="183"/>
      <c r="D604" s="172"/>
      <c r="E604" s="172"/>
      <c r="F604" s="172"/>
      <c r="G604" s="172"/>
      <c r="H604" s="172"/>
      <c r="I604" s="172"/>
      <c r="J604" s="172"/>
      <c r="K604" s="172"/>
      <c r="L604" s="172"/>
      <c r="M604" s="172"/>
      <c r="N604" s="172"/>
      <c r="O604" s="172"/>
      <c r="P604" s="172"/>
      <c r="Q604" s="172"/>
      <c r="R604" s="172"/>
      <c r="S604" s="172"/>
      <c r="T604" s="172"/>
      <c r="U604" s="172"/>
      <c r="V604" s="172"/>
      <c r="W604" s="172"/>
      <c r="X604" s="172"/>
    </row>
    <row r="605" ht="15.75" customHeight="1">
      <c r="A605" s="183"/>
      <c r="D605" s="172"/>
      <c r="E605" s="172"/>
      <c r="F605" s="172"/>
      <c r="G605" s="172"/>
      <c r="H605" s="172"/>
      <c r="I605" s="172"/>
      <c r="J605" s="172"/>
      <c r="K605" s="172"/>
      <c r="L605" s="172"/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  <c r="X605" s="172"/>
    </row>
    <row r="606" ht="15.75" customHeight="1">
      <c r="A606" s="183"/>
      <c r="D606" s="172"/>
      <c r="E606" s="172"/>
      <c r="F606" s="172"/>
      <c r="G606" s="172"/>
      <c r="H606" s="172"/>
      <c r="I606" s="172"/>
      <c r="J606" s="172"/>
      <c r="K606" s="172"/>
      <c r="L606" s="172"/>
      <c r="M606" s="172"/>
      <c r="N606" s="172"/>
      <c r="O606" s="172"/>
      <c r="P606" s="172"/>
      <c r="Q606" s="172"/>
      <c r="R606" s="172"/>
      <c r="S606" s="172"/>
      <c r="T606" s="172"/>
      <c r="U606" s="172"/>
      <c r="V606" s="172"/>
      <c r="W606" s="172"/>
      <c r="X606" s="172"/>
    </row>
    <row r="607" ht="15.75" customHeight="1">
      <c r="A607" s="183"/>
      <c r="D607" s="172"/>
      <c r="E607" s="172"/>
      <c r="F607" s="172"/>
      <c r="G607" s="172"/>
      <c r="H607" s="172"/>
      <c r="I607" s="172"/>
      <c r="J607" s="172"/>
      <c r="K607" s="172"/>
      <c r="L607" s="172"/>
      <c r="M607" s="172"/>
      <c r="N607" s="172"/>
      <c r="O607" s="172"/>
      <c r="P607" s="172"/>
      <c r="Q607" s="172"/>
      <c r="R607" s="172"/>
      <c r="S607" s="172"/>
      <c r="T607" s="172"/>
      <c r="U607" s="172"/>
      <c r="V607" s="172"/>
      <c r="W607" s="172"/>
      <c r="X607" s="172"/>
    </row>
    <row r="608" ht="15.75" customHeight="1">
      <c r="A608" s="183"/>
      <c r="D608" s="172"/>
      <c r="E608" s="172"/>
      <c r="F608" s="172"/>
      <c r="G608" s="172"/>
      <c r="H608" s="172"/>
      <c r="I608" s="172"/>
      <c r="J608" s="172"/>
      <c r="K608" s="172"/>
      <c r="L608" s="172"/>
      <c r="M608" s="172"/>
      <c r="N608" s="172"/>
      <c r="O608" s="172"/>
      <c r="P608" s="172"/>
      <c r="Q608" s="172"/>
      <c r="R608" s="172"/>
      <c r="S608" s="172"/>
      <c r="T608" s="172"/>
      <c r="U608" s="172"/>
      <c r="V608" s="172"/>
      <c r="W608" s="172"/>
      <c r="X608" s="172"/>
    </row>
    <row r="609" ht="15.75" customHeight="1">
      <c r="A609" s="183"/>
      <c r="D609" s="172"/>
      <c r="E609" s="172"/>
      <c r="F609" s="172"/>
      <c r="G609" s="172"/>
      <c r="H609" s="172"/>
      <c r="I609" s="172"/>
      <c r="J609" s="172"/>
      <c r="K609" s="172"/>
      <c r="L609" s="172"/>
      <c r="M609" s="172"/>
      <c r="N609" s="172"/>
      <c r="O609" s="172"/>
      <c r="P609" s="172"/>
      <c r="Q609" s="172"/>
      <c r="R609" s="172"/>
      <c r="S609" s="172"/>
      <c r="T609" s="172"/>
      <c r="U609" s="172"/>
      <c r="V609" s="172"/>
      <c r="W609" s="172"/>
      <c r="X609" s="172"/>
    </row>
    <row r="610" ht="15.75" customHeight="1">
      <c r="A610" s="183"/>
      <c r="D610" s="172"/>
      <c r="E610" s="172"/>
      <c r="F610" s="172"/>
      <c r="G610" s="172"/>
      <c r="H610" s="172"/>
      <c r="I610" s="172"/>
      <c r="J610" s="172"/>
      <c r="K610" s="172"/>
      <c r="L610" s="172"/>
      <c r="M610" s="172"/>
      <c r="N610" s="172"/>
      <c r="O610" s="172"/>
      <c r="P610" s="172"/>
      <c r="Q610" s="172"/>
      <c r="R610" s="172"/>
      <c r="S610" s="172"/>
      <c r="T610" s="172"/>
      <c r="U610" s="172"/>
      <c r="V610" s="172"/>
      <c r="W610" s="172"/>
      <c r="X610" s="172"/>
    </row>
    <row r="611" ht="15.75" customHeight="1">
      <c r="A611" s="183"/>
      <c r="D611" s="172"/>
      <c r="E611" s="172"/>
      <c r="F611" s="172"/>
      <c r="G611" s="172"/>
      <c r="H611" s="172"/>
      <c r="I611" s="172"/>
      <c r="J611" s="172"/>
      <c r="K611" s="172"/>
      <c r="L611" s="172"/>
      <c r="M611" s="172"/>
      <c r="N611" s="172"/>
      <c r="O611" s="172"/>
      <c r="P611" s="172"/>
      <c r="Q611" s="172"/>
      <c r="R611" s="172"/>
      <c r="S611" s="172"/>
      <c r="T611" s="172"/>
      <c r="U611" s="172"/>
      <c r="V611" s="172"/>
      <c r="W611" s="172"/>
      <c r="X611" s="172"/>
    </row>
    <row r="612" ht="15.75" customHeight="1">
      <c r="A612" s="183"/>
      <c r="D612" s="172"/>
      <c r="E612" s="172"/>
      <c r="F612" s="172"/>
      <c r="G612" s="172"/>
      <c r="H612" s="172"/>
      <c r="I612" s="172"/>
      <c r="J612" s="172"/>
      <c r="K612" s="172"/>
      <c r="L612" s="172"/>
      <c r="M612" s="172"/>
      <c r="N612" s="172"/>
      <c r="O612" s="172"/>
      <c r="P612" s="172"/>
      <c r="Q612" s="172"/>
      <c r="R612" s="172"/>
      <c r="S612" s="172"/>
      <c r="T612" s="172"/>
      <c r="U612" s="172"/>
      <c r="V612" s="172"/>
      <c r="W612" s="172"/>
      <c r="X612" s="172"/>
    </row>
    <row r="613" ht="15.75" customHeight="1">
      <c r="A613" s="183"/>
      <c r="D613" s="172"/>
      <c r="E613" s="172"/>
      <c r="F613" s="172"/>
      <c r="G613" s="172"/>
      <c r="H613" s="172"/>
      <c r="I613" s="172"/>
      <c r="J613" s="172"/>
      <c r="K613" s="172"/>
      <c r="L613" s="172"/>
      <c r="M613" s="172"/>
      <c r="N613" s="172"/>
      <c r="O613" s="172"/>
      <c r="P613" s="172"/>
      <c r="Q613" s="172"/>
      <c r="R613" s="172"/>
      <c r="S613" s="172"/>
      <c r="T613" s="172"/>
      <c r="U613" s="172"/>
      <c r="V613" s="172"/>
      <c r="W613" s="172"/>
      <c r="X613" s="172"/>
    </row>
    <row r="614" ht="15.75" customHeight="1">
      <c r="A614" s="183"/>
      <c r="D614" s="172"/>
      <c r="E614" s="172"/>
      <c r="F614" s="172"/>
      <c r="G614" s="172"/>
      <c r="H614" s="172"/>
      <c r="I614" s="172"/>
      <c r="J614" s="172"/>
      <c r="K614" s="172"/>
      <c r="L614" s="172"/>
      <c r="M614" s="172"/>
      <c r="N614" s="172"/>
      <c r="O614" s="172"/>
      <c r="P614" s="172"/>
      <c r="Q614" s="172"/>
      <c r="R614" s="172"/>
      <c r="S614" s="172"/>
      <c r="T614" s="172"/>
      <c r="U614" s="172"/>
      <c r="V614" s="172"/>
      <c r="W614" s="172"/>
      <c r="X614" s="172"/>
    </row>
    <row r="615" ht="15.75" customHeight="1">
      <c r="A615" s="183"/>
      <c r="D615" s="172"/>
      <c r="E615" s="172"/>
      <c r="F615" s="172"/>
      <c r="G615" s="172"/>
      <c r="H615" s="172"/>
      <c r="I615" s="172"/>
      <c r="J615" s="172"/>
      <c r="K615" s="172"/>
      <c r="L615" s="172"/>
      <c r="M615" s="172"/>
      <c r="N615" s="172"/>
      <c r="O615" s="172"/>
      <c r="P615" s="172"/>
      <c r="Q615" s="172"/>
      <c r="R615" s="172"/>
      <c r="S615" s="172"/>
      <c r="T615" s="172"/>
      <c r="U615" s="172"/>
      <c r="V615" s="172"/>
      <c r="W615" s="172"/>
      <c r="X615" s="172"/>
    </row>
    <row r="616" ht="15.75" customHeight="1">
      <c r="A616" s="183"/>
      <c r="D616" s="172"/>
      <c r="E616" s="172"/>
      <c r="F616" s="172"/>
      <c r="G616" s="172"/>
      <c r="H616" s="172"/>
      <c r="I616" s="172"/>
      <c r="J616" s="172"/>
      <c r="K616" s="172"/>
      <c r="L616" s="172"/>
      <c r="M616" s="172"/>
      <c r="N616" s="172"/>
      <c r="O616" s="172"/>
      <c r="P616" s="172"/>
      <c r="Q616" s="172"/>
      <c r="R616" s="172"/>
      <c r="S616" s="172"/>
      <c r="T616" s="172"/>
      <c r="U616" s="172"/>
      <c r="V616" s="172"/>
      <c r="W616" s="172"/>
      <c r="X616" s="172"/>
    </row>
    <row r="617" ht="15.75" customHeight="1">
      <c r="A617" s="183"/>
      <c r="D617" s="172"/>
      <c r="E617" s="172"/>
      <c r="F617" s="172"/>
      <c r="G617" s="172"/>
      <c r="H617" s="172"/>
      <c r="I617" s="172"/>
      <c r="J617" s="172"/>
      <c r="K617" s="172"/>
      <c r="L617" s="172"/>
      <c r="M617" s="172"/>
      <c r="N617" s="172"/>
      <c r="O617" s="172"/>
      <c r="P617" s="172"/>
      <c r="Q617" s="172"/>
      <c r="R617" s="172"/>
      <c r="S617" s="172"/>
      <c r="T617" s="172"/>
      <c r="U617" s="172"/>
      <c r="V617" s="172"/>
      <c r="W617" s="172"/>
      <c r="X617" s="172"/>
    </row>
    <row r="618" ht="15.75" customHeight="1">
      <c r="A618" s="183"/>
      <c r="D618" s="172"/>
      <c r="E618" s="172"/>
      <c r="F618" s="172"/>
      <c r="G618" s="172"/>
      <c r="H618" s="172"/>
      <c r="I618" s="172"/>
      <c r="J618" s="172"/>
      <c r="K618" s="172"/>
      <c r="L618" s="172"/>
      <c r="M618" s="172"/>
      <c r="N618" s="172"/>
      <c r="O618" s="172"/>
      <c r="P618" s="172"/>
      <c r="Q618" s="172"/>
      <c r="R618" s="172"/>
      <c r="S618" s="172"/>
      <c r="T618" s="172"/>
      <c r="U618" s="172"/>
      <c r="V618" s="172"/>
      <c r="W618" s="172"/>
      <c r="X618" s="172"/>
    </row>
    <row r="619" ht="15.75" customHeight="1">
      <c r="A619" s="183"/>
      <c r="D619" s="172"/>
      <c r="E619" s="172"/>
      <c r="F619" s="172"/>
      <c r="G619" s="172"/>
      <c r="H619" s="172"/>
      <c r="I619" s="172"/>
      <c r="J619" s="172"/>
      <c r="K619" s="172"/>
      <c r="L619" s="172"/>
      <c r="M619" s="172"/>
      <c r="N619" s="172"/>
      <c r="O619" s="172"/>
      <c r="P619" s="172"/>
      <c r="Q619" s="172"/>
      <c r="R619" s="172"/>
      <c r="S619" s="172"/>
      <c r="T619" s="172"/>
      <c r="U619" s="172"/>
      <c r="V619" s="172"/>
      <c r="W619" s="172"/>
      <c r="X619" s="172"/>
    </row>
    <row r="620" ht="15.75" customHeight="1">
      <c r="A620" s="183"/>
      <c r="D620" s="172"/>
      <c r="E620" s="172"/>
      <c r="F620" s="172"/>
      <c r="G620" s="172"/>
      <c r="H620" s="172"/>
      <c r="I620" s="172"/>
      <c r="J620" s="172"/>
      <c r="K620" s="172"/>
      <c r="L620" s="172"/>
      <c r="M620" s="172"/>
      <c r="N620" s="172"/>
      <c r="O620" s="172"/>
      <c r="P620" s="172"/>
      <c r="Q620" s="172"/>
      <c r="R620" s="172"/>
      <c r="S620" s="172"/>
      <c r="T620" s="172"/>
      <c r="U620" s="172"/>
      <c r="V620" s="172"/>
      <c r="W620" s="172"/>
      <c r="X620" s="172"/>
    </row>
    <row r="621" ht="15.75" customHeight="1">
      <c r="A621" s="183"/>
      <c r="D621" s="172"/>
      <c r="E621" s="172"/>
      <c r="F621" s="172"/>
      <c r="G621" s="172"/>
      <c r="H621" s="172"/>
      <c r="I621" s="172"/>
      <c r="J621" s="172"/>
      <c r="K621" s="172"/>
      <c r="L621" s="172"/>
      <c r="M621" s="172"/>
      <c r="N621" s="172"/>
      <c r="O621" s="172"/>
      <c r="P621" s="172"/>
      <c r="Q621" s="172"/>
      <c r="R621" s="172"/>
      <c r="S621" s="172"/>
      <c r="T621" s="172"/>
      <c r="U621" s="172"/>
      <c r="V621" s="172"/>
      <c r="W621" s="172"/>
      <c r="X621" s="172"/>
    </row>
    <row r="622" ht="15.75" customHeight="1">
      <c r="A622" s="183"/>
      <c r="D622" s="172"/>
      <c r="E622" s="172"/>
      <c r="F622" s="172"/>
      <c r="G622" s="172"/>
      <c r="H622" s="172"/>
      <c r="I622" s="172"/>
      <c r="J622" s="172"/>
      <c r="K622" s="172"/>
      <c r="L622" s="172"/>
      <c r="M622" s="172"/>
      <c r="N622" s="172"/>
      <c r="O622" s="172"/>
      <c r="P622" s="172"/>
      <c r="Q622" s="172"/>
      <c r="R622" s="172"/>
      <c r="S622" s="172"/>
      <c r="T622" s="172"/>
      <c r="U622" s="172"/>
      <c r="V622" s="172"/>
      <c r="W622" s="172"/>
      <c r="X622" s="172"/>
    </row>
    <row r="623" ht="15.75" customHeight="1">
      <c r="A623" s="183"/>
      <c r="D623" s="172"/>
      <c r="E623" s="172"/>
      <c r="F623" s="172"/>
      <c r="G623" s="172"/>
      <c r="H623" s="172"/>
      <c r="I623" s="172"/>
      <c r="J623" s="172"/>
      <c r="K623" s="172"/>
      <c r="L623" s="172"/>
      <c r="M623" s="172"/>
      <c r="N623" s="172"/>
      <c r="O623" s="172"/>
      <c r="P623" s="172"/>
      <c r="Q623" s="172"/>
      <c r="R623" s="172"/>
      <c r="S623" s="172"/>
      <c r="T623" s="172"/>
      <c r="U623" s="172"/>
      <c r="V623" s="172"/>
      <c r="W623" s="172"/>
      <c r="X623" s="172"/>
    </row>
    <row r="624" ht="15.75" customHeight="1">
      <c r="A624" s="183"/>
      <c r="D624" s="172"/>
      <c r="E624" s="172"/>
      <c r="F624" s="172"/>
      <c r="G624" s="172"/>
      <c r="H624" s="172"/>
      <c r="I624" s="172"/>
      <c r="J624" s="172"/>
      <c r="K624" s="172"/>
      <c r="L624" s="172"/>
      <c r="M624" s="172"/>
      <c r="N624" s="172"/>
      <c r="O624" s="172"/>
      <c r="P624" s="172"/>
      <c r="Q624" s="172"/>
      <c r="R624" s="172"/>
      <c r="S624" s="172"/>
      <c r="T624" s="172"/>
      <c r="U624" s="172"/>
      <c r="V624" s="172"/>
      <c r="W624" s="172"/>
      <c r="X624" s="172"/>
    </row>
    <row r="625" ht="15.75" customHeight="1">
      <c r="A625" s="183"/>
      <c r="D625" s="172"/>
      <c r="E625" s="172"/>
      <c r="F625" s="172"/>
      <c r="G625" s="172"/>
      <c r="H625" s="172"/>
      <c r="I625" s="172"/>
      <c r="J625" s="172"/>
      <c r="K625" s="172"/>
      <c r="L625" s="172"/>
      <c r="M625" s="172"/>
      <c r="N625" s="172"/>
      <c r="O625" s="172"/>
      <c r="P625" s="172"/>
      <c r="Q625" s="172"/>
      <c r="R625" s="172"/>
      <c r="S625" s="172"/>
      <c r="T625" s="172"/>
      <c r="U625" s="172"/>
      <c r="V625" s="172"/>
      <c r="W625" s="172"/>
      <c r="X625" s="172"/>
    </row>
    <row r="626" ht="15.75" customHeight="1">
      <c r="A626" s="183"/>
      <c r="D626" s="172"/>
      <c r="E626" s="172"/>
      <c r="F626" s="172"/>
      <c r="G626" s="172"/>
      <c r="H626" s="172"/>
      <c r="I626" s="172"/>
      <c r="J626" s="172"/>
      <c r="K626" s="172"/>
      <c r="L626" s="172"/>
      <c r="M626" s="172"/>
      <c r="N626" s="172"/>
      <c r="O626" s="172"/>
      <c r="P626" s="172"/>
      <c r="Q626" s="172"/>
      <c r="R626" s="172"/>
      <c r="S626" s="172"/>
      <c r="T626" s="172"/>
      <c r="U626" s="172"/>
      <c r="V626" s="172"/>
      <c r="W626" s="172"/>
      <c r="X626" s="172"/>
    </row>
    <row r="627" ht="15.75" customHeight="1">
      <c r="A627" s="183"/>
      <c r="D627" s="172"/>
      <c r="E627" s="172"/>
      <c r="F627" s="172"/>
      <c r="G627" s="172"/>
      <c r="H627" s="172"/>
      <c r="I627" s="172"/>
      <c r="J627" s="172"/>
      <c r="K627" s="172"/>
      <c r="L627" s="172"/>
      <c r="M627" s="172"/>
      <c r="N627" s="172"/>
      <c r="O627" s="172"/>
      <c r="P627" s="172"/>
      <c r="Q627" s="172"/>
      <c r="R627" s="172"/>
      <c r="S627" s="172"/>
      <c r="T627" s="172"/>
      <c r="U627" s="172"/>
      <c r="V627" s="172"/>
      <c r="W627" s="172"/>
      <c r="X627" s="172"/>
    </row>
    <row r="628" ht="15.75" customHeight="1">
      <c r="A628" s="183"/>
      <c r="D628" s="172"/>
      <c r="E628" s="172"/>
      <c r="F628" s="172"/>
      <c r="G628" s="172"/>
      <c r="H628" s="172"/>
      <c r="I628" s="172"/>
      <c r="J628" s="172"/>
      <c r="K628" s="172"/>
      <c r="L628" s="172"/>
      <c r="M628" s="172"/>
      <c r="N628" s="172"/>
      <c r="O628" s="172"/>
      <c r="P628" s="172"/>
      <c r="Q628" s="172"/>
      <c r="R628" s="172"/>
      <c r="S628" s="172"/>
      <c r="T628" s="172"/>
      <c r="U628" s="172"/>
      <c r="V628" s="172"/>
      <c r="W628" s="172"/>
      <c r="X628" s="172"/>
    </row>
    <row r="629" ht="15.75" customHeight="1">
      <c r="A629" s="183"/>
      <c r="D629" s="172"/>
      <c r="E629" s="172"/>
      <c r="F629" s="172"/>
      <c r="G629" s="172"/>
      <c r="H629" s="172"/>
      <c r="I629" s="172"/>
      <c r="J629" s="172"/>
      <c r="K629" s="172"/>
      <c r="L629" s="172"/>
      <c r="M629" s="172"/>
      <c r="N629" s="172"/>
      <c r="O629" s="172"/>
      <c r="P629" s="172"/>
      <c r="Q629" s="172"/>
      <c r="R629" s="172"/>
      <c r="S629" s="172"/>
      <c r="T629" s="172"/>
      <c r="U629" s="172"/>
      <c r="V629" s="172"/>
      <c r="W629" s="172"/>
      <c r="X629" s="172"/>
    </row>
    <row r="630" ht="15.75" customHeight="1">
      <c r="A630" s="183"/>
      <c r="D630" s="172"/>
      <c r="E630" s="172"/>
      <c r="F630" s="172"/>
      <c r="G630" s="172"/>
      <c r="H630" s="172"/>
      <c r="I630" s="172"/>
      <c r="J630" s="172"/>
      <c r="K630" s="172"/>
      <c r="L630" s="172"/>
      <c r="M630" s="172"/>
      <c r="N630" s="172"/>
      <c r="O630" s="172"/>
      <c r="P630" s="172"/>
      <c r="Q630" s="172"/>
      <c r="R630" s="172"/>
      <c r="S630" s="172"/>
      <c r="T630" s="172"/>
      <c r="U630" s="172"/>
      <c r="V630" s="172"/>
      <c r="W630" s="172"/>
      <c r="X630" s="172"/>
    </row>
    <row r="631" ht="15.75" customHeight="1">
      <c r="A631" s="183"/>
      <c r="D631" s="172"/>
      <c r="E631" s="172"/>
      <c r="F631" s="172"/>
      <c r="G631" s="172"/>
      <c r="H631" s="172"/>
      <c r="I631" s="172"/>
      <c r="J631" s="172"/>
      <c r="K631" s="172"/>
      <c r="L631" s="172"/>
      <c r="M631" s="172"/>
      <c r="N631" s="172"/>
      <c r="O631" s="172"/>
      <c r="P631" s="172"/>
      <c r="Q631" s="172"/>
      <c r="R631" s="172"/>
      <c r="S631" s="172"/>
      <c r="T631" s="172"/>
      <c r="U631" s="172"/>
      <c r="V631" s="172"/>
      <c r="W631" s="172"/>
      <c r="X631" s="172"/>
    </row>
    <row r="632" ht="15.75" customHeight="1">
      <c r="A632" s="183"/>
      <c r="D632" s="172"/>
      <c r="E632" s="172"/>
      <c r="F632" s="172"/>
      <c r="G632" s="172"/>
      <c r="H632" s="172"/>
      <c r="I632" s="172"/>
      <c r="J632" s="172"/>
      <c r="K632" s="172"/>
      <c r="L632" s="172"/>
      <c r="M632" s="172"/>
      <c r="N632" s="172"/>
      <c r="O632" s="172"/>
      <c r="P632" s="172"/>
      <c r="Q632" s="172"/>
      <c r="R632" s="172"/>
      <c r="S632" s="172"/>
      <c r="T632" s="172"/>
      <c r="U632" s="172"/>
      <c r="V632" s="172"/>
      <c r="W632" s="172"/>
      <c r="X632" s="172"/>
    </row>
    <row r="633" ht="15.75" customHeight="1">
      <c r="A633" s="183"/>
      <c r="D633" s="172"/>
      <c r="E633" s="172"/>
      <c r="F633" s="172"/>
      <c r="G633" s="172"/>
      <c r="H633" s="172"/>
      <c r="I633" s="172"/>
      <c r="J633" s="172"/>
      <c r="K633" s="172"/>
      <c r="L633" s="172"/>
      <c r="M633" s="172"/>
      <c r="N633" s="172"/>
      <c r="O633" s="172"/>
      <c r="P633" s="172"/>
      <c r="Q633" s="172"/>
      <c r="R633" s="172"/>
      <c r="S633" s="172"/>
      <c r="T633" s="172"/>
      <c r="U633" s="172"/>
      <c r="V633" s="172"/>
      <c r="W633" s="172"/>
      <c r="X633" s="172"/>
    </row>
    <row r="634" ht="15.75" customHeight="1">
      <c r="A634" s="183"/>
      <c r="D634" s="172"/>
      <c r="E634" s="172"/>
      <c r="F634" s="172"/>
      <c r="G634" s="172"/>
      <c r="H634" s="172"/>
      <c r="I634" s="172"/>
      <c r="J634" s="172"/>
      <c r="K634" s="172"/>
      <c r="L634" s="172"/>
      <c r="M634" s="172"/>
      <c r="N634" s="172"/>
      <c r="O634" s="172"/>
      <c r="P634" s="172"/>
      <c r="Q634" s="172"/>
      <c r="R634" s="172"/>
      <c r="S634" s="172"/>
      <c r="T634" s="172"/>
      <c r="U634" s="172"/>
      <c r="V634" s="172"/>
      <c r="W634" s="172"/>
      <c r="X634" s="172"/>
    </row>
    <row r="635" ht="15.75" customHeight="1">
      <c r="A635" s="183"/>
      <c r="D635" s="172"/>
      <c r="E635" s="172"/>
      <c r="F635" s="172"/>
      <c r="G635" s="172"/>
      <c r="H635" s="172"/>
      <c r="I635" s="172"/>
      <c r="J635" s="172"/>
      <c r="K635" s="172"/>
      <c r="L635" s="172"/>
      <c r="M635" s="172"/>
      <c r="N635" s="172"/>
      <c r="O635" s="172"/>
      <c r="P635" s="172"/>
      <c r="Q635" s="172"/>
      <c r="R635" s="172"/>
      <c r="S635" s="172"/>
      <c r="T635" s="172"/>
      <c r="U635" s="172"/>
      <c r="V635" s="172"/>
      <c r="W635" s="172"/>
      <c r="X635" s="172"/>
    </row>
    <row r="636" ht="15.75" customHeight="1">
      <c r="A636" s="183"/>
      <c r="D636" s="172"/>
      <c r="E636" s="172"/>
      <c r="F636" s="172"/>
      <c r="G636" s="172"/>
      <c r="H636" s="172"/>
      <c r="I636" s="172"/>
      <c r="J636" s="172"/>
      <c r="K636" s="172"/>
      <c r="L636" s="172"/>
      <c r="M636" s="172"/>
      <c r="N636" s="172"/>
      <c r="O636" s="172"/>
      <c r="P636" s="172"/>
      <c r="Q636" s="172"/>
      <c r="R636" s="172"/>
      <c r="S636" s="172"/>
      <c r="T636" s="172"/>
      <c r="U636" s="172"/>
      <c r="V636" s="172"/>
      <c r="W636" s="172"/>
      <c r="X636" s="172"/>
    </row>
    <row r="637" ht="15.75" customHeight="1">
      <c r="A637" s="183"/>
      <c r="D637" s="172"/>
      <c r="E637" s="172"/>
      <c r="F637" s="172"/>
      <c r="G637" s="172"/>
      <c r="H637" s="172"/>
      <c r="I637" s="172"/>
      <c r="J637" s="172"/>
      <c r="K637" s="172"/>
      <c r="L637" s="172"/>
      <c r="M637" s="172"/>
      <c r="N637" s="172"/>
      <c r="O637" s="172"/>
      <c r="P637" s="172"/>
      <c r="Q637" s="172"/>
      <c r="R637" s="172"/>
      <c r="S637" s="172"/>
      <c r="T637" s="172"/>
      <c r="U637" s="172"/>
      <c r="V637" s="172"/>
      <c r="W637" s="172"/>
      <c r="X637" s="172"/>
    </row>
    <row r="638" ht="15.75" customHeight="1">
      <c r="A638" s="183"/>
      <c r="D638" s="172"/>
      <c r="E638" s="172"/>
      <c r="F638" s="172"/>
      <c r="G638" s="172"/>
      <c r="H638" s="172"/>
      <c r="I638" s="172"/>
      <c r="J638" s="172"/>
      <c r="K638" s="172"/>
      <c r="L638" s="172"/>
      <c r="M638" s="172"/>
      <c r="N638" s="172"/>
      <c r="O638" s="172"/>
      <c r="P638" s="172"/>
      <c r="Q638" s="172"/>
      <c r="R638" s="172"/>
      <c r="S638" s="172"/>
      <c r="T638" s="172"/>
      <c r="U638" s="172"/>
      <c r="V638" s="172"/>
      <c r="W638" s="172"/>
      <c r="X638" s="172"/>
    </row>
    <row r="639" ht="15.75" customHeight="1">
      <c r="A639" s="183"/>
      <c r="D639" s="172"/>
      <c r="E639" s="172"/>
      <c r="F639" s="172"/>
      <c r="G639" s="172"/>
      <c r="H639" s="172"/>
      <c r="I639" s="172"/>
      <c r="J639" s="172"/>
      <c r="K639" s="172"/>
      <c r="L639" s="172"/>
      <c r="M639" s="172"/>
      <c r="N639" s="172"/>
      <c r="O639" s="172"/>
      <c r="P639" s="172"/>
      <c r="Q639" s="172"/>
      <c r="R639" s="172"/>
      <c r="S639" s="172"/>
      <c r="T639" s="172"/>
      <c r="U639" s="172"/>
      <c r="V639" s="172"/>
      <c r="W639" s="172"/>
      <c r="X639" s="172"/>
    </row>
    <row r="640" ht="15.75" customHeight="1">
      <c r="A640" s="183"/>
      <c r="D640" s="172"/>
      <c r="E640" s="172"/>
      <c r="F640" s="172"/>
      <c r="G640" s="172"/>
      <c r="H640" s="172"/>
      <c r="I640" s="172"/>
      <c r="J640" s="172"/>
      <c r="K640" s="172"/>
      <c r="L640" s="172"/>
      <c r="M640" s="172"/>
      <c r="N640" s="172"/>
      <c r="O640" s="172"/>
      <c r="P640" s="172"/>
      <c r="Q640" s="172"/>
      <c r="R640" s="172"/>
      <c r="S640" s="172"/>
      <c r="T640" s="172"/>
      <c r="U640" s="172"/>
      <c r="V640" s="172"/>
      <c r="W640" s="172"/>
      <c r="X640" s="172"/>
    </row>
    <row r="641" ht="15.75" customHeight="1">
      <c r="A641" s="183"/>
      <c r="D641" s="172"/>
      <c r="E641" s="172"/>
      <c r="F641" s="172"/>
      <c r="G641" s="172"/>
      <c r="H641" s="172"/>
      <c r="I641" s="172"/>
      <c r="J641" s="172"/>
      <c r="K641" s="172"/>
      <c r="L641" s="172"/>
      <c r="M641" s="172"/>
      <c r="N641" s="172"/>
      <c r="O641" s="172"/>
      <c r="P641" s="172"/>
      <c r="Q641" s="172"/>
      <c r="R641" s="172"/>
      <c r="S641" s="172"/>
      <c r="T641" s="172"/>
      <c r="U641" s="172"/>
      <c r="V641" s="172"/>
      <c r="W641" s="172"/>
      <c r="X641" s="172"/>
    </row>
    <row r="642" ht="15.75" customHeight="1">
      <c r="A642" s="183"/>
      <c r="D642" s="172"/>
      <c r="E642" s="172"/>
      <c r="F642" s="172"/>
      <c r="G642" s="172"/>
      <c r="H642" s="172"/>
      <c r="I642" s="172"/>
      <c r="J642" s="172"/>
      <c r="K642" s="172"/>
      <c r="L642" s="172"/>
      <c r="M642" s="172"/>
      <c r="N642" s="172"/>
      <c r="O642" s="172"/>
      <c r="P642" s="172"/>
      <c r="Q642" s="172"/>
      <c r="R642" s="172"/>
      <c r="S642" s="172"/>
      <c r="T642" s="172"/>
      <c r="U642" s="172"/>
      <c r="V642" s="172"/>
      <c r="W642" s="172"/>
      <c r="X642" s="172"/>
    </row>
    <row r="643" ht="15.75" customHeight="1">
      <c r="A643" s="183"/>
      <c r="D643" s="172"/>
      <c r="E643" s="172"/>
      <c r="F643" s="172"/>
      <c r="G643" s="172"/>
      <c r="H643" s="172"/>
      <c r="I643" s="172"/>
      <c r="J643" s="172"/>
      <c r="K643" s="172"/>
      <c r="L643" s="172"/>
      <c r="M643" s="172"/>
      <c r="N643" s="172"/>
      <c r="O643" s="172"/>
      <c r="P643" s="172"/>
      <c r="Q643" s="172"/>
      <c r="R643" s="172"/>
      <c r="S643" s="172"/>
      <c r="T643" s="172"/>
      <c r="U643" s="172"/>
      <c r="V643" s="172"/>
      <c r="W643" s="172"/>
      <c r="X643" s="172"/>
    </row>
    <row r="644" ht="15.75" customHeight="1">
      <c r="A644" s="183"/>
      <c r="D644" s="172"/>
      <c r="E644" s="172"/>
      <c r="F644" s="172"/>
      <c r="G644" s="172"/>
      <c r="H644" s="172"/>
      <c r="I644" s="172"/>
      <c r="J644" s="172"/>
      <c r="K644" s="172"/>
      <c r="L644" s="172"/>
      <c r="M644" s="172"/>
      <c r="N644" s="172"/>
      <c r="O644" s="172"/>
      <c r="P644" s="172"/>
      <c r="Q644" s="172"/>
      <c r="R644" s="172"/>
      <c r="S644" s="172"/>
      <c r="T644" s="172"/>
      <c r="U644" s="172"/>
      <c r="V644" s="172"/>
      <c r="W644" s="172"/>
      <c r="X644" s="172"/>
    </row>
    <row r="645" ht="15.75" customHeight="1">
      <c r="A645" s="183"/>
      <c r="D645" s="172"/>
      <c r="E645" s="172"/>
      <c r="F645" s="172"/>
      <c r="G645" s="172"/>
      <c r="H645" s="172"/>
      <c r="I645" s="172"/>
      <c r="J645" s="172"/>
      <c r="K645" s="172"/>
      <c r="L645" s="172"/>
      <c r="M645" s="172"/>
      <c r="N645" s="172"/>
      <c r="O645" s="172"/>
      <c r="P645" s="172"/>
      <c r="Q645" s="172"/>
      <c r="R645" s="172"/>
      <c r="S645" s="172"/>
      <c r="T645" s="172"/>
      <c r="U645" s="172"/>
      <c r="V645" s="172"/>
      <c r="W645" s="172"/>
      <c r="X645" s="172"/>
    </row>
    <row r="646" ht="15.75" customHeight="1">
      <c r="A646" s="183"/>
      <c r="D646" s="172"/>
      <c r="E646" s="172"/>
      <c r="F646" s="172"/>
      <c r="G646" s="172"/>
      <c r="H646" s="172"/>
      <c r="I646" s="172"/>
      <c r="J646" s="172"/>
      <c r="K646" s="172"/>
      <c r="L646" s="172"/>
      <c r="M646" s="172"/>
      <c r="N646" s="172"/>
      <c r="O646" s="172"/>
      <c r="P646" s="172"/>
      <c r="Q646" s="172"/>
      <c r="R646" s="172"/>
      <c r="S646" s="172"/>
      <c r="T646" s="172"/>
      <c r="U646" s="172"/>
      <c r="V646" s="172"/>
      <c r="W646" s="172"/>
      <c r="X646" s="172"/>
    </row>
    <row r="647" ht="15.75" customHeight="1">
      <c r="A647" s="183"/>
      <c r="D647" s="172"/>
      <c r="E647" s="172"/>
      <c r="F647" s="172"/>
      <c r="G647" s="172"/>
      <c r="H647" s="172"/>
      <c r="I647" s="172"/>
      <c r="J647" s="172"/>
      <c r="K647" s="172"/>
      <c r="L647" s="172"/>
      <c r="M647" s="172"/>
      <c r="N647" s="172"/>
      <c r="O647" s="172"/>
      <c r="P647" s="172"/>
      <c r="Q647" s="172"/>
      <c r="R647" s="172"/>
      <c r="S647" s="172"/>
      <c r="T647" s="172"/>
      <c r="U647" s="172"/>
      <c r="V647" s="172"/>
      <c r="W647" s="172"/>
      <c r="X647" s="172"/>
    </row>
    <row r="648" ht="15.75" customHeight="1">
      <c r="A648" s="183"/>
      <c r="D648" s="172"/>
      <c r="E648" s="172"/>
      <c r="F648" s="172"/>
      <c r="G648" s="172"/>
      <c r="H648" s="172"/>
      <c r="I648" s="172"/>
      <c r="J648" s="172"/>
      <c r="K648" s="172"/>
      <c r="L648" s="172"/>
      <c r="M648" s="172"/>
      <c r="N648" s="172"/>
      <c r="O648" s="172"/>
      <c r="P648" s="172"/>
      <c r="Q648" s="172"/>
      <c r="R648" s="172"/>
      <c r="S648" s="172"/>
      <c r="T648" s="172"/>
      <c r="U648" s="172"/>
      <c r="V648" s="172"/>
      <c r="W648" s="172"/>
      <c r="X648" s="172"/>
    </row>
    <row r="649" ht="15.75" customHeight="1">
      <c r="A649" s="183"/>
      <c r="D649" s="172"/>
      <c r="E649" s="172"/>
      <c r="F649" s="172"/>
      <c r="G649" s="172"/>
      <c r="H649" s="172"/>
      <c r="I649" s="172"/>
      <c r="J649" s="172"/>
      <c r="K649" s="172"/>
      <c r="L649" s="172"/>
      <c r="M649" s="172"/>
      <c r="N649" s="172"/>
      <c r="O649" s="172"/>
      <c r="P649" s="172"/>
      <c r="Q649" s="172"/>
      <c r="R649" s="172"/>
      <c r="S649" s="172"/>
      <c r="T649" s="172"/>
      <c r="U649" s="172"/>
      <c r="V649" s="172"/>
      <c r="W649" s="172"/>
      <c r="X649" s="172"/>
    </row>
    <row r="650" ht="15.75" customHeight="1">
      <c r="A650" s="183"/>
      <c r="D650" s="172"/>
      <c r="E650" s="172"/>
      <c r="F650" s="172"/>
      <c r="G650" s="172"/>
      <c r="H650" s="172"/>
      <c r="I650" s="172"/>
      <c r="J650" s="172"/>
      <c r="K650" s="172"/>
      <c r="L650" s="172"/>
      <c r="M650" s="172"/>
      <c r="N650" s="172"/>
      <c r="O650" s="172"/>
      <c r="P650" s="172"/>
      <c r="Q650" s="172"/>
      <c r="R650" s="172"/>
      <c r="S650" s="172"/>
      <c r="T650" s="172"/>
      <c r="U650" s="172"/>
      <c r="V650" s="172"/>
      <c r="W650" s="172"/>
      <c r="X650" s="172"/>
    </row>
    <row r="651" ht="15.75" customHeight="1">
      <c r="A651" s="183"/>
      <c r="D651" s="172"/>
      <c r="E651" s="172"/>
      <c r="F651" s="172"/>
      <c r="G651" s="172"/>
      <c r="H651" s="172"/>
      <c r="I651" s="172"/>
      <c r="J651" s="172"/>
      <c r="K651" s="172"/>
      <c r="L651" s="172"/>
      <c r="M651" s="172"/>
      <c r="N651" s="172"/>
      <c r="O651" s="172"/>
      <c r="P651" s="172"/>
      <c r="Q651" s="172"/>
      <c r="R651" s="172"/>
      <c r="S651" s="172"/>
      <c r="T651" s="172"/>
      <c r="U651" s="172"/>
      <c r="V651" s="172"/>
      <c r="W651" s="172"/>
      <c r="X651" s="172"/>
    </row>
    <row r="652" ht="15.75" customHeight="1">
      <c r="A652" s="183"/>
      <c r="D652" s="172"/>
      <c r="E652" s="172"/>
      <c r="F652" s="172"/>
      <c r="G652" s="172"/>
      <c r="H652" s="172"/>
      <c r="I652" s="172"/>
      <c r="J652" s="172"/>
      <c r="K652" s="172"/>
      <c r="L652" s="172"/>
      <c r="M652" s="172"/>
      <c r="N652" s="172"/>
      <c r="O652" s="172"/>
      <c r="P652" s="172"/>
      <c r="Q652" s="172"/>
      <c r="R652" s="172"/>
      <c r="S652" s="172"/>
      <c r="T652" s="172"/>
      <c r="U652" s="172"/>
      <c r="V652" s="172"/>
      <c r="W652" s="172"/>
      <c r="X652" s="172"/>
    </row>
    <row r="653" ht="15.75" customHeight="1">
      <c r="A653" s="183"/>
      <c r="D653" s="172"/>
      <c r="E653" s="172"/>
      <c r="F653" s="172"/>
      <c r="G653" s="172"/>
      <c r="H653" s="172"/>
      <c r="I653" s="172"/>
      <c r="J653" s="172"/>
      <c r="K653" s="172"/>
      <c r="L653" s="172"/>
      <c r="M653" s="172"/>
      <c r="N653" s="172"/>
      <c r="O653" s="172"/>
      <c r="P653" s="172"/>
      <c r="Q653" s="172"/>
      <c r="R653" s="172"/>
      <c r="S653" s="172"/>
      <c r="T653" s="172"/>
      <c r="U653" s="172"/>
      <c r="V653" s="172"/>
      <c r="W653" s="172"/>
      <c r="X653" s="172"/>
    </row>
    <row r="654" ht="15.75" customHeight="1">
      <c r="A654" s="183"/>
      <c r="D654" s="172"/>
      <c r="E654" s="172"/>
      <c r="F654" s="172"/>
      <c r="G654" s="172"/>
      <c r="H654" s="172"/>
      <c r="I654" s="172"/>
      <c r="J654" s="172"/>
      <c r="K654" s="172"/>
      <c r="L654" s="172"/>
      <c r="M654" s="172"/>
      <c r="N654" s="172"/>
      <c r="O654" s="172"/>
      <c r="P654" s="172"/>
      <c r="Q654" s="172"/>
      <c r="R654" s="172"/>
      <c r="S654" s="172"/>
      <c r="T654" s="172"/>
      <c r="U654" s="172"/>
      <c r="V654" s="172"/>
      <c r="W654" s="172"/>
      <c r="X654" s="172"/>
    </row>
    <row r="655" ht="15.75" customHeight="1">
      <c r="A655" s="183"/>
      <c r="D655" s="172"/>
      <c r="E655" s="172"/>
      <c r="F655" s="172"/>
      <c r="G655" s="172"/>
      <c r="H655" s="172"/>
      <c r="I655" s="172"/>
      <c r="J655" s="172"/>
      <c r="K655" s="172"/>
      <c r="L655" s="172"/>
      <c r="M655" s="172"/>
      <c r="N655" s="172"/>
      <c r="O655" s="172"/>
      <c r="P655" s="172"/>
      <c r="Q655" s="172"/>
      <c r="R655" s="172"/>
      <c r="S655" s="172"/>
      <c r="T655" s="172"/>
      <c r="U655" s="172"/>
      <c r="V655" s="172"/>
      <c r="W655" s="172"/>
      <c r="X655" s="172"/>
    </row>
    <row r="656" ht="15.75" customHeight="1">
      <c r="A656" s="183"/>
      <c r="D656" s="172"/>
      <c r="E656" s="172"/>
      <c r="F656" s="172"/>
      <c r="G656" s="172"/>
      <c r="H656" s="172"/>
      <c r="I656" s="172"/>
      <c r="J656" s="172"/>
      <c r="K656" s="172"/>
      <c r="L656" s="172"/>
      <c r="M656" s="172"/>
      <c r="N656" s="172"/>
      <c r="O656" s="172"/>
      <c r="P656" s="172"/>
      <c r="Q656" s="172"/>
      <c r="R656" s="172"/>
      <c r="S656" s="172"/>
      <c r="T656" s="172"/>
      <c r="U656" s="172"/>
      <c r="V656" s="172"/>
      <c r="W656" s="172"/>
      <c r="X656" s="172"/>
    </row>
    <row r="657" ht="15.75" customHeight="1">
      <c r="A657" s="183"/>
      <c r="D657" s="172"/>
      <c r="E657" s="172"/>
      <c r="F657" s="172"/>
      <c r="G657" s="172"/>
      <c r="H657" s="172"/>
      <c r="I657" s="172"/>
      <c r="J657" s="172"/>
      <c r="K657" s="172"/>
      <c r="L657" s="172"/>
      <c r="M657" s="172"/>
      <c r="N657" s="172"/>
      <c r="O657" s="172"/>
      <c r="P657" s="172"/>
      <c r="Q657" s="172"/>
      <c r="R657" s="172"/>
      <c r="S657" s="172"/>
      <c r="T657" s="172"/>
      <c r="U657" s="172"/>
      <c r="V657" s="172"/>
      <c r="W657" s="172"/>
      <c r="X657" s="172"/>
    </row>
    <row r="658" ht="15.75" customHeight="1">
      <c r="A658" s="183"/>
      <c r="D658" s="172"/>
      <c r="E658" s="172"/>
      <c r="F658" s="172"/>
      <c r="G658" s="172"/>
      <c r="H658" s="172"/>
      <c r="I658" s="172"/>
      <c r="J658" s="172"/>
      <c r="K658" s="172"/>
      <c r="L658" s="172"/>
      <c r="M658" s="172"/>
      <c r="N658" s="172"/>
      <c r="O658" s="172"/>
      <c r="P658" s="172"/>
      <c r="Q658" s="172"/>
      <c r="R658" s="172"/>
      <c r="S658" s="172"/>
      <c r="T658" s="172"/>
      <c r="U658" s="172"/>
      <c r="V658" s="172"/>
      <c r="W658" s="172"/>
      <c r="X658" s="172"/>
    </row>
    <row r="659" ht="15.75" customHeight="1">
      <c r="A659" s="183"/>
      <c r="D659" s="172"/>
      <c r="E659" s="172"/>
      <c r="F659" s="172"/>
      <c r="G659" s="172"/>
      <c r="H659" s="172"/>
      <c r="I659" s="172"/>
      <c r="J659" s="172"/>
      <c r="K659" s="172"/>
      <c r="L659" s="172"/>
      <c r="M659" s="172"/>
      <c r="N659" s="172"/>
      <c r="O659" s="172"/>
      <c r="P659" s="172"/>
      <c r="Q659" s="172"/>
      <c r="R659" s="172"/>
      <c r="S659" s="172"/>
      <c r="T659" s="172"/>
      <c r="U659" s="172"/>
      <c r="V659" s="172"/>
      <c r="W659" s="172"/>
      <c r="X659" s="172"/>
    </row>
    <row r="660" ht="15.75" customHeight="1">
      <c r="A660" s="183"/>
      <c r="D660" s="172"/>
      <c r="E660" s="172"/>
      <c r="F660" s="172"/>
      <c r="G660" s="172"/>
      <c r="H660" s="172"/>
      <c r="I660" s="172"/>
      <c r="J660" s="172"/>
      <c r="K660" s="172"/>
      <c r="L660" s="172"/>
      <c r="M660" s="172"/>
      <c r="N660" s="172"/>
      <c r="O660" s="172"/>
      <c r="P660" s="172"/>
      <c r="Q660" s="172"/>
      <c r="R660" s="172"/>
      <c r="S660" s="172"/>
      <c r="T660" s="172"/>
      <c r="U660" s="172"/>
      <c r="V660" s="172"/>
      <c r="W660" s="172"/>
      <c r="X660" s="172"/>
    </row>
    <row r="661" ht="15.75" customHeight="1">
      <c r="A661" s="183"/>
      <c r="D661" s="172"/>
      <c r="E661" s="172"/>
      <c r="F661" s="172"/>
      <c r="G661" s="172"/>
      <c r="H661" s="172"/>
      <c r="I661" s="172"/>
      <c r="J661" s="172"/>
      <c r="K661" s="172"/>
      <c r="L661" s="172"/>
      <c r="M661" s="172"/>
      <c r="N661" s="172"/>
      <c r="O661" s="172"/>
      <c r="P661" s="172"/>
      <c r="Q661" s="172"/>
      <c r="R661" s="172"/>
      <c r="S661" s="172"/>
      <c r="T661" s="172"/>
      <c r="U661" s="172"/>
      <c r="V661" s="172"/>
      <c r="W661" s="172"/>
      <c r="X661" s="172"/>
    </row>
    <row r="662" ht="15.75" customHeight="1">
      <c r="A662" s="183"/>
      <c r="D662" s="172"/>
      <c r="E662" s="172"/>
      <c r="F662" s="172"/>
      <c r="G662" s="172"/>
      <c r="H662" s="172"/>
      <c r="I662" s="172"/>
      <c r="J662" s="172"/>
      <c r="K662" s="172"/>
      <c r="L662" s="172"/>
      <c r="M662" s="172"/>
      <c r="N662" s="172"/>
      <c r="O662" s="172"/>
      <c r="P662" s="172"/>
      <c r="Q662" s="172"/>
      <c r="R662" s="172"/>
      <c r="S662" s="172"/>
      <c r="T662" s="172"/>
      <c r="U662" s="172"/>
      <c r="V662" s="172"/>
      <c r="W662" s="172"/>
      <c r="X662" s="172"/>
    </row>
    <row r="663" ht="15.75" customHeight="1">
      <c r="A663" s="183"/>
      <c r="D663" s="172"/>
      <c r="E663" s="172"/>
      <c r="F663" s="172"/>
      <c r="G663" s="172"/>
      <c r="H663" s="172"/>
      <c r="I663" s="172"/>
      <c r="J663" s="172"/>
      <c r="K663" s="172"/>
      <c r="L663" s="172"/>
      <c r="M663" s="172"/>
      <c r="N663" s="172"/>
      <c r="O663" s="172"/>
      <c r="P663" s="172"/>
      <c r="Q663" s="172"/>
      <c r="R663" s="172"/>
      <c r="S663" s="172"/>
      <c r="T663" s="172"/>
      <c r="U663" s="172"/>
      <c r="V663" s="172"/>
      <c r="W663" s="172"/>
      <c r="X663" s="172"/>
    </row>
    <row r="664" ht="15.75" customHeight="1">
      <c r="A664" s="183"/>
      <c r="D664" s="172"/>
      <c r="E664" s="172"/>
      <c r="F664" s="172"/>
      <c r="G664" s="172"/>
      <c r="H664" s="172"/>
      <c r="I664" s="172"/>
      <c r="J664" s="172"/>
      <c r="K664" s="172"/>
      <c r="L664" s="172"/>
      <c r="M664" s="172"/>
      <c r="N664" s="172"/>
      <c r="O664" s="172"/>
      <c r="P664" s="172"/>
      <c r="Q664" s="172"/>
      <c r="R664" s="172"/>
      <c r="S664" s="172"/>
      <c r="T664" s="172"/>
      <c r="U664" s="172"/>
      <c r="V664" s="172"/>
      <c r="W664" s="172"/>
      <c r="X664" s="172"/>
    </row>
    <row r="665" ht="15.75" customHeight="1">
      <c r="A665" s="183"/>
      <c r="D665" s="172"/>
      <c r="E665" s="172"/>
      <c r="F665" s="172"/>
      <c r="G665" s="172"/>
      <c r="H665" s="172"/>
      <c r="I665" s="172"/>
      <c r="J665" s="172"/>
      <c r="K665" s="172"/>
      <c r="L665" s="172"/>
      <c r="M665" s="172"/>
      <c r="N665" s="172"/>
      <c r="O665" s="172"/>
      <c r="P665" s="172"/>
      <c r="Q665" s="172"/>
      <c r="R665" s="172"/>
      <c r="S665" s="172"/>
      <c r="T665" s="172"/>
      <c r="U665" s="172"/>
      <c r="V665" s="172"/>
      <c r="W665" s="172"/>
      <c r="X665" s="172"/>
    </row>
    <row r="666" ht="15.75" customHeight="1">
      <c r="A666" s="183"/>
      <c r="D666" s="172"/>
      <c r="E666" s="172"/>
      <c r="F666" s="172"/>
      <c r="G666" s="172"/>
      <c r="H666" s="172"/>
      <c r="I666" s="172"/>
      <c r="J666" s="172"/>
      <c r="K666" s="172"/>
      <c r="L666" s="172"/>
      <c r="M666" s="172"/>
      <c r="N666" s="172"/>
      <c r="O666" s="172"/>
      <c r="P666" s="172"/>
      <c r="Q666" s="172"/>
      <c r="R666" s="172"/>
      <c r="S666" s="172"/>
      <c r="T666" s="172"/>
      <c r="U666" s="172"/>
      <c r="V666" s="172"/>
      <c r="W666" s="172"/>
      <c r="X666" s="172"/>
    </row>
    <row r="667" ht="15.75" customHeight="1">
      <c r="A667" s="183"/>
      <c r="D667" s="172"/>
      <c r="E667" s="172"/>
      <c r="F667" s="172"/>
      <c r="G667" s="172"/>
      <c r="H667" s="172"/>
      <c r="I667" s="172"/>
      <c r="J667" s="172"/>
      <c r="K667" s="172"/>
      <c r="L667" s="172"/>
      <c r="M667" s="172"/>
      <c r="N667" s="172"/>
      <c r="O667" s="172"/>
      <c r="P667" s="172"/>
      <c r="Q667" s="172"/>
      <c r="R667" s="172"/>
      <c r="S667" s="172"/>
      <c r="T667" s="172"/>
      <c r="U667" s="172"/>
      <c r="V667" s="172"/>
      <c r="W667" s="172"/>
      <c r="X667" s="172"/>
    </row>
    <row r="668" ht="15.75" customHeight="1">
      <c r="A668" s="183"/>
      <c r="D668" s="172"/>
      <c r="E668" s="172"/>
      <c r="F668" s="172"/>
      <c r="G668" s="172"/>
      <c r="H668" s="172"/>
      <c r="I668" s="172"/>
      <c r="J668" s="172"/>
      <c r="K668" s="172"/>
      <c r="L668" s="172"/>
      <c r="M668" s="172"/>
      <c r="N668" s="172"/>
      <c r="O668" s="172"/>
      <c r="P668" s="172"/>
      <c r="Q668" s="172"/>
      <c r="R668" s="172"/>
      <c r="S668" s="172"/>
      <c r="T668" s="172"/>
      <c r="U668" s="172"/>
      <c r="V668" s="172"/>
      <c r="W668" s="172"/>
      <c r="X668" s="172"/>
    </row>
    <row r="669" ht="15.75" customHeight="1">
      <c r="A669" s="183"/>
      <c r="D669" s="172"/>
      <c r="E669" s="172"/>
      <c r="F669" s="172"/>
      <c r="G669" s="172"/>
      <c r="H669" s="172"/>
      <c r="I669" s="172"/>
      <c r="J669" s="172"/>
      <c r="K669" s="172"/>
      <c r="L669" s="172"/>
      <c r="M669" s="172"/>
      <c r="N669" s="172"/>
      <c r="O669" s="172"/>
      <c r="P669" s="172"/>
      <c r="Q669" s="172"/>
      <c r="R669" s="172"/>
      <c r="S669" s="172"/>
      <c r="T669" s="172"/>
      <c r="U669" s="172"/>
      <c r="V669" s="172"/>
      <c r="W669" s="172"/>
      <c r="X669" s="172"/>
    </row>
    <row r="670" ht="15.75" customHeight="1">
      <c r="A670" s="183"/>
      <c r="D670" s="172"/>
      <c r="E670" s="172"/>
      <c r="F670" s="172"/>
      <c r="G670" s="172"/>
      <c r="H670" s="172"/>
      <c r="I670" s="172"/>
      <c r="J670" s="172"/>
      <c r="K670" s="172"/>
      <c r="L670" s="172"/>
      <c r="M670" s="172"/>
      <c r="N670" s="172"/>
      <c r="O670" s="172"/>
      <c r="P670" s="172"/>
      <c r="Q670" s="172"/>
      <c r="R670" s="172"/>
      <c r="S670" s="172"/>
      <c r="T670" s="172"/>
      <c r="U670" s="172"/>
      <c r="V670" s="172"/>
      <c r="W670" s="172"/>
      <c r="X670" s="172"/>
    </row>
    <row r="671" ht="15.75" customHeight="1">
      <c r="A671" s="183"/>
      <c r="D671" s="172"/>
      <c r="E671" s="172"/>
      <c r="F671" s="172"/>
      <c r="G671" s="172"/>
      <c r="H671" s="172"/>
      <c r="I671" s="172"/>
      <c r="J671" s="172"/>
      <c r="K671" s="172"/>
      <c r="L671" s="172"/>
      <c r="M671" s="172"/>
      <c r="N671" s="172"/>
      <c r="O671" s="172"/>
      <c r="P671" s="172"/>
      <c r="Q671" s="172"/>
      <c r="R671" s="172"/>
      <c r="S671" s="172"/>
      <c r="T671" s="172"/>
      <c r="U671" s="172"/>
      <c r="V671" s="172"/>
      <c r="W671" s="172"/>
      <c r="X671" s="172"/>
    </row>
    <row r="672" ht="15.75" customHeight="1">
      <c r="A672" s="183"/>
      <c r="D672" s="172"/>
      <c r="E672" s="172"/>
      <c r="F672" s="172"/>
      <c r="G672" s="172"/>
      <c r="H672" s="172"/>
      <c r="I672" s="172"/>
      <c r="J672" s="172"/>
      <c r="K672" s="172"/>
      <c r="L672" s="172"/>
      <c r="M672" s="172"/>
      <c r="N672" s="172"/>
      <c r="O672" s="172"/>
      <c r="P672" s="172"/>
      <c r="Q672" s="172"/>
      <c r="R672" s="172"/>
      <c r="S672" s="172"/>
      <c r="T672" s="172"/>
      <c r="U672" s="172"/>
      <c r="V672" s="172"/>
      <c r="W672" s="172"/>
      <c r="X672" s="172"/>
    </row>
    <row r="673" ht="15.75" customHeight="1">
      <c r="A673" s="183"/>
      <c r="D673" s="172"/>
      <c r="E673" s="172"/>
      <c r="F673" s="172"/>
      <c r="G673" s="172"/>
      <c r="H673" s="172"/>
      <c r="I673" s="172"/>
      <c r="J673" s="172"/>
      <c r="K673" s="172"/>
      <c r="L673" s="172"/>
      <c r="M673" s="172"/>
      <c r="N673" s="172"/>
      <c r="O673" s="172"/>
      <c r="P673" s="172"/>
      <c r="Q673" s="172"/>
      <c r="R673" s="172"/>
      <c r="S673" s="172"/>
      <c r="T673" s="172"/>
      <c r="U673" s="172"/>
      <c r="V673" s="172"/>
      <c r="W673" s="172"/>
      <c r="X673" s="172"/>
    </row>
    <row r="674" ht="15.75" customHeight="1">
      <c r="A674" s="183"/>
      <c r="D674" s="172"/>
      <c r="E674" s="172"/>
      <c r="F674" s="172"/>
      <c r="G674" s="172"/>
      <c r="H674" s="172"/>
      <c r="I674" s="172"/>
      <c r="J674" s="172"/>
      <c r="K674" s="172"/>
      <c r="L674" s="172"/>
      <c r="M674" s="172"/>
      <c r="N674" s="172"/>
      <c r="O674" s="172"/>
      <c r="P674" s="172"/>
      <c r="Q674" s="172"/>
      <c r="R674" s="172"/>
      <c r="S674" s="172"/>
      <c r="T674" s="172"/>
      <c r="U674" s="172"/>
      <c r="V674" s="172"/>
      <c r="W674" s="172"/>
      <c r="X674" s="172"/>
    </row>
    <row r="675" ht="15.75" customHeight="1">
      <c r="A675" s="183"/>
      <c r="D675" s="172"/>
      <c r="E675" s="172"/>
      <c r="F675" s="172"/>
      <c r="G675" s="172"/>
      <c r="H675" s="172"/>
      <c r="I675" s="172"/>
      <c r="J675" s="172"/>
      <c r="K675" s="172"/>
      <c r="L675" s="172"/>
      <c r="M675" s="172"/>
      <c r="N675" s="172"/>
      <c r="O675" s="172"/>
      <c r="P675" s="172"/>
      <c r="Q675" s="172"/>
      <c r="R675" s="172"/>
      <c r="S675" s="172"/>
      <c r="T675" s="172"/>
      <c r="U675" s="172"/>
      <c r="V675" s="172"/>
      <c r="W675" s="172"/>
      <c r="X675" s="172"/>
    </row>
    <row r="676" ht="15.75" customHeight="1">
      <c r="A676" s="183"/>
      <c r="D676" s="172"/>
      <c r="E676" s="172"/>
      <c r="F676" s="172"/>
      <c r="G676" s="172"/>
      <c r="H676" s="172"/>
      <c r="I676" s="172"/>
      <c r="J676" s="172"/>
      <c r="K676" s="172"/>
      <c r="L676" s="172"/>
      <c r="M676" s="172"/>
      <c r="N676" s="172"/>
      <c r="O676" s="172"/>
      <c r="P676" s="172"/>
      <c r="Q676" s="172"/>
      <c r="R676" s="172"/>
      <c r="S676" s="172"/>
      <c r="T676" s="172"/>
      <c r="U676" s="172"/>
      <c r="V676" s="172"/>
      <c r="W676" s="172"/>
      <c r="X676" s="172"/>
    </row>
    <row r="677" ht="15.75" customHeight="1">
      <c r="A677" s="183"/>
      <c r="D677" s="172"/>
      <c r="E677" s="172"/>
      <c r="F677" s="172"/>
      <c r="G677" s="172"/>
      <c r="H677" s="172"/>
      <c r="I677" s="172"/>
      <c r="J677" s="172"/>
      <c r="K677" s="172"/>
      <c r="L677" s="172"/>
      <c r="M677" s="172"/>
      <c r="N677" s="172"/>
      <c r="O677" s="172"/>
      <c r="P677" s="172"/>
      <c r="Q677" s="172"/>
      <c r="R677" s="172"/>
      <c r="S677" s="172"/>
      <c r="T677" s="172"/>
      <c r="U677" s="172"/>
      <c r="V677" s="172"/>
      <c r="W677" s="172"/>
      <c r="X677" s="172"/>
    </row>
    <row r="678" ht="15.75" customHeight="1">
      <c r="A678" s="183"/>
      <c r="D678" s="172"/>
      <c r="E678" s="172"/>
      <c r="F678" s="172"/>
      <c r="G678" s="172"/>
      <c r="H678" s="172"/>
      <c r="I678" s="172"/>
      <c r="J678" s="172"/>
      <c r="K678" s="172"/>
      <c r="L678" s="172"/>
      <c r="M678" s="172"/>
      <c r="N678" s="172"/>
      <c r="O678" s="172"/>
      <c r="P678" s="172"/>
      <c r="Q678" s="172"/>
      <c r="R678" s="172"/>
      <c r="S678" s="172"/>
      <c r="T678" s="172"/>
      <c r="U678" s="172"/>
      <c r="V678" s="172"/>
      <c r="W678" s="172"/>
      <c r="X678" s="172"/>
    </row>
    <row r="679" ht="15.75" customHeight="1">
      <c r="A679" s="183"/>
      <c r="D679" s="172"/>
      <c r="E679" s="172"/>
      <c r="F679" s="172"/>
      <c r="G679" s="172"/>
      <c r="H679" s="172"/>
      <c r="I679" s="172"/>
      <c r="J679" s="172"/>
      <c r="K679" s="172"/>
      <c r="L679" s="172"/>
      <c r="M679" s="172"/>
      <c r="N679" s="172"/>
      <c r="O679" s="172"/>
      <c r="P679" s="172"/>
      <c r="Q679" s="172"/>
      <c r="R679" s="172"/>
      <c r="S679" s="172"/>
      <c r="T679" s="172"/>
      <c r="U679" s="172"/>
      <c r="V679" s="172"/>
      <c r="W679" s="172"/>
      <c r="X679" s="172"/>
    </row>
    <row r="680" ht="15.75" customHeight="1">
      <c r="A680" s="183"/>
      <c r="D680" s="172"/>
      <c r="E680" s="172"/>
      <c r="F680" s="172"/>
      <c r="G680" s="172"/>
      <c r="H680" s="172"/>
      <c r="I680" s="172"/>
      <c r="J680" s="172"/>
      <c r="K680" s="172"/>
      <c r="L680" s="172"/>
      <c r="M680" s="172"/>
      <c r="N680" s="172"/>
      <c r="O680" s="172"/>
      <c r="P680" s="172"/>
      <c r="Q680" s="172"/>
      <c r="R680" s="172"/>
      <c r="S680" s="172"/>
      <c r="T680" s="172"/>
      <c r="U680" s="172"/>
      <c r="V680" s="172"/>
      <c r="W680" s="172"/>
      <c r="X680" s="172"/>
    </row>
    <row r="681" ht="15.75" customHeight="1">
      <c r="A681" s="183"/>
      <c r="D681" s="172"/>
      <c r="E681" s="172"/>
      <c r="F681" s="172"/>
      <c r="G681" s="172"/>
      <c r="H681" s="172"/>
      <c r="I681" s="172"/>
      <c r="J681" s="172"/>
      <c r="K681" s="172"/>
      <c r="L681" s="172"/>
      <c r="M681" s="172"/>
      <c r="N681" s="172"/>
      <c r="O681" s="172"/>
      <c r="P681" s="172"/>
      <c r="Q681" s="172"/>
      <c r="R681" s="172"/>
      <c r="S681" s="172"/>
      <c r="T681" s="172"/>
      <c r="U681" s="172"/>
      <c r="V681" s="172"/>
      <c r="W681" s="172"/>
      <c r="X681" s="172"/>
    </row>
    <row r="682" ht="15.75" customHeight="1">
      <c r="A682" s="183"/>
      <c r="D682" s="172"/>
      <c r="E682" s="172"/>
      <c r="F682" s="172"/>
      <c r="G682" s="172"/>
      <c r="H682" s="172"/>
      <c r="I682" s="172"/>
      <c r="J682" s="172"/>
      <c r="K682" s="172"/>
      <c r="L682" s="172"/>
      <c r="M682" s="172"/>
      <c r="N682" s="172"/>
      <c r="O682" s="172"/>
      <c r="P682" s="172"/>
      <c r="Q682" s="172"/>
      <c r="R682" s="172"/>
      <c r="S682" s="172"/>
      <c r="T682" s="172"/>
      <c r="U682" s="172"/>
      <c r="V682" s="172"/>
      <c r="W682" s="172"/>
      <c r="X682" s="172"/>
    </row>
    <row r="683" ht="15.75" customHeight="1">
      <c r="A683" s="183"/>
      <c r="D683" s="172"/>
      <c r="E683" s="172"/>
      <c r="F683" s="172"/>
      <c r="G683" s="172"/>
      <c r="H683" s="172"/>
      <c r="I683" s="172"/>
      <c r="J683" s="172"/>
      <c r="K683" s="172"/>
      <c r="L683" s="172"/>
      <c r="M683" s="172"/>
      <c r="N683" s="172"/>
      <c r="O683" s="172"/>
      <c r="P683" s="172"/>
      <c r="Q683" s="172"/>
      <c r="R683" s="172"/>
      <c r="S683" s="172"/>
      <c r="T683" s="172"/>
      <c r="U683" s="172"/>
      <c r="V683" s="172"/>
      <c r="W683" s="172"/>
      <c r="X683" s="172"/>
    </row>
    <row r="684" ht="15.75" customHeight="1">
      <c r="A684" s="183"/>
      <c r="D684" s="172"/>
      <c r="E684" s="172"/>
      <c r="F684" s="172"/>
      <c r="G684" s="172"/>
      <c r="H684" s="172"/>
      <c r="I684" s="172"/>
      <c r="J684" s="172"/>
      <c r="K684" s="172"/>
      <c r="L684" s="172"/>
      <c r="M684" s="172"/>
      <c r="N684" s="172"/>
      <c r="O684" s="172"/>
      <c r="P684" s="172"/>
      <c r="Q684" s="172"/>
      <c r="R684" s="172"/>
      <c r="S684" s="172"/>
      <c r="T684" s="172"/>
      <c r="U684" s="172"/>
      <c r="V684" s="172"/>
      <c r="W684" s="172"/>
      <c r="X684" s="172"/>
    </row>
    <row r="685" ht="15.75" customHeight="1">
      <c r="A685" s="183"/>
      <c r="D685" s="172"/>
      <c r="E685" s="172"/>
      <c r="F685" s="172"/>
      <c r="G685" s="172"/>
      <c r="H685" s="172"/>
      <c r="I685" s="172"/>
      <c r="J685" s="172"/>
      <c r="K685" s="172"/>
      <c r="L685" s="172"/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  <c r="X685" s="172"/>
    </row>
    <row r="686" ht="15.75" customHeight="1">
      <c r="A686" s="183"/>
      <c r="D686" s="172"/>
      <c r="E686" s="172"/>
      <c r="F686" s="172"/>
      <c r="G686" s="172"/>
      <c r="H686" s="172"/>
      <c r="I686" s="172"/>
      <c r="J686" s="172"/>
      <c r="K686" s="172"/>
      <c r="L686" s="172"/>
      <c r="M686" s="172"/>
      <c r="N686" s="172"/>
      <c r="O686" s="172"/>
      <c r="P686" s="172"/>
      <c r="Q686" s="172"/>
      <c r="R686" s="172"/>
      <c r="S686" s="172"/>
      <c r="T686" s="172"/>
      <c r="U686" s="172"/>
      <c r="V686" s="172"/>
      <c r="W686" s="172"/>
      <c r="X686" s="172"/>
    </row>
    <row r="687" ht="15.75" customHeight="1">
      <c r="A687" s="183"/>
      <c r="D687" s="172"/>
      <c r="E687" s="172"/>
      <c r="F687" s="172"/>
      <c r="G687" s="172"/>
      <c r="H687" s="172"/>
      <c r="I687" s="172"/>
      <c r="J687" s="172"/>
      <c r="K687" s="172"/>
      <c r="L687" s="172"/>
      <c r="M687" s="172"/>
      <c r="N687" s="172"/>
      <c r="O687" s="172"/>
      <c r="P687" s="172"/>
      <c r="Q687" s="172"/>
      <c r="R687" s="172"/>
      <c r="S687" s="172"/>
      <c r="T687" s="172"/>
      <c r="U687" s="172"/>
      <c r="V687" s="172"/>
      <c r="W687" s="172"/>
      <c r="X687" s="172"/>
    </row>
    <row r="688" ht="15.75" customHeight="1">
      <c r="A688" s="183"/>
      <c r="D688" s="172"/>
      <c r="E688" s="172"/>
      <c r="F688" s="172"/>
      <c r="G688" s="172"/>
      <c r="H688" s="172"/>
      <c r="I688" s="172"/>
      <c r="J688" s="172"/>
      <c r="K688" s="172"/>
      <c r="L688" s="172"/>
      <c r="M688" s="172"/>
      <c r="N688" s="172"/>
      <c r="O688" s="172"/>
      <c r="P688" s="172"/>
      <c r="Q688" s="172"/>
      <c r="R688" s="172"/>
      <c r="S688" s="172"/>
      <c r="T688" s="172"/>
      <c r="U688" s="172"/>
      <c r="V688" s="172"/>
      <c r="W688" s="172"/>
      <c r="X688" s="172"/>
    </row>
    <row r="689" ht="15.75" customHeight="1">
      <c r="A689" s="183"/>
      <c r="D689" s="172"/>
      <c r="E689" s="172"/>
      <c r="F689" s="172"/>
      <c r="G689" s="172"/>
      <c r="H689" s="172"/>
      <c r="I689" s="172"/>
      <c r="J689" s="172"/>
      <c r="K689" s="172"/>
      <c r="L689" s="172"/>
      <c r="M689" s="172"/>
      <c r="N689" s="172"/>
      <c r="O689" s="172"/>
      <c r="P689" s="172"/>
      <c r="Q689" s="172"/>
      <c r="R689" s="172"/>
      <c r="S689" s="172"/>
      <c r="T689" s="172"/>
      <c r="U689" s="172"/>
      <c r="V689" s="172"/>
      <c r="W689" s="172"/>
      <c r="X689" s="172"/>
    </row>
    <row r="690" ht="15.75" customHeight="1">
      <c r="A690" s="183"/>
      <c r="D690" s="172"/>
      <c r="E690" s="172"/>
      <c r="F690" s="172"/>
      <c r="G690" s="172"/>
      <c r="H690" s="172"/>
      <c r="I690" s="172"/>
      <c r="J690" s="172"/>
      <c r="K690" s="172"/>
      <c r="L690" s="172"/>
      <c r="M690" s="172"/>
      <c r="N690" s="172"/>
      <c r="O690" s="172"/>
      <c r="P690" s="172"/>
      <c r="Q690" s="172"/>
      <c r="R690" s="172"/>
      <c r="S690" s="172"/>
      <c r="T690" s="172"/>
      <c r="U690" s="172"/>
      <c r="V690" s="172"/>
      <c r="W690" s="172"/>
      <c r="X690" s="172"/>
    </row>
    <row r="691" ht="15.75" customHeight="1">
      <c r="A691" s="183"/>
      <c r="D691" s="172"/>
      <c r="E691" s="172"/>
      <c r="F691" s="172"/>
      <c r="G691" s="172"/>
      <c r="H691" s="172"/>
      <c r="I691" s="172"/>
      <c r="J691" s="172"/>
      <c r="K691" s="172"/>
      <c r="L691" s="172"/>
      <c r="M691" s="172"/>
      <c r="N691" s="172"/>
      <c r="O691" s="172"/>
      <c r="P691" s="172"/>
      <c r="Q691" s="172"/>
      <c r="R691" s="172"/>
      <c r="S691" s="172"/>
      <c r="T691" s="172"/>
      <c r="U691" s="172"/>
      <c r="V691" s="172"/>
      <c r="W691" s="172"/>
      <c r="X691" s="172"/>
    </row>
    <row r="692" ht="15.75" customHeight="1">
      <c r="A692" s="183"/>
      <c r="D692" s="172"/>
      <c r="E692" s="172"/>
      <c r="F692" s="172"/>
      <c r="G692" s="172"/>
      <c r="H692" s="172"/>
      <c r="I692" s="172"/>
      <c r="J692" s="172"/>
      <c r="K692" s="172"/>
      <c r="L692" s="172"/>
      <c r="M692" s="172"/>
      <c r="N692" s="172"/>
      <c r="O692" s="172"/>
      <c r="P692" s="172"/>
      <c r="Q692" s="172"/>
      <c r="R692" s="172"/>
      <c r="S692" s="172"/>
      <c r="T692" s="172"/>
      <c r="U692" s="172"/>
      <c r="V692" s="172"/>
      <c r="W692" s="172"/>
      <c r="X692" s="172"/>
    </row>
    <row r="693" ht="15.75" customHeight="1">
      <c r="A693" s="183"/>
      <c r="D693" s="172"/>
      <c r="E693" s="172"/>
      <c r="F693" s="172"/>
      <c r="G693" s="172"/>
      <c r="H693" s="172"/>
      <c r="I693" s="172"/>
      <c r="J693" s="172"/>
      <c r="K693" s="172"/>
      <c r="L693" s="172"/>
      <c r="M693" s="172"/>
      <c r="N693" s="172"/>
      <c r="O693" s="172"/>
      <c r="P693" s="172"/>
      <c r="Q693" s="172"/>
      <c r="R693" s="172"/>
      <c r="S693" s="172"/>
      <c r="T693" s="172"/>
      <c r="U693" s="172"/>
      <c r="V693" s="172"/>
      <c r="W693" s="172"/>
      <c r="X693" s="172"/>
    </row>
    <row r="694" ht="15.75" customHeight="1">
      <c r="A694" s="183"/>
      <c r="D694" s="172"/>
      <c r="E694" s="172"/>
      <c r="F694" s="172"/>
      <c r="G694" s="172"/>
      <c r="H694" s="172"/>
      <c r="I694" s="172"/>
      <c r="J694" s="172"/>
      <c r="K694" s="172"/>
      <c r="L694" s="172"/>
      <c r="M694" s="172"/>
      <c r="N694" s="172"/>
      <c r="O694" s="172"/>
      <c r="P694" s="172"/>
      <c r="Q694" s="172"/>
      <c r="R694" s="172"/>
      <c r="S694" s="172"/>
      <c r="T694" s="172"/>
      <c r="U694" s="172"/>
      <c r="V694" s="172"/>
      <c r="W694" s="172"/>
      <c r="X694" s="172"/>
    </row>
    <row r="695" ht="15.75" customHeight="1">
      <c r="A695" s="183"/>
      <c r="D695" s="172"/>
      <c r="E695" s="172"/>
      <c r="F695" s="172"/>
      <c r="G695" s="172"/>
      <c r="H695" s="172"/>
      <c r="I695" s="172"/>
      <c r="J695" s="172"/>
      <c r="K695" s="172"/>
      <c r="L695" s="172"/>
      <c r="M695" s="172"/>
      <c r="N695" s="172"/>
      <c r="O695" s="172"/>
      <c r="P695" s="172"/>
      <c r="Q695" s="172"/>
      <c r="R695" s="172"/>
      <c r="S695" s="172"/>
      <c r="T695" s="172"/>
      <c r="U695" s="172"/>
      <c r="V695" s="172"/>
      <c r="W695" s="172"/>
      <c r="X695" s="172"/>
    </row>
    <row r="696" ht="15.75" customHeight="1">
      <c r="A696" s="183"/>
      <c r="D696" s="172"/>
      <c r="E696" s="172"/>
      <c r="F696" s="172"/>
      <c r="G696" s="172"/>
      <c r="H696" s="172"/>
      <c r="I696" s="172"/>
      <c r="J696" s="172"/>
      <c r="K696" s="172"/>
      <c r="L696" s="172"/>
      <c r="M696" s="172"/>
      <c r="N696" s="172"/>
      <c r="O696" s="172"/>
      <c r="P696" s="172"/>
      <c r="Q696" s="172"/>
      <c r="R696" s="172"/>
      <c r="S696" s="172"/>
      <c r="T696" s="172"/>
      <c r="U696" s="172"/>
      <c r="V696" s="172"/>
      <c r="W696" s="172"/>
      <c r="X696" s="172"/>
    </row>
    <row r="697" ht="15.75" customHeight="1">
      <c r="A697" s="183"/>
      <c r="D697" s="172"/>
      <c r="E697" s="172"/>
      <c r="F697" s="172"/>
      <c r="G697" s="172"/>
      <c r="H697" s="172"/>
      <c r="I697" s="172"/>
      <c r="J697" s="172"/>
      <c r="K697" s="172"/>
      <c r="L697" s="172"/>
      <c r="M697" s="172"/>
      <c r="N697" s="172"/>
      <c r="O697" s="172"/>
      <c r="P697" s="172"/>
      <c r="Q697" s="172"/>
      <c r="R697" s="172"/>
      <c r="S697" s="172"/>
      <c r="T697" s="172"/>
      <c r="U697" s="172"/>
      <c r="V697" s="172"/>
      <c r="W697" s="172"/>
      <c r="X697" s="172"/>
    </row>
    <row r="698" ht="15.75" customHeight="1">
      <c r="A698" s="183"/>
      <c r="D698" s="172"/>
      <c r="E698" s="172"/>
      <c r="F698" s="172"/>
      <c r="G698" s="172"/>
      <c r="H698" s="172"/>
      <c r="I698" s="172"/>
      <c r="J698" s="172"/>
      <c r="K698" s="172"/>
      <c r="L698" s="172"/>
      <c r="M698" s="172"/>
      <c r="N698" s="172"/>
      <c r="O698" s="172"/>
      <c r="P698" s="172"/>
      <c r="Q698" s="172"/>
      <c r="R698" s="172"/>
      <c r="S698" s="172"/>
      <c r="T698" s="172"/>
      <c r="U698" s="172"/>
      <c r="V698" s="172"/>
      <c r="W698" s="172"/>
      <c r="X698" s="172"/>
    </row>
    <row r="699" ht="15.75" customHeight="1">
      <c r="A699" s="183"/>
      <c r="D699" s="172"/>
      <c r="E699" s="172"/>
      <c r="F699" s="172"/>
      <c r="G699" s="172"/>
      <c r="H699" s="172"/>
      <c r="I699" s="172"/>
      <c r="J699" s="172"/>
      <c r="K699" s="172"/>
      <c r="L699" s="172"/>
      <c r="M699" s="172"/>
      <c r="N699" s="172"/>
      <c r="O699" s="172"/>
      <c r="P699" s="172"/>
      <c r="Q699" s="172"/>
      <c r="R699" s="172"/>
      <c r="S699" s="172"/>
      <c r="T699" s="172"/>
      <c r="U699" s="172"/>
      <c r="V699" s="172"/>
      <c r="W699" s="172"/>
      <c r="X699" s="172"/>
    </row>
    <row r="700" ht="15.75" customHeight="1">
      <c r="A700" s="183"/>
      <c r="D700" s="172"/>
      <c r="E700" s="172"/>
      <c r="F700" s="172"/>
      <c r="G700" s="172"/>
      <c r="H700" s="172"/>
      <c r="I700" s="172"/>
      <c r="J700" s="172"/>
      <c r="K700" s="172"/>
      <c r="L700" s="172"/>
      <c r="M700" s="172"/>
      <c r="N700" s="172"/>
      <c r="O700" s="172"/>
      <c r="P700" s="172"/>
      <c r="Q700" s="172"/>
      <c r="R700" s="172"/>
      <c r="S700" s="172"/>
      <c r="T700" s="172"/>
      <c r="U700" s="172"/>
      <c r="V700" s="172"/>
      <c r="W700" s="172"/>
      <c r="X700" s="172"/>
    </row>
    <row r="701" ht="15.75" customHeight="1">
      <c r="A701" s="183"/>
      <c r="D701" s="172"/>
      <c r="E701" s="172"/>
      <c r="F701" s="172"/>
      <c r="G701" s="172"/>
      <c r="H701" s="172"/>
      <c r="I701" s="172"/>
      <c r="J701" s="172"/>
      <c r="K701" s="172"/>
      <c r="L701" s="172"/>
      <c r="M701" s="172"/>
      <c r="N701" s="172"/>
      <c r="O701" s="172"/>
      <c r="P701" s="172"/>
      <c r="Q701" s="172"/>
      <c r="R701" s="172"/>
      <c r="S701" s="172"/>
      <c r="T701" s="172"/>
      <c r="U701" s="172"/>
      <c r="V701" s="172"/>
      <c r="W701" s="172"/>
      <c r="X701" s="172"/>
    </row>
    <row r="702" ht="15.75" customHeight="1">
      <c r="A702" s="183"/>
      <c r="D702" s="172"/>
      <c r="E702" s="172"/>
      <c r="F702" s="172"/>
      <c r="G702" s="172"/>
      <c r="H702" s="172"/>
      <c r="I702" s="172"/>
      <c r="J702" s="172"/>
      <c r="K702" s="172"/>
      <c r="L702" s="172"/>
      <c r="M702" s="172"/>
      <c r="N702" s="172"/>
      <c r="O702" s="172"/>
      <c r="P702" s="172"/>
      <c r="Q702" s="172"/>
      <c r="R702" s="172"/>
      <c r="S702" s="172"/>
      <c r="T702" s="172"/>
      <c r="U702" s="172"/>
      <c r="V702" s="172"/>
      <c r="W702" s="172"/>
      <c r="X702" s="172"/>
    </row>
    <row r="703" ht="15.75" customHeight="1">
      <c r="A703" s="183"/>
      <c r="D703" s="172"/>
      <c r="E703" s="172"/>
      <c r="F703" s="172"/>
      <c r="G703" s="172"/>
      <c r="H703" s="172"/>
      <c r="I703" s="172"/>
      <c r="J703" s="172"/>
      <c r="K703" s="172"/>
      <c r="L703" s="172"/>
      <c r="M703" s="172"/>
      <c r="N703" s="172"/>
      <c r="O703" s="172"/>
      <c r="P703" s="172"/>
      <c r="Q703" s="172"/>
      <c r="R703" s="172"/>
      <c r="S703" s="172"/>
      <c r="T703" s="172"/>
      <c r="U703" s="172"/>
      <c r="V703" s="172"/>
      <c r="W703" s="172"/>
      <c r="X703" s="172"/>
    </row>
    <row r="704" ht="15.75" customHeight="1">
      <c r="A704" s="183"/>
      <c r="D704" s="172"/>
      <c r="E704" s="172"/>
      <c r="F704" s="172"/>
      <c r="G704" s="172"/>
      <c r="H704" s="172"/>
      <c r="I704" s="172"/>
      <c r="J704" s="172"/>
      <c r="K704" s="172"/>
      <c r="L704" s="172"/>
      <c r="M704" s="172"/>
      <c r="N704" s="172"/>
      <c r="O704" s="172"/>
      <c r="P704" s="172"/>
      <c r="Q704" s="172"/>
      <c r="R704" s="172"/>
      <c r="S704" s="172"/>
      <c r="T704" s="172"/>
      <c r="U704" s="172"/>
      <c r="V704" s="172"/>
      <c r="W704" s="172"/>
      <c r="X704" s="172"/>
    </row>
    <row r="705" ht="15.75" customHeight="1">
      <c r="A705" s="183"/>
      <c r="D705" s="172"/>
      <c r="E705" s="172"/>
      <c r="F705" s="172"/>
      <c r="G705" s="172"/>
      <c r="H705" s="172"/>
      <c r="I705" s="172"/>
      <c r="J705" s="172"/>
      <c r="K705" s="172"/>
      <c r="L705" s="172"/>
      <c r="M705" s="172"/>
      <c r="N705" s="172"/>
      <c r="O705" s="172"/>
      <c r="P705" s="172"/>
      <c r="Q705" s="172"/>
      <c r="R705" s="172"/>
      <c r="S705" s="172"/>
      <c r="T705" s="172"/>
      <c r="U705" s="172"/>
      <c r="V705" s="172"/>
      <c r="W705" s="172"/>
      <c r="X705" s="172"/>
    </row>
    <row r="706" ht="15.75" customHeight="1">
      <c r="A706" s="183"/>
      <c r="D706" s="172"/>
      <c r="E706" s="172"/>
      <c r="F706" s="172"/>
      <c r="G706" s="172"/>
      <c r="H706" s="172"/>
      <c r="I706" s="172"/>
      <c r="J706" s="172"/>
      <c r="K706" s="172"/>
      <c r="L706" s="172"/>
      <c r="M706" s="172"/>
      <c r="N706" s="172"/>
      <c r="O706" s="172"/>
      <c r="P706" s="172"/>
      <c r="Q706" s="172"/>
      <c r="R706" s="172"/>
      <c r="S706" s="172"/>
      <c r="T706" s="172"/>
      <c r="U706" s="172"/>
      <c r="V706" s="172"/>
      <c r="W706" s="172"/>
      <c r="X706" s="172"/>
    </row>
    <row r="707" ht="15.75" customHeight="1">
      <c r="A707" s="183"/>
      <c r="D707" s="172"/>
      <c r="E707" s="172"/>
      <c r="F707" s="172"/>
      <c r="G707" s="172"/>
      <c r="H707" s="172"/>
      <c r="I707" s="172"/>
      <c r="J707" s="172"/>
      <c r="K707" s="172"/>
      <c r="L707" s="172"/>
      <c r="M707" s="172"/>
      <c r="N707" s="172"/>
      <c r="O707" s="172"/>
      <c r="P707" s="172"/>
      <c r="Q707" s="172"/>
      <c r="R707" s="172"/>
      <c r="S707" s="172"/>
      <c r="T707" s="172"/>
      <c r="U707" s="172"/>
      <c r="V707" s="172"/>
      <c r="W707" s="172"/>
      <c r="X707" s="172"/>
    </row>
    <row r="708" ht="15.75" customHeight="1">
      <c r="A708" s="183"/>
      <c r="D708" s="172"/>
      <c r="E708" s="172"/>
      <c r="F708" s="172"/>
      <c r="G708" s="172"/>
      <c r="H708" s="172"/>
      <c r="I708" s="172"/>
      <c r="J708" s="172"/>
      <c r="K708" s="172"/>
      <c r="L708" s="172"/>
      <c r="M708" s="172"/>
      <c r="N708" s="172"/>
      <c r="O708" s="172"/>
      <c r="P708" s="172"/>
      <c r="Q708" s="172"/>
      <c r="R708" s="172"/>
      <c r="S708" s="172"/>
      <c r="T708" s="172"/>
      <c r="U708" s="172"/>
      <c r="V708" s="172"/>
      <c r="W708" s="172"/>
      <c r="X708" s="172"/>
    </row>
    <row r="709" ht="15.75" customHeight="1">
      <c r="A709" s="183"/>
      <c r="D709" s="172"/>
      <c r="E709" s="172"/>
      <c r="F709" s="172"/>
      <c r="G709" s="172"/>
      <c r="H709" s="172"/>
      <c r="I709" s="172"/>
      <c r="J709" s="172"/>
      <c r="K709" s="172"/>
      <c r="L709" s="172"/>
      <c r="M709" s="172"/>
      <c r="N709" s="172"/>
      <c r="O709" s="172"/>
      <c r="P709" s="172"/>
      <c r="Q709" s="172"/>
      <c r="R709" s="172"/>
      <c r="S709" s="172"/>
      <c r="T709" s="172"/>
      <c r="U709" s="172"/>
      <c r="V709" s="172"/>
      <c r="W709" s="172"/>
      <c r="X709" s="172"/>
    </row>
    <row r="710" ht="15.75" customHeight="1">
      <c r="A710" s="183"/>
      <c r="D710" s="172"/>
      <c r="E710" s="172"/>
      <c r="F710" s="172"/>
      <c r="G710" s="172"/>
      <c r="H710" s="172"/>
      <c r="I710" s="172"/>
      <c r="J710" s="172"/>
      <c r="K710" s="172"/>
      <c r="L710" s="172"/>
      <c r="M710" s="172"/>
      <c r="N710" s="172"/>
      <c r="O710" s="172"/>
      <c r="P710" s="172"/>
      <c r="Q710" s="172"/>
      <c r="R710" s="172"/>
      <c r="S710" s="172"/>
      <c r="T710" s="172"/>
      <c r="U710" s="172"/>
      <c r="V710" s="172"/>
      <c r="W710" s="172"/>
      <c r="X710" s="172"/>
    </row>
    <row r="711" ht="15.75" customHeight="1">
      <c r="A711" s="183"/>
      <c r="D711" s="172"/>
      <c r="E711" s="172"/>
      <c r="F711" s="172"/>
      <c r="G711" s="172"/>
      <c r="H711" s="172"/>
      <c r="I711" s="172"/>
      <c r="J711" s="172"/>
      <c r="K711" s="172"/>
      <c r="L711" s="172"/>
      <c r="M711" s="172"/>
      <c r="N711" s="172"/>
      <c r="O711" s="172"/>
      <c r="P711" s="172"/>
      <c r="Q711" s="172"/>
      <c r="R711" s="172"/>
      <c r="S711" s="172"/>
      <c r="T711" s="172"/>
      <c r="U711" s="172"/>
      <c r="V711" s="172"/>
      <c r="W711" s="172"/>
      <c r="X711" s="172"/>
    </row>
    <row r="712" ht="15.75" customHeight="1">
      <c r="A712" s="183"/>
      <c r="D712" s="172"/>
      <c r="E712" s="172"/>
      <c r="F712" s="172"/>
      <c r="G712" s="172"/>
      <c r="H712" s="172"/>
      <c r="I712" s="172"/>
      <c r="J712" s="172"/>
      <c r="K712" s="172"/>
      <c r="L712" s="172"/>
      <c r="M712" s="172"/>
      <c r="N712" s="172"/>
      <c r="O712" s="172"/>
      <c r="P712" s="172"/>
      <c r="Q712" s="172"/>
      <c r="R712" s="172"/>
      <c r="S712" s="172"/>
      <c r="T712" s="172"/>
      <c r="U712" s="172"/>
      <c r="V712" s="172"/>
      <c r="W712" s="172"/>
      <c r="X712" s="172"/>
    </row>
    <row r="713" ht="15.75" customHeight="1">
      <c r="A713" s="183"/>
      <c r="D713" s="172"/>
      <c r="E713" s="172"/>
      <c r="F713" s="172"/>
      <c r="G713" s="172"/>
      <c r="H713" s="172"/>
      <c r="I713" s="172"/>
      <c r="J713" s="172"/>
      <c r="K713" s="172"/>
      <c r="L713" s="172"/>
      <c r="M713" s="172"/>
      <c r="N713" s="172"/>
      <c r="O713" s="172"/>
      <c r="P713" s="172"/>
      <c r="Q713" s="172"/>
      <c r="R713" s="172"/>
      <c r="S713" s="172"/>
      <c r="T713" s="172"/>
      <c r="U713" s="172"/>
      <c r="V713" s="172"/>
      <c r="W713" s="172"/>
      <c r="X713" s="172"/>
    </row>
    <row r="714" ht="15.75" customHeight="1">
      <c r="A714" s="183"/>
      <c r="D714" s="172"/>
      <c r="E714" s="172"/>
      <c r="F714" s="172"/>
      <c r="G714" s="172"/>
      <c r="H714" s="172"/>
      <c r="I714" s="172"/>
      <c r="J714" s="172"/>
      <c r="K714" s="172"/>
      <c r="L714" s="172"/>
      <c r="M714" s="172"/>
      <c r="N714" s="172"/>
      <c r="O714" s="172"/>
      <c r="P714" s="172"/>
      <c r="Q714" s="172"/>
      <c r="R714" s="172"/>
      <c r="S714" s="172"/>
      <c r="T714" s="172"/>
      <c r="U714" s="172"/>
      <c r="V714" s="172"/>
      <c r="W714" s="172"/>
      <c r="X714" s="172"/>
    </row>
    <row r="715" ht="15.75" customHeight="1">
      <c r="A715" s="183"/>
      <c r="D715" s="172"/>
      <c r="E715" s="172"/>
      <c r="F715" s="172"/>
      <c r="G715" s="172"/>
      <c r="H715" s="172"/>
      <c r="I715" s="172"/>
      <c r="J715" s="172"/>
      <c r="K715" s="172"/>
      <c r="L715" s="172"/>
      <c r="M715" s="172"/>
      <c r="N715" s="172"/>
      <c r="O715" s="172"/>
      <c r="P715" s="172"/>
      <c r="Q715" s="172"/>
      <c r="R715" s="172"/>
      <c r="S715" s="172"/>
      <c r="T715" s="172"/>
      <c r="U715" s="172"/>
      <c r="V715" s="172"/>
      <c r="W715" s="172"/>
      <c r="X715" s="172"/>
    </row>
    <row r="716" ht="15.75" customHeight="1">
      <c r="A716" s="183"/>
      <c r="D716" s="172"/>
      <c r="E716" s="172"/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  <c r="Q716" s="172"/>
      <c r="R716" s="172"/>
      <c r="S716" s="172"/>
      <c r="T716" s="172"/>
      <c r="U716" s="172"/>
      <c r="V716" s="172"/>
      <c r="W716" s="172"/>
      <c r="X716" s="172"/>
    </row>
    <row r="717" ht="15.75" customHeight="1">
      <c r="A717" s="183"/>
      <c r="D717" s="172"/>
      <c r="E717" s="172"/>
      <c r="F717" s="172"/>
      <c r="G717" s="172"/>
      <c r="H717" s="172"/>
      <c r="I717" s="172"/>
      <c r="J717" s="172"/>
      <c r="K717" s="172"/>
      <c r="L717" s="172"/>
      <c r="M717" s="172"/>
      <c r="N717" s="172"/>
      <c r="O717" s="172"/>
      <c r="P717" s="172"/>
      <c r="Q717" s="172"/>
      <c r="R717" s="172"/>
      <c r="S717" s="172"/>
      <c r="T717" s="172"/>
      <c r="U717" s="172"/>
      <c r="V717" s="172"/>
      <c r="W717" s="172"/>
      <c r="X717" s="172"/>
    </row>
    <row r="718" ht="15.75" customHeight="1">
      <c r="A718" s="183"/>
      <c r="D718" s="172"/>
      <c r="E718" s="172"/>
      <c r="F718" s="172"/>
      <c r="G718" s="172"/>
      <c r="H718" s="172"/>
      <c r="I718" s="172"/>
      <c r="J718" s="172"/>
      <c r="K718" s="172"/>
      <c r="L718" s="172"/>
      <c r="M718" s="172"/>
      <c r="N718" s="172"/>
      <c r="O718" s="172"/>
      <c r="P718" s="172"/>
      <c r="Q718" s="172"/>
      <c r="R718" s="172"/>
      <c r="S718" s="172"/>
      <c r="T718" s="172"/>
      <c r="U718" s="172"/>
      <c r="V718" s="172"/>
      <c r="W718" s="172"/>
      <c r="X718" s="172"/>
    </row>
    <row r="719" ht="15.75" customHeight="1">
      <c r="A719" s="183"/>
      <c r="D719" s="172"/>
      <c r="E719" s="172"/>
      <c r="F719" s="172"/>
      <c r="G719" s="172"/>
      <c r="H719" s="172"/>
      <c r="I719" s="172"/>
      <c r="J719" s="172"/>
      <c r="K719" s="172"/>
      <c r="L719" s="172"/>
      <c r="M719" s="172"/>
      <c r="N719" s="172"/>
      <c r="O719" s="172"/>
      <c r="P719" s="172"/>
      <c r="Q719" s="172"/>
      <c r="R719" s="172"/>
      <c r="S719" s="172"/>
      <c r="T719" s="172"/>
      <c r="U719" s="172"/>
      <c r="V719" s="172"/>
      <c r="W719" s="172"/>
      <c r="X719" s="172"/>
    </row>
    <row r="720" ht="15.75" customHeight="1">
      <c r="A720" s="183"/>
      <c r="D720" s="172"/>
      <c r="E720" s="172"/>
      <c r="F720" s="172"/>
      <c r="G720" s="172"/>
      <c r="H720" s="172"/>
      <c r="I720" s="172"/>
      <c r="J720" s="172"/>
      <c r="K720" s="172"/>
      <c r="L720" s="172"/>
      <c r="M720" s="172"/>
      <c r="N720" s="172"/>
      <c r="O720" s="172"/>
      <c r="P720" s="172"/>
      <c r="Q720" s="172"/>
      <c r="R720" s="172"/>
      <c r="S720" s="172"/>
      <c r="T720" s="172"/>
      <c r="U720" s="172"/>
      <c r="V720" s="172"/>
      <c r="W720" s="172"/>
      <c r="X720" s="172"/>
    </row>
    <row r="721" ht="15.75" customHeight="1">
      <c r="A721" s="183"/>
      <c r="D721" s="172"/>
      <c r="E721" s="172"/>
      <c r="F721" s="172"/>
      <c r="G721" s="172"/>
      <c r="H721" s="172"/>
      <c r="I721" s="172"/>
      <c r="J721" s="172"/>
      <c r="K721" s="172"/>
      <c r="L721" s="172"/>
      <c r="M721" s="172"/>
      <c r="N721" s="172"/>
      <c r="O721" s="172"/>
      <c r="P721" s="172"/>
      <c r="Q721" s="172"/>
      <c r="R721" s="172"/>
      <c r="S721" s="172"/>
      <c r="T721" s="172"/>
      <c r="U721" s="172"/>
      <c r="V721" s="172"/>
      <c r="W721" s="172"/>
      <c r="X721" s="172"/>
    </row>
    <row r="722" ht="15.75" customHeight="1">
      <c r="A722" s="183"/>
      <c r="D722" s="172"/>
      <c r="E722" s="172"/>
      <c r="F722" s="172"/>
      <c r="G722" s="172"/>
      <c r="H722" s="172"/>
      <c r="I722" s="172"/>
      <c r="J722" s="172"/>
      <c r="K722" s="172"/>
      <c r="L722" s="172"/>
      <c r="M722" s="172"/>
      <c r="N722" s="172"/>
      <c r="O722" s="172"/>
      <c r="P722" s="172"/>
      <c r="Q722" s="172"/>
      <c r="R722" s="172"/>
      <c r="S722" s="172"/>
      <c r="T722" s="172"/>
      <c r="U722" s="172"/>
      <c r="V722" s="172"/>
      <c r="W722" s="172"/>
      <c r="X722" s="172"/>
    </row>
    <row r="723" ht="15.75" customHeight="1">
      <c r="A723" s="183"/>
      <c r="D723" s="172"/>
      <c r="E723" s="172"/>
      <c r="F723" s="172"/>
      <c r="G723" s="172"/>
      <c r="H723" s="172"/>
      <c r="I723" s="172"/>
      <c r="J723" s="172"/>
      <c r="K723" s="172"/>
      <c r="L723" s="172"/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  <c r="X723" s="172"/>
    </row>
    <row r="724" ht="15.75" customHeight="1">
      <c r="A724" s="183"/>
      <c r="D724" s="172"/>
      <c r="E724" s="172"/>
      <c r="F724" s="172"/>
      <c r="G724" s="172"/>
      <c r="H724" s="172"/>
      <c r="I724" s="172"/>
      <c r="J724" s="172"/>
      <c r="K724" s="172"/>
      <c r="L724" s="172"/>
      <c r="M724" s="172"/>
      <c r="N724" s="172"/>
      <c r="O724" s="172"/>
      <c r="P724" s="172"/>
      <c r="Q724" s="172"/>
      <c r="R724" s="172"/>
      <c r="S724" s="172"/>
      <c r="T724" s="172"/>
      <c r="U724" s="172"/>
      <c r="V724" s="172"/>
      <c r="W724" s="172"/>
      <c r="X724" s="172"/>
    </row>
    <row r="725" ht="15.75" customHeight="1">
      <c r="A725" s="183"/>
      <c r="D725" s="172"/>
      <c r="E725" s="172"/>
      <c r="F725" s="172"/>
      <c r="G725" s="172"/>
      <c r="H725" s="172"/>
      <c r="I725" s="172"/>
      <c r="J725" s="172"/>
      <c r="K725" s="172"/>
      <c r="L725" s="172"/>
      <c r="M725" s="172"/>
      <c r="N725" s="172"/>
      <c r="O725" s="172"/>
      <c r="P725" s="172"/>
      <c r="Q725" s="172"/>
      <c r="R725" s="172"/>
      <c r="S725" s="172"/>
      <c r="T725" s="172"/>
      <c r="U725" s="172"/>
      <c r="V725" s="172"/>
      <c r="W725" s="172"/>
      <c r="X725" s="172"/>
    </row>
    <row r="726" ht="15.75" customHeight="1">
      <c r="A726" s="183"/>
      <c r="D726" s="172"/>
      <c r="E726" s="172"/>
      <c r="F726" s="172"/>
      <c r="G726" s="172"/>
      <c r="H726" s="172"/>
      <c r="I726" s="172"/>
      <c r="J726" s="172"/>
      <c r="K726" s="172"/>
      <c r="L726" s="172"/>
      <c r="M726" s="172"/>
      <c r="N726" s="172"/>
      <c r="O726" s="172"/>
      <c r="P726" s="172"/>
      <c r="Q726" s="172"/>
      <c r="R726" s="172"/>
      <c r="S726" s="172"/>
      <c r="T726" s="172"/>
      <c r="U726" s="172"/>
      <c r="V726" s="172"/>
      <c r="W726" s="172"/>
      <c r="X726" s="172"/>
    </row>
    <row r="727" ht="15.75" customHeight="1">
      <c r="A727" s="183"/>
      <c r="D727" s="172"/>
      <c r="E727" s="172"/>
      <c r="F727" s="172"/>
      <c r="G727" s="172"/>
      <c r="H727" s="172"/>
      <c r="I727" s="172"/>
      <c r="J727" s="172"/>
      <c r="K727" s="172"/>
      <c r="L727" s="172"/>
      <c r="M727" s="172"/>
      <c r="N727" s="172"/>
      <c r="O727" s="172"/>
      <c r="P727" s="172"/>
      <c r="Q727" s="172"/>
      <c r="R727" s="172"/>
      <c r="S727" s="172"/>
      <c r="T727" s="172"/>
      <c r="U727" s="172"/>
      <c r="V727" s="172"/>
      <c r="W727" s="172"/>
      <c r="X727" s="172"/>
    </row>
    <row r="728" ht="15.75" customHeight="1">
      <c r="A728" s="183"/>
      <c r="D728" s="172"/>
      <c r="E728" s="172"/>
      <c r="F728" s="172"/>
      <c r="G728" s="172"/>
      <c r="H728" s="172"/>
      <c r="I728" s="172"/>
      <c r="J728" s="172"/>
      <c r="K728" s="172"/>
      <c r="L728" s="172"/>
      <c r="M728" s="172"/>
      <c r="N728" s="172"/>
      <c r="O728" s="172"/>
      <c r="P728" s="172"/>
      <c r="Q728" s="172"/>
      <c r="R728" s="172"/>
      <c r="S728" s="172"/>
      <c r="T728" s="172"/>
      <c r="U728" s="172"/>
      <c r="V728" s="172"/>
      <c r="W728" s="172"/>
      <c r="X728" s="172"/>
    </row>
    <row r="729" ht="15.75" customHeight="1">
      <c r="A729" s="183"/>
      <c r="D729" s="172"/>
      <c r="E729" s="172"/>
      <c r="F729" s="172"/>
      <c r="G729" s="172"/>
      <c r="H729" s="172"/>
      <c r="I729" s="172"/>
      <c r="J729" s="172"/>
      <c r="K729" s="172"/>
      <c r="L729" s="172"/>
      <c r="M729" s="172"/>
      <c r="N729" s="172"/>
      <c r="O729" s="172"/>
      <c r="P729" s="172"/>
      <c r="Q729" s="172"/>
      <c r="R729" s="172"/>
      <c r="S729" s="172"/>
      <c r="T729" s="172"/>
      <c r="U729" s="172"/>
      <c r="V729" s="172"/>
      <c r="W729" s="172"/>
      <c r="X729" s="172"/>
    </row>
    <row r="730" ht="15.75" customHeight="1">
      <c r="A730" s="183"/>
      <c r="D730" s="172"/>
      <c r="E730" s="172"/>
      <c r="F730" s="172"/>
      <c r="G730" s="172"/>
      <c r="H730" s="172"/>
      <c r="I730" s="172"/>
      <c r="J730" s="172"/>
      <c r="K730" s="172"/>
      <c r="L730" s="172"/>
      <c r="M730" s="172"/>
      <c r="N730" s="172"/>
      <c r="O730" s="172"/>
      <c r="P730" s="172"/>
      <c r="Q730" s="172"/>
      <c r="R730" s="172"/>
      <c r="S730" s="172"/>
      <c r="T730" s="172"/>
      <c r="U730" s="172"/>
      <c r="V730" s="172"/>
      <c r="W730" s="172"/>
      <c r="X730" s="172"/>
    </row>
    <row r="731" ht="15.75" customHeight="1">
      <c r="A731" s="183"/>
      <c r="D731" s="172"/>
      <c r="E731" s="172"/>
      <c r="F731" s="172"/>
      <c r="G731" s="172"/>
      <c r="H731" s="172"/>
      <c r="I731" s="172"/>
      <c r="J731" s="172"/>
      <c r="K731" s="172"/>
      <c r="L731" s="172"/>
      <c r="M731" s="172"/>
      <c r="N731" s="172"/>
      <c r="O731" s="172"/>
      <c r="P731" s="172"/>
      <c r="Q731" s="172"/>
      <c r="R731" s="172"/>
      <c r="S731" s="172"/>
      <c r="T731" s="172"/>
      <c r="U731" s="172"/>
      <c r="V731" s="172"/>
      <c r="W731" s="172"/>
      <c r="X731" s="172"/>
    </row>
    <row r="732" ht="15.75" customHeight="1">
      <c r="A732" s="183"/>
      <c r="D732" s="172"/>
      <c r="E732" s="172"/>
      <c r="F732" s="172"/>
      <c r="G732" s="172"/>
      <c r="H732" s="172"/>
      <c r="I732" s="172"/>
      <c r="J732" s="172"/>
      <c r="K732" s="172"/>
      <c r="L732" s="172"/>
      <c r="M732" s="172"/>
      <c r="N732" s="172"/>
      <c r="O732" s="172"/>
      <c r="P732" s="172"/>
      <c r="Q732" s="172"/>
      <c r="R732" s="172"/>
      <c r="S732" s="172"/>
      <c r="T732" s="172"/>
      <c r="U732" s="172"/>
      <c r="V732" s="172"/>
      <c r="W732" s="172"/>
      <c r="X732" s="172"/>
    </row>
    <row r="733" ht="15.75" customHeight="1">
      <c r="A733" s="183"/>
      <c r="D733" s="172"/>
      <c r="E733" s="172"/>
      <c r="F733" s="172"/>
      <c r="G733" s="172"/>
      <c r="H733" s="172"/>
      <c r="I733" s="172"/>
      <c r="J733" s="172"/>
      <c r="K733" s="172"/>
      <c r="L733" s="172"/>
      <c r="M733" s="172"/>
      <c r="N733" s="172"/>
      <c r="O733" s="172"/>
      <c r="P733" s="172"/>
      <c r="Q733" s="172"/>
      <c r="R733" s="172"/>
      <c r="S733" s="172"/>
      <c r="T733" s="172"/>
      <c r="U733" s="172"/>
      <c r="V733" s="172"/>
      <c r="W733" s="172"/>
      <c r="X733" s="172"/>
    </row>
    <row r="734" ht="15.75" customHeight="1">
      <c r="A734" s="183"/>
      <c r="D734" s="172"/>
      <c r="E734" s="172"/>
      <c r="F734" s="172"/>
      <c r="G734" s="172"/>
      <c r="H734" s="172"/>
      <c r="I734" s="172"/>
      <c r="J734" s="172"/>
      <c r="K734" s="172"/>
      <c r="L734" s="172"/>
      <c r="M734" s="172"/>
      <c r="N734" s="172"/>
      <c r="O734" s="172"/>
      <c r="P734" s="172"/>
      <c r="Q734" s="172"/>
      <c r="R734" s="172"/>
      <c r="S734" s="172"/>
      <c r="T734" s="172"/>
      <c r="U734" s="172"/>
      <c r="V734" s="172"/>
      <c r="W734" s="172"/>
      <c r="X734" s="172"/>
    </row>
    <row r="735" ht="15.75" customHeight="1">
      <c r="A735" s="183"/>
      <c r="D735" s="172"/>
      <c r="E735" s="172"/>
      <c r="F735" s="172"/>
      <c r="G735" s="172"/>
      <c r="H735" s="172"/>
      <c r="I735" s="172"/>
      <c r="J735" s="172"/>
      <c r="K735" s="172"/>
      <c r="L735" s="172"/>
      <c r="M735" s="172"/>
      <c r="N735" s="172"/>
      <c r="O735" s="172"/>
      <c r="P735" s="172"/>
      <c r="Q735" s="172"/>
      <c r="R735" s="172"/>
      <c r="S735" s="172"/>
      <c r="T735" s="172"/>
      <c r="U735" s="172"/>
      <c r="V735" s="172"/>
      <c r="W735" s="172"/>
      <c r="X735" s="172"/>
    </row>
    <row r="736" ht="15.75" customHeight="1">
      <c r="A736" s="183"/>
      <c r="D736" s="172"/>
      <c r="E736" s="172"/>
      <c r="F736" s="172"/>
      <c r="G736" s="172"/>
      <c r="H736" s="172"/>
      <c r="I736" s="172"/>
      <c r="J736" s="172"/>
      <c r="K736" s="172"/>
      <c r="L736" s="172"/>
      <c r="M736" s="172"/>
      <c r="N736" s="172"/>
      <c r="O736" s="172"/>
      <c r="P736" s="172"/>
      <c r="Q736" s="172"/>
      <c r="R736" s="172"/>
      <c r="S736" s="172"/>
      <c r="T736" s="172"/>
      <c r="U736" s="172"/>
      <c r="V736" s="172"/>
      <c r="W736" s="172"/>
      <c r="X736" s="172"/>
    </row>
    <row r="737" ht="15.75" customHeight="1">
      <c r="A737" s="183"/>
      <c r="D737" s="172"/>
      <c r="E737" s="172"/>
      <c r="F737" s="172"/>
      <c r="G737" s="172"/>
      <c r="H737" s="172"/>
      <c r="I737" s="172"/>
      <c r="J737" s="172"/>
      <c r="K737" s="172"/>
      <c r="L737" s="172"/>
      <c r="M737" s="172"/>
      <c r="N737" s="172"/>
      <c r="O737" s="172"/>
      <c r="P737" s="172"/>
      <c r="Q737" s="172"/>
      <c r="R737" s="172"/>
      <c r="S737" s="172"/>
      <c r="T737" s="172"/>
      <c r="U737" s="172"/>
      <c r="V737" s="172"/>
      <c r="W737" s="172"/>
      <c r="X737" s="172"/>
    </row>
    <row r="738" ht="15.75" customHeight="1">
      <c r="A738" s="183"/>
      <c r="D738" s="172"/>
      <c r="E738" s="172"/>
      <c r="F738" s="172"/>
      <c r="G738" s="172"/>
      <c r="H738" s="172"/>
      <c r="I738" s="172"/>
      <c r="J738" s="172"/>
      <c r="K738" s="172"/>
      <c r="L738" s="172"/>
      <c r="M738" s="172"/>
      <c r="N738" s="172"/>
      <c r="O738" s="172"/>
      <c r="P738" s="172"/>
      <c r="Q738" s="172"/>
      <c r="R738" s="172"/>
      <c r="S738" s="172"/>
      <c r="T738" s="172"/>
      <c r="U738" s="172"/>
      <c r="V738" s="172"/>
      <c r="W738" s="172"/>
      <c r="X738" s="172"/>
    </row>
    <row r="739" ht="15.75" customHeight="1">
      <c r="A739" s="183"/>
      <c r="D739" s="172"/>
      <c r="E739" s="172"/>
      <c r="F739" s="172"/>
      <c r="G739" s="172"/>
      <c r="H739" s="172"/>
      <c r="I739" s="172"/>
      <c r="J739" s="172"/>
      <c r="K739" s="172"/>
      <c r="L739" s="172"/>
      <c r="M739" s="172"/>
      <c r="N739" s="172"/>
      <c r="O739" s="172"/>
      <c r="P739" s="172"/>
      <c r="Q739" s="172"/>
      <c r="R739" s="172"/>
      <c r="S739" s="172"/>
      <c r="T739" s="172"/>
      <c r="U739" s="172"/>
      <c r="V739" s="172"/>
      <c r="W739" s="172"/>
      <c r="X739" s="172"/>
    </row>
    <row r="740" ht="15.75" customHeight="1">
      <c r="A740" s="183"/>
      <c r="D740" s="172"/>
      <c r="E740" s="172"/>
      <c r="F740" s="172"/>
      <c r="G740" s="172"/>
      <c r="H740" s="172"/>
      <c r="I740" s="172"/>
      <c r="J740" s="172"/>
      <c r="K740" s="172"/>
      <c r="L740" s="172"/>
      <c r="M740" s="172"/>
      <c r="N740" s="172"/>
      <c r="O740" s="172"/>
      <c r="P740" s="172"/>
      <c r="Q740" s="172"/>
      <c r="R740" s="172"/>
      <c r="S740" s="172"/>
      <c r="T740" s="172"/>
      <c r="U740" s="172"/>
      <c r="V740" s="172"/>
      <c r="W740" s="172"/>
      <c r="X740" s="172"/>
    </row>
    <row r="741" ht="15.75" customHeight="1">
      <c r="A741" s="183"/>
      <c r="D741" s="172"/>
      <c r="E741" s="172"/>
      <c r="F741" s="172"/>
      <c r="G741" s="172"/>
      <c r="H741" s="172"/>
      <c r="I741" s="172"/>
      <c r="J741" s="172"/>
      <c r="K741" s="172"/>
      <c r="L741" s="172"/>
      <c r="M741" s="172"/>
      <c r="N741" s="172"/>
      <c r="O741" s="172"/>
      <c r="P741" s="172"/>
      <c r="Q741" s="172"/>
      <c r="R741" s="172"/>
      <c r="S741" s="172"/>
      <c r="T741" s="172"/>
      <c r="U741" s="172"/>
      <c r="V741" s="172"/>
      <c r="W741" s="172"/>
      <c r="X741" s="172"/>
    </row>
    <row r="742" ht="15.75" customHeight="1">
      <c r="A742" s="183"/>
      <c r="D742" s="172"/>
      <c r="E742" s="172"/>
      <c r="F742" s="172"/>
      <c r="G742" s="172"/>
      <c r="H742" s="172"/>
      <c r="I742" s="172"/>
      <c r="J742" s="172"/>
      <c r="K742" s="172"/>
      <c r="L742" s="172"/>
      <c r="M742" s="172"/>
      <c r="N742" s="172"/>
      <c r="O742" s="172"/>
      <c r="P742" s="172"/>
      <c r="Q742" s="172"/>
      <c r="R742" s="172"/>
      <c r="S742" s="172"/>
      <c r="T742" s="172"/>
      <c r="U742" s="172"/>
      <c r="V742" s="172"/>
      <c r="W742" s="172"/>
      <c r="X742" s="172"/>
    </row>
    <row r="743" ht="15.75" customHeight="1">
      <c r="A743" s="183"/>
      <c r="D743" s="172"/>
      <c r="E743" s="172"/>
      <c r="F743" s="172"/>
      <c r="G743" s="172"/>
      <c r="H743" s="172"/>
      <c r="I743" s="172"/>
      <c r="J743" s="172"/>
      <c r="K743" s="172"/>
      <c r="L743" s="172"/>
      <c r="M743" s="172"/>
      <c r="N743" s="172"/>
      <c r="O743" s="172"/>
      <c r="P743" s="172"/>
      <c r="Q743" s="172"/>
      <c r="R743" s="172"/>
      <c r="S743" s="172"/>
      <c r="T743" s="172"/>
      <c r="U743" s="172"/>
      <c r="V743" s="172"/>
      <c r="W743" s="172"/>
      <c r="X743" s="172"/>
    </row>
    <row r="744" ht="15.75" customHeight="1">
      <c r="A744" s="183"/>
      <c r="D744" s="172"/>
      <c r="E744" s="172"/>
      <c r="F744" s="172"/>
      <c r="G744" s="172"/>
      <c r="H744" s="172"/>
      <c r="I744" s="172"/>
      <c r="J744" s="172"/>
      <c r="K744" s="172"/>
      <c r="L744" s="172"/>
      <c r="M744" s="172"/>
      <c r="N744" s="172"/>
      <c r="O744" s="172"/>
      <c r="P744" s="172"/>
      <c r="Q744" s="172"/>
      <c r="R744" s="172"/>
      <c r="S744" s="172"/>
      <c r="T744" s="172"/>
      <c r="U744" s="172"/>
      <c r="V744" s="172"/>
      <c r="W744" s="172"/>
      <c r="X744" s="172"/>
    </row>
    <row r="745" ht="15.75" customHeight="1">
      <c r="A745" s="183"/>
      <c r="D745" s="172"/>
      <c r="E745" s="172"/>
      <c r="F745" s="172"/>
      <c r="G745" s="172"/>
      <c r="H745" s="172"/>
      <c r="I745" s="172"/>
      <c r="J745" s="172"/>
      <c r="K745" s="172"/>
      <c r="L745" s="172"/>
      <c r="M745" s="172"/>
      <c r="N745" s="172"/>
      <c r="O745" s="172"/>
      <c r="P745" s="172"/>
      <c r="Q745" s="172"/>
      <c r="R745" s="172"/>
      <c r="S745" s="172"/>
      <c r="T745" s="172"/>
      <c r="U745" s="172"/>
      <c r="V745" s="172"/>
      <c r="W745" s="172"/>
      <c r="X745" s="172"/>
    </row>
    <row r="746" ht="15.75" customHeight="1">
      <c r="A746" s="183"/>
      <c r="D746" s="172"/>
      <c r="E746" s="172"/>
      <c r="F746" s="172"/>
      <c r="G746" s="172"/>
      <c r="H746" s="172"/>
      <c r="I746" s="172"/>
      <c r="J746" s="172"/>
      <c r="K746" s="172"/>
      <c r="L746" s="172"/>
      <c r="M746" s="172"/>
      <c r="N746" s="172"/>
      <c r="O746" s="172"/>
      <c r="P746" s="172"/>
      <c r="Q746" s="172"/>
      <c r="R746" s="172"/>
      <c r="S746" s="172"/>
      <c r="T746" s="172"/>
      <c r="U746" s="172"/>
      <c r="V746" s="172"/>
      <c r="W746" s="172"/>
      <c r="X746" s="172"/>
    </row>
    <row r="747" ht="15.75" customHeight="1">
      <c r="A747" s="183"/>
      <c r="D747" s="172"/>
      <c r="E747" s="172"/>
      <c r="F747" s="172"/>
      <c r="G747" s="172"/>
      <c r="H747" s="172"/>
      <c r="I747" s="172"/>
      <c r="J747" s="172"/>
      <c r="K747" s="172"/>
      <c r="L747" s="172"/>
      <c r="M747" s="172"/>
      <c r="N747" s="172"/>
      <c r="O747" s="172"/>
      <c r="P747" s="172"/>
      <c r="Q747" s="172"/>
      <c r="R747" s="172"/>
      <c r="S747" s="172"/>
      <c r="T747" s="172"/>
      <c r="U747" s="172"/>
      <c r="V747" s="172"/>
      <c r="W747" s="172"/>
      <c r="X747" s="172"/>
    </row>
    <row r="748" ht="15.75" customHeight="1">
      <c r="A748" s="183"/>
      <c r="D748" s="172"/>
      <c r="E748" s="172"/>
      <c r="F748" s="172"/>
      <c r="G748" s="172"/>
      <c r="H748" s="172"/>
      <c r="I748" s="172"/>
      <c r="J748" s="172"/>
      <c r="K748" s="172"/>
      <c r="L748" s="172"/>
      <c r="M748" s="172"/>
      <c r="N748" s="172"/>
      <c r="O748" s="172"/>
      <c r="P748" s="172"/>
      <c r="Q748" s="172"/>
      <c r="R748" s="172"/>
      <c r="S748" s="172"/>
      <c r="T748" s="172"/>
      <c r="U748" s="172"/>
      <c r="V748" s="172"/>
      <c r="W748" s="172"/>
      <c r="X748" s="172"/>
    </row>
    <row r="749" ht="15.75" customHeight="1">
      <c r="A749" s="183"/>
      <c r="D749" s="172"/>
      <c r="E749" s="172"/>
      <c r="F749" s="172"/>
      <c r="G749" s="172"/>
      <c r="H749" s="172"/>
      <c r="I749" s="172"/>
      <c r="J749" s="172"/>
      <c r="K749" s="172"/>
      <c r="L749" s="172"/>
      <c r="M749" s="172"/>
      <c r="N749" s="172"/>
      <c r="O749" s="172"/>
      <c r="P749" s="172"/>
      <c r="Q749" s="172"/>
      <c r="R749" s="172"/>
      <c r="S749" s="172"/>
      <c r="T749" s="172"/>
      <c r="U749" s="172"/>
      <c r="V749" s="172"/>
      <c r="W749" s="172"/>
      <c r="X749" s="172"/>
    </row>
    <row r="750" ht="15.75" customHeight="1">
      <c r="A750" s="183"/>
      <c r="D750" s="172"/>
      <c r="E750" s="172"/>
      <c r="F750" s="172"/>
      <c r="G750" s="172"/>
      <c r="H750" s="172"/>
      <c r="I750" s="172"/>
      <c r="J750" s="172"/>
      <c r="K750" s="172"/>
      <c r="L750" s="172"/>
      <c r="M750" s="172"/>
      <c r="N750" s="172"/>
      <c r="O750" s="172"/>
      <c r="P750" s="172"/>
      <c r="Q750" s="172"/>
      <c r="R750" s="172"/>
      <c r="S750" s="172"/>
      <c r="T750" s="172"/>
      <c r="U750" s="172"/>
      <c r="V750" s="172"/>
      <c r="W750" s="172"/>
      <c r="X750" s="172"/>
    </row>
    <row r="751" ht="15.75" customHeight="1">
      <c r="A751" s="183"/>
      <c r="D751" s="172"/>
      <c r="E751" s="172"/>
      <c r="F751" s="172"/>
      <c r="G751" s="172"/>
      <c r="H751" s="172"/>
      <c r="I751" s="172"/>
      <c r="J751" s="172"/>
      <c r="K751" s="172"/>
      <c r="L751" s="172"/>
      <c r="M751" s="172"/>
      <c r="N751" s="172"/>
      <c r="O751" s="172"/>
      <c r="P751" s="172"/>
      <c r="Q751" s="172"/>
      <c r="R751" s="172"/>
      <c r="S751" s="172"/>
      <c r="T751" s="172"/>
      <c r="U751" s="172"/>
      <c r="V751" s="172"/>
      <c r="W751" s="172"/>
      <c r="X751" s="172"/>
    </row>
    <row r="752" ht="15.75" customHeight="1">
      <c r="A752" s="183"/>
      <c r="D752" s="172"/>
      <c r="E752" s="172"/>
      <c r="F752" s="172"/>
      <c r="G752" s="172"/>
      <c r="H752" s="172"/>
      <c r="I752" s="172"/>
      <c r="J752" s="172"/>
      <c r="K752" s="172"/>
      <c r="L752" s="172"/>
      <c r="M752" s="172"/>
      <c r="N752" s="172"/>
      <c r="O752" s="172"/>
      <c r="P752" s="172"/>
      <c r="Q752" s="172"/>
      <c r="R752" s="172"/>
      <c r="S752" s="172"/>
      <c r="T752" s="172"/>
      <c r="U752" s="172"/>
      <c r="V752" s="172"/>
      <c r="W752" s="172"/>
      <c r="X752" s="172"/>
    </row>
    <row r="753" ht="15.75" customHeight="1">
      <c r="A753" s="183"/>
      <c r="D753" s="172"/>
      <c r="E753" s="172"/>
      <c r="F753" s="172"/>
      <c r="G753" s="172"/>
      <c r="H753" s="172"/>
      <c r="I753" s="172"/>
      <c r="J753" s="172"/>
      <c r="K753" s="172"/>
      <c r="L753" s="172"/>
      <c r="M753" s="172"/>
      <c r="N753" s="172"/>
      <c r="O753" s="172"/>
      <c r="P753" s="172"/>
      <c r="Q753" s="172"/>
      <c r="R753" s="172"/>
      <c r="S753" s="172"/>
      <c r="T753" s="172"/>
      <c r="U753" s="172"/>
      <c r="V753" s="172"/>
      <c r="W753" s="172"/>
      <c r="X753" s="172"/>
    </row>
    <row r="754" ht="15.75" customHeight="1">
      <c r="A754" s="183"/>
      <c r="D754" s="172"/>
      <c r="E754" s="172"/>
      <c r="F754" s="172"/>
      <c r="G754" s="172"/>
      <c r="H754" s="172"/>
      <c r="I754" s="172"/>
      <c r="J754" s="172"/>
      <c r="K754" s="172"/>
      <c r="L754" s="172"/>
      <c r="M754" s="172"/>
      <c r="N754" s="172"/>
      <c r="O754" s="172"/>
      <c r="P754" s="172"/>
      <c r="Q754" s="172"/>
      <c r="R754" s="172"/>
      <c r="S754" s="172"/>
      <c r="T754" s="172"/>
      <c r="U754" s="172"/>
      <c r="V754" s="172"/>
      <c r="W754" s="172"/>
      <c r="X754" s="172"/>
    </row>
    <row r="755" ht="15.75" customHeight="1">
      <c r="A755" s="183"/>
      <c r="D755" s="172"/>
      <c r="E755" s="172"/>
      <c r="F755" s="172"/>
      <c r="G755" s="172"/>
      <c r="H755" s="172"/>
      <c r="I755" s="172"/>
      <c r="J755" s="172"/>
      <c r="K755" s="172"/>
      <c r="L755" s="172"/>
      <c r="M755" s="172"/>
      <c r="N755" s="172"/>
      <c r="O755" s="172"/>
      <c r="P755" s="172"/>
      <c r="Q755" s="172"/>
      <c r="R755" s="172"/>
      <c r="S755" s="172"/>
      <c r="T755" s="172"/>
      <c r="U755" s="172"/>
      <c r="V755" s="172"/>
      <c r="W755" s="172"/>
      <c r="X755" s="172"/>
    </row>
    <row r="756" ht="15.75" customHeight="1">
      <c r="A756" s="183"/>
      <c r="D756" s="172"/>
      <c r="E756" s="172"/>
      <c r="F756" s="172"/>
      <c r="G756" s="172"/>
      <c r="H756" s="172"/>
      <c r="I756" s="172"/>
      <c r="J756" s="172"/>
      <c r="K756" s="172"/>
      <c r="L756" s="172"/>
      <c r="M756" s="172"/>
      <c r="N756" s="172"/>
      <c r="O756" s="172"/>
      <c r="P756" s="172"/>
      <c r="Q756" s="172"/>
      <c r="R756" s="172"/>
      <c r="S756" s="172"/>
      <c r="T756" s="172"/>
      <c r="U756" s="172"/>
      <c r="V756" s="172"/>
      <c r="W756" s="172"/>
      <c r="X756" s="172"/>
    </row>
    <row r="757" ht="15.75" customHeight="1">
      <c r="A757" s="183"/>
      <c r="D757" s="172"/>
      <c r="E757" s="172"/>
      <c r="F757" s="172"/>
      <c r="G757" s="172"/>
      <c r="H757" s="172"/>
      <c r="I757" s="172"/>
      <c r="J757" s="172"/>
      <c r="K757" s="172"/>
      <c r="L757" s="172"/>
      <c r="M757" s="172"/>
      <c r="N757" s="172"/>
      <c r="O757" s="172"/>
      <c r="P757" s="172"/>
      <c r="Q757" s="172"/>
      <c r="R757" s="172"/>
      <c r="S757" s="172"/>
      <c r="T757" s="172"/>
      <c r="U757" s="172"/>
      <c r="V757" s="172"/>
      <c r="W757" s="172"/>
      <c r="X757" s="172"/>
    </row>
    <row r="758" ht="15.75" customHeight="1">
      <c r="A758" s="183"/>
      <c r="D758" s="172"/>
      <c r="E758" s="172"/>
      <c r="F758" s="172"/>
      <c r="G758" s="172"/>
      <c r="H758" s="172"/>
      <c r="I758" s="172"/>
      <c r="J758" s="172"/>
      <c r="K758" s="172"/>
      <c r="L758" s="172"/>
      <c r="M758" s="172"/>
      <c r="N758" s="172"/>
      <c r="O758" s="172"/>
      <c r="P758" s="172"/>
      <c r="Q758" s="172"/>
      <c r="R758" s="172"/>
      <c r="S758" s="172"/>
      <c r="T758" s="172"/>
      <c r="U758" s="172"/>
      <c r="V758" s="172"/>
      <c r="W758" s="172"/>
      <c r="X758" s="172"/>
    </row>
    <row r="759" ht="15.75" customHeight="1">
      <c r="A759" s="183"/>
      <c r="D759" s="172"/>
      <c r="E759" s="172"/>
      <c r="F759" s="172"/>
      <c r="G759" s="172"/>
      <c r="H759" s="172"/>
      <c r="I759" s="172"/>
      <c r="J759" s="172"/>
      <c r="K759" s="172"/>
      <c r="L759" s="172"/>
      <c r="M759" s="172"/>
      <c r="N759" s="172"/>
      <c r="O759" s="172"/>
      <c r="P759" s="172"/>
      <c r="Q759" s="172"/>
      <c r="R759" s="172"/>
      <c r="S759" s="172"/>
      <c r="T759" s="172"/>
      <c r="U759" s="172"/>
      <c r="V759" s="172"/>
      <c r="W759" s="172"/>
      <c r="X759" s="172"/>
    </row>
    <row r="760" ht="15.75" customHeight="1">
      <c r="A760" s="183"/>
      <c r="D760" s="172"/>
      <c r="E760" s="172"/>
      <c r="F760" s="172"/>
      <c r="G760" s="172"/>
      <c r="H760" s="172"/>
      <c r="I760" s="172"/>
      <c r="J760" s="172"/>
      <c r="K760" s="172"/>
      <c r="L760" s="172"/>
      <c r="M760" s="172"/>
      <c r="N760" s="172"/>
      <c r="O760" s="172"/>
      <c r="P760" s="172"/>
      <c r="Q760" s="172"/>
      <c r="R760" s="172"/>
      <c r="S760" s="172"/>
      <c r="T760" s="172"/>
      <c r="U760" s="172"/>
      <c r="V760" s="172"/>
      <c r="W760" s="172"/>
      <c r="X760" s="172"/>
    </row>
    <row r="761" ht="15.75" customHeight="1">
      <c r="A761" s="183"/>
      <c r="D761" s="172"/>
      <c r="E761" s="172"/>
      <c r="F761" s="172"/>
      <c r="G761" s="172"/>
      <c r="H761" s="172"/>
      <c r="I761" s="172"/>
      <c r="J761" s="172"/>
      <c r="K761" s="172"/>
      <c r="L761" s="172"/>
      <c r="M761" s="172"/>
      <c r="N761" s="172"/>
      <c r="O761" s="172"/>
      <c r="P761" s="172"/>
      <c r="Q761" s="172"/>
      <c r="R761" s="172"/>
      <c r="S761" s="172"/>
      <c r="T761" s="172"/>
      <c r="U761" s="172"/>
      <c r="V761" s="172"/>
      <c r="W761" s="172"/>
      <c r="X761" s="172"/>
    </row>
    <row r="762" ht="15.75" customHeight="1">
      <c r="A762" s="183"/>
      <c r="D762" s="172"/>
      <c r="E762" s="172"/>
      <c r="F762" s="172"/>
      <c r="G762" s="172"/>
      <c r="H762" s="172"/>
      <c r="I762" s="172"/>
      <c r="J762" s="172"/>
      <c r="K762" s="172"/>
      <c r="L762" s="172"/>
      <c r="M762" s="172"/>
      <c r="N762" s="172"/>
      <c r="O762" s="172"/>
      <c r="P762" s="172"/>
      <c r="Q762" s="172"/>
      <c r="R762" s="172"/>
      <c r="S762" s="172"/>
      <c r="T762" s="172"/>
      <c r="U762" s="172"/>
      <c r="V762" s="172"/>
      <c r="W762" s="172"/>
      <c r="X762" s="172"/>
    </row>
    <row r="763" ht="15.75" customHeight="1">
      <c r="A763" s="183"/>
      <c r="D763" s="172"/>
      <c r="E763" s="172"/>
      <c r="F763" s="172"/>
      <c r="G763" s="172"/>
      <c r="H763" s="172"/>
      <c r="I763" s="172"/>
      <c r="J763" s="172"/>
      <c r="K763" s="172"/>
      <c r="L763" s="172"/>
      <c r="M763" s="172"/>
      <c r="N763" s="172"/>
      <c r="O763" s="172"/>
      <c r="P763" s="172"/>
      <c r="Q763" s="172"/>
      <c r="R763" s="172"/>
      <c r="S763" s="172"/>
      <c r="T763" s="172"/>
      <c r="U763" s="172"/>
      <c r="V763" s="172"/>
      <c r="W763" s="172"/>
      <c r="X763" s="172"/>
    </row>
    <row r="764" ht="15.75" customHeight="1">
      <c r="A764" s="183"/>
      <c r="D764" s="172"/>
      <c r="E764" s="172"/>
      <c r="F764" s="172"/>
      <c r="G764" s="172"/>
      <c r="H764" s="172"/>
      <c r="I764" s="172"/>
      <c r="J764" s="172"/>
      <c r="K764" s="172"/>
      <c r="L764" s="172"/>
      <c r="M764" s="172"/>
      <c r="N764" s="172"/>
      <c r="O764" s="172"/>
      <c r="P764" s="172"/>
      <c r="Q764" s="172"/>
      <c r="R764" s="172"/>
      <c r="S764" s="172"/>
      <c r="T764" s="172"/>
      <c r="U764" s="172"/>
      <c r="V764" s="172"/>
      <c r="W764" s="172"/>
      <c r="X764" s="172"/>
    </row>
    <row r="765" ht="15.75" customHeight="1">
      <c r="A765" s="183"/>
      <c r="D765" s="172"/>
      <c r="E765" s="172"/>
      <c r="F765" s="172"/>
      <c r="G765" s="172"/>
      <c r="H765" s="172"/>
      <c r="I765" s="172"/>
      <c r="J765" s="172"/>
      <c r="K765" s="172"/>
      <c r="L765" s="172"/>
      <c r="M765" s="172"/>
      <c r="N765" s="172"/>
      <c r="O765" s="172"/>
      <c r="P765" s="172"/>
      <c r="Q765" s="172"/>
      <c r="R765" s="172"/>
      <c r="S765" s="172"/>
      <c r="T765" s="172"/>
      <c r="U765" s="172"/>
      <c r="V765" s="172"/>
      <c r="W765" s="172"/>
      <c r="X765" s="172"/>
    </row>
    <row r="766" ht="15.75" customHeight="1">
      <c r="A766" s="183"/>
      <c r="D766" s="172"/>
      <c r="E766" s="172"/>
      <c r="F766" s="172"/>
      <c r="G766" s="172"/>
      <c r="H766" s="172"/>
      <c r="I766" s="172"/>
      <c r="J766" s="172"/>
      <c r="K766" s="172"/>
      <c r="L766" s="172"/>
      <c r="M766" s="172"/>
      <c r="N766" s="172"/>
      <c r="O766" s="172"/>
      <c r="P766" s="172"/>
      <c r="Q766" s="172"/>
      <c r="R766" s="172"/>
      <c r="S766" s="172"/>
      <c r="T766" s="172"/>
      <c r="U766" s="172"/>
      <c r="V766" s="172"/>
      <c r="W766" s="172"/>
      <c r="X766" s="172"/>
    </row>
    <row r="767" ht="15.75" customHeight="1">
      <c r="A767" s="183"/>
      <c r="D767" s="172"/>
      <c r="E767" s="172"/>
      <c r="F767" s="172"/>
      <c r="G767" s="172"/>
      <c r="H767" s="172"/>
      <c r="I767" s="172"/>
      <c r="J767" s="172"/>
      <c r="K767" s="172"/>
      <c r="L767" s="172"/>
      <c r="M767" s="172"/>
      <c r="N767" s="172"/>
      <c r="O767" s="172"/>
      <c r="P767" s="172"/>
      <c r="Q767" s="172"/>
      <c r="R767" s="172"/>
      <c r="S767" s="172"/>
      <c r="T767" s="172"/>
      <c r="U767" s="172"/>
      <c r="V767" s="172"/>
      <c r="W767" s="172"/>
      <c r="X767" s="172"/>
    </row>
    <row r="768" ht="15.75" customHeight="1">
      <c r="A768" s="183"/>
      <c r="D768" s="172"/>
      <c r="E768" s="172"/>
      <c r="F768" s="172"/>
      <c r="G768" s="172"/>
      <c r="H768" s="172"/>
      <c r="I768" s="172"/>
      <c r="J768" s="172"/>
      <c r="K768" s="172"/>
      <c r="L768" s="172"/>
      <c r="M768" s="172"/>
      <c r="N768" s="172"/>
      <c r="O768" s="172"/>
      <c r="P768" s="172"/>
      <c r="Q768" s="172"/>
      <c r="R768" s="172"/>
      <c r="S768" s="172"/>
      <c r="T768" s="172"/>
      <c r="U768" s="172"/>
      <c r="V768" s="172"/>
      <c r="W768" s="172"/>
      <c r="X768" s="172"/>
    </row>
    <row r="769" ht="15.75" customHeight="1">
      <c r="A769" s="183"/>
      <c r="D769" s="172"/>
      <c r="E769" s="172"/>
      <c r="F769" s="172"/>
      <c r="G769" s="172"/>
      <c r="H769" s="172"/>
      <c r="I769" s="172"/>
      <c r="J769" s="172"/>
      <c r="K769" s="172"/>
      <c r="L769" s="172"/>
      <c r="M769" s="172"/>
      <c r="N769" s="172"/>
      <c r="O769" s="172"/>
      <c r="P769" s="172"/>
      <c r="Q769" s="172"/>
      <c r="R769" s="172"/>
      <c r="S769" s="172"/>
      <c r="T769" s="172"/>
      <c r="U769" s="172"/>
      <c r="V769" s="172"/>
      <c r="W769" s="172"/>
      <c r="X769" s="172"/>
    </row>
    <row r="770" ht="15.75" customHeight="1">
      <c r="A770" s="183"/>
      <c r="D770" s="172"/>
      <c r="E770" s="172"/>
      <c r="F770" s="172"/>
      <c r="G770" s="172"/>
      <c r="H770" s="172"/>
      <c r="I770" s="172"/>
      <c r="J770" s="172"/>
      <c r="K770" s="172"/>
      <c r="L770" s="172"/>
      <c r="M770" s="172"/>
      <c r="N770" s="172"/>
      <c r="O770" s="172"/>
      <c r="P770" s="172"/>
      <c r="Q770" s="172"/>
      <c r="R770" s="172"/>
      <c r="S770" s="172"/>
      <c r="T770" s="172"/>
      <c r="U770" s="172"/>
      <c r="V770" s="172"/>
      <c r="W770" s="172"/>
      <c r="X770" s="172"/>
    </row>
    <row r="771" ht="15.75" customHeight="1">
      <c r="A771" s="183"/>
      <c r="D771" s="172"/>
      <c r="E771" s="172"/>
      <c r="F771" s="172"/>
      <c r="G771" s="172"/>
      <c r="H771" s="172"/>
      <c r="I771" s="172"/>
      <c r="J771" s="172"/>
      <c r="K771" s="172"/>
      <c r="L771" s="172"/>
      <c r="M771" s="172"/>
      <c r="N771" s="172"/>
      <c r="O771" s="172"/>
      <c r="P771" s="172"/>
      <c r="Q771" s="172"/>
      <c r="R771" s="172"/>
      <c r="S771" s="172"/>
      <c r="T771" s="172"/>
      <c r="U771" s="172"/>
      <c r="V771" s="172"/>
      <c r="W771" s="172"/>
      <c r="X771" s="172"/>
    </row>
    <row r="772" ht="15.75" customHeight="1">
      <c r="A772" s="183"/>
      <c r="D772" s="172"/>
      <c r="E772" s="172"/>
      <c r="F772" s="172"/>
      <c r="G772" s="172"/>
      <c r="H772" s="172"/>
      <c r="I772" s="172"/>
      <c r="J772" s="172"/>
      <c r="K772" s="172"/>
      <c r="L772" s="172"/>
      <c r="M772" s="172"/>
      <c r="N772" s="172"/>
      <c r="O772" s="172"/>
      <c r="P772" s="172"/>
      <c r="Q772" s="172"/>
      <c r="R772" s="172"/>
      <c r="S772" s="172"/>
      <c r="T772" s="172"/>
      <c r="U772" s="172"/>
      <c r="V772" s="172"/>
      <c r="W772" s="172"/>
      <c r="X772" s="172"/>
    </row>
    <row r="773" ht="15.75" customHeight="1">
      <c r="A773" s="183"/>
      <c r="D773" s="172"/>
      <c r="E773" s="172"/>
      <c r="F773" s="172"/>
      <c r="G773" s="172"/>
      <c r="H773" s="172"/>
      <c r="I773" s="172"/>
      <c r="J773" s="172"/>
      <c r="K773" s="172"/>
      <c r="L773" s="172"/>
      <c r="M773" s="172"/>
      <c r="N773" s="172"/>
      <c r="O773" s="172"/>
      <c r="P773" s="172"/>
      <c r="Q773" s="172"/>
      <c r="R773" s="172"/>
      <c r="S773" s="172"/>
      <c r="T773" s="172"/>
      <c r="U773" s="172"/>
      <c r="V773" s="172"/>
      <c r="W773" s="172"/>
      <c r="X773" s="172"/>
    </row>
    <row r="774" ht="15.75" customHeight="1">
      <c r="A774" s="183"/>
      <c r="D774" s="172"/>
      <c r="E774" s="172"/>
      <c r="F774" s="172"/>
      <c r="G774" s="172"/>
      <c r="H774" s="172"/>
      <c r="I774" s="172"/>
      <c r="J774" s="172"/>
      <c r="K774" s="172"/>
      <c r="L774" s="172"/>
      <c r="M774" s="172"/>
      <c r="N774" s="172"/>
      <c r="O774" s="172"/>
      <c r="P774" s="172"/>
      <c r="Q774" s="172"/>
      <c r="R774" s="172"/>
      <c r="S774" s="172"/>
      <c r="T774" s="172"/>
      <c r="U774" s="172"/>
      <c r="V774" s="172"/>
      <c r="W774" s="172"/>
      <c r="X774" s="172"/>
    </row>
    <row r="775" ht="15.75" customHeight="1">
      <c r="A775" s="183"/>
      <c r="D775" s="172"/>
      <c r="E775" s="172"/>
      <c r="F775" s="172"/>
      <c r="G775" s="172"/>
      <c r="H775" s="172"/>
      <c r="I775" s="172"/>
      <c r="J775" s="172"/>
      <c r="K775" s="172"/>
      <c r="L775" s="172"/>
      <c r="M775" s="172"/>
      <c r="N775" s="172"/>
      <c r="O775" s="172"/>
      <c r="P775" s="172"/>
      <c r="Q775" s="172"/>
      <c r="R775" s="172"/>
      <c r="S775" s="172"/>
      <c r="T775" s="172"/>
      <c r="U775" s="172"/>
      <c r="V775" s="172"/>
      <c r="W775" s="172"/>
      <c r="X775" s="172"/>
    </row>
    <row r="776" ht="15.75" customHeight="1">
      <c r="A776" s="183"/>
      <c r="D776" s="172"/>
      <c r="E776" s="172"/>
      <c r="F776" s="172"/>
      <c r="G776" s="172"/>
      <c r="H776" s="172"/>
      <c r="I776" s="172"/>
      <c r="J776" s="172"/>
      <c r="K776" s="172"/>
      <c r="L776" s="172"/>
      <c r="M776" s="172"/>
      <c r="N776" s="172"/>
      <c r="O776" s="172"/>
      <c r="P776" s="172"/>
      <c r="Q776" s="172"/>
      <c r="R776" s="172"/>
      <c r="S776" s="172"/>
      <c r="T776" s="172"/>
      <c r="U776" s="172"/>
      <c r="V776" s="172"/>
      <c r="W776" s="172"/>
      <c r="X776" s="172"/>
    </row>
    <row r="777" ht="15.75" customHeight="1">
      <c r="A777" s="183"/>
      <c r="D777" s="172"/>
      <c r="E777" s="172"/>
      <c r="F777" s="172"/>
      <c r="G777" s="172"/>
      <c r="H777" s="172"/>
      <c r="I777" s="172"/>
      <c r="J777" s="172"/>
      <c r="K777" s="172"/>
      <c r="L777" s="172"/>
      <c r="M777" s="172"/>
      <c r="N777" s="172"/>
      <c r="O777" s="172"/>
      <c r="P777" s="172"/>
      <c r="Q777" s="172"/>
      <c r="R777" s="172"/>
      <c r="S777" s="172"/>
      <c r="T777" s="172"/>
      <c r="U777" s="172"/>
      <c r="V777" s="172"/>
      <c r="W777" s="172"/>
      <c r="X777" s="172"/>
    </row>
    <row r="778" ht="15.75" customHeight="1">
      <c r="A778" s="183"/>
      <c r="D778" s="172"/>
      <c r="E778" s="172"/>
      <c r="F778" s="172"/>
      <c r="G778" s="172"/>
      <c r="H778" s="172"/>
      <c r="I778" s="172"/>
      <c r="J778" s="172"/>
      <c r="K778" s="172"/>
      <c r="L778" s="172"/>
      <c r="M778" s="172"/>
      <c r="N778" s="172"/>
      <c r="O778" s="172"/>
      <c r="P778" s="172"/>
      <c r="Q778" s="172"/>
      <c r="R778" s="172"/>
      <c r="S778" s="172"/>
      <c r="T778" s="172"/>
      <c r="U778" s="172"/>
      <c r="V778" s="172"/>
      <c r="W778" s="172"/>
      <c r="X778" s="172"/>
    </row>
    <row r="779" ht="15.75" customHeight="1">
      <c r="A779" s="183"/>
      <c r="D779" s="172"/>
      <c r="E779" s="172"/>
      <c r="F779" s="172"/>
      <c r="G779" s="172"/>
      <c r="H779" s="172"/>
      <c r="I779" s="172"/>
      <c r="J779" s="172"/>
      <c r="K779" s="172"/>
      <c r="L779" s="172"/>
      <c r="M779" s="172"/>
      <c r="N779" s="172"/>
      <c r="O779" s="172"/>
      <c r="P779" s="172"/>
      <c r="Q779" s="172"/>
      <c r="R779" s="172"/>
      <c r="S779" s="172"/>
      <c r="T779" s="172"/>
      <c r="U779" s="172"/>
      <c r="V779" s="172"/>
      <c r="W779" s="172"/>
      <c r="X779" s="172"/>
    </row>
    <row r="780" ht="15.75" customHeight="1">
      <c r="A780" s="183"/>
      <c r="D780" s="172"/>
      <c r="E780" s="172"/>
      <c r="F780" s="172"/>
      <c r="G780" s="172"/>
      <c r="H780" s="172"/>
      <c r="I780" s="172"/>
      <c r="J780" s="172"/>
      <c r="K780" s="172"/>
      <c r="L780" s="172"/>
      <c r="M780" s="172"/>
      <c r="N780" s="172"/>
      <c r="O780" s="172"/>
      <c r="P780" s="172"/>
      <c r="Q780" s="172"/>
      <c r="R780" s="172"/>
      <c r="S780" s="172"/>
      <c r="T780" s="172"/>
      <c r="U780" s="172"/>
      <c r="V780" s="172"/>
      <c r="W780" s="172"/>
      <c r="X780" s="172"/>
    </row>
    <row r="781" ht="15.75" customHeight="1">
      <c r="A781" s="183"/>
      <c r="D781" s="172"/>
      <c r="E781" s="172"/>
      <c r="F781" s="172"/>
      <c r="G781" s="172"/>
      <c r="H781" s="172"/>
      <c r="I781" s="172"/>
      <c r="J781" s="172"/>
      <c r="K781" s="172"/>
      <c r="L781" s="172"/>
      <c r="M781" s="172"/>
      <c r="N781" s="172"/>
      <c r="O781" s="172"/>
      <c r="P781" s="172"/>
      <c r="Q781" s="172"/>
      <c r="R781" s="172"/>
      <c r="S781" s="172"/>
      <c r="T781" s="172"/>
      <c r="U781" s="172"/>
      <c r="V781" s="172"/>
      <c r="W781" s="172"/>
      <c r="X781" s="172"/>
    </row>
    <row r="782" ht="15.75" customHeight="1">
      <c r="A782" s="183"/>
      <c r="D782" s="172"/>
      <c r="E782" s="172"/>
      <c r="F782" s="172"/>
      <c r="G782" s="172"/>
      <c r="H782" s="172"/>
      <c r="I782" s="172"/>
      <c r="J782" s="172"/>
      <c r="K782" s="172"/>
      <c r="L782" s="172"/>
      <c r="M782" s="172"/>
      <c r="N782" s="172"/>
      <c r="O782" s="172"/>
      <c r="P782" s="172"/>
      <c r="Q782" s="172"/>
      <c r="R782" s="172"/>
      <c r="S782" s="172"/>
      <c r="T782" s="172"/>
      <c r="U782" s="172"/>
      <c r="V782" s="172"/>
      <c r="W782" s="172"/>
      <c r="X782" s="172"/>
    </row>
    <row r="783" ht="15.75" customHeight="1">
      <c r="A783" s="183"/>
      <c r="D783" s="172"/>
      <c r="E783" s="172"/>
      <c r="F783" s="172"/>
      <c r="G783" s="172"/>
      <c r="H783" s="172"/>
      <c r="I783" s="172"/>
      <c r="J783" s="172"/>
      <c r="K783" s="172"/>
      <c r="L783" s="172"/>
      <c r="M783" s="172"/>
      <c r="N783" s="172"/>
      <c r="O783" s="172"/>
      <c r="P783" s="172"/>
      <c r="Q783" s="172"/>
      <c r="R783" s="172"/>
      <c r="S783" s="172"/>
      <c r="T783" s="172"/>
      <c r="U783" s="172"/>
      <c r="V783" s="172"/>
      <c r="W783" s="172"/>
      <c r="X783" s="172"/>
    </row>
    <row r="784" ht="15.75" customHeight="1">
      <c r="A784" s="183"/>
      <c r="D784" s="172"/>
      <c r="E784" s="172"/>
      <c r="F784" s="172"/>
      <c r="G784" s="172"/>
      <c r="H784" s="172"/>
      <c r="I784" s="172"/>
      <c r="J784" s="172"/>
      <c r="K784" s="172"/>
      <c r="L784" s="172"/>
      <c r="M784" s="172"/>
      <c r="N784" s="172"/>
      <c r="O784" s="172"/>
      <c r="P784" s="172"/>
      <c r="Q784" s="172"/>
      <c r="R784" s="172"/>
      <c r="S784" s="172"/>
      <c r="T784" s="172"/>
      <c r="U784" s="172"/>
      <c r="V784" s="172"/>
      <c r="W784" s="172"/>
      <c r="X784" s="172"/>
    </row>
    <row r="785" ht="15.75" customHeight="1">
      <c r="A785" s="183"/>
      <c r="D785" s="172"/>
      <c r="E785" s="172"/>
      <c r="F785" s="172"/>
      <c r="G785" s="172"/>
      <c r="H785" s="172"/>
      <c r="I785" s="172"/>
      <c r="J785" s="172"/>
      <c r="K785" s="172"/>
      <c r="L785" s="172"/>
      <c r="M785" s="172"/>
      <c r="N785" s="172"/>
      <c r="O785" s="172"/>
      <c r="P785" s="172"/>
      <c r="Q785" s="172"/>
      <c r="R785" s="172"/>
      <c r="S785" s="172"/>
      <c r="T785" s="172"/>
      <c r="U785" s="172"/>
      <c r="V785" s="172"/>
      <c r="W785" s="172"/>
      <c r="X785" s="172"/>
    </row>
    <row r="786" ht="15.75" customHeight="1">
      <c r="A786" s="183"/>
      <c r="D786" s="172"/>
      <c r="E786" s="172"/>
      <c r="F786" s="172"/>
      <c r="G786" s="172"/>
      <c r="H786" s="172"/>
      <c r="I786" s="172"/>
      <c r="J786" s="172"/>
      <c r="K786" s="172"/>
      <c r="L786" s="172"/>
      <c r="M786" s="172"/>
      <c r="N786" s="172"/>
      <c r="O786" s="172"/>
      <c r="P786" s="172"/>
      <c r="Q786" s="172"/>
      <c r="R786" s="172"/>
      <c r="S786" s="172"/>
      <c r="T786" s="172"/>
      <c r="U786" s="172"/>
      <c r="V786" s="172"/>
      <c r="W786" s="172"/>
      <c r="X786" s="172"/>
    </row>
    <row r="787" ht="15.75" customHeight="1">
      <c r="A787" s="183"/>
      <c r="D787" s="172"/>
      <c r="E787" s="172"/>
      <c r="F787" s="172"/>
      <c r="G787" s="172"/>
      <c r="H787" s="172"/>
      <c r="I787" s="172"/>
      <c r="J787" s="172"/>
      <c r="K787" s="172"/>
      <c r="L787" s="172"/>
      <c r="M787" s="172"/>
      <c r="N787" s="172"/>
      <c r="O787" s="172"/>
      <c r="P787" s="172"/>
      <c r="Q787" s="172"/>
      <c r="R787" s="172"/>
      <c r="S787" s="172"/>
      <c r="T787" s="172"/>
      <c r="U787" s="172"/>
      <c r="V787" s="172"/>
      <c r="W787" s="172"/>
      <c r="X787" s="172"/>
    </row>
    <row r="788" ht="15.75" customHeight="1">
      <c r="A788" s="183"/>
      <c r="D788" s="172"/>
      <c r="E788" s="172"/>
      <c r="F788" s="172"/>
      <c r="G788" s="172"/>
      <c r="H788" s="172"/>
      <c r="I788" s="172"/>
      <c r="J788" s="172"/>
      <c r="K788" s="172"/>
      <c r="L788" s="172"/>
      <c r="M788" s="172"/>
      <c r="N788" s="172"/>
      <c r="O788" s="172"/>
      <c r="P788" s="172"/>
      <c r="Q788" s="172"/>
      <c r="R788" s="172"/>
      <c r="S788" s="172"/>
      <c r="T788" s="172"/>
      <c r="U788" s="172"/>
      <c r="V788" s="172"/>
      <c r="W788" s="172"/>
      <c r="X788" s="172"/>
    </row>
    <row r="789" ht="15.75" customHeight="1">
      <c r="A789" s="183"/>
      <c r="D789" s="172"/>
      <c r="E789" s="172"/>
      <c r="F789" s="172"/>
      <c r="G789" s="172"/>
      <c r="H789" s="172"/>
      <c r="I789" s="172"/>
      <c r="J789" s="172"/>
      <c r="K789" s="172"/>
      <c r="L789" s="172"/>
      <c r="M789" s="172"/>
      <c r="N789" s="172"/>
      <c r="O789" s="172"/>
      <c r="P789" s="172"/>
      <c r="Q789" s="172"/>
      <c r="R789" s="172"/>
      <c r="S789" s="172"/>
      <c r="T789" s="172"/>
      <c r="U789" s="172"/>
      <c r="V789" s="172"/>
      <c r="W789" s="172"/>
      <c r="X789" s="172"/>
    </row>
    <row r="790" ht="15.75" customHeight="1">
      <c r="A790" s="183"/>
      <c r="D790" s="172"/>
      <c r="E790" s="172"/>
      <c r="F790" s="172"/>
      <c r="G790" s="172"/>
      <c r="H790" s="172"/>
      <c r="I790" s="172"/>
      <c r="J790" s="172"/>
      <c r="K790" s="172"/>
      <c r="L790" s="172"/>
      <c r="M790" s="172"/>
      <c r="N790" s="172"/>
      <c r="O790" s="172"/>
      <c r="P790" s="172"/>
      <c r="Q790" s="172"/>
      <c r="R790" s="172"/>
      <c r="S790" s="172"/>
      <c r="T790" s="172"/>
      <c r="U790" s="172"/>
      <c r="V790" s="172"/>
      <c r="W790" s="172"/>
      <c r="X790" s="172"/>
    </row>
    <row r="791" ht="15.75" customHeight="1">
      <c r="A791" s="183"/>
      <c r="D791" s="172"/>
      <c r="E791" s="172"/>
      <c r="F791" s="172"/>
      <c r="G791" s="172"/>
      <c r="H791" s="172"/>
      <c r="I791" s="172"/>
      <c r="J791" s="172"/>
      <c r="K791" s="172"/>
      <c r="L791" s="172"/>
      <c r="M791" s="172"/>
      <c r="N791" s="172"/>
      <c r="O791" s="172"/>
      <c r="P791" s="172"/>
      <c r="Q791" s="172"/>
      <c r="R791" s="172"/>
      <c r="S791" s="172"/>
      <c r="T791" s="172"/>
      <c r="U791" s="172"/>
      <c r="V791" s="172"/>
      <c r="W791" s="172"/>
      <c r="X791" s="172"/>
    </row>
    <row r="792" ht="15.75" customHeight="1">
      <c r="A792" s="183"/>
      <c r="D792" s="172"/>
      <c r="E792" s="172"/>
      <c r="F792" s="172"/>
      <c r="G792" s="172"/>
      <c r="H792" s="172"/>
      <c r="I792" s="172"/>
      <c r="J792" s="172"/>
      <c r="K792" s="172"/>
      <c r="L792" s="172"/>
      <c r="M792" s="172"/>
      <c r="N792" s="172"/>
      <c r="O792" s="172"/>
      <c r="P792" s="172"/>
      <c r="Q792" s="172"/>
      <c r="R792" s="172"/>
      <c r="S792" s="172"/>
      <c r="T792" s="172"/>
      <c r="U792" s="172"/>
      <c r="V792" s="172"/>
      <c r="W792" s="172"/>
      <c r="X792" s="172"/>
    </row>
    <row r="793" ht="15.75" customHeight="1">
      <c r="A793" s="183"/>
      <c r="D793" s="172"/>
      <c r="E793" s="172"/>
      <c r="F793" s="172"/>
      <c r="G793" s="172"/>
      <c r="H793" s="172"/>
      <c r="I793" s="172"/>
      <c r="J793" s="172"/>
      <c r="K793" s="172"/>
      <c r="L793" s="172"/>
      <c r="M793" s="172"/>
      <c r="N793" s="172"/>
      <c r="O793" s="172"/>
      <c r="P793" s="172"/>
      <c r="Q793" s="172"/>
      <c r="R793" s="172"/>
      <c r="S793" s="172"/>
      <c r="T793" s="172"/>
      <c r="U793" s="172"/>
      <c r="V793" s="172"/>
      <c r="W793" s="172"/>
      <c r="X793" s="172"/>
    </row>
    <row r="794" ht="15.75" customHeight="1">
      <c r="A794" s="183"/>
      <c r="D794" s="172"/>
      <c r="E794" s="172"/>
      <c r="F794" s="172"/>
      <c r="G794" s="172"/>
      <c r="H794" s="172"/>
      <c r="I794" s="172"/>
      <c r="J794" s="172"/>
      <c r="K794" s="172"/>
      <c r="L794" s="172"/>
      <c r="M794" s="172"/>
      <c r="N794" s="172"/>
      <c r="O794" s="172"/>
      <c r="P794" s="172"/>
      <c r="Q794" s="172"/>
      <c r="R794" s="172"/>
      <c r="S794" s="172"/>
      <c r="T794" s="172"/>
      <c r="U794" s="172"/>
      <c r="V794" s="172"/>
      <c r="W794" s="172"/>
      <c r="X794" s="172"/>
    </row>
    <row r="795" ht="15.75" customHeight="1">
      <c r="A795" s="183"/>
      <c r="D795" s="172"/>
      <c r="E795" s="172"/>
      <c r="F795" s="172"/>
      <c r="G795" s="172"/>
      <c r="H795" s="172"/>
      <c r="I795" s="172"/>
      <c r="J795" s="172"/>
      <c r="K795" s="172"/>
      <c r="L795" s="172"/>
      <c r="M795" s="172"/>
      <c r="N795" s="172"/>
      <c r="O795" s="172"/>
      <c r="P795" s="172"/>
      <c r="Q795" s="172"/>
      <c r="R795" s="172"/>
      <c r="S795" s="172"/>
      <c r="T795" s="172"/>
      <c r="U795" s="172"/>
      <c r="V795" s="172"/>
      <c r="W795" s="172"/>
      <c r="X795" s="172"/>
    </row>
    <row r="796" ht="15.75" customHeight="1">
      <c r="A796" s="183"/>
      <c r="D796" s="172"/>
      <c r="E796" s="172"/>
      <c r="F796" s="172"/>
      <c r="G796" s="172"/>
      <c r="H796" s="172"/>
      <c r="I796" s="172"/>
      <c r="J796" s="172"/>
      <c r="K796" s="172"/>
      <c r="L796" s="172"/>
      <c r="M796" s="172"/>
      <c r="N796" s="172"/>
      <c r="O796" s="172"/>
      <c r="P796" s="172"/>
      <c r="Q796" s="172"/>
      <c r="R796" s="172"/>
      <c r="S796" s="172"/>
      <c r="T796" s="172"/>
      <c r="U796" s="172"/>
      <c r="V796" s="172"/>
      <c r="W796" s="172"/>
      <c r="X796" s="172"/>
    </row>
    <row r="797" ht="15.75" customHeight="1">
      <c r="A797" s="183"/>
      <c r="D797" s="172"/>
      <c r="E797" s="172"/>
      <c r="F797" s="172"/>
      <c r="G797" s="172"/>
      <c r="H797" s="172"/>
      <c r="I797" s="172"/>
      <c r="J797" s="172"/>
      <c r="K797" s="172"/>
      <c r="L797" s="172"/>
      <c r="M797" s="172"/>
      <c r="N797" s="172"/>
      <c r="O797" s="172"/>
      <c r="P797" s="172"/>
      <c r="Q797" s="172"/>
      <c r="R797" s="172"/>
      <c r="S797" s="172"/>
      <c r="T797" s="172"/>
      <c r="U797" s="172"/>
      <c r="V797" s="172"/>
      <c r="W797" s="172"/>
      <c r="X797" s="172"/>
    </row>
    <row r="798" ht="15.75" customHeight="1">
      <c r="A798" s="183"/>
      <c r="D798" s="172"/>
      <c r="E798" s="172"/>
      <c r="F798" s="172"/>
      <c r="G798" s="172"/>
      <c r="H798" s="172"/>
      <c r="I798" s="172"/>
      <c r="J798" s="172"/>
      <c r="K798" s="172"/>
      <c r="L798" s="172"/>
      <c r="M798" s="172"/>
      <c r="N798" s="172"/>
      <c r="O798" s="172"/>
      <c r="P798" s="172"/>
      <c r="Q798" s="172"/>
      <c r="R798" s="172"/>
      <c r="S798" s="172"/>
      <c r="T798" s="172"/>
      <c r="U798" s="172"/>
      <c r="V798" s="172"/>
      <c r="W798" s="172"/>
      <c r="X798" s="172"/>
    </row>
    <row r="799" ht="15.75" customHeight="1">
      <c r="A799" s="183"/>
      <c r="D799" s="172"/>
      <c r="E799" s="172"/>
      <c r="F799" s="172"/>
      <c r="G799" s="172"/>
      <c r="H799" s="172"/>
      <c r="I799" s="172"/>
      <c r="J799" s="172"/>
      <c r="K799" s="172"/>
      <c r="L799" s="172"/>
      <c r="M799" s="172"/>
      <c r="N799" s="172"/>
      <c r="O799" s="172"/>
      <c r="P799" s="172"/>
      <c r="Q799" s="172"/>
      <c r="R799" s="172"/>
      <c r="S799" s="172"/>
      <c r="T799" s="172"/>
      <c r="U799" s="172"/>
      <c r="V799" s="172"/>
      <c r="W799" s="172"/>
      <c r="X799" s="172"/>
    </row>
    <row r="800" ht="15.75" customHeight="1">
      <c r="A800" s="183"/>
      <c r="D800" s="172"/>
      <c r="E800" s="172"/>
      <c r="F800" s="172"/>
      <c r="G800" s="172"/>
      <c r="H800" s="172"/>
      <c r="I800" s="172"/>
      <c r="J800" s="172"/>
      <c r="K800" s="172"/>
      <c r="L800" s="172"/>
      <c r="M800" s="172"/>
      <c r="N800" s="172"/>
      <c r="O800" s="172"/>
      <c r="P800" s="172"/>
      <c r="Q800" s="172"/>
      <c r="R800" s="172"/>
      <c r="S800" s="172"/>
      <c r="T800" s="172"/>
      <c r="U800" s="172"/>
      <c r="V800" s="172"/>
      <c r="W800" s="172"/>
      <c r="X800" s="172"/>
    </row>
    <row r="801" ht="15.75" customHeight="1">
      <c r="A801" s="183"/>
      <c r="D801" s="172"/>
      <c r="E801" s="172"/>
      <c r="F801" s="172"/>
      <c r="G801" s="172"/>
      <c r="H801" s="172"/>
      <c r="I801" s="172"/>
      <c r="J801" s="172"/>
      <c r="K801" s="172"/>
      <c r="L801" s="172"/>
      <c r="M801" s="172"/>
      <c r="N801" s="172"/>
      <c r="O801" s="172"/>
      <c r="P801" s="172"/>
      <c r="Q801" s="172"/>
      <c r="R801" s="172"/>
      <c r="S801" s="172"/>
      <c r="T801" s="172"/>
      <c r="U801" s="172"/>
      <c r="V801" s="172"/>
      <c r="W801" s="172"/>
      <c r="X801" s="172"/>
    </row>
    <row r="802" ht="15.75" customHeight="1">
      <c r="A802" s="183"/>
      <c r="D802" s="172"/>
      <c r="E802" s="172"/>
      <c r="F802" s="172"/>
      <c r="G802" s="172"/>
      <c r="H802" s="172"/>
      <c r="I802" s="172"/>
      <c r="J802" s="172"/>
      <c r="K802" s="172"/>
      <c r="L802" s="172"/>
      <c r="M802" s="172"/>
      <c r="N802" s="172"/>
      <c r="O802" s="172"/>
      <c r="P802" s="172"/>
      <c r="Q802" s="172"/>
      <c r="R802" s="172"/>
      <c r="S802" s="172"/>
      <c r="T802" s="172"/>
      <c r="U802" s="172"/>
      <c r="V802" s="172"/>
      <c r="W802" s="172"/>
      <c r="X802" s="172"/>
    </row>
    <row r="803" ht="15.75" customHeight="1">
      <c r="A803" s="183"/>
      <c r="D803" s="172"/>
      <c r="E803" s="172"/>
      <c r="F803" s="172"/>
      <c r="G803" s="172"/>
      <c r="H803" s="172"/>
      <c r="I803" s="172"/>
      <c r="J803" s="172"/>
      <c r="K803" s="172"/>
      <c r="L803" s="172"/>
      <c r="M803" s="172"/>
      <c r="N803" s="172"/>
      <c r="O803" s="172"/>
      <c r="P803" s="172"/>
      <c r="Q803" s="172"/>
      <c r="R803" s="172"/>
      <c r="S803" s="172"/>
      <c r="T803" s="172"/>
      <c r="U803" s="172"/>
      <c r="V803" s="172"/>
      <c r="W803" s="172"/>
      <c r="X803" s="172"/>
    </row>
    <row r="804" ht="15.75" customHeight="1">
      <c r="A804" s="183"/>
      <c r="D804" s="172"/>
      <c r="E804" s="172"/>
      <c r="F804" s="172"/>
      <c r="G804" s="172"/>
      <c r="H804" s="172"/>
      <c r="I804" s="172"/>
      <c r="J804" s="172"/>
      <c r="K804" s="172"/>
      <c r="L804" s="172"/>
      <c r="M804" s="172"/>
      <c r="N804" s="172"/>
      <c r="O804" s="172"/>
      <c r="P804" s="172"/>
      <c r="Q804" s="172"/>
      <c r="R804" s="172"/>
      <c r="S804" s="172"/>
      <c r="T804" s="172"/>
      <c r="U804" s="172"/>
      <c r="V804" s="172"/>
      <c r="W804" s="172"/>
      <c r="X804" s="172"/>
    </row>
    <row r="805" ht="15.75" customHeight="1">
      <c r="A805" s="183"/>
      <c r="D805" s="172"/>
      <c r="E805" s="172"/>
      <c r="F805" s="172"/>
      <c r="G805" s="172"/>
      <c r="H805" s="172"/>
      <c r="I805" s="172"/>
      <c r="J805" s="172"/>
      <c r="K805" s="172"/>
      <c r="L805" s="172"/>
      <c r="M805" s="172"/>
      <c r="N805" s="172"/>
      <c r="O805" s="172"/>
      <c r="P805" s="172"/>
      <c r="Q805" s="172"/>
      <c r="R805" s="172"/>
      <c r="S805" s="172"/>
      <c r="T805" s="172"/>
      <c r="U805" s="172"/>
      <c r="V805" s="172"/>
      <c r="W805" s="172"/>
      <c r="X805" s="172"/>
    </row>
    <row r="806" ht="15.75" customHeight="1">
      <c r="A806" s="183"/>
      <c r="D806" s="172"/>
      <c r="E806" s="172"/>
      <c r="F806" s="172"/>
      <c r="G806" s="172"/>
      <c r="H806" s="172"/>
      <c r="I806" s="172"/>
      <c r="J806" s="172"/>
      <c r="K806" s="172"/>
      <c r="L806" s="172"/>
      <c r="M806" s="172"/>
      <c r="N806" s="172"/>
      <c r="O806" s="172"/>
      <c r="P806" s="172"/>
      <c r="Q806" s="172"/>
      <c r="R806" s="172"/>
      <c r="S806" s="172"/>
      <c r="T806" s="172"/>
      <c r="U806" s="172"/>
      <c r="V806" s="172"/>
      <c r="W806" s="172"/>
      <c r="X806" s="172"/>
    </row>
    <row r="807" ht="15.75" customHeight="1">
      <c r="A807" s="183"/>
      <c r="D807" s="172"/>
      <c r="E807" s="172"/>
      <c r="F807" s="172"/>
      <c r="G807" s="172"/>
      <c r="H807" s="172"/>
      <c r="I807" s="172"/>
      <c r="J807" s="172"/>
      <c r="K807" s="172"/>
      <c r="L807" s="172"/>
      <c r="M807" s="172"/>
      <c r="N807" s="172"/>
      <c r="O807" s="172"/>
      <c r="P807" s="172"/>
      <c r="Q807" s="172"/>
      <c r="R807" s="172"/>
      <c r="S807" s="172"/>
      <c r="T807" s="172"/>
      <c r="U807" s="172"/>
      <c r="V807" s="172"/>
      <c r="W807" s="172"/>
      <c r="X807" s="172"/>
    </row>
    <row r="808" ht="15.75" customHeight="1">
      <c r="A808" s="183"/>
      <c r="D808" s="172"/>
      <c r="E808" s="172"/>
      <c r="F808" s="172"/>
      <c r="G808" s="172"/>
      <c r="H808" s="172"/>
      <c r="I808" s="172"/>
      <c r="J808" s="172"/>
      <c r="K808" s="172"/>
      <c r="L808" s="172"/>
      <c r="M808" s="172"/>
      <c r="N808" s="172"/>
      <c r="O808" s="172"/>
      <c r="P808" s="172"/>
      <c r="Q808" s="172"/>
      <c r="R808" s="172"/>
      <c r="S808" s="172"/>
      <c r="T808" s="172"/>
      <c r="U808" s="172"/>
      <c r="V808" s="172"/>
      <c r="W808" s="172"/>
      <c r="X808" s="172"/>
    </row>
    <row r="809" ht="15.75" customHeight="1">
      <c r="A809" s="183"/>
      <c r="D809" s="172"/>
      <c r="E809" s="172"/>
      <c r="F809" s="172"/>
      <c r="G809" s="172"/>
      <c r="H809" s="172"/>
      <c r="I809" s="172"/>
      <c r="J809" s="172"/>
      <c r="K809" s="172"/>
      <c r="L809" s="172"/>
      <c r="M809" s="172"/>
      <c r="N809" s="172"/>
      <c r="O809" s="172"/>
      <c r="P809" s="172"/>
      <c r="Q809" s="172"/>
      <c r="R809" s="172"/>
      <c r="S809" s="172"/>
      <c r="T809" s="172"/>
      <c r="U809" s="172"/>
      <c r="V809" s="172"/>
      <c r="W809" s="172"/>
      <c r="X809" s="172"/>
    </row>
    <row r="810" ht="15.75" customHeight="1">
      <c r="A810" s="183"/>
      <c r="D810" s="172"/>
      <c r="E810" s="172"/>
      <c r="F810" s="172"/>
      <c r="G810" s="172"/>
      <c r="H810" s="172"/>
      <c r="I810" s="172"/>
      <c r="J810" s="172"/>
      <c r="K810" s="172"/>
      <c r="L810" s="172"/>
      <c r="M810" s="172"/>
      <c r="N810" s="172"/>
      <c r="O810" s="172"/>
      <c r="P810" s="172"/>
      <c r="Q810" s="172"/>
      <c r="R810" s="172"/>
      <c r="S810" s="172"/>
      <c r="T810" s="172"/>
      <c r="U810" s="172"/>
      <c r="V810" s="172"/>
      <c r="W810" s="172"/>
      <c r="X810" s="172"/>
    </row>
    <row r="811" ht="15.75" customHeight="1">
      <c r="A811" s="183"/>
      <c r="D811" s="172"/>
      <c r="E811" s="172"/>
      <c r="F811" s="172"/>
      <c r="G811" s="172"/>
      <c r="H811" s="172"/>
      <c r="I811" s="172"/>
      <c r="J811" s="172"/>
      <c r="K811" s="172"/>
      <c r="L811" s="172"/>
      <c r="M811" s="172"/>
      <c r="N811" s="172"/>
      <c r="O811" s="172"/>
      <c r="P811" s="172"/>
      <c r="Q811" s="172"/>
      <c r="R811" s="172"/>
      <c r="S811" s="172"/>
      <c r="T811" s="172"/>
      <c r="U811" s="172"/>
      <c r="V811" s="172"/>
      <c r="W811" s="172"/>
      <c r="X811" s="172"/>
    </row>
    <row r="812" ht="15.75" customHeight="1">
      <c r="A812" s="183"/>
      <c r="D812" s="172"/>
      <c r="E812" s="172"/>
      <c r="F812" s="172"/>
      <c r="G812" s="172"/>
      <c r="H812" s="172"/>
      <c r="I812" s="172"/>
      <c r="J812" s="172"/>
      <c r="K812" s="172"/>
      <c r="L812" s="172"/>
      <c r="M812" s="172"/>
      <c r="N812" s="172"/>
      <c r="O812" s="172"/>
      <c r="P812" s="172"/>
      <c r="Q812" s="172"/>
      <c r="R812" s="172"/>
      <c r="S812" s="172"/>
      <c r="T812" s="172"/>
      <c r="U812" s="172"/>
      <c r="V812" s="172"/>
      <c r="W812" s="172"/>
      <c r="X812" s="172"/>
    </row>
    <row r="813" ht="15.75" customHeight="1">
      <c r="A813" s="183"/>
      <c r="D813" s="172"/>
      <c r="E813" s="172"/>
      <c r="F813" s="172"/>
      <c r="G813" s="172"/>
      <c r="H813" s="172"/>
      <c r="I813" s="172"/>
      <c r="J813" s="172"/>
      <c r="K813" s="172"/>
      <c r="L813" s="172"/>
      <c r="M813" s="172"/>
      <c r="N813" s="172"/>
      <c r="O813" s="172"/>
      <c r="P813" s="172"/>
      <c r="Q813" s="172"/>
      <c r="R813" s="172"/>
      <c r="S813" s="172"/>
      <c r="T813" s="172"/>
      <c r="U813" s="172"/>
      <c r="V813" s="172"/>
      <c r="W813" s="172"/>
      <c r="X813" s="172"/>
    </row>
    <row r="814" ht="15.75" customHeight="1">
      <c r="A814" s="183"/>
      <c r="D814" s="172"/>
      <c r="E814" s="172"/>
      <c r="F814" s="172"/>
      <c r="G814" s="172"/>
      <c r="H814" s="172"/>
      <c r="I814" s="172"/>
      <c r="J814" s="172"/>
      <c r="K814" s="172"/>
      <c r="L814" s="172"/>
      <c r="M814" s="172"/>
      <c r="N814" s="172"/>
      <c r="O814" s="172"/>
      <c r="P814" s="172"/>
      <c r="Q814" s="172"/>
      <c r="R814" s="172"/>
      <c r="S814" s="172"/>
      <c r="T814" s="172"/>
      <c r="U814" s="172"/>
      <c r="V814" s="172"/>
      <c r="W814" s="172"/>
      <c r="X814" s="172"/>
    </row>
    <row r="815" ht="15.75" customHeight="1">
      <c r="A815" s="183"/>
      <c r="D815" s="172"/>
      <c r="E815" s="172"/>
      <c r="F815" s="172"/>
      <c r="G815" s="172"/>
      <c r="H815" s="172"/>
      <c r="I815" s="172"/>
      <c r="J815" s="172"/>
      <c r="K815" s="172"/>
      <c r="L815" s="172"/>
      <c r="M815" s="172"/>
      <c r="N815" s="172"/>
      <c r="O815" s="172"/>
      <c r="P815" s="172"/>
      <c r="Q815" s="172"/>
      <c r="R815" s="172"/>
      <c r="S815" s="172"/>
      <c r="T815" s="172"/>
      <c r="U815" s="172"/>
      <c r="V815" s="172"/>
      <c r="W815" s="172"/>
      <c r="X815" s="172"/>
    </row>
    <row r="816" ht="15.75" customHeight="1">
      <c r="A816" s="183"/>
      <c r="D816" s="172"/>
      <c r="E816" s="172"/>
      <c r="F816" s="172"/>
      <c r="G816" s="172"/>
      <c r="H816" s="172"/>
      <c r="I816" s="172"/>
      <c r="J816" s="172"/>
      <c r="K816" s="172"/>
      <c r="L816" s="172"/>
      <c r="M816" s="172"/>
      <c r="N816" s="172"/>
      <c r="O816" s="172"/>
      <c r="P816" s="172"/>
      <c r="Q816" s="172"/>
      <c r="R816" s="172"/>
      <c r="S816" s="172"/>
      <c r="T816" s="172"/>
      <c r="U816" s="172"/>
      <c r="V816" s="172"/>
      <c r="W816" s="172"/>
      <c r="X816" s="172"/>
    </row>
    <row r="817" ht="15.75" customHeight="1">
      <c r="A817" s="183"/>
      <c r="D817" s="172"/>
      <c r="E817" s="172"/>
      <c r="F817" s="172"/>
      <c r="G817" s="172"/>
      <c r="H817" s="172"/>
      <c r="I817" s="172"/>
      <c r="J817" s="172"/>
      <c r="K817" s="172"/>
      <c r="L817" s="172"/>
      <c r="M817" s="172"/>
      <c r="N817" s="172"/>
      <c r="O817" s="172"/>
      <c r="P817" s="172"/>
      <c r="Q817" s="172"/>
      <c r="R817" s="172"/>
      <c r="S817" s="172"/>
      <c r="T817" s="172"/>
      <c r="U817" s="172"/>
      <c r="V817" s="172"/>
      <c r="W817" s="172"/>
      <c r="X817" s="172"/>
    </row>
    <row r="818" ht="15.75" customHeight="1">
      <c r="A818" s="183"/>
      <c r="D818" s="172"/>
      <c r="E818" s="172"/>
      <c r="F818" s="172"/>
      <c r="G818" s="172"/>
      <c r="H818" s="172"/>
      <c r="I818" s="172"/>
      <c r="J818" s="172"/>
      <c r="K818" s="172"/>
      <c r="L818" s="172"/>
      <c r="M818" s="172"/>
      <c r="N818" s="172"/>
      <c r="O818" s="172"/>
      <c r="P818" s="172"/>
      <c r="Q818" s="172"/>
      <c r="R818" s="172"/>
      <c r="S818" s="172"/>
      <c r="T818" s="172"/>
      <c r="U818" s="172"/>
      <c r="V818" s="172"/>
      <c r="W818" s="172"/>
      <c r="X818" s="172"/>
    </row>
    <row r="819" ht="15.75" customHeight="1">
      <c r="A819" s="183"/>
      <c r="D819" s="172"/>
      <c r="E819" s="172"/>
      <c r="F819" s="172"/>
      <c r="G819" s="172"/>
      <c r="H819" s="172"/>
      <c r="I819" s="172"/>
      <c r="J819" s="172"/>
      <c r="K819" s="172"/>
      <c r="L819" s="172"/>
      <c r="M819" s="172"/>
      <c r="N819" s="172"/>
      <c r="O819" s="172"/>
      <c r="P819" s="172"/>
      <c r="Q819" s="172"/>
      <c r="R819" s="172"/>
      <c r="S819" s="172"/>
      <c r="T819" s="172"/>
      <c r="U819" s="172"/>
      <c r="V819" s="172"/>
      <c r="W819" s="172"/>
      <c r="X819" s="172"/>
    </row>
    <row r="820" ht="15.75" customHeight="1">
      <c r="A820" s="183"/>
      <c r="D820" s="172"/>
      <c r="E820" s="172"/>
      <c r="F820" s="172"/>
      <c r="G820" s="172"/>
      <c r="H820" s="172"/>
      <c r="I820" s="172"/>
      <c r="J820" s="172"/>
      <c r="K820" s="172"/>
      <c r="L820" s="172"/>
      <c r="M820" s="172"/>
      <c r="N820" s="172"/>
      <c r="O820" s="172"/>
      <c r="P820" s="172"/>
      <c r="Q820" s="172"/>
      <c r="R820" s="172"/>
      <c r="S820" s="172"/>
      <c r="T820" s="172"/>
      <c r="U820" s="172"/>
      <c r="V820" s="172"/>
      <c r="W820" s="172"/>
      <c r="X820" s="172"/>
    </row>
    <row r="821" ht="15.75" customHeight="1">
      <c r="A821" s="183"/>
      <c r="D821" s="172"/>
      <c r="E821" s="172"/>
      <c r="F821" s="172"/>
      <c r="G821" s="172"/>
      <c r="H821" s="172"/>
      <c r="I821" s="172"/>
      <c r="J821" s="172"/>
      <c r="K821" s="172"/>
      <c r="L821" s="172"/>
      <c r="M821" s="172"/>
      <c r="N821" s="172"/>
      <c r="O821" s="172"/>
      <c r="P821" s="172"/>
      <c r="Q821" s="172"/>
      <c r="R821" s="172"/>
      <c r="S821" s="172"/>
      <c r="T821" s="172"/>
      <c r="U821" s="172"/>
      <c r="V821" s="172"/>
      <c r="W821" s="172"/>
      <c r="X821" s="172"/>
    </row>
    <row r="822" ht="15.75" customHeight="1">
      <c r="A822" s="183"/>
      <c r="D822" s="172"/>
      <c r="E822" s="172"/>
      <c r="F822" s="172"/>
      <c r="G822" s="172"/>
      <c r="H822" s="172"/>
      <c r="I822" s="172"/>
      <c r="J822" s="172"/>
      <c r="K822" s="172"/>
      <c r="L822" s="172"/>
      <c r="M822" s="172"/>
      <c r="N822" s="172"/>
      <c r="O822" s="172"/>
      <c r="P822" s="172"/>
      <c r="Q822" s="172"/>
      <c r="R822" s="172"/>
      <c r="S822" s="172"/>
      <c r="T822" s="172"/>
      <c r="U822" s="172"/>
      <c r="V822" s="172"/>
      <c r="W822" s="172"/>
      <c r="X822" s="172"/>
    </row>
    <row r="823" ht="15.75" customHeight="1">
      <c r="A823" s="183"/>
      <c r="D823" s="172"/>
      <c r="E823" s="172"/>
      <c r="F823" s="172"/>
      <c r="G823" s="172"/>
      <c r="H823" s="172"/>
      <c r="I823" s="172"/>
      <c r="J823" s="172"/>
      <c r="K823" s="172"/>
      <c r="L823" s="172"/>
      <c r="M823" s="172"/>
      <c r="N823" s="172"/>
      <c r="O823" s="172"/>
      <c r="P823" s="172"/>
      <c r="Q823" s="172"/>
      <c r="R823" s="172"/>
      <c r="S823" s="172"/>
      <c r="T823" s="172"/>
      <c r="U823" s="172"/>
      <c r="V823" s="172"/>
      <c r="W823" s="172"/>
      <c r="X823" s="172"/>
    </row>
    <row r="824" ht="15.75" customHeight="1">
      <c r="A824" s="183"/>
      <c r="D824" s="172"/>
      <c r="E824" s="172"/>
      <c r="F824" s="172"/>
      <c r="G824" s="172"/>
      <c r="H824" s="172"/>
      <c r="I824" s="172"/>
      <c r="J824" s="172"/>
      <c r="K824" s="172"/>
      <c r="L824" s="172"/>
      <c r="M824" s="172"/>
      <c r="N824" s="172"/>
      <c r="O824" s="172"/>
      <c r="P824" s="172"/>
      <c r="Q824" s="172"/>
      <c r="R824" s="172"/>
      <c r="S824" s="172"/>
      <c r="T824" s="172"/>
      <c r="U824" s="172"/>
      <c r="V824" s="172"/>
      <c r="W824" s="172"/>
      <c r="X824" s="172"/>
    </row>
    <row r="825" ht="15.75" customHeight="1">
      <c r="A825" s="183"/>
      <c r="D825" s="172"/>
      <c r="E825" s="172"/>
      <c r="F825" s="172"/>
      <c r="G825" s="172"/>
      <c r="H825" s="172"/>
      <c r="I825" s="172"/>
      <c r="J825" s="172"/>
      <c r="K825" s="172"/>
      <c r="L825" s="172"/>
      <c r="M825" s="172"/>
      <c r="N825" s="172"/>
      <c r="O825" s="172"/>
      <c r="P825" s="172"/>
      <c r="Q825" s="172"/>
      <c r="R825" s="172"/>
      <c r="S825" s="172"/>
      <c r="T825" s="172"/>
      <c r="U825" s="172"/>
      <c r="V825" s="172"/>
      <c r="W825" s="172"/>
      <c r="X825" s="172"/>
    </row>
    <row r="826" ht="15.75" customHeight="1">
      <c r="A826" s="183"/>
      <c r="D826" s="172"/>
      <c r="E826" s="172"/>
      <c r="F826" s="172"/>
      <c r="G826" s="172"/>
      <c r="H826" s="172"/>
      <c r="I826" s="172"/>
      <c r="J826" s="172"/>
      <c r="K826" s="172"/>
      <c r="L826" s="172"/>
      <c r="M826" s="172"/>
      <c r="N826" s="172"/>
      <c r="O826" s="172"/>
      <c r="P826" s="172"/>
      <c r="Q826" s="172"/>
      <c r="R826" s="172"/>
      <c r="S826" s="172"/>
      <c r="T826" s="172"/>
      <c r="U826" s="172"/>
      <c r="V826" s="172"/>
      <c r="W826" s="172"/>
      <c r="X826" s="172"/>
    </row>
    <row r="827" ht="15.75" customHeight="1">
      <c r="A827" s="183"/>
      <c r="D827" s="172"/>
      <c r="E827" s="172"/>
      <c r="F827" s="172"/>
      <c r="G827" s="172"/>
      <c r="H827" s="172"/>
      <c r="I827" s="172"/>
      <c r="J827" s="172"/>
      <c r="K827" s="172"/>
      <c r="L827" s="172"/>
      <c r="M827" s="172"/>
      <c r="N827" s="172"/>
      <c r="O827" s="172"/>
      <c r="P827" s="172"/>
      <c r="Q827" s="172"/>
      <c r="R827" s="172"/>
      <c r="S827" s="172"/>
      <c r="T827" s="172"/>
      <c r="U827" s="172"/>
      <c r="V827" s="172"/>
      <c r="W827" s="172"/>
      <c r="X827" s="172"/>
    </row>
    <row r="828" ht="15.75" customHeight="1">
      <c r="A828" s="183"/>
      <c r="D828" s="172"/>
      <c r="E828" s="172"/>
      <c r="F828" s="172"/>
      <c r="G828" s="172"/>
      <c r="H828" s="172"/>
      <c r="I828" s="172"/>
      <c r="J828" s="172"/>
      <c r="K828" s="172"/>
      <c r="L828" s="172"/>
      <c r="M828" s="172"/>
      <c r="N828" s="172"/>
      <c r="O828" s="172"/>
      <c r="P828" s="172"/>
      <c r="Q828" s="172"/>
      <c r="R828" s="172"/>
      <c r="S828" s="172"/>
      <c r="T828" s="172"/>
      <c r="U828" s="172"/>
      <c r="V828" s="172"/>
      <c r="W828" s="172"/>
      <c r="X828" s="172"/>
    </row>
    <row r="829" ht="15.75" customHeight="1">
      <c r="A829" s="183"/>
      <c r="D829" s="172"/>
      <c r="E829" s="172"/>
      <c r="F829" s="172"/>
      <c r="G829" s="172"/>
      <c r="H829" s="172"/>
      <c r="I829" s="172"/>
      <c r="J829" s="172"/>
      <c r="K829" s="172"/>
      <c r="L829" s="172"/>
      <c r="M829" s="172"/>
      <c r="N829" s="172"/>
      <c r="O829" s="172"/>
      <c r="P829" s="172"/>
      <c r="Q829" s="172"/>
      <c r="R829" s="172"/>
      <c r="S829" s="172"/>
      <c r="T829" s="172"/>
      <c r="U829" s="172"/>
      <c r="V829" s="172"/>
      <c r="W829" s="172"/>
      <c r="X829" s="172"/>
    </row>
    <row r="830" ht="15.75" customHeight="1">
      <c r="A830" s="183"/>
      <c r="D830" s="172"/>
      <c r="E830" s="172"/>
      <c r="F830" s="172"/>
      <c r="G830" s="172"/>
      <c r="H830" s="172"/>
      <c r="I830" s="172"/>
      <c r="J830" s="172"/>
      <c r="K830" s="172"/>
      <c r="L830" s="172"/>
      <c r="M830" s="172"/>
      <c r="N830" s="172"/>
      <c r="O830" s="172"/>
      <c r="P830" s="172"/>
      <c r="Q830" s="172"/>
      <c r="R830" s="172"/>
      <c r="S830" s="172"/>
      <c r="T830" s="172"/>
      <c r="U830" s="172"/>
      <c r="V830" s="172"/>
      <c r="W830" s="172"/>
      <c r="X830" s="172"/>
    </row>
    <row r="831" ht="15.75" customHeight="1">
      <c r="A831" s="183"/>
      <c r="D831" s="172"/>
      <c r="E831" s="172"/>
      <c r="F831" s="172"/>
      <c r="G831" s="172"/>
      <c r="H831" s="172"/>
      <c r="I831" s="172"/>
      <c r="J831" s="172"/>
      <c r="K831" s="172"/>
      <c r="L831" s="172"/>
      <c r="M831" s="172"/>
      <c r="N831" s="172"/>
      <c r="O831" s="172"/>
      <c r="P831" s="172"/>
      <c r="Q831" s="172"/>
      <c r="R831" s="172"/>
      <c r="S831" s="172"/>
      <c r="T831" s="172"/>
      <c r="U831" s="172"/>
      <c r="V831" s="172"/>
      <c r="W831" s="172"/>
      <c r="X831" s="172"/>
    </row>
    <row r="832" ht="15.75" customHeight="1">
      <c r="A832" s="183"/>
      <c r="D832" s="172"/>
      <c r="E832" s="172"/>
      <c r="F832" s="172"/>
      <c r="G832" s="172"/>
      <c r="H832" s="172"/>
      <c r="I832" s="172"/>
      <c r="J832" s="172"/>
      <c r="K832" s="172"/>
      <c r="L832" s="172"/>
      <c r="M832" s="172"/>
      <c r="N832" s="172"/>
      <c r="O832" s="172"/>
      <c r="P832" s="172"/>
      <c r="Q832" s="172"/>
      <c r="R832" s="172"/>
      <c r="S832" s="172"/>
      <c r="T832" s="172"/>
      <c r="U832" s="172"/>
      <c r="V832" s="172"/>
      <c r="W832" s="172"/>
      <c r="X832" s="172"/>
    </row>
    <row r="833" ht="15.75" customHeight="1">
      <c r="A833" s="183"/>
      <c r="D833" s="172"/>
      <c r="E833" s="172"/>
      <c r="F833" s="172"/>
      <c r="G833" s="172"/>
      <c r="H833" s="172"/>
      <c r="I833" s="172"/>
      <c r="J833" s="172"/>
      <c r="K833" s="172"/>
      <c r="L833" s="172"/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  <c r="X833" s="172"/>
    </row>
    <row r="834" ht="15.75" customHeight="1">
      <c r="A834" s="183"/>
      <c r="D834" s="172"/>
      <c r="E834" s="172"/>
      <c r="F834" s="172"/>
      <c r="G834" s="172"/>
      <c r="H834" s="172"/>
      <c r="I834" s="172"/>
      <c r="J834" s="172"/>
      <c r="K834" s="172"/>
      <c r="L834" s="172"/>
      <c r="M834" s="172"/>
      <c r="N834" s="172"/>
      <c r="O834" s="172"/>
      <c r="P834" s="172"/>
      <c r="Q834" s="172"/>
      <c r="R834" s="172"/>
      <c r="S834" s="172"/>
      <c r="T834" s="172"/>
      <c r="U834" s="172"/>
      <c r="V834" s="172"/>
      <c r="W834" s="172"/>
      <c r="X834" s="172"/>
    </row>
    <row r="835" ht="15.75" customHeight="1">
      <c r="A835" s="183"/>
      <c r="D835" s="172"/>
      <c r="E835" s="172"/>
      <c r="F835" s="172"/>
      <c r="G835" s="172"/>
      <c r="H835" s="172"/>
      <c r="I835" s="172"/>
      <c r="J835" s="172"/>
      <c r="K835" s="172"/>
      <c r="L835" s="172"/>
      <c r="M835" s="172"/>
      <c r="N835" s="172"/>
      <c r="O835" s="172"/>
      <c r="P835" s="172"/>
      <c r="Q835" s="172"/>
      <c r="R835" s="172"/>
      <c r="S835" s="172"/>
      <c r="T835" s="172"/>
      <c r="U835" s="172"/>
      <c r="V835" s="172"/>
      <c r="W835" s="172"/>
      <c r="X835" s="172"/>
    </row>
    <row r="836" ht="15.75" customHeight="1">
      <c r="A836" s="183"/>
      <c r="D836" s="172"/>
      <c r="E836" s="172"/>
      <c r="F836" s="172"/>
      <c r="G836" s="172"/>
      <c r="H836" s="172"/>
      <c r="I836" s="172"/>
      <c r="J836" s="172"/>
      <c r="K836" s="172"/>
      <c r="L836" s="172"/>
      <c r="M836" s="172"/>
      <c r="N836" s="172"/>
      <c r="O836" s="172"/>
      <c r="P836" s="172"/>
      <c r="Q836" s="172"/>
      <c r="R836" s="172"/>
      <c r="S836" s="172"/>
      <c r="T836" s="172"/>
      <c r="U836" s="172"/>
      <c r="V836" s="172"/>
      <c r="W836" s="172"/>
      <c r="X836" s="172"/>
    </row>
    <row r="837" ht="15.75" customHeight="1">
      <c r="A837" s="183"/>
      <c r="D837" s="172"/>
      <c r="E837" s="172"/>
      <c r="F837" s="172"/>
      <c r="G837" s="172"/>
      <c r="H837" s="172"/>
      <c r="I837" s="172"/>
      <c r="J837" s="172"/>
      <c r="K837" s="172"/>
      <c r="L837" s="172"/>
      <c r="M837" s="172"/>
      <c r="N837" s="172"/>
      <c r="O837" s="172"/>
      <c r="P837" s="172"/>
      <c r="Q837" s="172"/>
      <c r="R837" s="172"/>
      <c r="S837" s="172"/>
      <c r="T837" s="172"/>
      <c r="U837" s="172"/>
      <c r="V837" s="172"/>
      <c r="W837" s="172"/>
      <c r="X837" s="172"/>
    </row>
    <row r="838" ht="15.75" customHeight="1">
      <c r="A838" s="183"/>
      <c r="D838" s="172"/>
      <c r="E838" s="172"/>
      <c r="F838" s="172"/>
      <c r="G838" s="172"/>
      <c r="H838" s="172"/>
      <c r="I838" s="172"/>
      <c r="J838" s="172"/>
      <c r="K838" s="172"/>
      <c r="L838" s="172"/>
      <c r="M838" s="172"/>
      <c r="N838" s="172"/>
      <c r="O838" s="172"/>
      <c r="P838" s="172"/>
      <c r="Q838" s="172"/>
      <c r="R838" s="172"/>
      <c r="S838" s="172"/>
      <c r="T838" s="172"/>
      <c r="U838" s="172"/>
      <c r="V838" s="172"/>
      <c r="W838" s="172"/>
      <c r="X838" s="172"/>
    </row>
    <row r="839" ht="15.75" customHeight="1">
      <c r="A839" s="183"/>
      <c r="D839" s="172"/>
      <c r="E839" s="172"/>
      <c r="F839" s="172"/>
      <c r="G839" s="172"/>
      <c r="H839" s="172"/>
      <c r="I839" s="172"/>
      <c r="J839" s="172"/>
      <c r="K839" s="172"/>
      <c r="L839" s="172"/>
      <c r="M839" s="172"/>
      <c r="N839" s="172"/>
      <c r="O839" s="172"/>
      <c r="P839" s="172"/>
      <c r="Q839" s="172"/>
      <c r="R839" s="172"/>
      <c r="S839" s="172"/>
      <c r="T839" s="172"/>
      <c r="U839" s="172"/>
      <c r="V839" s="172"/>
      <c r="W839" s="172"/>
      <c r="X839" s="172"/>
    </row>
    <row r="840" ht="15.75" customHeight="1">
      <c r="A840" s="183"/>
      <c r="D840" s="172"/>
      <c r="E840" s="172"/>
      <c r="F840" s="172"/>
      <c r="G840" s="172"/>
      <c r="H840" s="172"/>
      <c r="I840" s="172"/>
      <c r="J840" s="172"/>
      <c r="K840" s="172"/>
      <c r="L840" s="172"/>
      <c r="M840" s="172"/>
      <c r="N840" s="172"/>
      <c r="O840" s="172"/>
      <c r="P840" s="172"/>
      <c r="Q840" s="172"/>
      <c r="R840" s="172"/>
      <c r="S840" s="172"/>
      <c r="T840" s="172"/>
      <c r="U840" s="172"/>
      <c r="V840" s="172"/>
      <c r="W840" s="172"/>
      <c r="X840" s="172"/>
    </row>
    <row r="841" ht="15.75" customHeight="1">
      <c r="A841" s="183"/>
      <c r="D841" s="172"/>
      <c r="E841" s="172"/>
      <c r="F841" s="172"/>
      <c r="G841" s="172"/>
      <c r="H841" s="172"/>
      <c r="I841" s="172"/>
      <c r="J841" s="172"/>
      <c r="K841" s="172"/>
      <c r="L841" s="172"/>
      <c r="M841" s="172"/>
      <c r="N841" s="172"/>
      <c r="O841" s="172"/>
      <c r="P841" s="172"/>
      <c r="Q841" s="172"/>
      <c r="R841" s="172"/>
      <c r="S841" s="172"/>
      <c r="T841" s="172"/>
      <c r="U841" s="172"/>
      <c r="V841" s="172"/>
      <c r="W841" s="172"/>
      <c r="X841" s="172"/>
    </row>
    <row r="842" ht="15.75" customHeight="1">
      <c r="A842" s="183"/>
      <c r="D842" s="172"/>
      <c r="E842" s="172"/>
      <c r="F842" s="172"/>
      <c r="G842" s="172"/>
      <c r="H842" s="172"/>
      <c r="I842" s="172"/>
      <c r="J842" s="172"/>
      <c r="K842" s="172"/>
      <c r="L842" s="172"/>
      <c r="M842" s="172"/>
      <c r="N842" s="172"/>
      <c r="O842" s="172"/>
      <c r="P842" s="172"/>
      <c r="Q842" s="172"/>
      <c r="R842" s="172"/>
      <c r="S842" s="172"/>
      <c r="T842" s="172"/>
      <c r="U842" s="172"/>
      <c r="V842" s="172"/>
      <c r="W842" s="172"/>
      <c r="X842" s="172"/>
    </row>
    <row r="843" ht="15.75" customHeight="1">
      <c r="A843" s="183"/>
      <c r="D843" s="172"/>
      <c r="E843" s="172"/>
      <c r="F843" s="172"/>
      <c r="G843" s="172"/>
      <c r="H843" s="172"/>
      <c r="I843" s="172"/>
      <c r="J843" s="172"/>
      <c r="K843" s="172"/>
      <c r="L843" s="172"/>
      <c r="M843" s="172"/>
      <c r="N843" s="172"/>
      <c r="O843" s="172"/>
      <c r="P843" s="172"/>
      <c r="Q843" s="172"/>
      <c r="R843" s="172"/>
      <c r="S843" s="172"/>
      <c r="T843" s="172"/>
      <c r="U843" s="172"/>
      <c r="V843" s="172"/>
      <c r="W843" s="172"/>
      <c r="X843" s="172"/>
    </row>
    <row r="844" ht="15.75" customHeight="1">
      <c r="A844" s="183"/>
      <c r="D844" s="172"/>
      <c r="E844" s="172"/>
      <c r="F844" s="172"/>
      <c r="G844" s="172"/>
      <c r="H844" s="172"/>
      <c r="I844" s="172"/>
      <c r="J844" s="172"/>
      <c r="K844" s="172"/>
      <c r="L844" s="172"/>
      <c r="M844" s="172"/>
      <c r="N844" s="172"/>
      <c r="O844" s="172"/>
      <c r="P844" s="172"/>
      <c r="Q844" s="172"/>
      <c r="R844" s="172"/>
      <c r="S844" s="172"/>
      <c r="T844" s="172"/>
      <c r="U844" s="172"/>
      <c r="V844" s="172"/>
      <c r="W844" s="172"/>
      <c r="X844" s="172"/>
    </row>
    <row r="845" ht="15.75" customHeight="1">
      <c r="A845" s="183"/>
      <c r="D845" s="172"/>
      <c r="E845" s="172"/>
      <c r="F845" s="172"/>
      <c r="G845" s="172"/>
      <c r="H845" s="172"/>
      <c r="I845" s="172"/>
      <c r="J845" s="172"/>
      <c r="K845" s="172"/>
      <c r="L845" s="172"/>
      <c r="M845" s="172"/>
      <c r="N845" s="172"/>
      <c r="O845" s="172"/>
      <c r="P845" s="172"/>
      <c r="Q845" s="172"/>
      <c r="R845" s="172"/>
      <c r="S845" s="172"/>
      <c r="T845" s="172"/>
      <c r="U845" s="172"/>
      <c r="V845" s="172"/>
      <c r="W845" s="172"/>
      <c r="X845" s="172"/>
    </row>
    <row r="846" ht="15.75" customHeight="1">
      <c r="A846" s="183"/>
      <c r="D846" s="172"/>
      <c r="E846" s="172"/>
      <c r="F846" s="172"/>
      <c r="G846" s="172"/>
      <c r="H846" s="172"/>
      <c r="I846" s="172"/>
      <c r="J846" s="172"/>
      <c r="K846" s="172"/>
      <c r="L846" s="172"/>
      <c r="M846" s="172"/>
      <c r="N846" s="172"/>
      <c r="O846" s="172"/>
      <c r="P846" s="172"/>
      <c r="Q846" s="172"/>
      <c r="R846" s="172"/>
      <c r="S846" s="172"/>
      <c r="T846" s="172"/>
      <c r="U846" s="172"/>
      <c r="V846" s="172"/>
      <c r="W846" s="172"/>
      <c r="X846" s="172"/>
    </row>
    <row r="847" ht="15.75" customHeight="1">
      <c r="A847" s="183"/>
      <c r="D847" s="172"/>
      <c r="E847" s="172"/>
      <c r="F847" s="172"/>
      <c r="G847" s="172"/>
      <c r="H847" s="172"/>
      <c r="I847" s="172"/>
      <c r="J847" s="172"/>
      <c r="K847" s="172"/>
      <c r="L847" s="172"/>
      <c r="M847" s="172"/>
      <c r="N847" s="172"/>
      <c r="O847" s="172"/>
      <c r="P847" s="172"/>
      <c r="Q847" s="172"/>
      <c r="R847" s="172"/>
      <c r="S847" s="172"/>
      <c r="T847" s="172"/>
      <c r="U847" s="172"/>
      <c r="V847" s="172"/>
      <c r="W847" s="172"/>
      <c r="X847" s="172"/>
    </row>
    <row r="848" ht="15.75" customHeight="1">
      <c r="A848" s="183"/>
      <c r="D848" s="172"/>
      <c r="E848" s="172"/>
      <c r="F848" s="172"/>
      <c r="G848" s="172"/>
      <c r="H848" s="172"/>
      <c r="I848" s="172"/>
      <c r="J848" s="172"/>
      <c r="K848" s="172"/>
      <c r="L848" s="172"/>
      <c r="M848" s="172"/>
      <c r="N848" s="172"/>
      <c r="O848" s="172"/>
      <c r="P848" s="172"/>
      <c r="Q848" s="172"/>
      <c r="R848" s="172"/>
      <c r="S848" s="172"/>
      <c r="T848" s="172"/>
      <c r="U848" s="172"/>
      <c r="V848" s="172"/>
      <c r="W848" s="172"/>
      <c r="X848" s="172"/>
    </row>
    <row r="849" ht="15.75" customHeight="1">
      <c r="A849" s="183"/>
      <c r="D849" s="172"/>
      <c r="E849" s="172"/>
      <c r="F849" s="172"/>
      <c r="G849" s="172"/>
      <c r="H849" s="172"/>
      <c r="I849" s="172"/>
      <c r="J849" s="172"/>
      <c r="K849" s="172"/>
      <c r="L849" s="172"/>
      <c r="M849" s="172"/>
      <c r="N849" s="172"/>
      <c r="O849" s="172"/>
      <c r="P849" s="172"/>
      <c r="Q849" s="172"/>
      <c r="R849" s="172"/>
      <c r="S849" s="172"/>
      <c r="T849" s="172"/>
      <c r="U849" s="172"/>
      <c r="V849" s="172"/>
      <c r="W849" s="172"/>
      <c r="X849" s="172"/>
    </row>
    <row r="850" ht="15.75" customHeight="1">
      <c r="A850" s="183"/>
      <c r="D850" s="172"/>
      <c r="E850" s="172"/>
      <c r="F850" s="172"/>
      <c r="G850" s="172"/>
      <c r="H850" s="172"/>
      <c r="I850" s="172"/>
      <c r="J850" s="172"/>
      <c r="K850" s="172"/>
      <c r="L850" s="172"/>
      <c r="M850" s="172"/>
      <c r="N850" s="172"/>
      <c r="O850" s="172"/>
      <c r="P850" s="172"/>
      <c r="Q850" s="172"/>
      <c r="R850" s="172"/>
      <c r="S850" s="172"/>
      <c r="T850" s="172"/>
      <c r="U850" s="172"/>
      <c r="V850" s="172"/>
      <c r="W850" s="172"/>
      <c r="X850" s="172"/>
    </row>
    <row r="851" ht="15.75" customHeight="1">
      <c r="A851" s="183"/>
      <c r="D851" s="172"/>
      <c r="E851" s="172"/>
      <c r="F851" s="172"/>
      <c r="G851" s="172"/>
      <c r="H851" s="172"/>
      <c r="I851" s="172"/>
      <c r="J851" s="172"/>
      <c r="K851" s="172"/>
      <c r="L851" s="172"/>
      <c r="M851" s="172"/>
      <c r="N851" s="172"/>
      <c r="O851" s="172"/>
      <c r="P851" s="172"/>
      <c r="Q851" s="172"/>
      <c r="R851" s="172"/>
      <c r="S851" s="172"/>
      <c r="T851" s="172"/>
      <c r="U851" s="172"/>
      <c r="V851" s="172"/>
      <c r="W851" s="172"/>
      <c r="X851" s="172"/>
    </row>
    <row r="852" ht="15.75" customHeight="1">
      <c r="A852" s="183"/>
      <c r="D852" s="172"/>
      <c r="E852" s="172"/>
      <c r="F852" s="172"/>
      <c r="G852" s="172"/>
      <c r="H852" s="172"/>
      <c r="I852" s="172"/>
      <c r="J852" s="172"/>
      <c r="K852" s="172"/>
      <c r="L852" s="172"/>
      <c r="M852" s="172"/>
      <c r="N852" s="172"/>
      <c r="O852" s="172"/>
      <c r="P852" s="172"/>
      <c r="Q852" s="172"/>
      <c r="R852" s="172"/>
      <c r="S852" s="172"/>
      <c r="T852" s="172"/>
      <c r="U852" s="172"/>
      <c r="V852" s="172"/>
      <c r="W852" s="172"/>
      <c r="X852" s="172"/>
    </row>
    <row r="853" ht="15.75" customHeight="1">
      <c r="A853" s="183"/>
      <c r="D853" s="172"/>
      <c r="E853" s="172"/>
      <c r="F853" s="172"/>
      <c r="G853" s="172"/>
      <c r="H853" s="172"/>
      <c r="I853" s="172"/>
      <c r="J853" s="172"/>
      <c r="K853" s="172"/>
      <c r="L853" s="172"/>
      <c r="M853" s="172"/>
      <c r="N853" s="172"/>
      <c r="O853" s="172"/>
      <c r="P853" s="172"/>
      <c r="Q853" s="172"/>
      <c r="R853" s="172"/>
      <c r="S853" s="172"/>
      <c r="T853" s="172"/>
      <c r="U853" s="172"/>
      <c r="V853" s="172"/>
      <c r="W853" s="172"/>
      <c r="X853" s="172"/>
    </row>
    <row r="854" ht="15.75" customHeight="1">
      <c r="A854" s="183"/>
      <c r="D854" s="172"/>
      <c r="E854" s="172"/>
      <c r="F854" s="172"/>
      <c r="G854" s="172"/>
      <c r="H854" s="172"/>
      <c r="I854" s="172"/>
      <c r="J854" s="172"/>
      <c r="K854" s="172"/>
      <c r="L854" s="172"/>
      <c r="M854" s="172"/>
      <c r="N854" s="172"/>
      <c r="O854" s="172"/>
      <c r="P854" s="172"/>
      <c r="Q854" s="172"/>
      <c r="R854" s="172"/>
      <c r="S854" s="172"/>
      <c r="T854" s="172"/>
      <c r="U854" s="172"/>
      <c r="V854" s="172"/>
      <c r="W854" s="172"/>
      <c r="X854" s="172"/>
    </row>
    <row r="855" ht="15.75" customHeight="1">
      <c r="A855" s="183"/>
      <c r="D855" s="172"/>
      <c r="E855" s="172"/>
      <c r="F855" s="172"/>
      <c r="G855" s="172"/>
      <c r="H855" s="172"/>
      <c r="I855" s="172"/>
      <c r="J855" s="172"/>
      <c r="K855" s="172"/>
      <c r="L855" s="172"/>
      <c r="M855" s="172"/>
      <c r="N855" s="172"/>
      <c r="O855" s="172"/>
      <c r="P855" s="172"/>
      <c r="Q855" s="172"/>
      <c r="R855" s="172"/>
      <c r="S855" s="172"/>
      <c r="T855" s="172"/>
      <c r="U855" s="172"/>
      <c r="V855" s="172"/>
      <c r="W855" s="172"/>
      <c r="X855" s="172"/>
    </row>
    <row r="856" ht="15.75" customHeight="1">
      <c r="A856" s="183"/>
      <c r="D856" s="172"/>
      <c r="E856" s="172"/>
      <c r="F856" s="172"/>
      <c r="G856" s="172"/>
      <c r="H856" s="172"/>
      <c r="I856" s="172"/>
      <c r="J856" s="172"/>
      <c r="K856" s="172"/>
      <c r="L856" s="172"/>
      <c r="M856" s="172"/>
      <c r="N856" s="172"/>
      <c r="O856" s="172"/>
      <c r="P856" s="172"/>
      <c r="Q856" s="172"/>
      <c r="R856" s="172"/>
      <c r="S856" s="172"/>
      <c r="T856" s="172"/>
      <c r="U856" s="172"/>
      <c r="V856" s="172"/>
      <c r="W856" s="172"/>
      <c r="X856" s="172"/>
    </row>
    <row r="857" ht="15.75" customHeight="1">
      <c r="A857" s="183"/>
      <c r="D857" s="172"/>
      <c r="E857" s="172"/>
      <c r="F857" s="172"/>
      <c r="G857" s="172"/>
      <c r="H857" s="172"/>
      <c r="I857" s="172"/>
      <c r="J857" s="172"/>
      <c r="K857" s="172"/>
      <c r="L857" s="172"/>
      <c r="M857" s="172"/>
      <c r="N857" s="172"/>
      <c r="O857" s="172"/>
      <c r="P857" s="172"/>
      <c r="Q857" s="172"/>
      <c r="R857" s="172"/>
      <c r="S857" s="172"/>
      <c r="T857" s="172"/>
      <c r="U857" s="172"/>
      <c r="V857" s="172"/>
      <c r="W857" s="172"/>
      <c r="X857" s="172"/>
    </row>
    <row r="858" ht="15.75" customHeight="1">
      <c r="A858" s="183"/>
      <c r="D858" s="172"/>
      <c r="E858" s="172"/>
      <c r="F858" s="172"/>
      <c r="G858" s="172"/>
      <c r="H858" s="172"/>
      <c r="I858" s="172"/>
      <c r="J858" s="172"/>
      <c r="K858" s="172"/>
      <c r="L858" s="172"/>
      <c r="M858" s="172"/>
      <c r="N858" s="172"/>
      <c r="O858" s="172"/>
      <c r="P858" s="172"/>
      <c r="Q858" s="172"/>
      <c r="R858" s="172"/>
      <c r="S858" s="172"/>
      <c r="T858" s="172"/>
      <c r="U858" s="172"/>
      <c r="V858" s="172"/>
      <c r="W858" s="172"/>
      <c r="X858" s="172"/>
    </row>
    <row r="859" ht="15.75" customHeight="1">
      <c r="A859" s="183"/>
      <c r="D859" s="172"/>
      <c r="E859" s="172"/>
      <c r="F859" s="172"/>
      <c r="G859" s="172"/>
      <c r="H859" s="172"/>
      <c r="I859" s="172"/>
      <c r="J859" s="172"/>
      <c r="K859" s="172"/>
      <c r="L859" s="172"/>
      <c r="M859" s="172"/>
      <c r="N859" s="172"/>
      <c r="O859" s="172"/>
      <c r="P859" s="172"/>
      <c r="Q859" s="172"/>
      <c r="R859" s="172"/>
      <c r="S859" s="172"/>
      <c r="T859" s="172"/>
      <c r="U859" s="172"/>
      <c r="V859" s="172"/>
      <c r="W859" s="172"/>
      <c r="X859" s="172"/>
    </row>
    <row r="860" ht="15.75" customHeight="1">
      <c r="A860" s="183"/>
      <c r="D860" s="172"/>
      <c r="E860" s="172"/>
      <c r="F860" s="172"/>
      <c r="G860" s="172"/>
      <c r="H860" s="172"/>
      <c r="I860" s="172"/>
      <c r="J860" s="172"/>
      <c r="K860" s="172"/>
      <c r="L860" s="172"/>
      <c r="M860" s="172"/>
      <c r="N860" s="172"/>
      <c r="O860" s="172"/>
      <c r="P860" s="172"/>
      <c r="Q860" s="172"/>
      <c r="R860" s="172"/>
      <c r="S860" s="172"/>
      <c r="T860" s="172"/>
      <c r="U860" s="172"/>
      <c r="V860" s="172"/>
      <c r="W860" s="172"/>
      <c r="X860" s="172"/>
    </row>
    <row r="861" ht="15.75" customHeight="1">
      <c r="A861" s="183"/>
      <c r="D861" s="172"/>
      <c r="E861" s="172"/>
      <c r="F861" s="172"/>
      <c r="G861" s="172"/>
      <c r="H861" s="172"/>
      <c r="I861" s="172"/>
      <c r="J861" s="172"/>
      <c r="K861" s="172"/>
      <c r="L861" s="172"/>
      <c r="M861" s="172"/>
      <c r="N861" s="172"/>
      <c r="O861" s="172"/>
      <c r="P861" s="172"/>
      <c r="Q861" s="172"/>
      <c r="R861" s="172"/>
      <c r="S861" s="172"/>
      <c r="T861" s="172"/>
      <c r="U861" s="172"/>
      <c r="V861" s="172"/>
      <c r="W861" s="172"/>
      <c r="X861" s="172"/>
    </row>
    <row r="862" ht="15.75" customHeight="1">
      <c r="A862" s="183"/>
      <c r="D862" s="172"/>
      <c r="E862" s="172"/>
      <c r="F862" s="172"/>
      <c r="G862" s="172"/>
      <c r="H862" s="172"/>
      <c r="I862" s="172"/>
      <c r="J862" s="172"/>
      <c r="K862" s="172"/>
      <c r="L862" s="172"/>
      <c r="M862" s="172"/>
      <c r="N862" s="172"/>
      <c r="O862" s="172"/>
      <c r="P862" s="172"/>
      <c r="Q862" s="172"/>
      <c r="R862" s="172"/>
      <c r="S862" s="172"/>
      <c r="T862" s="172"/>
      <c r="U862" s="172"/>
      <c r="V862" s="172"/>
      <c r="W862" s="172"/>
      <c r="X862" s="172"/>
    </row>
    <row r="863" ht="15.75" customHeight="1">
      <c r="A863" s="183"/>
      <c r="D863" s="172"/>
      <c r="E863" s="172"/>
      <c r="F863" s="172"/>
      <c r="G863" s="172"/>
      <c r="H863" s="172"/>
      <c r="I863" s="172"/>
      <c r="J863" s="172"/>
      <c r="K863" s="172"/>
      <c r="L863" s="172"/>
      <c r="M863" s="172"/>
      <c r="N863" s="172"/>
      <c r="O863" s="172"/>
      <c r="P863" s="172"/>
      <c r="Q863" s="172"/>
      <c r="R863" s="172"/>
      <c r="S863" s="172"/>
      <c r="T863" s="172"/>
      <c r="U863" s="172"/>
      <c r="V863" s="172"/>
      <c r="W863" s="172"/>
      <c r="X863" s="172"/>
    </row>
    <row r="864" ht="15.75" customHeight="1">
      <c r="A864" s="183"/>
      <c r="D864" s="172"/>
      <c r="E864" s="172"/>
      <c r="F864" s="172"/>
      <c r="G864" s="172"/>
      <c r="H864" s="172"/>
      <c r="I864" s="172"/>
      <c r="J864" s="172"/>
      <c r="K864" s="172"/>
      <c r="L864" s="172"/>
      <c r="M864" s="172"/>
      <c r="N864" s="172"/>
      <c r="O864" s="172"/>
      <c r="P864" s="172"/>
      <c r="Q864" s="172"/>
      <c r="R864" s="172"/>
      <c r="S864" s="172"/>
      <c r="T864" s="172"/>
      <c r="U864" s="172"/>
      <c r="V864" s="172"/>
      <c r="W864" s="172"/>
      <c r="X864" s="172"/>
    </row>
    <row r="865" ht="15.75" customHeight="1">
      <c r="A865" s="183"/>
      <c r="D865" s="172"/>
      <c r="E865" s="172"/>
      <c r="F865" s="172"/>
      <c r="G865" s="172"/>
      <c r="H865" s="172"/>
      <c r="I865" s="172"/>
      <c r="J865" s="172"/>
      <c r="K865" s="172"/>
      <c r="L865" s="172"/>
      <c r="M865" s="172"/>
      <c r="N865" s="172"/>
      <c r="O865" s="172"/>
      <c r="P865" s="172"/>
      <c r="Q865" s="172"/>
      <c r="R865" s="172"/>
      <c r="S865" s="172"/>
      <c r="T865" s="172"/>
      <c r="U865" s="172"/>
      <c r="V865" s="172"/>
      <c r="W865" s="172"/>
      <c r="X865" s="172"/>
    </row>
    <row r="866" ht="15.75" customHeight="1">
      <c r="A866" s="183"/>
      <c r="D866" s="172"/>
      <c r="E866" s="172"/>
      <c r="F866" s="172"/>
      <c r="G866" s="172"/>
      <c r="H866" s="172"/>
      <c r="I866" s="172"/>
      <c r="J866" s="172"/>
      <c r="K866" s="172"/>
      <c r="L866" s="172"/>
      <c r="M866" s="172"/>
      <c r="N866" s="172"/>
      <c r="O866" s="172"/>
      <c r="P866" s="172"/>
      <c r="Q866" s="172"/>
      <c r="R866" s="172"/>
      <c r="S866" s="172"/>
      <c r="T866" s="172"/>
      <c r="U866" s="172"/>
      <c r="V866" s="172"/>
      <c r="W866" s="172"/>
      <c r="X866" s="172"/>
    </row>
    <row r="867" ht="15.75" customHeight="1">
      <c r="A867" s="183"/>
      <c r="D867" s="172"/>
      <c r="E867" s="172"/>
      <c r="F867" s="172"/>
      <c r="G867" s="172"/>
      <c r="H867" s="172"/>
      <c r="I867" s="172"/>
      <c r="J867" s="172"/>
      <c r="K867" s="172"/>
      <c r="L867" s="172"/>
      <c r="M867" s="172"/>
      <c r="N867" s="172"/>
      <c r="O867" s="172"/>
      <c r="P867" s="172"/>
      <c r="Q867" s="172"/>
      <c r="R867" s="172"/>
      <c r="S867" s="172"/>
      <c r="T867" s="172"/>
      <c r="U867" s="172"/>
      <c r="V867" s="172"/>
      <c r="W867" s="172"/>
      <c r="X867" s="172"/>
    </row>
    <row r="868" ht="15.75" customHeight="1">
      <c r="A868" s="183"/>
      <c r="D868" s="172"/>
      <c r="E868" s="172"/>
      <c r="F868" s="172"/>
      <c r="G868" s="172"/>
      <c r="H868" s="172"/>
      <c r="I868" s="172"/>
      <c r="J868" s="172"/>
      <c r="K868" s="172"/>
      <c r="L868" s="172"/>
      <c r="M868" s="172"/>
      <c r="N868" s="172"/>
      <c r="O868" s="172"/>
      <c r="P868" s="172"/>
      <c r="Q868" s="172"/>
      <c r="R868" s="172"/>
      <c r="S868" s="172"/>
      <c r="T868" s="172"/>
      <c r="U868" s="172"/>
      <c r="V868" s="172"/>
      <c r="W868" s="172"/>
      <c r="X868" s="172"/>
    </row>
    <row r="869" ht="15.75" customHeight="1">
      <c r="A869" s="183"/>
      <c r="D869" s="172"/>
      <c r="E869" s="172"/>
      <c r="F869" s="172"/>
      <c r="G869" s="172"/>
      <c r="H869" s="172"/>
      <c r="I869" s="172"/>
      <c r="J869" s="172"/>
      <c r="K869" s="172"/>
      <c r="L869" s="172"/>
      <c r="M869" s="172"/>
      <c r="N869" s="172"/>
      <c r="O869" s="172"/>
      <c r="P869" s="172"/>
      <c r="Q869" s="172"/>
      <c r="R869" s="172"/>
      <c r="S869" s="172"/>
      <c r="T869" s="172"/>
      <c r="U869" s="172"/>
      <c r="V869" s="172"/>
      <c r="W869" s="172"/>
      <c r="X869" s="172"/>
    </row>
    <row r="870" ht="15.75" customHeight="1">
      <c r="A870" s="183"/>
      <c r="D870" s="172"/>
      <c r="E870" s="172"/>
      <c r="F870" s="172"/>
      <c r="G870" s="172"/>
      <c r="H870" s="172"/>
      <c r="I870" s="172"/>
      <c r="J870" s="172"/>
      <c r="K870" s="172"/>
      <c r="L870" s="172"/>
      <c r="M870" s="172"/>
      <c r="N870" s="172"/>
      <c r="O870" s="172"/>
      <c r="P870" s="172"/>
      <c r="Q870" s="172"/>
      <c r="R870" s="172"/>
      <c r="S870" s="172"/>
      <c r="T870" s="172"/>
      <c r="U870" s="172"/>
      <c r="V870" s="172"/>
      <c r="W870" s="172"/>
      <c r="X870" s="172"/>
    </row>
    <row r="871" ht="15.75" customHeight="1">
      <c r="A871" s="183"/>
      <c r="D871" s="172"/>
      <c r="E871" s="172"/>
      <c r="F871" s="172"/>
      <c r="G871" s="172"/>
      <c r="H871" s="172"/>
      <c r="I871" s="172"/>
      <c r="J871" s="172"/>
      <c r="K871" s="172"/>
      <c r="L871" s="172"/>
      <c r="M871" s="172"/>
      <c r="N871" s="172"/>
      <c r="O871" s="172"/>
      <c r="P871" s="172"/>
      <c r="Q871" s="172"/>
      <c r="R871" s="172"/>
      <c r="S871" s="172"/>
      <c r="T871" s="172"/>
      <c r="U871" s="172"/>
      <c r="V871" s="172"/>
      <c r="W871" s="172"/>
      <c r="X871" s="172"/>
    </row>
    <row r="872" ht="15.75" customHeight="1">
      <c r="A872" s="183"/>
      <c r="D872" s="172"/>
      <c r="E872" s="172"/>
      <c r="F872" s="172"/>
      <c r="G872" s="172"/>
      <c r="H872" s="172"/>
      <c r="I872" s="172"/>
      <c r="J872" s="172"/>
      <c r="K872" s="172"/>
      <c r="L872" s="172"/>
      <c r="M872" s="172"/>
      <c r="N872" s="172"/>
      <c r="O872" s="172"/>
      <c r="P872" s="172"/>
      <c r="Q872" s="172"/>
      <c r="R872" s="172"/>
      <c r="S872" s="172"/>
      <c r="T872" s="172"/>
      <c r="U872" s="172"/>
      <c r="V872" s="172"/>
      <c r="W872" s="172"/>
      <c r="X872" s="172"/>
    </row>
    <row r="873" ht="15.75" customHeight="1">
      <c r="A873" s="183"/>
      <c r="D873" s="172"/>
      <c r="E873" s="172"/>
      <c r="F873" s="172"/>
      <c r="G873" s="172"/>
      <c r="H873" s="172"/>
      <c r="I873" s="172"/>
      <c r="J873" s="172"/>
      <c r="K873" s="172"/>
      <c r="L873" s="172"/>
      <c r="M873" s="172"/>
      <c r="N873" s="172"/>
      <c r="O873" s="172"/>
      <c r="P873" s="172"/>
      <c r="Q873" s="172"/>
      <c r="R873" s="172"/>
      <c r="S873" s="172"/>
      <c r="T873" s="172"/>
      <c r="U873" s="172"/>
      <c r="V873" s="172"/>
      <c r="W873" s="172"/>
      <c r="X873" s="172"/>
    </row>
    <row r="874" ht="15.75" customHeight="1">
      <c r="A874" s="183"/>
      <c r="D874" s="172"/>
      <c r="E874" s="172"/>
      <c r="F874" s="172"/>
      <c r="G874" s="172"/>
      <c r="H874" s="172"/>
      <c r="I874" s="172"/>
      <c r="J874" s="172"/>
      <c r="K874" s="172"/>
      <c r="L874" s="172"/>
      <c r="M874" s="172"/>
      <c r="N874" s="172"/>
      <c r="O874" s="172"/>
      <c r="P874" s="172"/>
      <c r="Q874" s="172"/>
      <c r="R874" s="172"/>
      <c r="S874" s="172"/>
      <c r="T874" s="172"/>
      <c r="U874" s="172"/>
      <c r="V874" s="172"/>
      <c r="W874" s="172"/>
      <c r="X874" s="172"/>
    </row>
    <row r="875" ht="15.75" customHeight="1">
      <c r="A875" s="183"/>
      <c r="D875" s="172"/>
      <c r="E875" s="172"/>
      <c r="F875" s="172"/>
      <c r="G875" s="172"/>
      <c r="H875" s="172"/>
      <c r="I875" s="172"/>
      <c r="J875" s="172"/>
      <c r="K875" s="172"/>
      <c r="L875" s="172"/>
      <c r="M875" s="172"/>
      <c r="N875" s="172"/>
      <c r="O875" s="172"/>
      <c r="P875" s="172"/>
      <c r="Q875" s="172"/>
      <c r="R875" s="172"/>
      <c r="S875" s="172"/>
      <c r="T875" s="172"/>
      <c r="U875" s="172"/>
      <c r="V875" s="172"/>
      <c r="W875" s="172"/>
      <c r="X875" s="172"/>
    </row>
    <row r="876" ht="15.75" customHeight="1">
      <c r="A876" s="183"/>
      <c r="D876" s="172"/>
      <c r="E876" s="172"/>
      <c r="F876" s="172"/>
      <c r="G876" s="172"/>
      <c r="H876" s="172"/>
      <c r="I876" s="172"/>
      <c r="J876" s="172"/>
      <c r="K876" s="172"/>
      <c r="L876" s="172"/>
      <c r="M876" s="172"/>
      <c r="N876" s="172"/>
      <c r="O876" s="172"/>
      <c r="P876" s="172"/>
      <c r="Q876" s="172"/>
      <c r="R876" s="172"/>
      <c r="S876" s="172"/>
      <c r="T876" s="172"/>
      <c r="U876" s="172"/>
      <c r="V876" s="172"/>
      <c r="W876" s="172"/>
      <c r="X876" s="172"/>
    </row>
    <row r="877" ht="15.75" customHeight="1">
      <c r="A877" s="183"/>
      <c r="D877" s="172"/>
      <c r="E877" s="172"/>
      <c r="F877" s="172"/>
      <c r="G877" s="172"/>
      <c r="H877" s="172"/>
      <c r="I877" s="172"/>
      <c r="J877" s="172"/>
      <c r="K877" s="172"/>
      <c r="L877" s="172"/>
      <c r="M877" s="172"/>
      <c r="N877" s="172"/>
      <c r="O877" s="172"/>
      <c r="P877" s="172"/>
      <c r="Q877" s="172"/>
      <c r="R877" s="172"/>
      <c r="S877" s="172"/>
      <c r="T877" s="172"/>
      <c r="U877" s="172"/>
      <c r="V877" s="172"/>
      <c r="W877" s="172"/>
      <c r="X877" s="172"/>
    </row>
    <row r="878" ht="15.75" customHeight="1">
      <c r="A878" s="183"/>
      <c r="D878" s="172"/>
      <c r="E878" s="172"/>
      <c r="F878" s="172"/>
      <c r="G878" s="172"/>
      <c r="H878" s="172"/>
      <c r="I878" s="172"/>
      <c r="J878" s="172"/>
      <c r="K878" s="172"/>
      <c r="L878" s="172"/>
      <c r="M878" s="172"/>
      <c r="N878" s="172"/>
      <c r="O878" s="172"/>
      <c r="P878" s="172"/>
      <c r="Q878" s="172"/>
      <c r="R878" s="172"/>
      <c r="S878" s="172"/>
      <c r="T878" s="172"/>
      <c r="U878" s="172"/>
      <c r="V878" s="172"/>
      <c r="W878" s="172"/>
      <c r="X878" s="172"/>
    </row>
    <row r="879" ht="15.75" customHeight="1">
      <c r="A879" s="183"/>
      <c r="D879" s="172"/>
      <c r="E879" s="172"/>
      <c r="F879" s="172"/>
      <c r="G879" s="172"/>
      <c r="H879" s="172"/>
      <c r="I879" s="172"/>
      <c r="J879" s="172"/>
      <c r="K879" s="172"/>
      <c r="L879" s="172"/>
      <c r="M879" s="172"/>
      <c r="N879" s="172"/>
      <c r="O879" s="172"/>
      <c r="P879" s="172"/>
      <c r="Q879" s="172"/>
      <c r="R879" s="172"/>
      <c r="S879" s="172"/>
      <c r="T879" s="172"/>
      <c r="U879" s="172"/>
      <c r="V879" s="172"/>
      <c r="W879" s="172"/>
      <c r="X879" s="172"/>
    </row>
    <row r="880" ht="15.75" customHeight="1">
      <c r="A880" s="183"/>
      <c r="D880" s="172"/>
      <c r="E880" s="172"/>
      <c r="F880" s="172"/>
      <c r="G880" s="172"/>
      <c r="H880" s="172"/>
      <c r="I880" s="172"/>
      <c r="J880" s="172"/>
      <c r="K880" s="172"/>
      <c r="L880" s="172"/>
      <c r="M880" s="172"/>
      <c r="N880" s="172"/>
      <c r="O880" s="172"/>
      <c r="P880" s="172"/>
      <c r="Q880" s="172"/>
      <c r="R880" s="172"/>
      <c r="S880" s="172"/>
      <c r="T880" s="172"/>
      <c r="U880" s="172"/>
      <c r="V880" s="172"/>
      <c r="W880" s="172"/>
      <c r="X880" s="172"/>
    </row>
    <row r="881" ht="15.75" customHeight="1">
      <c r="A881" s="183"/>
      <c r="D881" s="172"/>
      <c r="E881" s="172"/>
      <c r="F881" s="172"/>
      <c r="G881" s="172"/>
      <c r="H881" s="172"/>
      <c r="I881" s="172"/>
      <c r="J881" s="172"/>
      <c r="K881" s="172"/>
      <c r="L881" s="172"/>
      <c r="M881" s="172"/>
      <c r="N881" s="172"/>
      <c r="O881" s="172"/>
      <c r="P881" s="172"/>
      <c r="Q881" s="172"/>
      <c r="R881" s="172"/>
      <c r="S881" s="172"/>
      <c r="T881" s="172"/>
      <c r="U881" s="172"/>
      <c r="V881" s="172"/>
      <c r="W881" s="172"/>
      <c r="X881" s="172"/>
    </row>
    <row r="882" ht="15.75" customHeight="1">
      <c r="A882" s="183"/>
      <c r="D882" s="172"/>
      <c r="E882" s="172"/>
      <c r="F882" s="172"/>
      <c r="G882" s="172"/>
      <c r="H882" s="172"/>
      <c r="I882" s="172"/>
      <c r="J882" s="172"/>
      <c r="K882" s="172"/>
      <c r="L882" s="172"/>
      <c r="M882" s="172"/>
      <c r="N882" s="172"/>
      <c r="O882" s="172"/>
      <c r="P882" s="172"/>
      <c r="Q882" s="172"/>
      <c r="R882" s="172"/>
      <c r="S882" s="172"/>
      <c r="T882" s="172"/>
      <c r="U882" s="172"/>
      <c r="V882" s="172"/>
      <c r="W882" s="172"/>
      <c r="X882" s="172"/>
    </row>
    <row r="883" ht="15.75" customHeight="1">
      <c r="A883" s="183"/>
      <c r="D883" s="172"/>
      <c r="E883" s="172"/>
      <c r="F883" s="172"/>
      <c r="G883" s="172"/>
      <c r="H883" s="172"/>
      <c r="I883" s="172"/>
      <c r="J883" s="172"/>
      <c r="K883" s="172"/>
      <c r="L883" s="172"/>
      <c r="M883" s="172"/>
      <c r="N883" s="172"/>
      <c r="O883" s="172"/>
      <c r="P883" s="172"/>
      <c r="Q883" s="172"/>
      <c r="R883" s="172"/>
      <c r="S883" s="172"/>
      <c r="T883" s="172"/>
      <c r="U883" s="172"/>
      <c r="V883" s="172"/>
      <c r="W883" s="172"/>
      <c r="X883" s="172"/>
    </row>
    <row r="884" ht="15.75" customHeight="1">
      <c r="A884" s="183"/>
      <c r="D884" s="172"/>
      <c r="E884" s="172"/>
      <c r="F884" s="172"/>
      <c r="G884" s="172"/>
      <c r="H884" s="172"/>
      <c r="I884" s="172"/>
      <c r="J884" s="172"/>
      <c r="K884" s="172"/>
      <c r="L884" s="172"/>
      <c r="M884" s="172"/>
      <c r="N884" s="172"/>
      <c r="O884" s="172"/>
      <c r="P884" s="172"/>
      <c r="Q884" s="172"/>
      <c r="R884" s="172"/>
      <c r="S884" s="172"/>
      <c r="T884" s="172"/>
      <c r="U884" s="172"/>
      <c r="V884" s="172"/>
      <c r="W884" s="172"/>
      <c r="X884" s="172"/>
    </row>
    <row r="885" ht="15.75" customHeight="1">
      <c r="A885" s="183"/>
      <c r="D885" s="172"/>
      <c r="E885" s="172"/>
      <c r="F885" s="172"/>
      <c r="G885" s="172"/>
      <c r="H885" s="172"/>
      <c r="I885" s="172"/>
      <c r="J885" s="172"/>
      <c r="K885" s="172"/>
      <c r="L885" s="172"/>
      <c r="M885" s="172"/>
      <c r="N885" s="172"/>
      <c r="O885" s="172"/>
      <c r="P885" s="172"/>
      <c r="Q885" s="172"/>
      <c r="R885" s="172"/>
      <c r="S885" s="172"/>
      <c r="T885" s="172"/>
      <c r="U885" s="172"/>
      <c r="V885" s="172"/>
      <c r="W885" s="172"/>
      <c r="X885" s="172"/>
    </row>
    <row r="886" ht="15.75" customHeight="1">
      <c r="A886" s="183"/>
      <c r="D886" s="172"/>
      <c r="E886" s="172"/>
      <c r="F886" s="172"/>
      <c r="G886" s="172"/>
      <c r="H886" s="172"/>
      <c r="I886" s="172"/>
      <c r="J886" s="172"/>
      <c r="K886" s="172"/>
      <c r="L886" s="172"/>
      <c r="M886" s="172"/>
      <c r="N886" s="172"/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</row>
    <row r="887" ht="15.75" customHeight="1">
      <c r="A887" s="183"/>
      <c r="D887" s="172"/>
      <c r="E887" s="172"/>
      <c r="F887" s="172"/>
      <c r="G887" s="172"/>
      <c r="H887" s="172"/>
      <c r="I887" s="172"/>
      <c r="J887" s="172"/>
      <c r="K887" s="172"/>
      <c r="L887" s="172"/>
      <c r="M887" s="172"/>
      <c r="N887" s="172"/>
      <c r="O887" s="172"/>
      <c r="P887" s="172"/>
      <c r="Q887" s="172"/>
      <c r="R887" s="172"/>
      <c r="S887" s="172"/>
      <c r="T887" s="172"/>
      <c r="U887" s="172"/>
      <c r="V887" s="172"/>
      <c r="W887" s="172"/>
      <c r="X887" s="172"/>
    </row>
    <row r="888" ht="15.75" customHeight="1">
      <c r="A888" s="183"/>
      <c r="D888" s="172"/>
      <c r="E888" s="172"/>
      <c r="F888" s="172"/>
      <c r="G888" s="172"/>
      <c r="H888" s="172"/>
      <c r="I888" s="172"/>
      <c r="J888" s="172"/>
      <c r="K888" s="172"/>
      <c r="L888" s="172"/>
      <c r="M888" s="172"/>
      <c r="N888" s="172"/>
      <c r="O888" s="172"/>
      <c r="P888" s="172"/>
      <c r="Q888" s="172"/>
      <c r="R888" s="172"/>
      <c r="S888" s="172"/>
      <c r="T888" s="172"/>
      <c r="U888" s="172"/>
      <c r="V888" s="172"/>
      <c r="W888" s="172"/>
      <c r="X888" s="172"/>
    </row>
    <row r="889" ht="15.75" customHeight="1">
      <c r="A889" s="183"/>
      <c r="D889" s="172"/>
      <c r="E889" s="172"/>
      <c r="F889" s="172"/>
      <c r="G889" s="172"/>
      <c r="H889" s="172"/>
      <c r="I889" s="172"/>
      <c r="J889" s="172"/>
      <c r="K889" s="172"/>
      <c r="L889" s="172"/>
      <c r="M889" s="172"/>
      <c r="N889" s="172"/>
      <c r="O889" s="172"/>
      <c r="P889" s="172"/>
      <c r="Q889" s="172"/>
      <c r="R889" s="172"/>
      <c r="S889" s="172"/>
      <c r="T889" s="172"/>
      <c r="U889" s="172"/>
      <c r="V889" s="172"/>
      <c r="W889" s="172"/>
      <c r="X889" s="172"/>
    </row>
    <row r="890" ht="15.75" customHeight="1">
      <c r="A890" s="183"/>
      <c r="D890" s="172"/>
      <c r="E890" s="172"/>
      <c r="F890" s="172"/>
      <c r="G890" s="172"/>
      <c r="H890" s="172"/>
      <c r="I890" s="172"/>
      <c r="J890" s="172"/>
      <c r="K890" s="172"/>
      <c r="L890" s="172"/>
      <c r="M890" s="172"/>
      <c r="N890" s="172"/>
      <c r="O890" s="172"/>
      <c r="P890" s="172"/>
      <c r="Q890" s="172"/>
      <c r="R890" s="172"/>
      <c r="S890" s="172"/>
      <c r="T890" s="172"/>
      <c r="U890" s="172"/>
      <c r="V890" s="172"/>
      <c r="W890" s="172"/>
      <c r="X890" s="172"/>
    </row>
    <row r="891" ht="15.75" customHeight="1">
      <c r="A891" s="183"/>
      <c r="D891" s="172"/>
      <c r="E891" s="172"/>
      <c r="F891" s="172"/>
      <c r="G891" s="172"/>
      <c r="H891" s="172"/>
      <c r="I891" s="172"/>
      <c r="J891" s="172"/>
      <c r="K891" s="172"/>
      <c r="L891" s="172"/>
      <c r="M891" s="172"/>
      <c r="N891" s="172"/>
      <c r="O891" s="172"/>
      <c r="P891" s="172"/>
      <c r="Q891" s="172"/>
      <c r="R891" s="172"/>
      <c r="S891" s="172"/>
      <c r="T891" s="172"/>
      <c r="U891" s="172"/>
      <c r="V891" s="172"/>
      <c r="W891" s="172"/>
      <c r="X891" s="172"/>
    </row>
    <row r="892" ht="15.75" customHeight="1">
      <c r="A892" s="183"/>
      <c r="D892" s="172"/>
      <c r="E892" s="172"/>
      <c r="F892" s="172"/>
      <c r="G892" s="172"/>
      <c r="H892" s="172"/>
      <c r="I892" s="172"/>
      <c r="J892" s="172"/>
      <c r="K892" s="172"/>
      <c r="L892" s="172"/>
      <c r="M892" s="172"/>
      <c r="N892" s="172"/>
      <c r="O892" s="172"/>
      <c r="P892" s="172"/>
      <c r="Q892" s="172"/>
      <c r="R892" s="172"/>
      <c r="S892" s="172"/>
      <c r="T892" s="172"/>
      <c r="U892" s="172"/>
      <c r="V892" s="172"/>
      <c r="W892" s="172"/>
      <c r="X892" s="172"/>
    </row>
    <row r="893" ht="15.75" customHeight="1">
      <c r="A893" s="183"/>
      <c r="D893" s="172"/>
      <c r="E893" s="172"/>
      <c r="F893" s="172"/>
      <c r="G893" s="172"/>
      <c r="H893" s="172"/>
      <c r="I893" s="172"/>
      <c r="J893" s="172"/>
      <c r="K893" s="172"/>
      <c r="L893" s="172"/>
      <c r="M893" s="172"/>
      <c r="N893" s="172"/>
      <c r="O893" s="172"/>
      <c r="P893" s="172"/>
      <c r="Q893" s="172"/>
      <c r="R893" s="172"/>
      <c r="S893" s="172"/>
      <c r="T893" s="172"/>
      <c r="U893" s="172"/>
      <c r="V893" s="172"/>
      <c r="W893" s="172"/>
      <c r="X893" s="172"/>
    </row>
    <row r="894" ht="15.75" customHeight="1">
      <c r="A894" s="183"/>
      <c r="D894" s="172"/>
      <c r="E894" s="172"/>
      <c r="F894" s="172"/>
      <c r="G894" s="172"/>
      <c r="H894" s="172"/>
      <c r="I894" s="172"/>
      <c r="J894" s="172"/>
      <c r="K894" s="172"/>
      <c r="L894" s="172"/>
      <c r="M894" s="172"/>
      <c r="N894" s="172"/>
      <c r="O894" s="172"/>
      <c r="P894" s="172"/>
      <c r="Q894" s="172"/>
      <c r="R894" s="172"/>
      <c r="S894" s="172"/>
      <c r="T894" s="172"/>
      <c r="U894" s="172"/>
      <c r="V894" s="172"/>
      <c r="W894" s="172"/>
      <c r="X894" s="172"/>
    </row>
    <row r="895" ht="15.75" customHeight="1">
      <c r="A895" s="183"/>
      <c r="D895" s="172"/>
      <c r="E895" s="172"/>
      <c r="F895" s="172"/>
      <c r="G895" s="172"/>
      <c r="H895" s="172"/>
      <c r="I895" s="172"/>
      <c r="J895" s="172"/>
      <c r="K895" s="172"/>
      <c r="L895" s="172"/>
      <c r="M895" s="172"/>
      <c r="N895" s="172"/>
      <c r="O895" s="172"/>
      <c r="P895" s="172"/>
      <c r="Q895" s="172"/>
      <c r="R895" s="172"/>
      <c r="S895" s="172"/>
      <c r="T895" s="172"/>
      <c r="U895" s="172"/>
      <c r="V895" s="172"/>
      <c r="W895" s="172"/>
      <c r="X895" s="172"/>
    </row>
    <row r="896" ht="15.75" customHeight="1">
      <c r="A896" s="183"/>
      <c r="D896" s="172"/>
      <c r="E896" s="172"/>
      <c r="F896" s="172"/>
      <c r="G896" s="172"/>
      <c r="H896" s="172"/>
      <c r="I896" s="172"/>
      <c r="J896" s="172"/>
      <c r="K896" s="172"/>
      <c r="L896" s="172"/>
      <c r="M896" s="172"/>
      <c r="N896" s="172"/>
      <c r="O896" s="172"/>
      <c r="P896" s="172"/>
      <c r="Q896" s="172"/>
      <c r="R896" s="172"/>
      <c r="S896" s="172"/>
      <c r="T896" s="172"/>
      <c r="U896" s="172"/>
      <c r="V896" s="172"/>
      <c r="W896" s="172"/>
      <c r="X896" s="172"/>
    </row>
    <row r="897" ht="15.75" customHeight="1">
      <c r="A897" s="183"/>
      <c r="D897" s="172"/>
      <c r="E897" s="172"/>
      <c r="F897" s="172"/>
      <c r="G897" s="172"/>
      <c r="H897" s="172"/>
      <c r="I897" s="172"/>
      <c r="J897" s="172"/>
      <c r="K897" s="172"/>
      <c r="L897" s="172"/>
      <c r="M897" s="172"/>
      <c r="N897" s="172"/>
      <c r="O897" s="172"/>
      <c r="P897" s="172"/>
      <c r="Q897" s="172"/>
      <c r="R897" s="172"/>
      <c r="S897" s="172"/>
      <c r="T897" s="172"/>
      <c r="U897" s="172"/>
      <c r="V897" s="172"/>
      <c r="W897" s="172"/>
      <c r="X897" s="172"/>
    </row>
    <row r="898" ht="15.75" customHeight="1">
      <c r="A898" s="183"/>
      <c r="D898" s="172"/>
      <c r="E898" s="172"/>
      <c r="F898" s="172"/>
      <c r="G898" s="172"/>
      <c r="H898" s="172"/>
      <c r="I898" s="172"/>
      <c r="J898" s="172"/>
      <c r="K898" s="172"/>
      <c r="L898" s="172"/>
      <c r="M898" s="172"/>
      <c r="N898" s="172"/>
      <c r="O898" s="172"/>
      <c r="P898" s="172"/>
      <c r="Q898" s="172"/>
      <c r="R898" s="172"/>
      <c r="S898" s="172"/>
      <c r="T898" s="172"/>
      <c r="U898" s="172"/>
      <c r="V898" s="172"/>
      <c r="W898" s="172"/>
      <c r="X898" s="172"/>
    </row>
    <row r="899" ht="15.75" customHeight="1">
      <c r="A899" s="183"/>
      <c r="D899" s="172"/>
      <c r="E899" s="172"/>
      <c r="F899" s="172"/>
      <c r="G899" s="172"/>
      <c r="H899" s="172"/>
      <c r="I899" s="172"/>
      <c r="J899" s="172"/>
      <c r="K899" s="172"/>
      <c r="L899" s="172"/>
      <c r="M899" s="172"/>
      <c r="N899" s="172"/>
      <c r="O899" s="172"/>
      <c r="P899" s="172"/>
      <c r="Q899" s="172"/>
      <c r="R899" s="172"/>
      <c r="S899" s="172"/>
      <c r="T899" s="172"/>
      <c r="U899" s="172"/>
      <c r="V899" s="172"/>
      <c r="W899" s="172"/>
      <c r="X899" s="172"/>
    </row>
    <row r="900" ht="15.75" customHeight="1">
      <c r="A900" s="183"/>
      <c r="D900" s="172"/>
      <c r="E900" s="172"/>
      <c r="F900" s="172"/>
      <c r="G900" s="172"/>
      <c r="H900" s="172"/>
      <c r="I900" s="172"/>
      <c r="J900" s="172"/>
      <c r="K900" s="172"/>
      <c r="L900" s="172"/>
      <c r="M900" s="172"/>
      <c r="N900" s="172"/>
      <c r="O900" s="172"/>
      <c r="P900" s="172"/>
      <c r="Q900" s="172"/>
      <c r="R900" s="172"/>
      <c r="S900" s="172"/>
      <c r="T900" s="172"/>
      <c r="U900" s="172"/>
      <c r="V900" s="172"/>
      <c r="W900" s="172"/>
      <c r="X900" s="172"/>
    </row>
    <row r="901" ht="15.75" customHeight="1">
      <c r="A901" s="183"/>
      <c r="D901" s="172"/>
      <c r="E901" s="172"/>
      <c r="F901" s="172"/>
      <c r="G901" s="172"/>
      <c r="H901" s="172"/>
      <c r="I901" s="172"/>
      <c r="J901" s="172"/>
      <c r="K901" s="172"/>
      <c r="L901" s="172"/>
      <c r="M901" s="172"/>
      <c r="N901" s="172"/>
      <c r="O901" s="172"/>
      <c r="P901" s="172"/>
      <c r="Q901" s="172"/>
      <c r="R901" s="172"/>
      <c r="S901" s="172"/>
      <c r="T901" s="172"/>
      <c r="U901" s="172"/>
      <c r="V901" s="172"/>
      <c r="W901" s="172"/>
      <c r="X901" s="172"/>
    </row>
    <row r="902" ht="15.75" customHeight="1">
      <c r="A902" s="183"/>
      <c r="D902" s="172"/>
      <c r="E902" s="172"/>
      <c r="F902" s="172"/>
      <c r="G902" s="172"/>
      <c r="H902" s="172"/>
      <c r="I902" s="172"/>
      <c r="J902" s="172"/>
      <c r="K902" s="172"/>
      <c r="L902" s="172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</row>
    <row r="903" ht="15.75" customHeight="1">
      <c r="A903" s="183"/>
      <c r="D903" s="172"/>
      <c r="E903" s="172"/>
      <c r="F903" s="172"/>
      <c r="G903" s="172"/>
      <c r="H903" s="172"/>
      <c r="I903" s="172"/>
      <c r="J903" s="172"/>
      <c r="K903" s="172"/>
      <c r="L903" s="172"/>
      <c r="M903" s="172"/>
      <c r="N903" s="172"/>
      <c r="O903" s="172"/>
      <c r="P903" s="172"/>
      <c r="Q903" s="172"/>
      <c r="R903" s="172"/>
      <c r="S903" s="172"/>
      <c r="T903" s="172"/>
      <c r="U903" s="172"/>
      <c r="V903" s="172"/>
      <c r="W903" s="172"/>
      <c r="X903" s="172"/>
    </row>
    <row r="904" ht="15.75" customHeight="1">
      <c r="A904" s="183"/>
      <c r="D904" s="172"/>
      <c r="E904" s="172"/>
      <c r="F904" s="172"/>
      <c r="G904" s="172"/>
      <c r="H904" s="172"/>
      <c r="I904" s="172"/>
      <c r="J904" s="172"/>
      <c r="K904" s="172"/>
      <c r="L904" s="172"/>
      <c r="M904" s="172"/>
      <c r="N904" s="172"/>
      <c r="O904" s="172"/>
      <c r="P904" s="172"/>
      <c r="Q904" s="172"/>
      <c r="R904" s="172"/>
      <c r="S904" s="172"/>
      <c r="T904" s="172"/>
      <c r="U904" s="172"/>
      <c r="V904" s="172"/>
      <c r="W904" s="172"/>
      <c r="X904" s="172"/>
    </row>
    <row r="905" ht="15.75" customHeight="1">
      <c r="A905" s="183"/>
      <c r="D905" s="172"/>
      <c r="E905" s="172"/>
      <c r="F905" s="172"/>
      <c r="G905" s="172"/>
      <c r="H905" s="172"/>
      <c r="I905" s="172"/>
      <c r="J905" s="172"/>
      <c r="K905" s="172"/>
      <c r="L905" s="172"/>
      <c r="M905" s="172"/>
      <c r="N905" s="172"/>
      <c r="O905" s="172"/>
      <c r="P905" s="172"/>
      <c r="Q905" s="172"/>
      <c r="R905" s="172"/>
      <c r="S905" s="172"/>
      <c r="T905" s="172"/>
      <c r="U905" s="172"/>
      <c r="V905" s="172"/>
      <c r="W905" s="172"/>
      <c r="X905" s="172"/>
    </row>
    <row r="906" ht="15.75" customHeight="1">
      <c r="A906" s="183"/>
      <c r="D906" s="172"/>
      <c r="E906" s="172"/>
      <c r="F906" s="172"/>
      <c r="G906" s="172"/>
      <c r="H906" s="172"/>
      <c r="I906" s="172"/>
      <c r="J906" s="172"/>
      <c r="K906" s="172"/>
      <c r="L906" s="172"/>
      <c r="M906" s="172"/>
      <c r="N906" s="172"/>
      <c r="O906" s="172"/>
      <c r="P906" s="172"/>
      <c r="Q906" s="172"/>
      <c r="R906" s="172"/>
      <c r="S906" s="172"/>
      <c r="T906" s="172"/>
      <c r="U906" s="172"/>
      <c r="V906" s="172"/>
      <c r="W906" s="172"/>
      <c r="X906" s="172"/>
    </row>
    <row r="907" ht="15.75" customHeight="1">
      <c r="A907" s="183"/>
      <c r="D907" s="172"/>
      <c r="E907" s="172"/>
      <c r="F907" s="172"/>
      <c r="G907" s="172"/>
      <c r="H907" s="172"/>
      <c r="I907" s="172"/>
      <c r="J907" s="172"/>
      <c r="K907" s="172"/>
      <c r="L907" s="172"/>
      <c r="M907" s="172"/>
      <c r="N907" s="172"/>
      <c r="O907" s="172"/>
      <c r="P907" s="172"/>
      <c r="Q907" s="172"/>
      <c r="R907" s="172"/>
      <c r="S907" s="172"/>
      <c r="T907" s="172"/>
      <c r="U907" s="172"/>
      <c r="V907" s="172"/>
      <c r="W907" s="172"/>
      <c r="X907" s="172"/>
    </row>
    <row r="908" ht="15.75" customHeight="1">
      <c r="A908" s="183"/>
      <c r="D908" s="172"/>
      <c r="E908" s="172"/>
      <c r="F908" s="172"/>
      <c r="G908" s="172"/>
      <c r="H908" s="172"/>
      <c r="I908" s="172"/>
      <c r="J908" s="172"/>
      <c r="K908" s="172"/>
      <c r="L908" s="172"/>
      <c r="M908" s="172"/>
      <c r="N908" s="172"/>
      <c r="O908" s="172"/>
      <c r="P908" s="172"/>
      <c r="Q908" s="172"/>
      <c r="R908" s="172"/>
      <c r="S908" s="172"/>
      <c r="T908" s="172"/>
      <c r="U908" s="172"/>
      <c r="V908" s="172"/>
      <c r="W908" s="172"/>
      <c r="X908" s="172"/>
    </row>
    <row r="909" ht="15.75" customHeight="1">
      <c r="A909" s="183"/>
      <c r="D909" s="172"/>
      <c r="E909" s="172"/>
      <c r="F909" s="172"/>
      <c r="G909" s="172"/>
      <c r="H909" s="172"/>
      <c r="I909" s="172"/>
      <c r="J909" s="172"/>
      <c r="K909" s="172"/>
      <c r="L909" s="172"/>
      <c r="M909" s="172"/>
      <c r="N909" s="172"/>
      <c r="O909" s="172"/>
      <c r="P909" s="172"/>
      <c r="Q909" s="172"/>
      <c r="R909" s="172"/>
      <c r="S909" s="172"/>
      <c r="T909" s="172"/>
      <c r="U909" s="172"/>
      <c r="V909" s="172"/>
      <c r="W909" s="172"/>
      <c r="X909" s="172"/>
    </row>
    <row r="910" ht="15.75" customHeight="1">
      <c r="A910" s="183"/>
      <c r="D910" s="172"/>
      <c r="E910" s="172"/>
      <c r="F910" s="172"/>
      <c r="G910" s="172"/>
      <c r="H910" s="172"/>
      <c r="I910" s="172"/>
      <c r="J910" s="172"/>
      <c r="K910" s="172"/>
      <c r="L910" s="172"/>
      <c r="M910" s="172"/>
      <c r="N910" s="172"/>
      <c r="O910" s="172"/>
      <c r="P910" s="172"/>
      <c r="Q910" s="172"/>
      <c r="R910" s="172"/>
      <c r="S910" s="172"/>
      <c r="T910" s="172"/>
      <c r="U910" s="172"/>
      <c r="V910" s="172"/>
      <c r="W910" s="172"/>
      <c r="X910" s="172"/>
    </row>
    <row r="911" ht="15.75" customHeight="1">
      <c r="A911" s="183"/>
      <c r="D911" s="172"/>
      <c r="E911" s="172"/>
      <c r="F911" s="172"/>
      <c r="G911" s="172"/>
      <c r="H911" s="172"/>
      <c r="I911" s="172"/>
      <c r="J911" s="172"/>
      <c r="K911" s="172"/>
      <c r="L911" s="172"/>
      <c r="M911" s="172"/>
      <c r="N911" s="172"/>
      <c r="O911" s="172"/>
      <c r="P911" s="172"/>
      <c r="Q911" s="172"/>
      <c r="R911" s="172"/>
      <c r="S911" s="172"/>
      <c r="T911" s="172"/>
      <c r="U911" s="172"/>
      <c r="V911" s="172"/>
      <c r="W911" s="172"/>
      <c r="X911" s="172"/>
    </row>
    <row r="912" ht="15.75" customHeight="1">
      <c r="A912" s="183"/>
      <c r="D912" s="172"/>
      <c r="E912" s="172"/>
      <c r="F912" s="172"/>
      <c r="G912" s="172"/>
      <c r="H912" s="172"/>
      <c r="I912" s="172"/>
      <c r="J912" s="172"/>
      <c r="K912" s="172"/>
      <c r="L912" s="172"/>
      <c r="M912" s="172"/>
      <c r="N912" s="172"/>
      <c r="O912" s="172"/>
      <c r="P912" s="172"/>
      <c r="Q912" s="172"/>
      <c r="R912" s="172"/>
      <c r="S912" s="172"/>
      <c r="T912" s="172"/>
      <c r="U912" s="172"/>
      <c r="V912" s="172"/>
      <c r="W912" s="172"/>
      <c r="X912" s="172"/>
    </row>
    <row r="913" ht="15.75" customHeight="1">
      <c r="A913" s="183"/>
      <c r="D913" s="172"/>
      <c r="E913" s="172"/>
      <c r="F913" s="172"/>
      <c r="G913" s="172"/>
      <c r="H913" s="172"/>
      <c r="I913" s="172"/>
      <c r="J913" s="172"/>
      <c r="K913" s="172"/>
      <c r="L913" s="172"/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  <c r="X913" s="172"/>
    </row>
    <row r="914" ht="15.75" customHeight="1">
      <c r="A914" s="183"/>
      <c r="D914" s="172"/>
      <c r="E914" s="172"/>
      <c r="F914" s="172"/>
      <c r="G914" s="172"/>
      <c r="H914" s="172"/>
      <c r="I914" s="172"/>
      <c r="J914" s="172"/>
      <c r="K914" s="172"/>
      <c r="L914" s="172"/>
      <c r="M914" s="172"/>
      <c r="N914" s="172"/>
      <c r="O914" s="172"/>
      <c r="P914" s="172"/>
      <c r="Q914" s="172"/>
      <c r="R914" s="172"/>
      <c r="S914" s="172"/>
      <c r="T914" s="172"/>
      <c r="U914" s="172"/>
      <c r="V914" s="172"/>
      <c r="W914" s="172"/>
      <c r="X914" s="172"/>
    </row>
    <row r="915" ht="15.75" customHeight="1">
      <c r="A915" s="183"/>
      <c r="D915" s="172"/>
      <c r="E915" s="172"/>
      <c r="F915" s="172"/>
      <c r="G915" s="172"/>
      <c r="H915" s="172"/>
      <c r="I915" s="172"/>
      <c r="J915" s="172"/>
      <c r="K915" s="172"/>
      <c r="L915" s="172"/>
      <c r="M915" s="172"/>
      <c r="N915" s="172"/>
      <c r="O915" s="172"/>
      <c r="P915" s="172"/>
      <c r="Q915" s="172"/>
      <c r="R915" s="172"/>
      <c r="S915" s="172"/>
      <c r="T915" s="172"/>
      <c r="U915" s="172"/>
      <c r="V915" s="172"/>
      <c r="W915" s="172"/>
      <c r="X915" s="172"/>
    </row>
    <row r="916" ht="15.75" customHeight="1">
      <c r="A916" s="183"/>
      <c r="D916" s="172"/>
      <c r="E916" s="172"/>
      <c r="F916" s="172"/>
      <c r="G916" s="172"/>
      <c r="H916" s="172"/>
      <c r="I916" s="172"/>
      <c r="J916" s="172"/>
      <c r="K916" s="172"/>
      <c r="L916" s="172"/>
      <c r="M916" s="172"/>
      <c r="N916" s="172"/>
      <c r="O916" s="172"/>
      <c r="P916" s="172"/>
      <c r="Q916" s="172"/>
      <c r="R916" s="172"/>
      <c r="S916" s="172"/>
      <c r="T916" s="172"/>
      <c r="U916" s="172"/>
      <c r="V916" s="172"/>
      <c r="W916" s="172"/>
      <c r="X916" s="172"/>
    </row>
    <row r="917" ht="15.75" customHeight="1">
      <c r="A917" s="183"/>
      <c r="D917" s="172"/>
      <c r="E917" s="172"/>
      <c r="F917" s="172"/>
      <c r="G917" s="172"/>
      <c r="H917" s="172"/>
      <c r="I917" s="172"/>
      <c r="J917" s="172"/>
      <c r="K917" s="172"/>
      <c r="L917" s="172"/>
      <c r="M917" s="172"/>
      <c r="N917" s="172"/>
      <c r="O917" s="172"/>
      <c r="P917" s="172"/>
      <c r="Q917" s="172"/>
      <c r="R917" s="172"/>
      <c r="S917" s="172"/>
      <c r="T917" s="172"/>
      <c r="U917" s="172"/>
      <c r="V917" s="172"/>
      <c r="W917" s="172"/>
      <c r="X917" s="172"/>
    </row>
    <row r="918" ht="15.75" customHeight="1">
      <c r="A918" s="183"/>
      <c r="D918" s="172"/>
      <c r="E918" s="172"/>
      <c r="F918" s="172"/>
      <c r="G918" s="172"/>
      <c r="H918" s="172"/>
      <c r="I918" s="172"/>
      <c r="J918" s="172"/>
      <c r="K918" s="172"/>
      <c r="L918" s="172"/>
      <c r="M918" s="172"/>
      <c r="N918" s="172"/>
      <c r="O918" s="172"/>
      <c r="P918" s="172"/>
      <c r="Q918" s="172"/>
      <c r="R918" s="172"/>
      <c r="S918" s="172"/>
      <c r="T918" s="172"/>
      <c r="U918" s="172"/>
      <c r="V918" s="172"/>
      <c r="W918" s="172"/>
      <c r="X918" s="172"/>
    </row>
    <row r="919" ht="15.75" customHeight="1">
      <c r="A919" s="183"/>
      <c r="D919" s="172"/>
      <c r="E919" s="172"/>
      <c r="F919" s="172"/>
      <c r="G919" s="172"/>
      <c r="H919" s="172"/>
      <c r="I919" s="172"/>
      <c r="J919" s="172"/>
      <c r="K919" s="172"/>
      <c r="L919" s="172"/>
      <c r="M919" s="172"/>
      <c r="N919" s="172"/>
      <c r="O919" s="172"/>
      <c r="P919" s="172"/>
      <c r="Q919" s="172"/>
      <c r="R919" s="172"/>
      <c r="S919" s="172"/>
      <c r="T919" s="172"/>
      <c r="U919" s="172"/>
      <c r="V919" s="172"/>
      <c r="W919" s="172"/>
      <c r="X919" s="172"/>
    </row>
    <row r="920" ht="15.75" customHeight="1">
      <c r="A920" s="183"/>
      <c r="D920" s="172"/>
      <c r="E920" s="172"/>
      <c r="F920" s="172"/>
      <c r="G920" s="172"/>
      <c r="H920" s="172"/>
      <c r="I920" s="172"/>
      <c r="J920" s="172"/>
      <c r="K920" s="172"/>
      <c r="L920" s="172"/>
      <c r="M920" s="172"/>
      <c r="N920" s="172"/>
      <c r="O920" s="172"/>
      <c r="P920" s="172"/>
      <c r="Q920" s="172"/>
      <c r="R920" s="172"/>
      <c r="S920" s="172"/>
      <c r="T920" s="172"/>
      <c r="U920" s="172"/>
      <c r="V920" s="172"/>
      <c r="W920" s="172"/>
      <c r="X920" s="172"/>
    </row>
    <row r="921" ht="15.75" customHeight="1">
      <c r="A921" s="183"/>
      <c r="D921" s="172"/>
      <c r="E921" s="172"/>
      <c r="F921" s="172"/>
      <c r="G921" s="172"/>
      <c r="H921" s="172"/>
      <c r="I921" s="172"/>
      <c r="J921" s="172"/>
      <c r="K921" s="172"/>
      <c r="L921" s="172"/>
      <c r="M921" s="172"/>
      <c r="N921" s="172"/>
      <c r="O921" s="172"/>
      <c r="P921" s="172"/>
      <c r="Q921" s="172"/>
      <c r="R921" s="172"/>
      <c r="S921" s="172"/>
      <c r="T921" s="172"/>
      <c r="U921" s="172"/>
      <c r="V921" s="172"/>
      <c r="W921" s="172"/>
      <c r="X921" s="172"/>
    </row>
    <row r="922" ht="15.75" customHeight="1">
      <c r="A922" s="183"/>
      <c r="D922" s="172"/>
      <c r="E922" s="172"/>
      <c r="F922" s="172"/>
      <c r="G922" s="172"/>
      <c r="H922" s="172"/>
      <c r="I922" s="172"/>
      <c r="J922" s="172"/>
      <c r="K922" s="172"/>
      <c r="L922" s="172"/>
      <c r="M922" s="172"/>
      <c r="N922" s="172"/>
      <c r="O922" s="172"/>
      <c r="P922" s="172"/>
      <c r="Q922" s="172"/>
      <c r="R922" s="172"/>
      <c r="S922" s="172"/>
      <c r="T922" s="172"/>
      <c r="U922" s="172"/>
      <c r="V922" s="172"/>
      <c r="W922" s="172"/>
      <c r="X922" s="172"/>
    </row>
    <row r="923" ht="15.75" customHeight="1">
      <c r="A923" s="183"/>
      <c r="D923" s="172"/>
      <c r="E923" s="172"/>
      <c r="F923" s="172"/>
      <c r="G923" s="172"/>
      <c r="H923" s="172"/>
      <c r="I923" s="172"/>
      <c r="J923" s="172"/>
      <c r="K923" s="172"/>
      <c r="L923" s="172"/>
      <c r="M923" s="172"/>
      <c r="N923" s="172"/>
      <c r="O923" s="172"/>
      <c r="P923" s="172"/>
      <c r="Q923" s="172"/>
      <c r="R923" s="172"/>
      <c r="S923" s="172"/>
      <c r="T923" s="172"/>
      <c r="U923" s="172"/>
      <c r="V923" s="172"/>
      <c r="W923" s="172"/>
      <c r="X923" s="172"/>
    </row>
    <row r="924" ht="15.75" customHeight="1">
      <c r="A924" s="183"/>
      <c r="D924" s="172"/>
      <c r="E924" s="172"/>
      <c r="F924" s="172"/>
      <c r="G924" s="172"/>
      <c r="H924" s="172"/>
      <c r="I924" s="172"/>
      <c r="J924" s="172"/>
      <c r="K924" s="172"/>
      <c r="L924" s="172"/>
      <c r="M924" s="172"/>
      <c r="N924" s="172"/>
      <c r="O924" s="172"/>
      <c r="P924" s="172"/>
      <c r="Q924" s="172"/>
      <c r="R924" s="172"/>
      <c r="S924" s="172"/>
      <c r="T924" s="172"/>
      <c r="U924" s="172"/>
      <c r="V924" s="172"/>
      <c r="W924" s="172"/>
      <c r="X924" s="172"/>
    </row>
    <row r="925" ht="15.75" customHeight="1">
      <c r="A925" s="183"/>
      <c r="D925" s="172"/>
      <c r="E925" s="172"/>
      <c r="F925" s="172"/>
      <c r="G925" s="172"/>
      <c r="H925" s="172"/>
      <c r="I925" s="172"/>
      <c r="J925" s="172"/>
      <c r="K925" s="172"/>
      <c r="L925" s="172"/>
      <c r="M925" s="172"/>
      <c r="N925" s="172"/>
      <c r="O925" s="172"/>
      <c r="P925" s="172"/>
      <c r="Q925" s="172"/>
      <c r="R925" s="172"/>
      <c r="S925" s="172"/>
      <c r="T925" s="172"/>
      <c r="U925" s="172"/>
      <c r="V925" s="172"/>
      <c r="W925" s="172"/>
      <c r="X925" s="172"/>
    </row>
    <row r="926" ht="15.75" customHeight="1">
      <c r="A926" s="183"/>
      <c r="D926" s="172"/>
      <c r="E926" s="172"/>
      <c r="F926" s="172"/>
      <c r="G926" s="172"/>
      <c r="H926" s="172"/>
      <c r="I926" s="172"/>
      <c r="J926" s="172"/>
      <c r="K926" s="172"/>
      <c r="L926" s="172"/>
      <c r="M926" s="172"/>
      <c r="N926" s="172"/>
      <c r="O926" s="172"/>
      <c r="P926" s="172"/>
      <c r="Q926" s="172"/>
      <c r="R926" s="172"/>
      <c r="S926" s="172"/>
      <c r="T926" s="172"/>
      <c r="U926" s="172"/>
      <c r="V926" s="172"/>
      <c r="W926" s="172"/>
      <c r="X926" s="172"/>
    </row>
    <row r="927" ht="15.75" customHeight="1">
      <c r="A927" s="183"/>
      <c r="D927" s="172"/>
      <c r="E927" s="172"/>
      <c r="F927" s="172"/>
      <c r="G927" s="172"/>
      <c r="H927" s="172"/>
      <c r="I927" s="172"/>
      <c r="J927" s="172"/>
      <c r="K927" s="172"/>
      <c r="L927" s="172"/>
      <c r="M927" s="172"/>
      <c r="N927" s="172"/>
      <c r="O927" s="172"/>
      <c r="P927" s="172"/>
      <c r="Q927" s="172"/>
      <c r="R927" s="172"/>
      <c r="S927" s="172"/>
      <c r="T927" s="172"/>
      <c r="U927" s="172"/>
      <c r="V927" s="172"/>
      <c r="W927" s="172"/>
      <c r="X927" s="172"/>
    </row>
    <row r="928" ht="15.75" customHeight="1">
      <c r="A928" s="183"/>
      <c r="D928" s="172"/>
      <c r="E928" s="172"/>
      <c r="F928" s="172"/>
      <c r="G928" s="172"/>
      <c r="H928" s="172"/>
      <c r="I928" s="172"/>
      <c r="J928" s="172"/>
      <c r="K928" s="172"/>
      <c r="L928" s="172"/>
      <c r="M928" s="172"/>
      <c r="N928" s="172"/>
      <c r="O928" s="172"/>
      <c r="P928" s="172"/>
      <c r="Q928" s="172"/>
      <c r="R928" s="172"/>
      <c r="S928" s="172"/>
      <c r="T928" s="172"/>
      <c r="U928" s="172"/>
      <c r="V928" s="172"/>
      <c r="W928" s="172"/>
      <c r="X928" s="172"/>
    </row>
    <row r="929" ht="15.75" customHeight="1">
      <c r="A929" s="183"/>
      <c r="D929" s="172"/>
      <c r="E929" s="172"/>
      <c r="F929" s="172"/>
      <c r="G929" s="172"/>
      <c r="H929" s="172"/>
      <c r="I929" s="172"/>
      <c r="J929" s="172"/>
      <c r="K929" s="172"/>
      <c r="L929" s="172"/>
      <c r="M929" s="172"/>
      <c r="N929" s="172"/>
      <c r="O929" s="172"/>
      <c r="P929" s="172"/>
      <c r="Q929" s="172"/>
      <c r="R929" s="172"/>
      <c r="S929" s="172"/>
      <c r="T929" s="172"/>
      <c r="U929" s="172"/>
      <c r="V929" s="172"/>
      <c r="W929" s="172"/>
      <c r="X929" s="172"/>
    </row>
    <row r="930" ht="15.75" customHeight="1">
      <c r="A930" s="183"/>
      <c r="D930" s="172"/>
      <c r="E930" s="172"/>
      <c r="F930" s="172"/>
      <c r="G930" s="172"/>
      <c r="H930" s="172"/>
      <c r="I930" s="172"/>
      <c r="J930" s="172"/>
      <c r="K930" s="172"/>
      <c r="L930" s="172"/>
      <c r="M930" s="172"/>
      <c r="N930" s="172"/>
      <c r="O930" s="172"/>
      <c r="P930" s="172"/>
      <c r="Q930" s="172"/>
      <c r="R930" s="172"/>
      <c r="S930" s="172"/>
      <c r="T930" s="172"/>
      <c r="U930" s="172"/>
      <c r="V930" s="172"/>
      <c r="W930" s="172"/>
      <c r="X930" s="172"/>
    </row>
    <row r="931" ht="15.75" customHeight="1">
      <c r="A931" s="183"/>
      <c r="D931" s="172"/>
      <c r="E931" s="172"/>
      <c r="F931" s="172"/>
      <c r="G931" s="172"/>
      <c r="H931" s="172"/>
      <c r="I931" s="172"/>
      <c r="J931" s="172"/>
      <c r="K931" s="172"/>
      <c r="L931" s="172"/>
      <c r="M931" s="172"/>
      <c r="N931" s="172"/>
      <c r="O931" s="172"/>
      <c r="P931" s="172"/>
      <c r="Q931" s="172"/>
      <c r="R931" s="172"/>
      <c r="S931" s="172"/>
      <c r="T931" s="172"/>
      <c r="U931" s="172"/>
      <c r="V931" s="172"/>
      <c r="W931" s="172"/>
      <c r="X931" s="172"/>
    </row>
    <row r="932" ht="15.75" customHeight="1">
      <c r="A932" s="183"/>
      <c r="D932" s="172"/>
      <c r="E932" s="172"/>
      <c r="F932" s="172"/>
      <c r="G932" s="172"/>
      <c r="H932" s="172"/>
      <c r="I932" s="172"/>
      <c r="J932" s="172"/>
      <c r="K932" s="172"/>
      <c r="L932" s="172"/>
      <c r="M932" s="172"/>
      <c r="N932" s="172"/>
      <c r="O932" s="172"/>
      <c r="P932" s="172"/>
      <c r="Q932" s="172"/>
      <c r="R932" s="172"/>
      <c r="S932" s="172"/>
      <c r="T932" s="172"/>
      <c r="U932" s="172"/>
      <c r="V932" s="172"/>
      <c r="W932" s="172"/>
      <c r="X932" s="172"/>
    </row>
    <row r="933" ht="15.75" customHeight="1">
      <c r="A933" s="183"/>
      <c r="D933" s="172"/>
      <c r="E933" s="172"/>
      <c r="F933" s="172"/>
      <c r="G933" s="172"/>
      <c r="H933" s="172"/>
      <c r="I933" s="172"/>
      <c r="J933" s="172"/>
      <c r="K933" s="172"/>
      <c r="L933" s="172"/>
      <c r="M933" s="172"/>
      <c r="N933" s="172"/>
      <c r="O933" s="172"/>
      <c r="P933" s="172"/>
      <c r="Q933" s="172"/>
      <c r="R933" s="172"/>
      <c r="S933" s="172"/>
      <c r="T933" s="172"/>
      <c r="U933" s="172"/>
      <c r="V933" s="172"/>
      <c r="W933" s="172"/>
      <c r="X933" s="172"/>
    </row>
    <row r="934" ht="15.75" customHeight="1">
      <c r="A934" s="183"/>
      <c r="D934" s="172"/>
      <c r="E934" s="172"/>
      <c r="F934" s="172"/>
      <c r="G934" s="172"/>
      <c r="H934" s="172"/>
      <c r="I934" s="172"/>
      <c r="J934" s="172"/>
      <c r="K934" s="172"/>
      <c r="L934" s="172"/>
      <c r="M934" s="172"/>
      <c r="N934" s="172"/>
      <c r="O934" s="172"/>
      <c r="P934" s="172"/>
      <c r="Q934" s="172"/>
      <c r="R934" s="172"/>
      <c r="S934" s="172"/>
      <c r="T934" s="172"/>
      <c r="U934" s="172"/>
      <c r="V934" s="172"/>
      <c r="W934" s="172"/>
      <c r="X934" s="172"/>
    </row>
    <row r="935" ht="15.75" customHeight="1">
      <c r="A935" s="183"/>
      <c r="D935" s="172"/>
      <c r="E935" s="172"/>
      <c r="F935" s="172"/>
      <c r="G935" s="172"/>
      <c r="H935" s="172"/>
      <c r="I935" s="172"/>
      <c r="J935" s="172"/>
      <c r="K935" s="172"/>
      <c r="L935" s="172"/>
      <c r="M935" s="172"/>
      <c r="N935" s="172"/>
      <c r="O935" s="172"/>
      <c r="P935" s="172"/>
      <c r="Q935" s="172"/>
      <c r="R935" s="172"/>
      <c r="S935" s="172"/>
      <c r="T935" s="172"/>
      <c r="U935" s="172"/>
      <c r="V935" s="172"/>
      <c r="W935" s="172"/>
      <c r="X935" s="172"/>
    </row>
    <row r="936" ht="15.75" customHeight="1">
      <c r="A936" s="183"/>
      <c r="D936" s="172"/>
      <c r="E936" s="172"/>
      <c r="F936" s="172"/>
      <c r="G936" s="172"/>
      <c r="H936" s="172"/>
      <c r="I936" s="172"/>
      <c r="J936" s="172"/>
      <c r="K936" s="172"/>
      <c r="L936" s="172"/>
      <c r="M936" s="172"/>
      <c r="N936" s="172"/>
      <c r="O936" s="172"/>
      <c r="P936" s="172"/>
      <c r="Q936" s="172"/>
      <c r="R936" s="172"/>
      <c r="S936" s="172"/>
      <c r="T936" s="172"/>
      <c r="U936" s="172"/>
      <c r="V936" s="172"/>
      <c r="W936" s="172"/>
      <c r="X936" s="172"/>
    </row>
    <row r="937" ht="15.75" customHeight="1">
      <c r="A937" s="183"/>
      <c r="D937" s="172"/>
      <c r="E937" s="172"/>
      <c r="F937" s="172"/>
      <c r="G937" s="172"/>
      <c r="H937" s="172"/>
      <c r="I937" s="172"/>
      <c r="J937" s="172"/>
      <c r="K937" s="172"/>
      <c r="L937" s="172"/>
      <c r="M937" s="172"/>
      <c r="N937" s="172"/>
      <c r="O937" s="172"/>
      <c r="P937" s="172"/>
      <c r="Q937" s="172"/>
      <c r="R937" s="172"/>
      <c r="S937" s="172"/>
      <c r="T937" s="172"/>
      <c r="U937" s="172"/>
      <c r="V937" s="172"/>
      <c r="W937" s="172"/>
      <c r="X937" s="172"/>
    </row>
    <row r="938" ht="15.75" customHeight="1">
      <c r="A938" s="183"/>
      <c r="D938" s="172"/>
      <c r="E938" s="172"/>
      <c r="F938" s="172"/>
      <c r="G938" s="172"/>
      <c r="H938" s="172"/>
      <c r="I938" s="172"/>
      <c r="J938" s="172"/>
      <c r="K938" s="172"/>
      <c r="L938" s="172"/>
      <c r="M938" s="172"/>
      <c r="N938" s="172"/>
      <c r="O938" s="172"/>
      <c r="P938" s="172"/>
      <c r="Q938" s="172"/>
      <c r="R938" s="172"/>
      <c r="S938" s="172"/>
      <c r="T938" s="172"/>
      <c r="U938" s="172"/>
      <c r="V938" s="172"/>
      <c r="W938" s="172"/>
      <c r="X938" s="172"/>
    </row>
    <row r="939" ht="15.75" customHeight="1">
      <c r="A939" s="183"/>
      <c r="D939" s="172"/>
      <c r="E939" s="172"/>
      <c r="F939" s="172"/>
      <c r="G939" s="172"/>
      <c r="H939" s="172"/>
      <c r="I939" s="172"/>
      <c r="J939" s="172"/>
      <c r="K939" s="172"/>
      <c r="L939" s="172"/>
      <c r="M939" s="172"/>
      <c r="N939" s="172"/>
      <c r="O939" s="172"/>
      <c r="P939" s="172"/>
      <c r="Q939" s="172"/>
      <c r="R939" s="172"/>
      <c r="S939" s="172"/>
      <c r="T939" s="172"/>
      <c r="U939" s="172"/>
      <c r="V939" s="172"/>
      <c r="W939" s="172"/>
      <c r="X939" s="172"/>
    </row>
    <row r="940" ht="15.75" customHeight="1">
      <c r="A940" s="183"/>
      <c r="D940" s="172"/>
      <c r="E940" s="172"/>
      <c r="F940" s="172"/>
      <c r="G940" s="172"/>
      <c r="H940" s="172"/>
      <c r="I940" s="172"/>
      <c r="J940" s="172"/>
      <c r="K940" s="172"/>
      <c r="L940" s="172"/>
      <c r="M940" s="172"/>
      <c r="N940" s="172"/>
      <c r="O940" s="172"/>
      <c r="P940" s="172"/>
      <c r="Q940" s="172"/>
      <c r="R940" s="172"/>
      <c r="S940" s="172"/>
      <c r="T940" s="172"/>
      <c r="U940" s="172"/>
      <c r="V940" s="172"/>
      <c r="W940" s="172"/>
      <c r="X940" s="172"/>
    </row>
    <row r="941" ht="15.75" customHeight="1">
      <c r="A941" s="183"/>
      <c r="D941" s="172"/>
      <c r="E941" s="172"/>
      <c r="F941" s="172"/>
      <c r="G941" s="172"/>
      <c r="H941" s="172"/>
      <c r="I941" s="172"/>
      <c r="J941" s="172"/>
      <c r="K941" s="172"/>
      <c r="L941" s="172"/>
      <c r="M941" s="172"/>
      <c r="N941" s="172"/>
      <c r="O941" s="172"/>
      <c r="P941" s="172"/>
      <c r="Q941" s="172"/>
      <c r="R941" s="172"/>
      <c r="S941" s="172"/>
      <c r="T941" s="172"/>
      <c r="U941" s="172"/>
      <c r="V941" s="172"/>
      <c r="W941" s="172"/>
      <c r="X941" s="172"/>
    </row>
    <row r="942" ht="15.75" customHeight="1">
      <c r="A942" s="183"/>
      <c r="D942" s="172"/>
      <c r="E942" s="172"/>
      <c r="F942" s="172"/>
      <c r="G942" s="172"/>
      <c r="H942" s="172"/>
      <c r="I942" s="172"/>
      <c r="J942" s="172"/>
      <c r="K942" s="172"/>
      <c r="L942" s="172"/>
      <c r="M942" s="172"/>
      <c r="N942" s="172"/>
      <c r="O942" s="172"/>
      <c r="P942" s="172"/>
      <c r="Q942" s="172"/>
      <c r="R942" s="172"/>
      <c r="S942" s="172"/>
      <c r="T942" s="172"/>
      <c r="U942" s="172"/>
      <c r="V942" s="172"/>
      <c r="W942" s="172"/>
      <c r="X942" s="172"/>
    </row>
    <row r="943" ht="15.75" customHeight="1">
      <c r="A943" s="183"/>
      <c r="D943" s="172"/>
      <c r="E943" s="172"/>
      <c r="F943" s="172"/>
      <c r="G943" s="172"/>
      <c r="H943" s="172"/>
      <c r="I943" s="172"/>
      <c r="J943" s="172"/>
      <c r="K943" s="172"/>
      <c r="L943" s="172"/>
      <c r="M943" s="172"/>
      <c r="N943" s="172"/>
      <c r="O943" s="172"/>
      <c r="P943" s="172"/>
      <c r="Q943" s="172"/>
      <c r="R943" s="172"/>
      <c r="S943" s="172"/>
      <c r="T943" s="172"/>
      <c r="U943" s="172"/>
      <c r="V943" s="172"/>
      <c r="W943" s="172"/>
      <c r="X943" s="172"/>
    </row>
    <row r="944" ht="15.75" customHeight="1">
      <c r="A944" s="183"/>
      <c r="D944" s="172"/>
      <c r="E944" s="172"/>
      <c r="F944" s="172"/>
      <c r="G944" s="172"/>
      <c r="H944" s="172"/>
      <c r="I944" s="172"/>
      <c r="J944" s="172"/>
      <c r="K944" s="172"/>
      <c r="L944" s="172"/>
      <c r="M944" s="172"/>
      <c r="N944" s="172"/>
      <c r="O944" s="172"/>
      <c r="P944" s="172"/>
      <c r="Q944" s="172"/>
      <c r="R944" s="172"/>
      <c r="S944" s="172"/>
      <c r="T944" s="172"/>
      <c r="U944" s="172"/>
      <c r="V944" s="172"/>
      <c r="W944" s="172"/>
      <c r="X944" s="172"/>
    </row>
    <row r="945" ht="15.75" customHeight="1">
      <c r="A945" s="183"/>
      <c r="D945" s="172"/>
      <c r="E945" s="172"/>
      <c r="F945" s="172"/>
      <c r="G945" s="172"/>
      <c r="H945" s="172"/>
      <c r="I945" s="172"/>
      <c r="J945" s="172"/>
      <c r="K945" s="172"/>
      <c r="L945" s="172"/>
      <c r="M945" s="172"/>
      <c r="N945" s="172"/>
      <c r="O945" s="172"/>
      <c r="P945" s="172"/>
      <c r="Q945" s="172"/>
      <c r="R945" s="172"/>
      <c r="S945" s="172"/>
      <c r="T945" s="172"/>
      <c r="U945" s="172"/>
      <c r="V945" s="172"/>
      <c r="W945" s="172"/>
      <c r="X945" s="172"/>
    </row>
    <row r="946" ht="15.75" customHeight="1">
      <c r="A946" s="183"/>
      <c r="D946" s="172"/>
      <c r="E946" s="172"/>
      <c r="F946" s="172"/>
      <c r="G946" s="172"/>
      <c r="H946" s="172"/>
      <c r="I946" s="172"/>
      <c r="J946" s="172"/>
      <c r="K946" s="172"/>
      <c r="L946" s="172"/>
      <c r="M946" s="172"/>
      <c r="N946" s="172"/>
      <c r="O946" s="172"/>
      <c r="P946" s="172"/>
      <c r="Q946" s="172"/>
      <c r="R946" s="172"/>
      <c r="S946" s="172"/>
      <c r="T946" s="172"/>
      <c r="U946" s="172"/>
      <c r="V946" s="172"/>
      <c r="W946" s="172"/>
      <c r="X946" s="172"/>
    </row>
    <row r="947" ht="15.75" customHeight="1">
      <c r="A947" s="183"/>
      <c r="D947" s="172"/>
      <c r="E947" s="172"/>
      <c r="F947" s="172"/>
      <c r="G947" s="172"/>
      <c r="H947" s="172"/>
      <c r="I947" s="172"/>
      <c r="J947" s="172"/>
      <c r="K947" s="172"/>
      <c r="L947" s="172"/>
      <c r="M947" s="172"/>
      <c r="N947" s="172"/>
      <c r="O947" s="172"/>
      <c r="P947" s="172"/>
      <c r="Q947" s="172"/>
      <c r="R947" s="172"/>
      <c r="S947" s="172"/>
      <c r="T947" s="172"/>
      <c r="U947" s="172"/>
      <c r="V947" s="172"/>
      <c r="W947" s="172"/>
      <c r="X947" s="172"/>
    </row>
    <row r="948" ht="15.75" customHeight="1">
      <c r="A948" s="183"/>
      <c r="D948" s="172"/>
      <c r="E948" s="172"/>
      <c r="F948" s="172"/>
      <c r="G948" s="172"/>
      <c r="H948" s="172"/>
      <c r="I948" s="172"/>
      <c r="J948" s="172"/>
      <c r="K948" s="172"/>
      <c r="L948" s="172"/>
      <c r="M948" s="172"/>
      <c r="N948" s="172"/>
      <c r="O948" s="172"/>
      <c r="P948" s="172"/>
      <c r="Q948" s="172"/>
      <c r="R948" s="172"/>
      <c r="S948" s="172"/>
      <c r="T948" s="172"/>
      <c r="U948" s="172"/>
      <c r="V948" s="172"/>
      <c r="W948" s="172"/>
      <c r="X948" s="172"/>
    </row>
    <row r="949" ht="15.75" customHeight="1">
      <c r="A949" s="183"/>
      <c r="D949" s="172"/>
      <c r="E949" s="172"/>
      <c r="F949" s="172"/>
      <c r="G949" s="172"/>
      <c r="H949" s="172"/>
      <c r="I949" s="172"/>
      <c r="J949" s="172"/>
      <c r="K949" s="172"/>
      <c r="L949" s="172"/>
      <c r="M949" s="172"/>
      <c r="N949" s="172"/>
      <c r="O949" s="172"/>
      <c r="P949" s="172"/>
      <c r="Q949" s="172"/>
      <c r="R949" s="172"/>
      <c r="S949" s="172"/>
      <c r="T949" s="172"/>
      <c r="U949" s="172"/>
      <c r="V949" s="172"/>
      <c r="W949" s="172"/>
      <c r="X949" s="172"/>
    </row>
    <row r="950" ht="15.75" customHeight="1">
      <c r="A950" s="183"/>
      <c r="D950" s="172"/>
      <c r="E950" s="172"/>
      <c r="F950" s="172"/>
      <c r="G950" s="172"/>
      <c r="H950" s="172"/>
      <c r="I950" s="172"/>
      <c r="J950" s="172"/>
      <c r="K950" s="172"/>
      <c r="L950" s="172"/>
      <c r="M950" s="172"/>
      <c r="N950" s="172"/>
      <c r="O950" s="172"/>
      <c r="P950" s="172"/>
      <c r="Q950" s="172"/>
      <c r="R950" s="172"/>
      <c r="S950" s="172"/>
      <c r="T950" s="172"/>
      <c r="U950" s="172"/>
      <c r="V950" s="172"/>
      <c r="W950" s="172"/>
      <c r="X950" s="172"/>
    </row>
    <row r="951" ht="15.75" customHeight="1">
      <c r="A951" s="183"/>
      <c r="D951" s="172"/>
      <c r="E951" s="172"/>
      <c r="F951" s="172"/>
      <c r="G951" s="172"/>
      <c r="H951" s="172"/>
      <c r="I951" s="172"/>
      <c r="J951" s="172"/>
      <c r="K951" s="172"/>
      <c r="L951" s="172"/>
      <c r="M951" s="172"/>
      <c r="N951" s="172"/>
      <c r="O951" s="172"/>
      <c r="P951" s="172"/>
      <c r="Q951" s="172"/>
      <c r="R951" s="172"/>
      <c r="S951" s="172"/>
      <c r="T951" s="172"/>
      <c r="U951" s="172"/>
      <c r="V951" s="172"/>
      <c r="W951" s="172"/>
      <c r="X951" s="172"/>
    </row>
    <row r="952" ht="15.75" customHeight="1">
      <c r="A952" s="183"/>
      <c r="D952" s="172"/>
      <c r="E952" s="172"/>
      <c r="F952" s="172"/>
      <c r="G952" s="172"/>
      <c r="H952" s="172"/>
      <c r="I952" s="172"/>
      <c r="J952" s="172"/>
      <c r="K952" s="172"/>
      <c r="L952" s="172"/>
      <c r="M952" s="172"/>
      <c r="N952" s="172"/>
      <c r="O952" s="172"/>
      <c r="P952" s="172"/>
      <c r="Q952" s="172"/>
      <c r="R952" s="172"/>
      <c r="S952" s="172"/>
      <c r="T952" s="172"/>
      <c r="U952" s="172"/>
      <c r="V952" s="172"/>
      <c r="W952" s="172"/>
      <c r="X952" s="172"/>
    </row>
    <row r="953" ht="15.75" customHeight="1">
      <c r="A953" s="183"/>
      <c r="D953" s="172"/>
      <c r="E953" s="172"/>
      <c r="F953" s="172"/>
      <c r="G953" s="172"/>
      <c r="H953" s="172"/>
      <c r="I953" s="172"/>
      <c r="J953" s="172"/>
      <c r="K953" s="172"/>
      <c r="L953" s="172"/>
      <c r="M953" s="172"/>
      <c r="N953" s="172"/>
      <c r="O953" s="172"/>
      <c r="P953" s="172"/>
      <c r="Q953" s="172"/>
      <c r="R953" s="172"/>
      <c r="S953" s="172"/>
      <c r="T953" s="172"/>
      <c r="U953" s="172"/>
      <c r="V953" s="172"/>
      <c r="W953" s="172"/>
      <c r="X953" s="172"/>
    </row>
    <row r="954" ht="15.75" customHeight="1">
      <c r="A954" s="183"/>
      <c r="D954" s="172"/>
      <c r="E954" s="172"/>
      <c r="F954" s="172"/>
      <c r="G954" s="172"/>
      <c r="H954" s="172"/>
      <c r="I954" s="172"/>
      <c r="J954" s="172"/>
      <c r="K954" s="172"/>
      <c r="L954" s="172"/>
      <c r="M954" s="172"/>
      <c r="N954" s="172"/>
      <c r="O954" s="172"/>
      <c r="P954" s="172"/>
      <c r="Q954" s="172"/>
      <c r="R954" s="172"/>
      <c r="S954" s="172"/>
      <c r="T954" s="172"/>
      <c r="U954" s="172"/>
      <c r="V954" s="172"/>
      <c r="W954" s="172"/>
      <c r="X954" s="172"/>
    </row>
    <row r="955" ht="15.75" customHeight="1">
      <c r="A955" s="183"/>
      <c r="D955" s="172"/>
      <c r="E955" s="172"/>
      <c r="F955" s="172"/>
      <c r="G955" s="172"/>
      <c r="H955" s="172"/>
      <c r="I955" s="172"/>
      <c r="J955" s="172"/>
      <c r="K955" s="172"/>
      <c r="L955" s="172"/>
      <c r="M955" s="172"/>
      <c r="N955" s="172"/>
      <c r="O955" s="172"/>
      <c r="P955" s="172"/>
      <c r="Q955" s="172"/>
      <c r="R955" s="172"/>
      <c r="S955" s="172"/>
      <c r="T955" s="172"/>
      <c r="U955" s="172"/>
      <c r="V955" s="172"/>
      <c r="W955" s="172"/>
      <c r="X955" s="172"/>
    </row>
    <row r="956" ht="15.75" customHeight="1">
      <c r="A956" s="183"/>
      <c r="D956" s="172"/>
      <c r="E956" s="172"/>
      <c r="F956" s="172"/>
      <c r="G956" s="172"/>
      <c r="H956" s="172"/>
      <c r="I956" s="172"/>
      <c r="J956" s="172"/>
      <c r="K956" s="172"/>
      <c r="L956" s="172"/>
      <c r="M956" s="172"/>
      <c r="N956" s="172"/>
      <c r="O956" s="172"/>
      <c r="P956" s="172"/>
      <c r="Q956" s="172"/>
      <c r="R956" s="172"/>
      <c r="S956" s="172"/>
      <c r="T956" s="172"/>
      <c r="U956" s="172"/>
      <c r="V956" s="172"/>
      <c r="W956" s="172"/>
      <c r="X956" s="172"/>
    </row>
    <row r="957" ht="15.75" customHeight="1">
      <c r="A957" s="183"/>
      <c r="D957" s="172"/>
      <c r="E957" s="172"/>
      <c r="F957" s="172"/>
      <c r="G957" s="172"/>
      <c r="H957" s="172"/>
      <c r="I957" s="172"/>
      <c r="J957" s="172"/>
      <c r="K957" s="172"/>
      <c r="L957" s="172"/>
      <c r="M957" s="172"/>
      <c r="N957" s="172"/>
      <c r="O957" s="172"/>
      <c r="P957" s="172"/>
      <c r="Q957" s="172"/>
      <c r="R957" s="172"/>
      <c r="S957" s="172"/>
      <c r="T957" s="172"/>
      <c r="U957" s="172"/>
      <c r="V957" s="172"/>
      <c r="W957" s="172"/>
      <c r="X957" s="172"/>
    </row>
    <row r="958" ht="15.75" customHeight="1">
      <c r="A958" s="183"/>
      <c r="D958" s="172"/>
      <c r="E958" s="172"/>
      <c r="F958" s="172"/>
      <c r="G958" s="172"/>
      <c r="H958" s="172"/>
      <c r="I958" s="172"/>
      <c r="J958" s="172"/>
      <c r="K958" s="172"/>
      <c r="L958" s="172"/>
      <c r="M958" s="172"/>
      <c r="N958" s="172"/>
      <c r="O958" s="172"/>
      <c r="P958" s="172"/>
      <c r="Q958" s="172"/>
      <c r="R958" s="172"/>
      <c r="S958" s="172"/>
      <c r="T958" s="172"/>
      <c r="U958" s="172"/>
      <c r="V958" s="172"/>
      <c r="W958" s="172"/>
      <c r="X958" s="172"/>
    </row>
    <row r="959" ht="15.75" customHeight="1">
      <c r="A959" s="183"/>
      <c r="D959" s="172"/>
      <c r="E959" s="172"/>
      <c r="F959" s="172"/>
      <c r="G959" s="172"/>
      <c r="H959" s="172"/>
      <c r="I959" s="172"/>
      <c r="J959" s="172"/>
      <c r="K959" s="172"/>
      <c r="L959" s="172"/>
      <c r="M959" s="172"/>
      <c r="N959" s="172"/>
      <c r="O959" s="172"/>
      <c r="P959" s="172"/>
      <c r="Q959" s="172"/>
      <c r="R959" s="172"/>
      <c r="S959" s="172"/>
      <c r="T959" s="172"/>
      <c r="U959" s="172"/>
      <c r="V959" s="172"/>
      <c r="W959" s="172"/>
      <c r="X959" s="172"/>
    </row>
    <row r="960" ht="15.75" customHeight="1">
      <c r="A960" s="183"/>
      <c r="D960" s="172"/>
      <c r="E960" s="172"/>
      <c r="F960" s="172"/>
      <c r="G960" s="172"/>
      <c r="H960" s="172"/>
      <c r="I960" s="172"/>
      <c r="J960" s="172"/>
      <c r="K960" s="172"/>
      <c r="L960" s="172"/>
      <c r="M960" s="172"/>
      <c r="N960" s="172"/>
      <c r="O960" s="172"/>
      <c r="P960" s="172"/>
      <c r="Q960" s="172"/>
      <c r="R960" s="172"/>
      <c r="S960" s="172"/>
      <c r="T960" s="172"/>
      <c r="U960" s="172"/>
      <c r="V960" s="172"/>
      <c r="W960" s="172"/>
      <c r="X960" s="172"/>
    </row>
    <row r="961" ht="15.75" customHeight="1">
      <c r="A961" s="183"/>
      <c r="D961" s="172"/>
      <c r="E961" s="172"/>
      <c r="F961" s="172"/>
      <c r="G961" s="172"/>
      <c r="H961" s="172"/>
      <c r="I961" s="172"/>
      <c r="J961" s="172"/>
      <c r="K961" s="172"/>
      <c r="L961" s="172"/>
      <c r="M961" s="172"/>
      <c r="N961" s="172"/>
      <c r="O961" s="172"/>
      <c r="P961" s="172"/>
      <c r="Q961" s="172"/>
      <c r="R961" s="172"/>
      <c r="S961" s="172"/>
      <c r="T961" s="172"/>
      <c r="U961" s="172"/>
      <c r="V961" s="172"/>
      <c r="W961" s="172"/>
      <c r="X961" s="172"/>
    </row>
    <row r="962" ht="15.75" customHeight="1">
      <c r="A962" s="183"/>
      <c r="D962" s="172"/>
      <c r="E962" s="172"/>
      <c r="F962" s="172"/>
      <c r="G962" s="172"/>
      <c r="H962" s="172"/>
      <c r="I962" s="172"/>
      <c r="J962" s="172"/>
      <c r="K962" s="172"/>
      <c r="L962" s="172"/>
      <c r="M962" s="172"/>
      <c r="N962" s="172"/>
      <c r="O962" s="172"/>
      <c r="P962" s="172"/>
      <c r="Q962" s="172"/>
      <c r="R962" s="172"/>
      <c r="S962" s="172"/>
      <c r="T962" s="172"/>
      <c r="U962" s="172"/>
      <c r="V962" s="172"/>
      <c r="W962" s="172"/>
      <c r="X962" s="172"/>
    </row>
    <row r="963" ht="15.75" customHeight="1">
      <c r="A963" s="183"/>
      <c r="D963" s="172"/>
      <c r="E963" s="172"/>
      <c r="F963" s="172"/>
      <c r="G963" s="172"/>
      <c r="H963" s="172"/>
      <c r="I963" s="172"/>
      <c r="J963" s="172"/>
      <c r="K963" s="172"/>
      <c r="L963" s="172"/>
      <c r="M963" s="172"/>
      <c r="N963" s="172"/>
      <c r="O963" s="172"/>
      <c r="P963" s="172"/>
      <c r="Q963" s="172"/>
      <c r="R963" s="172"/>
      <c r="S963" s="172"/>
      <c r="T963" s="172"/>
      <c r="U963" s="172"/>
      <c r="V963" s="172"/>
      <c r="W963" s="172"/>
      <c r="X963" s="172"/>
    </row>
    <row r="964" ht="15.75" customHeight="1">
      <c r="A964" s="183"/>
      <c r="D964" s="172"/>
      <c r="E964" s="172"/>
      <c r="F964" s="172"/>
      <c r="G964" s="172"/>
      <c r="H964" s="172"/>
      <c r="I964" s="172"/>
      <c r="J964" s="172"/>
      <c r="K964" s="172"/>
      <c r="L964" s="172"/>
      <c r="M964" s="172"/>
      <c r="N964" s="172"/>
      <c r="O964" s="172"/>
      <c r="P964" s="172"/>
      <c r="Q964" s="172"/>
      <c r="R964" s="172"/>
      <c r="S964" s="172"/>
      <c r="T964" s="172"/>
      <c r="U964" s="172"/>
      <c r="V964" s="172"/>
      <c r="W964" s="172"/>
      <c r="X964" s="172"/>
    </row>
    <row r="965" ht="15.75" customHeight="1">
      <c r="A965" s="183"/>
      <c r="D965" s="172"/>
      <c r="E965" s="172"/>
      <c r="F965" s="172"/>
      <c r="G965" s="172"/>
      <c r="H965" s="172"/>
      <c r="I965" s="172"/>
      <c r="J965" s="172"/>
      <c r="K965" s="172"/>
      <c r="L965" s="172"/>
      <c r="M965" s="172"/>
      <c r="N965" s="172"/>
      <c r="O965" s="172"/>
      <c r="P965" s="172"/>
      <c r="Q965" s="172"/>
      <c r="R965" s="172"/>
      <c r="S965" s="172"/>
      <c r="T965" s="172"/>
      <c r="U965" s="172"/>
      <c r="V965" s="172"/>
      <c r="W965" s="172"/>
      <c r="X965" s="172"/>
    </row>
    <row r="966" ht="15.75" customHeight="1">
      <c r="A966" s="183"/>
      <c r="D966" s="172"/>
      <c r="E966" s="172"/>
      <c r="F966" s="172"/>
      <c r="G966" s="172"/>
      <c r="H966" s="172"/>
      <c r="I966" s="172"/>
      <c r="J966" s="172"/>
      <c r="K966" s="172"/>
      <c r="L966" s="172"/>
      <c r="M966" s="172"/>
      <c r="N966" s="172"/>
      <c r="O966" s="172"/>
      <c r="P966" s="172"/>
      <c r="Q966" s="172"/>
      <c r="R966" s="172"/>
      <c r="S966" s="172"/>
      <c r="T966" s="172"/>
      <c r="U966" s="172"/>
      <c r="V966" s="172"/>
      <c r="W966" s="172"/>
      <c r="X966" s="172"/>
    </row>
    <row r="967" ht="15.75" customHeight="1">
      <c r="A967" s="183"/>
      <c r="D967" s="172"/>
      <c r="E967" s="172"/>
      <c r="F967" s="172"/>
      <c r="G967" s="172"/>
      <c r="H967" s="172"/>
      <c r="I967" s="172"/>
      <c r="J967" s="172"/>
      <c r="K967" s="172"/>
      <c r="L967" s="172"/>
      <c r="M967" s="172"/>
      <c r="N967" s="172"/>
      <c r="O967" s="172"/>
      <c r="P967" s="172"/>
      <c r="Q967" s="172"/>
      <c r="R967" s="172"/>
      <c r="S967" s="172"/>
      <c r="T967" s="172"/>
      <c r="U967" s="172"/>
      <c r="V967" s="172"/>
      <c r="W967" s="172"/>
      <c r="X967" s="172"/>
    </row>
    <row r="968" ht="15.75" customHeight="1">
      <c r="A968" s="183"/>
      <c r="D968" s="172"/>
      <c r="E968" s="172"/>
      <c r="F968" s="172"/>
      <c r="G968" s="172"/>
      <c r="H968" s="172"/>
      <c r="I968" s="172"/>
      <c r="J968" s="172"/>
      <c r="K968" s="172"/>
      <c r="L968" s="172"/>
      <c r="M968" s="172"/>
      <c r="N968" s="172"/>
      <c r="O968" s="172"/>
      <c r="P968" s="172"/>
      <c r="Q968" s="172"/>
      <c r="R968" s="172"/>
      <c r="S968" s="172"/>
      <c r="T968" s="172"/>
      <c r="U968" s="172"/>
      <c r="V968" s="172"/>
      <c r="W968" s="172"/>
      <c r="X968" s="172"/>
    </row>
    <row r="969" ht="15.75" customHeight="1">
      <c r="A969" s="183"/>
      <c r="D969" s="172"/>
      <c r="E969" s="172"/>
      <c r="F969" s="172"/>
      <c r="G969" s="172"/>
      <c r="H969" s="172"/>
      <c r="I969" s="172"/>
      <c r="J969" s="172"/>
      <c r="K969" s="172"/>
      <c r="L969" s="172"/>
      <c r="M969" s="172"/>
      <c r="N969" s="172"/>
      <c r="O969" s="172"/>
      <c r="P969" s="172"/>
      <c r="Q969" s="172"/>
      <c r="R969" s="172"/>
      <c r="S969" s="172"/>
      <c r="T969" s="172"/>
      <c r="U969" s="172"/>
      <c r="V969" s="172"/>
      <c r="W969" s="172"/>
      <c r="X969" s="172"/>
    </row>
    <row r="970" ht="15.75" customHeight="1">
      <c r="A970" s="183"/>
      <c r="D970" s="172"/>
      <c r="E970" s="172"/>
      <c r="F970" s="172"/>
      <c r="G970" s="172"/>
      <c r="H970" s="172"/>
      <c r="I970" s="172"/>
      <c r="J970" s="172"/>
      <c r="K970" s="172"/>
      <c r="L970" s="172"/>
      <c r="M970" s="172"/>
      <c r="N970" s="172"/>
      <c r="O970" s="172"/>
      <c r="P970" s="172"/>
      <c r="Q970" s="172"/>
      <c r="R970" s="172"/>
      <c r="S970" s="172"/>
      <c r="T970" s="172"/>
      <c r="U970" s="172"/>
      <c r="V970" s="172"/>
      <c r="W970" s="172"/>
      <c r="X970" s="172"/>
    </row>
    <row r="971" ht="15.75" customHeight="1">
      <c r="A971" s="183"/>
      <c r="D971" s="172"/>
      <c r="E971" s="172"/>
      <c r="F971" s="172"/>
      <c r="G971" s="172"/>
      <c r="H971" s="172"/>
      <c r="I971" s="172"/>
      <c r="J971" s="172"/>
      <c r="K971" s="172"/>
      <c r="L971" s="172"/>
      <c r="M971" s="172"/>
      <c r="N971" s="172"/>
      <c r="O971" s="172"/>
      <c r="P971" s="172"/>
      <c r="Q971" s="172"/>
      <c r="R971" s="172"/>
      <c r="S971" s="172"/>
      <c r="T971" s="172"/>
      <c r="U971" s="172"/>
      <c r="V971" s="172"/>
      <c r="W971" s="172"/>
      <c r="X971" s="172"/>
    </row>
    <row r="972" ht="15.75" customHeight="1">
      <c r="A972" s="183"/>
      <c r="D972" s="172"/>
      <c r="E972" s="172"/>
      <c r="F972" s="172"/>
      <c r="G972" s="172"/>
      <c r="H972" s="172"/>
      <c r="I972" s="172"/>
      <c r="J972" s="172"/>
      <c r="K972" s="172"/>
      <c r="L972" s="172"/>
      <c r="M972" s="172"/>
      <c r="N972" s="172"/>
      <c r="O972" s="172"/>
      <c r="P972" s="172"/>
      <c r="Q972" s="172"/>
      <c r="R972" s="172"/>
      <c r="S972" s="172"/>
      <c r="T972" s="172"/>
      <c r="U972" s="172"/>
      <c r="V972" s="172"/>
      <c r="W972" s="172"/>
      <c r="X972" s="172"/>
    </row>
    <row r="973" ht="15.75" customHeight="1">
      <c r="A973" s="183"/>
      <c r="D973" s="172"/>
      <c r="E973" s="172"/>
      <c r="F973" s="172"/>
      <c r="G973" s="172"/>
      <c r="H973" s="172"/>
      <c r="I973" s="172"/>
      <c r="J973" s="172"/>
      <c r="K973" s="172"/>
      <c r="L973" s="172"/>
      <c r="M973" s="172"/>
      <c r="N973" s="172"/>
      <c r="O973" s="172"/>
      <c r="P973" s="172"/>
      <c r="Q973" s="172"/>
      <c r="R973" s="172"/>
      <c r="S973" s="172"/>
      <c r="T973" s="172"/>
      <c r="U973" s="172"/>
      <c r="V973" s="172"/>
      <c r="W973" s="172"/>
      <c r="X973" s="172"/>
    </row>
    <row r="974" ht="15.75" customHeight="1">
      <c r="A974" s="183"/>
      <c r="D974" s="172"/>
      <c r="E974" s="172"/>
      <c r="F974" s="172"/>
      <c r="G974" s="172"/>
      <c r="H974" s="172"/>
      <c r="I974" s="172"/>
      <c r="J974" s="172"/>
      <c r="K974" s="172"/>
      <c r="L974" s="172"/>
      <c r="M974" s="172"/>
      <c r="N974" s="172"/>
      <c r="O974" s="172"/>
      <c r="P974" s="172"/>
      <c r="Q974" s="172"/>
      <c r="R974" s="172"/>
      <c r="S974" s="172"/>
      <c r="T974" s="172"/>
      <c r="U974" s="172"/>
      <c r="V974" s="172"/>
      <c r="W974" s="172"/>
      <c r="X974" s="172"/>
    </row>
    <row r="975" ht="15.75" customHeight="1">
      <c r="A975" s="183"/>
      <c r="D975" s="172"/>
      <c r="E975" s="172"/>
      <c r="F975" s="172"/>
      <c r="G975" s="172"/>
      <c r="H975" s="172"/>
      <c r="I975" s="172"/>
      <c r="J975" s="172"/>
      <c r="K975" s="172"/>
      <c r="L975" s="172"/>
      <c r="M975" s="172"/>
      <c r="N975" s="172"/>
      <c r="O975" s="172"/>
      <c r="P975" s="172"/>
      <c r="Q975" s="172"/>
      <c r="R975" s="172"/>
      <c r="S975" s="172"/>
      <c r="T975" s="172"/>
      <c r="U975" s="172"/>
      <c r="V975" s="172"/>
      <c r="W975" s="172"/>
      <c r="X975" s="172"/>
    </row>
    <row r="976" ht="15.75" customHeight="1">
      <c r="A976" s="183"/>
      <c r="D976" s="172"/>
      <c r="E976" s="172"/>
      <c r="F976" s="172"/>
      <c r="G976" s="172"/>
      <c r="H976" s="172"/>
      <c r="I976" s="172"/>
      <c r="J976" s="172"/>
      <c r="K976" s="172"/>
      <c r="L976" s="172"/>
      <c r="M976" s="172"/>
      <c r="N976" s="172"/>
      <c r="O976" s="172"/>
      <c r="P976" s="172"/>
      <c r="Q976" s="172"/>
      <c r="R976" s="172"/>
      <c r="S976" s="172"/>
      <c r="T976" s="172"/>
      <c r="U976" s="172"/>
      <c r="V976" s="172"/>
      <c r="W976" s="172"/>
      <c r="X976" s="172"/>
    </row>
    <row r="977" ht="15.75" customHeight="1">
      <c r="A977" s="183"/>
      <c r="D977" s="172"/>
      <c r="E977" s="172"/>
      <c r="F977" s="172"/>
      <c r="G977" s="172"/>
      <c r="H977" s="172"/>
      <c r="I977" s="172"/>
      <c r="J977" s="172"/>
      <c r="K977" s="172"/>
      <c r="L977" s="172"/>
      <c r="M977" s="172"/>
      <c r="N977" s="172"/>
      <c r="O977" s="172"/>
      <c r="P977" s="172"/>
      <c r="Q977" s="172"/>
      <c r="R977" s="172"/>
      <c r="S977" s="172"/>
      <c r="T977" s="172"/>
      <c r="U977" s="172"/>
      <c r="V977" s="172"/>
      <c r="W977" s="172"/>
      <c r="X977" s="172"/>
    </row>
    <row r="978" ht="15.75" customHeight="1">
      <c r="A978" s="183"/>
      <c r="D978" s="172"/>
      <c r="E978" s="172"/>
      <c r="F978" s="172"/>
      <c r="G978" s="172"/>
      <c r="H978" s="172"/>
      <c r="I978" s="172"/>
      <c r="J978" s="172"/>
      <c r="K978" s="172"/>
      <c r="L978" s="172"/>
      <c r="M978" s="172"/>
      <c r="N978" s="172"/>
      <c r="O978" s="172"/>
      <c r="P978" s="172"/>
      <c r="Q978" s="172"/>
      <c r="R978" s="172"/>
      <c r="S978" s="172"/>
      <c r="T978" s="172"/>
      <c r="U978" s="172"/>
      <c r="V978" s="172"/>
      <c r="W978" s="172"/>
      <c r="X978" s="172"/>
    </row>
    <row r="979" ht="15.75" customHeight="1">
      <c r="A979" s="183"/>
      <c r="D979" s="172"/>
      <c r="E979" s="172"/>
      <c r="F979" s="172"/>
      <c r="G979" s="172"/>
      <c r="H979" s="172"/>
      <c r="I979" s="172"/>
      <c r="J979" s="172"/>
      <c r="K979" s="172"/>
      <c r="L979" s="172"/>
      <c r="M979" s="172"/>
      <c r="N979" s="172"/>
      <c r="O979" s="172"/>
      <c r="P979" s="172"/>
      <c r="Q979" s="172"/>
      <c r="R979" s="172"/>
      <c r="S979" s="172"/>
      <c r="T979" s="172"/>
      <c r="U979" s="172"/>
      <c r="V979" s="172"/>
      <c r="W979" s="172"/>
      <c r="X979" s="172"/>
    </row>
    <row r="980" ht="15.75" customHeight="1">
      <c r="A980" s="183"/>
      <c r="D980" s="172"/>
      <c r="E980" s="172"/>
      <c r="F980" s="172"/>
      <c r="G980" s="172"/>
      <c r="H980" s="172"/>
      <c r="I980" s="172"/>
      <c r="J980" s="172"/>
      <c r="K980" s="172"/>
      <c r="L980" s="172"/>
      <c r="M980" s="172"/>
      <c r="N980" s="172"/>
      <c r="O980" s="172"/>
      <c r="P980" s="172"/>
      <c r="Q980" s="172"/>
      <c r="R980" s="172"/>
      <c r="S980" s="172"/>
      <c r="T980" s="172"/>
      <c r="U980" s="172"/>
      <c r="V980" s="172"/>
      <c r="W980" s="172"/>
      <c r="X980" s="172"/>
    </row>
    <row r="981" ht="15.75" customHeight="1">
      <c r="A981" s="183"/>
      <c r="D981" s="172"/>
      <c r="E981" s="172"/>
      <c r="F981" s="172"/>
      <c r="G981" s="172"/>
      <c r="H981" s="172"/>
      <c r="I981" s="172"/>
      <c r="J981" s="172"/>
      <c r="K981" s="172"/>
      <c r="L981" s="172"/>
      <c r="M981" s="172"/>
      <c r="N981" s="172"/>
      <c r="O981" s="172"/>
      <c r="P981" s="172"/>
      <c r="Q981" s="172"/>
      <c r="R981" s="172"/>
      <c r="S981" s="172"/>
      <c r="T981" s="172"/>
      <c r="U981" s="172"/>
      <c r="V981" s="172"/>
      <c r="W981" s="172"/>
      <c r="X981" s="172"/>
    </row>
    <row r="982" ht="15.75" customHeight="1">
      <c r="A982" s="183"/>
      <c r="D982" s="172"/>
      <c r="E982" s="172"/>
      <c r="F982" s="172"/>
      <c r="G982" s="172"/>
      <c r="H982" s="172"/>
      <c r="I982" s="172"/>
      <c r="J982" s="172"/>
      <c r="K982" s="172"/>
      <c r="L982" s="172"/>
      <c r="M982" s="172"/>
      <c r="N982" s="172"/>
      <c r="O982" s="172"/>
      <c r="P982" s="172"/>
      <c r="Q982" s="172"/>
      <c r="R982" s="172"/>
      <c r="S982" s="172"/>
      <c r="T982" s="172"/>
      <c r="U982" s="172"/>
      <c r="V982" s="172"/>
      <c r="W982" s="172"/>
      <c r="X982" s="172"/>
    </row>
    <row r="983" ht="15.75" customHeight="1">
      <c r="A983" s="183"/>
      <c r="D983" s="172"/>
      <c r="E983" s="172"/>
      <c r="F983" s="172"/>
      <c r="G983" s="172"/>
      <c r="H983" s="172"/>
      <c r="I983" s="172"/>
      <c r="J983" s="172"/>
      <c r="K983" s="172"/>
      <c r="L983" s="172"/>
      <c r="M983" s="172"/>
      <c r="N983" s="172"/>
      <c r="O983" s="172"/>
      <c r="P983" s="172"/>
      <c r="Q983" s="172"/>
      <c r="R983" s="172"/>
      <c r="S983" s="172"/>
      <c r="T983" s="172"/>
      <c r="U983" s="172"/>
      <c r="V983" s="172"/>
      <c r="W983" s="172"/>
      <c r="X983" s="172"/>
    </row>
    <row r="984" ht="15.75" customHeight="1">
      <c r="A984" s="183"/>
      <c r="D984" s="172"/>
      <c r="E984" s="172"/>
      <c r="F984" s="172"/>
      <c r="G984" s="172"/>
      <c r="H984" s="172"/>
      <c r="I984" s="172"/>
      <c r="J984" s="172"/>
      <c r="K984" s="172"/>
      <c r="L984" s="172"/>
      <c r="M984" s="172"/>
      <c r="N984" s="172"/>
      <c r="O984" s="172"/>
      <c r="P984" s="172"/>
      <c r="Q984" s="172"/>
      <c r="R984" s="172"/>
      <c r="S984" s="172"/>
      <c r="T984" s="172"/>
      <c r="U984" s="172"/>
      <c r="V984" s="172"/>
      <c r="W984" s="172"/>
      <c r="X984" s="172"/>
    </row>
    <row r="985" ht="15.75" customHeight="1">
      <c r="A985" s="183"/>
      <c r="D985" s="172"/>
      <c r="E985" s="172"/>
      <c r="F985" s="172"/>
      <c r="G985" s="172"/>
      <c r="H985" s="172"/>
      <c r="I985" s="172"/>
      <c r="J985" s="172"/>
      <c r="K985" s="172"/>
      <c r="L985" s="172"/>
      <c r="M985" s="172"/>
      <c r="N985" s="172"/>
      <c r="O985" s="172"/>
      <c r="P985" s="172"/>
      <c r="Q985" s="172"/>
      <c r="R985" s="172"/>
      <c r="S985" s="172"/>
      <c r="T985" s="172"/>
      <c r="U985" s="172"/>
      <c r="V985" s="172"/>
      <c r="W985" s="172"/>
      <c r="X985" s="172"/>
    </row>
    <row r="986" ht="15.75" customHeight="1">
      <c r="A986" s="183"/>
      <c r="D986" s="172"/>
      <c r="E986" s="172"/>
      <c r="F986" s="172"/>
      <c r="G986" s="172"/>
      <c r="H986" s="172"/>
      <c r="I986" s="172"/>
      <c r="J986" s="172"/>
      <c r="K986" s="172"/>
      <c r="L986" s="172"/>
      <c r="M986" s="172"/>
      <c r="N986" s="172"/>
      <c r="O986" s="172"/>
      <c r="P986" s="172"/>
      <c r="Q986" s="172"/>
      <c r="R986" s="172"/>
      <c r="S986" s="172"/>
      <c r="T986" s="172"/>
      <c r="U986" s="172"/>
      <c r="V986" s="172"/>
      <c r="W986" s="172"/>
      <c r="X986" s="172"/>
    </row>
    <row r="987" ht="15.75" customHeight="1">
      <c r="A987" s="183"/>
      <c r="D987" s="172"/>
      <c r="E987" s="172"/>
      <c r="F987" s="172"/>
      <c r="G987" s="172"/>
      <c r="H987" s="172"/>
      <c r="I987" s="172"/>
      <c r="J987" s="172"/>
      <c r="K987" s="172"/>
      <c r="L987" s="172"/>
      <c r="M987" s="172"/>
      <c r="N987" s="172"/>
      <c r="O987" s="172"/>
      <c r="P987" s="172"/>
      <c r="Q987" s="172"/>
      <c r="R987" s="172"/>
      <c r="S987" s="172"/>
      <c r="T987" s="172"/>
      <c r="U987" s="172"/>
      <c r="V987" s="172"/>
      <c r="W987" s="172"/>
      <c r="X987" s="172"/>
    </row>
    <row r="988" ht="15.75" customHeight="1">
      <c r="A988" s="183"/>
      <c r="D988" s="172"/>
      <c r="E988" s="172"/>
      <c r="F988" s="172"/>
      <c r="G988" s="172"/>
      <c r="H988" s="172"/>
      <c r="I988" s="172"/>
      <c r="J988" s="172"/>
      <c r="K988" s="172"/>
      <c r="L988" s="172"/>
      <c r="M988" s="172"/>
      <c r="N988" s="172"/>
      <c r="O988" s="172"/>
      <c r="P988" s="172"/>
      <c r="Q988" s="172"/>
      <c r="R988" s="172"/>
      <c r="S988" s="172"/>
      <c r="T988" s="172"/>
      <c r="U988" s="172"/>
      <c r="V988" s="172"/>
      <c r="W988" s="172"/>
      <c r="X988" s="172"/>
    </row>
    <row r="989" ht="15.75" customHeight="1">
      <c r="A989" s="183"/>
      <c r="D989" s="172"/>
      <c r="E989" s="172"/>
      <c r="F989" s="172"/>
      <c r="G989" s="172"/>
      <c r="H989" s="172"/>
      <c r="I989" s="172"/>
      <c r="J989" s="172"/>
      <c r="K989" s="172"/>
      <c r="L989" s="172"/>
      <c r="M989" s="172"/>
      <c r="N989" s="172"/>
      <c r="O989" s="172"/>
      <c r="P989" s="172"/>
      <c r="Q989" s="172"/>
      <c r="R989" s="172"/>
      <c r="S989" s="172"/>
      <c r="T989" s="172"/>
      <c r="U989" s="172"/>
      <c r="V989" s="172"/>
      <c r="W989" s="172"/>
      <c r="X989" s="172"/>
    </row>
    <row r="990" ht="15.75" customHeight="1">
      <c r="A990" s="183"/>
      <c r="D990" s="172"/>
      <c r="E990" s="172"/>
      <c r="F990" s="172"/>
      <c r="G990" s="172"/>
      <c r="H990" s="172"/>
      <c r="I990" s="172"/>
      <c r="J990" s="172"/>
      <c r="K990" s="172"/>
      <c r="L990" s="172"/>
      <c r="M990" s="172"/>
      <c r="N990" s="172"/>
      <c r="O990" s="172"/>
      <c r="P990" s="172"/>
      <c r="Q990" s="172"/>
      <c r="R990" s="172"/>
      <c r="S990" s="172"/>
      <c r="T990" s="172"/>
      <c r="U990" s="172"/>
      <c r="V990" s="172"/>
      <c r="W990" s="172"/>
      <c r="X990" s="172"/>
    </row>
    <row r="991" ht="15.75" customHeight="1">
      <c r="A991" s="183"/>
      <c r="D991" s="172"/>
      <c r="E991" s="172"/>
      <c r="F991" s="172"/>
      <c r="G991" s="172"/>
      <c r="H991" s="172"/>
      <c r="I991" s="172"/>
      <c r="J991" s="172"/>
      <c r="K991" s="172"/>
      <c r="L991" s="172"/>
      <c r="M991" s="172"/>
      <c r="N991" s="172"/>
      <c r="O991" s="172"/>
      <c r="P991" s="172"/>
      <c r="Q991" s="172"/>
      <c r="R991" s="172"/>
      <c r="S991" s="172"/>
      <c r="T991" s="172"/>
      <c r="U991" s="172"/>
      <c r="V991" s="172"/>
      <c r="W991" s="172"/>
      <c r="X991" s="172"/>
    </row>
    <row r="992" ht="15.75" customHeight="1">
      <c r="A992" s="183"/>
      <c r="D992" s="172"/>
      <c r="E992" s="172"/>
      <c r="F992" s="172"/>
      <c r="G992" s="172"/>
      <c r="H992" s="172"/>
      <c r="I992" s="172"/>
      <c r="J992" s="172"/>
      <c r="K992" s="172"/>
      <c r="L992" s="172"/>
      <c r="M992" s="172"/>
      <c r="N992" s="172"/>
      <c r="O992" s="172"/>
      <c r="P992" s="172"/>
      <c r="Q992" s="172"/>
      <c r="R992" s="172"/>
      <c r="S992" s="172"/>
      <c r="T992" s="172"/>
      <c r="U992" s="172"/>
      <c r="V992" s="172"/>
      <c r="W992" s="172"/>
      <c r="X992" s="172"/>
    </row>
    <row r="993" ht="15.75" customHeight="1">
      <c r="A993" s="183"/>
      <c r="D993" s="172"/>
      <c r="E993" s="172"/>
      <c r="F993" s="172"/>
      <c r="G993" s="172"/>
      <c r="H993" s="172"/>
      <c r="I993" s="172"/>
      <c r="J993" s="172"/>
      <c r="K993" s="172"/>
      <c r="L993" s="172"/>
      <c r="M993" s="172"/>
      <c r="N993" s="172"/>
      <c r="O993" s="172"/>
      <c r="P993" s="172"/>
      <c r="Q993" s="172"/>
      <c r="R993" s="172"/>
      <c r="S993" s="172"/>
      <c r="T993" s="172"/>
      <c r="U993" s="172"/>
      <c r="V993" s="172"/>
      <c r="W993" s="172"/>
      <c r="X993" s="172"/>
    </row>
    <row r="994" ht="15.75" customHeight="1">
      <c r="A994" s="183"/>
      <c r="D994" s="172"/>
      <c r="E994" s="172"/>
      <c r="F994" s="172"/>
      <c r="G994" s="172"/>
      <c r="H994" s="172"/>
      <c r="I994" s="172"/>
      <c r="J994" s="172"/>
      <c r="K994" s="172"/>
      <c r="L994" s="172"/>
      <c r="M994" s="172"/>
      <c r="N994" s="172"/>
      <c r="O994" s="172"/>
      <c r="P994" s="172"/>
      <c r="Q994" s="172"/>
      <c r="R994" s="172"/>
      <c r="S994" s="172"/>
      <c r="T994" s="172"/>
      <c r="U994" s="172"/>
      <c r="V994" s="172"/>
      <c r="W994" s="172"/>
      <c r="X994" s="172"/>
    </row>
    <row r="995" ht="15.75" customHeight="1">
      <c r="A995" s="183"/>
      <c r="D995" s="172"/>
      <c r="E995" s="172"/>
      <c r="F995" s="172"/>
      <c r="G995" s="172"/>
      <c r="H995" s="172"/>
      <c r="I995" s="172"/>
      <c r="J995" s="172"/>
      <c r="K995" s="172"/>
      <c r="L995" s="172"/>
      <c r="M995" s="172"/>
      <c r="N995" s="172"/>
      <c r="O995" s="172"/>
      <c r="P995" s="172"/>
      <c r="Q995" s="172"/>
      <c r="R995" s="172"/>
      <c r="S995" s="172"/>
      <c r="T995" s="172"/>
      <c r="U995" s="172"/>
      <c r="V995" s="172"/>
      <c r="W995" s="172"/>
      <c r="X995" s="172"/>
    </row>
    <row r="996" ht="15.75" customHeight="1">
      <c r="A996" s="183"/>
      <c r="D996" s="172"/>
      <c r="E996" s="172"/>
      <c r="F996" s="172"/>
      <c r="G996" s="172"/>
      <c r="H996" s="172"/>
      <c r="I996" s="172"/>
      <c r="J996" s="172"/>
      <c r="K996" s="172"/>
      <c r="L996" s="172"/>
      <c r="M996" s="172"/>
      <c r="N996" s="172"/>
      <c r="O996" s="172"/>
      <c r="P996" s="172"/>
      <c r="Q996" s="172"/>
      <c r="R996" s="172"/>
      <c r="S996" s="172"/>
      <c r="T996" s="172"/>
      <c r="U996" s="172"/>
      <c r="V996" s="172"/>
      <c r="W996" s="172"/>
      <c r="X996" s="172"/>
    </row>
    <row r="997" ht="15.75" customHeight="1">
      <c r="A997" s="183"/>
      <c r="D997" s="172"/>
      <c r="E997" s="172"/>
      <c r="F997" s="172"/>
      <c r="G997" s="172"/>
      <c r="H997" s="172"/>
      <c r="I997" s="172"/>
      <c r="J997" s="172"/>
      <c r="K997" s="172"/>
      <c r="L997" s="172"/>
      <c r="M997" s="172"/>
      <c r="N997" s="172"/>
      <c r="O997" s="172"/>
      <c r="P997" s="172"/>
      <c r="Q997" s="172"/>
      <c r="R997" s="172"/>
      <c r="S997" s="172"/>
      <c r="T997" s="172"/>
      <c r="U997" s="172"/>
      <c r="V997" s="172"/>
      <c r="W997" s="172"/>
      <c r="X997" s="172"/>
    </row>
    <row r="998" ht="15.75" customHeight="1">
      <c r="A998" s="183"/>
      <c r="D998" s="172"/>
      <c r="E998" s="172"/>
      <c r="F998" s="172"/>
      <c r="G998" s="172"/>
      <c r="H998" s="172"/>
      <c r="I998" s="172"/>
      <c r="J998" s="172"/>
      <c r="K998" s="172"/>
      <c r="L998" s="172"/>
      <c r="M998" s="172"/>
      <c r="N998" s="172"/>
      <c r="O998" s="172"/>
      <c r="P998" s="172"/>
      <c r="Q998" s="172"/>
      <c r="R998" s="172"/>
      <c r="S998" s="172"/>
      <c r="T998" s="172"/>
      <c r="U998" s="172"/>
      <c r="V998" s="172"/>
      <c r="W998" s="172"/>
      <c r="X998" s="172"/>
    </row>
    <row r="999" ht="15.75" customHeight="1">
      <c r="A999" s="183"/>
      <c r="D999" s="172"/>
      <c r="E999" s="172"/>
      <c r="F999" s="172"/>
      <c r="G999" s="172"/>
      <c r="H999" s="172"/>
      <c r="I999" s="172"/>
      <c r="J999" s="172"/>
      <c r="K999" s="172"/>
      <c r="L999" s="172"/>
      <c r="M999" s="172"/>
      <c r="N999" s="172"/>
      <c r="O999" s="172"/>
      <c r="P999" s="172"/>
      <c r="Q999" s="172"/>
      <c r="R999" s="172"/>
      <c r="S999" s="172"/>
      <c r="T999" s="172"/>
      <c r="U999" s="172"/>
      <c r="V999" s="172"/>
      <c r="W999" s="172"/>
      <c r="X999" s="172"/>
    </row>
    <row r="1000" ht="15.75" customHeight="1">
      <c r="A1000" s="183"/>
      <c r="D1000" s="172"/>
      <c r="E1000" s="172"/>
      <c r="F1000" s="172"/>
      <c r="G1000" s="172"/>
      <c r="H1000" s="172"/>
      <c r="I1000" s="172"/>
      <c r="J1000" s="172"/>
      <c r="K1000" s="172"/>
      <c r="L1000" s="172"/>
      <c r="M1000" s="172"/>
      <c r="N1000" s="172"/>
      <c r="O1000" s="172"/>
      <c r="P1000" s="172"/>
      <c r="Q1000" s="172"/>
      <c r="R1000" s="172"/>
      <c r="S1000" s="172"/>
      <c r="T1000" s="172"/>
      <c r="U1000" s="172"/>
      <c r="V1000" s="172"/>
      <c r="W1000" s="172"/>
      <c r="X1000" s="172"/>
    </row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